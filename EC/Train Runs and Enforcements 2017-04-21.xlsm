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Trips'!$A$2:$J$85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5" i="1" l="1"/>
  <c r="P113" i="1"/>
  <c r="S145" i="1"/>
  <c r="P145" i="1"/>
  <c r="P142" i="1"/>
  <c r="X140" i="1"/>
  <c r="X141" i="1"/>
  <c r="X142" i="1"/>
  <c r="X143" i="1"/>
  <c r="X144" i="1"/>
  <c r="X145" i="1"/>
  <c r="X146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P51" i="1"/>
  <c r="K14" i="1"/>
  <c r="L14" i="1"/>
  <c r="M14" i="1"/>
  <c r="V14" i="1"/>
  <c r="Y14" i="1"/>
  <c r="Z14" i="1"/>
  <c r="AB14" i="1"/>
  <c r="AC14" i="1"/>
  <c r="AD14" i="1"/>
  <c r="T14" i="1" s="1"/>
  <c r="AE14" i="1"/>
  <c r="R18" i="3" s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G20" i="1" s="1"/>
  <c r="AI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G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R21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I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W49" i="1" s="1"/>
  <c r="AB49" i="1"/>
  <c r="AC49" i="1"/>
  <c r="AD49" i="1"/>
  <c r="AG49" i="1" s="1"/>
  <c r="AE49" i="1"/>
  <c r="R12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P53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V55" i="1"/>
  <c r="Y55" i="1"/>
  <c r="Z55" i="1"/>
  <c r="AB55" i="1"/>
  <c r="AC55" i="1"/>
  <c r="AD55" i="1"/>
  <c r="AE55" i="1"/>
  <c r="R19" i="3" s="1"/>
  <c r="AF55" i="1"/>
  <c r="AH55" i="1"/>
  <c r="AM55" i="1"/>
  <c r="AN55" i="1"/>
  <c r="K56" i="1"/>
  <c r="L56" i="1"/>
  <c r="M56" i="1"/>
  <c r="P56" i="1" s="1"/>
  <c r="V56" i="1"/>
  <c r="Y56" i="1"/>
  <c r="Z56" i="1"/>
  <c r="AB56" i="1"/>
  <c r="AC56" i="1"/>
  <c r="AD56" i="1"/>
  <c r="AG56" i="1" s="1"/>
  <c r="AE56" i="1"/>
  <c r="AF56" i="1"/>
  <c r="AH56" i="1"/>
  <c r="AI56" i="1"/>
  <c r="AM56" i="1"/>
  <c r="AN56" i="1"/>
  <c r="K57" i="1"/>
  <c r="L57" i="1"/>
  <c r="M57" i="1"/>
  <c r="N57" i="1" s="1"/>
  <c r="V57" i="1"/>
  <c r="S16" i="3" s="1"/>
  <c r="Y57" i="1"/>
  <c r="Z57" i="1"/>
  <c r="AB57" i="1"/>
  <c r="AC57" i="1"/>
  <c r="AD57" i="1"/>
  <c r="AE57" i="1"/>
  <c r="R16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S8" i="3" s="1"/>
  <c r="Y60" i="1"/>
  <c r="Z60" i="1"/>
  <c r="AI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S11" i="3" s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X64" i="1" s="1"/>
  <c r="AE63" i="1"/>
  <c r="R9" i="3" s="1"/>
  <c r="AF63" i="1"/>
  <c r="AH63" i="1"/>
  <c r="AM63" i="1"/>
  <c r="AN63" i="1"/>
  <c r="K64" i="1"/>
  <c r="L64" i="1"/>
  <c r="M64" i="1"/>
  <c r="N64" i="1" s="1"/>
  <c r="V64" i="1"/>
  <c r="Y64" i="1"/>
  <c r="Z64" i="1"/>
  <c r="AI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I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G73" i="1"/>
  <c r="AH73" i="1"/>
  <c r="AM73" i="1"/>
  <c r="AN73" i="1"/>
  <c r="K74" i="1"/>
  <c r="L74" i="1"/>
  <c r="M74" i="1"/>
  <c r="N74" i="1" s="1"/>
  <c r="V74" i="1"/>
  <c r="X74" i="1"/>
  <c r="Y74" i="1"/>
  <c r="Z74" i="1"/>
  <c r="AB74" i="1"/>
  <c r="AC74" i="1"/>
  <c r="AD74" i="1"/>
  <c r="T74" i="1" s="1"/>
  <c r="AE74" i="1"/>
  <c r="AF74" i="1"/>
  <c r="AG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I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22" i="3" s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23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24" i="3" s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S10" i="3" s="1"/>
  <c r="Y86" i="1"/>
  <c r="Z86" i="1"/>
  <c r="AB86" i="1"/>
  <c r="AC86" i="1"/>
  <c r="AD86" i="1"/>
  <c r="AE86" i="1"/>
  <c r="R10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I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I91" i="1" s="1"/>
  <c r="AB91" i="1"/>
  <c r="AC91" i="1"/>
  <c r="AD91" i="1"/>
  <c r="AG91" i="1" s="1"/>
  <c r="AE91" i="1"/>
  <c r="R15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R7" i="3" s="1"/>
  <c r="AF103" i="1"/>
  <c r="AH103" i="1"/>
  <c r="AM103" i="1"/>
  <c r="AN103" i="1"/>
  <c r="K104" i="1"/>
  <c r="L104" i="1"/>
  <c r="M104" i="1"/>
  <c r="N104" i="1" s="1"/>
  <c r="V104" i="1"/>
  <c r="S20" i="3" s="1"/>
  <c r="Y104" i="1"/>
  <c r="Z104" i="1"/>
  <c r="AB104" i="1"/>
  <c r="AC104" i="1"/>
  <c r="AD104" i="1"/>
  <c r="T104" i="1" s="1"/>
  <c r="AE104" i="1"/>
  <c r="AF104" i="1"/>
  <c r="AG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S13" i="3" s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3" i="1"/>
  <c r="L113" i="1"/>
  <c r="M113" i="1"/>
  <c r="V113" i="1"/>
  <c r="S17" i="3" s="1"/>
  <c r="Y113" i="1"/>
  <c r="Z113" i="1"/>
  <c r="AB113" i="1"/>
  <c r="AC113" i="1"/>
  <c r="AD113" i="1"/>
  <c r="AG113" i="1" s="1"/>
  <c r="AE113" i="1"/>
  <c r="R17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S26" i="3" s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AA125" i="1" s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T134" i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X135" i="1"/>
  <c r="Y135" i="1"/>
  <c r="Z135" i="1"/>
  <c r="AB135" i="1"/>
  <c r="AC135" i="1"/>
  <c r="AD135" i="1"/>
  <c r="T135" i="1" s="1"/>
  <c r="AE135" i="1"/>
  <c r="AF135" i="1"/>
  <c r="AG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R25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V143" i="1"/>
  <c r="Y143" i="1"/>
  <c r="Z143" i="1"/>
  <c r="AA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S28" i="3" s="1"/>
  <c r="Y150" i="1"/>
  <c r="Z150" i="1"/>
  <c r="AB150" i="1"/>
  <c r="AC150" i="1"/>
  <c r="AD150" i="1"/>
  <c r="T150" i="1" s="1"/>
  <c r="AE150" i="1"/>
  <c r="R28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W152" i="1" s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R14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S29" i="3" s="1"/>
  <c r="Y158" i="1"/>
  <c r="Z158" i="1"/>
  <c r="AB158" i="1"/>
  <c r="AC158" i="1"/>
  <c r="AD158" i="1"/>
  <c r="T158" i="1" s="1"/>
  <c r="AE158" i="1"/>
  <c r="R29" i="3" s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S39" i="3" s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9" i="1"/>
  <c r="L229" i="1"/>
  <c r="M229" i="1"/>
  <c r="N229" i="1" s="1"/>
  <c r="V229" i="1"/>
  <c r="S38" i="3" s="1"/>
  <c r="Y229" i="1"/>
  <c r="Z229" i="1"/>
  <c r="AB229" i="1"/>
  <c r="AC229" i="1"/>
  <c r="AD229" i="1"/>
  <c r="AG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A234" i="1" s="1"/>
  <c r="AB234" i="1"/>
  <c r="AC234" i="1"/>
  <c r="AD234" i="1"/>
  <c r="AG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/>
  <c r="V237" i="1"/>
  <c r="Y237" i="1"/>
  <c r="Z237" i="1"/>
  <c r="AB237" i="1"/>
  <c r="AC237" i="1"/>
  <c r="AD237" i="1"/>
  <c r="AG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A241" i="1" s="1"/>
  <c r="AB241" i="1"/>
  <c r="AC241" i="1"/>
  <c r="AD241" i="1"/>
  <c r="AG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G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02" i="1"/>
  <c r="AM202" i="1"/>
  <c r="AN20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3" i="1"/>
  <c r="AM203" i="1"/>
  <c r="AN203" i="1"/>
  <c r="K175" i="1"/>
  <c r="L175" i="1"/>
  <c r="M175" i="1"/>
  <c r="N175" i="1" s="1"/>
  <c r="V175" i="1"/>
  <c r="S37" i="3" s="1"/>
  <c r="Y175" i="1"/>
  <c r="AA175" i="1" s="1"/>
  <c r="Z175" i="1"/>
  <c r="AB175" i="1"/>
  <c r="AC175" i="1"/>
  <c r="AD175" i="1"/>
  <c r="AG175" i="1" s="1"/>
  <c r="AE175" i="1"/>
  <c r="AF175" i="1"/>
  <c r="AH204" i="1"/>
  <c r="AM204" i="1"/>
  <c r="AN20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5" i="1"/>
  <c r="AM205" i="1"/>
  <c r="AN20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6" i="1"/>
  <c r="AM206" i="1"/>
  <c r="AN20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9" i="1"/>
  <c r="AM209" i="1"/>
  <c r="AN20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0" i="1"/>
  <c r="AM210" i="1"/>
  <c r="AN21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1" i="1"/>
  <c r="AM211" i="1"/>
  <c r="AN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AM212" i="1"/>
  <c r="AN212" i="1"/>
  <c r="K184" i="1"/>
  <c r="L184" i="1"/>
  <c r="M184" i="1"/>
  <c r="N184" i="1" s="1"/>
  <c r="V184" i="1"/>
  <c r="S35" i="3" s="1"/>
  <c r="Y184" i="1"/>
  <c r="Z184" i="1"/>
  <c r="AB184" i="1"/>
  <c r="AC184" i="1"/>
  <c r="AD184" i="1"/>
  <c r="T184" i="1" s="1"/>
  <c r="AE184" i="1"/>
  <c r="AF184" i="1"/>
  <c r="AH213" i="1"/>
  <c r="AM213" i="1"/>
  <c r="AN213" i="1"/>
  <c r="K185" i="1"/>
  <c r="L185" i="1"/>
  <c r="M185" i="1"/>
  <c r="N185" i="1" s="1"/>
  <c r="V185" i="1"/>
  <c r="S31" i="3" s="1"/>
  <c r="Y185" i="1"/>
  <c r="Z185" i="1"/>
  <c r="AB185" i="1"/>
  <c r="AC185" i="1"/>
  <c r="AD185" i="1"/>
  <c r="AG185" i="1" s="1"/>
  <c r="AE185" i="1"/>
  <c r="AF185" i="1"/>
  <c r="AH214" i="1"/>
  <c r="AM214" i="1"/>
  <c r="AN21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5" i="1"/>
  <c r="AM215" i="1"/>
  <c r="AN2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AM219" i="1"/>
  <c r="AN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AM220" i="1"/>
  <c r="AN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2" i="1"/>
  <c r="AM222" i="1"/>
  <c r="AN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AM223" i="1"/>
  <c r="AN22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4" i="1"/>
  <c r="AM224" i="1"/>
  <c r="AN22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8" i="1"/>
  <c r="AM228" i="1"/>
  <c r="AN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30" i="1"/>
  <c r="AM230" i="1"/>
  <c r="AN230" i="1"/>
  <c r="K202" i="1"/>
  <c r="L202" i="1"/>
  <c r="M202" i="1"/>
  <c r="N202" i="1" s="1"/>
  <c r="V202" i="1"/>
  <c r="S30" i="3" s="1"/>
  <c r="Y202" i="1"/>
  <c r="Z202" i="1"/>
  <c r="AB202" i="1"/>
  <c r="AC202" i="1"/>
  <c r="AD202" i="1"/>
  <c r="AE202" i="1"/>
  <c r="AF202" i="1"/>
  <c r="AH231" i="1"/>
  <c r="AM231" i="1"/>
  <c r="AN23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2" i="1"/>
  <c r="AM232" i="1"/>
  <c r="AN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M233" i="1"/>
  <c r="AN233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34" i="1"/>
  <c r="AM234" i="1"/>
  <c r="AN23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5" i="1"/>
  <c r="AM235" i="1"/>
  <c r="AN23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6" i="1"/>
  <c r="AM236" i="1"/>
  <c r="AN23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7" i="1"/>
  <c r="AM237" i="1"/>
  <c r="AN237" i="1"/>
  <c r="K209" i="1"/>
  <c r="L209" i="1"/>
  <c r="M209" i="1"/>
  <c r="N209" i="1"/>
  <c r="V209" i="1"/>
  <c r="Y209" i="1"/>
  <c r="Z209" i="1"/>
  <c r="AB209" i="1"/>
  <c r="AC209" i="1"/>
  <c r="AD209" i="1"/>
  <c r="AG209" i="1" s="1"/>
  <c r="AE209" i="1"/>
  <c r="AF209" i="1"/>
  <c r="AH238" i="1"/>
  <c r="AM238" i="1"/>
  <c r="AN238" i="1"/>
  <c r="K210" i="1"/>
  <c r="L210" i="1"/>
  <c r="M210" i="1"/>
  <c r="N210" i="1" s="1"/>
  <c r="T210" i="1"/>
  <c r="V210" i="1"/>
  <c r="Y210" i="1"/>
  <c r="Z210" i="1"/>
  <c r="AB210" i="1"/>
  <c r="AC210" i="1"/>
  <c r="AD210" i="1"/>
  <c r="X210" i="1" s="1"/>
  <c r="AE210" i="1"/>
  <c r="AF210" i="1"/>
  <c r="AH239" i="1"/>
  <c r="AM239" i="1"/>
  <c r="AN23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0" i="1"/>
  <c r="AM240" i="1"/>
  <c r="AN24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1" i="1"/>
  <c r="AM241" i="1"/>
  <c r="AN241" i="1"/>
  <c r="K224" i="1"/>
  <c r="L224" i="1"/>
  <c r="M224" i="1"/>
  <c r="N224" i="1" s="1"/>
  <c r="V224" i="1"/>
  <c r="Y224" i="1"/>
  <c r="Z224" i="1"/>
  <c r="AA224" i="1" s="1"/>
  <c r="W224" i="1" s="1"/>
  <c r="AB224" i="1"/>
  <c r="AC224" i="1"/>
  <c r="AD224" i="1"/>
  <c r="AG224" i="1" s="1"/>
  <c r="AE224" i="1"/>
  <c r="AF224" i="1"/>
  <c r="AH242" i="1"/>
  <c r="AM242" i="1"/>
  <c r="AN242" i="1"/>
  <c r="K225" i="1"/>
  <c r="L225" i="1"/>
  <c r="M225" i="1"/>
  <c r="V225" i="1"/>
  <c r="S40" i="3" s="1"/>
  <c r="Y225" i="1"/>
  <c r="Z225" i="1"/>
  <c r="AB225" i="1"/>
  <c r="AC225" i="1"/>
  <c r="AD225" i="1"/>
  <c r="AE225" i="1"/>
  <c r="AF225" i="1"/>
  <c r="AH243" i="1"/>
  <c r="AM243" i="1"/>
  <c r="AN24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4" i="1"/>
  <c r="AM244" i="1"/>
  <c r="AN24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5" i="1"/>
  <c r="AM245" i="1"/>
  <c r="AN245" i="1"/>
  <c r="K228" i="1"/>
  <c r="L228" i="1"/>
  <c r="M228" i="1"/>
  <c r="N228" i="1" s="1"/>
  <c r="V228" i="1"/>
  <c r="Y228" i="1"/>
  <c r="Z228" i="1"/>
  <c r="AA228" i="1" s="1"/>
  <c r="AB228" i="1"/>
  <c r="AC228" i="1"/>
  <c r="AD228" i="1"/>
  <c r="AG228" i="1" s="1"/>
  <c r="AE228" i="1"/>
  <c r="AF228" i="1"/>
  <c r="AH246" i="1"/>
  <c r="AM246" i="1"/>
  <c r="AN246" i="1"/>
  <c r="M18" i="3"/>
  <c r="U18" i="3"/>
  <c r="T18" i="3" s="1"/>
  <c r="V18" i="3"/>
  <c r="W18" i="3"/>
  <c r="X18" i="3"/>
  <c r="M41" i="3"/>
  <c r="R41" i="3"/>
  <c r="S41" i="3"/>
  <c r="U41" i="3"/>
  <c r="V41" i="3"/>
  <c r="W41" i="3"/>
  <c r="X41" i="3"/>
  <c r="AC41" i="3"/>
  <c r="M44" i="3"/>
  <c r="R44" i="3"/>
  <c r="S44" i="3"/>
  <c r="U44" i="3"/>
  <c r="AD44" i="3" s="1"/>
  <c r="V44" i="3"/>
  <c r="W44" i="3"/>
  <c r="Y44" i="3" s="1"/>
  <c r="X44" i="3"/>
  <c r="M21" i="3"/>
  <c r="S21" i="3"/>
  <c r="U21" i="3"/>
  <c r="AC21" i="3" s="1"/>
  <c r="V21" i="3"/>
  <c r="W21" i="3"/>
  <c r="X21" i="3"/>
  <c r="M32" i="3"/>
  <c r="R32" i="3"/>
  <c r="S32" i="3"/>
  <c r="U32" i="3"/>
  <c r="AC32" i="3" s="1"/>
  <c r="V32" i="3"/>
  <c r="W32" i="3"/>
  <c r="X32" i="3"/>
  <c r="M37" i="3"/>
  <c r="R37" i="3"/>
  <c r="U37" i="3"/>
  <c r="AC37" i="3" s="1"/>
  <c r="V37" i="3"/>
  <c r="W37" i="3"/>
  <c r="X37" i="3"/>
  <c r="M12" i="3"/>
  <c r="S12" i="3"/>
  <c r="U12" i="3"/>
  <c r="AC12" i="3" s="1"/>
  <c r="V12" i="3"/>
  <c r="W12" i="3"/>
  <c r="X12" i="3"/>
  <c r="M8" i="3"/>
  <c r="R8" i="3"/>
  <c r="U8" i="3"/>
  <c r="AC8" i="3" s="1"/>
  <c r="V8" i="3"/>
  <c r="W8" i="3"/>
  <c r="X8" i="3"/>
  <c r="M16" i="3"/>
  <c r="U16" i="3"/>
  <c r="AC16" i="3" s="1"/>
  <c r="V16" i="3"/>
  <c r="W16" i="3"/>
  <c r="X16" i="3"/>
  <c r="AD16" i="3"/>
  <c r="M33" i="3"/>
  <c r="R33" i="3"/>
  <c r="S33" i="3"/>
  <c r="U33" i="3"/>
  <c r="V33" i="3"/>
  <c r="W33" i="3"/>
  <c r="X33" i="3"/>
  <c r="AC33" i="3"/>
  <c r="M19" i="3"/>
  <c r="S19" i="3"/>
  <c r="U19" i="3"/>
  <c r="AC19" i="3" s="1"/>
  <c r="V19" i="3"/>
  <c r="W19" i="3"/>
  <c r="X19" i="3"/>
  <c r="M11" i="3"/>
  <c r="R11" i="3"/>
  <c r="U11" i="3"/>
  <c r="AC11" i="3" s="1"/>
  <c r="V11" i="3"/>
  <c r="W11" i="3"/>
  <c r="X11" i="3"/>
  <c r="M9" i="3"/>
  <c r="S9" i="3"/>
  <c r="U9" i="3"/>
  <c r="AC9" i="3" s="1"/>
  <c r="V9" i="3"/>
  <c r="W9" i="3"/>
  <c r="X9" i="3"/>
  <c r="M34" i="3"/>
  <c r="R34" i="3"/>
  <c r="S34" i="3"/>
  <c r="U34" i="3"/>
  <c r="AC34" i="3" s="1"/>
  <c r="V34" i="3"/>
  <c r="W34" i="3"/>
  <c r="X34" i="3"/>
  <c r="M38" i="3"/>
  <c r="R38" i="3"/>
  <c r="U38" i="3"/>
  <c r="V38" i="3"/>
  <c r="W38" i="3"/>
  <c r="Y38" i="3" s="1"/>
  <c r="X38" i="3"/>
  <c r="M10" i="3"/>
  <c r="U10" i="3"/>
  <c r="AC10" i="3" s="1"/>
  <c r="V10" i="3"/>
  <c r="W10" i="3"/>
  <c r="X10" i="3"/>
  <c r="M35" i="3"/>
  <c r="R35" i="3"/>
  <c r="U35" i="3"/>
  <c r="AC35" i="3" s="1"/>
  <c r="V35" i="3"/>
  <c r="W35" i="3"/>
  <c r="X35" i="3"/>
  <c r="M22" i="3"/>
  <c r="R22" i="3"/>
  <c r="U22" i="3"/>
  <c r="T22" i="3" s="1"/>
  <c r="V22" i="3"/>
  <c r="W22" i="3"/>
  <c r="X22" i="3"/>
  <c r="AC22" i="3"/>
  <c r="M23" i="3"/>
  <c r="R23" i="3"/>
  <c r="U23" i="3"/>
  <c r="V23" i="3"/>
  <c r="W23" i="3"/>
  <c r="X23" i="3"/>
  <c r="AC23" i="3"/>
  <c r="M31" i="3"/>
  <c r="R31" i="3"/>
  <c r="U31" i="3"/>
  <c r="AC31" i="3" s="1"/>
  <c r="V31" i="3"/>
  <c r="W31" i="3"/>
  <c r="X31" i="3"/>
  <c r="M24" i="3"/>
  <c r="R24" i="3"/>
  <c r="U24" i="3"/>
  <c r="AC24" i="3" s="1"/>
  <c r="V24" i="3"/>
  <c r="W24" i="3"/>
  <c r="X24" i="3"/>
  <c r="M15" i="3"/>
  <c r="S15" i="3"/>
  <c r="U15" i="3"/>
  <c r="T15" i="3" s="1"/>
  <c r="V15" i="3"/>
  <c r="W15" i="3"/>
  <c r="X15" i="3"/>
  <c r="AC15" i="3"/>
  <c r="M36" i="3"/>
  <c r="R36" i="3"/>
  <c r="S36" i="3"/>
  <c r="U36" i="3"/>
  <c r="V36" i="3"/>
  <c r="W36" i="3"/>
  <c r="Y36" i="3" s="1"/>
  <c r="X36" i="3"/>
  <c r="M20" i="3"/>
  <c r="R20" i="3"/>
  <c r="U20" i="3"/>
  <c r="AC20" i="3" s="1"/>
  <c r="V20" i="3"/>
  <c r="W20" i="3"/>
  <c r="X20" i="3"/>
  <c r="M40" i="3"/>
  <c r="R40" i="3"/>
  <c r="U40" i="3"/>
  <c r="AC40" i="3" s="1"/>
  <c r="V40" i="3"/>
  <c r="W40" i="3"/>
  <c r="X40" i="3"/>
  <c r="M13" i="3"/>
  <c r="R13" i="3"/>
  <c r="U13" i="3"/>
  <c r="T13" i="3" s="1"/>
  <c r="V13" i="3"/>
  <c r="W13" i="3"/>
  <c r="X13" i="3"/>
  <c r="AC13" i="3"/>
  <c r="M7" i="3"/>
  <c r="S7" i="3"/>
  <c r="U7" i="3"/>
  <c r="V7" i="3"/>
  <c r="W7" i="3"/>
  <c r="X7" i="3"/>
  <c r="M26" i="3"/>
  <c r="R26" i="3"/>
  <c r="U26" i="3"/>
  <c r="AC26" i="3" s="1"/>
  <c r="V26" i="3"/>
  <c r="W26" i="3"/>
  <c r="X26" i="3"/>
  <c r="M17" i="3"/>
  <c r="U17" i="3"/>
  <c r="AC17" i="3" s="1"/>
  <c r="V17" i="3"/>
  <c r="W17" i="3"/>
  <c r="X17" i="3"/>
  <c r="AD36" i="3"/>
  <c r="M39" i="3"/>
  <c r="R39" i="3"/>
  <c r="U39" i="3"/>
  <c r="V39" i="3"/>
  <c r="W39" i="3"/>
  <c r="X39" i="3"/>
  <c r="AC39" i="3"/>
  <c r="M30" i="3"/>
  <c r="R30" i="3"/>
  <c r="U30" i="3"/>
  <c r="AD38" i="3" s="1"/>
  <c r="V30" i="3"/>
  <c r="W30" i="3"/>
  <c r="X30" i="3"/>
  <c r="M27" i="3"/>
  <c r="R27" i="3"/>
  <c r="S27" i="3"/>
  <c r="U27" i="3"/>
  <c r="AC27" i="3" s="1"/>
  <c r="V27" i="3"/>
  <c r="W27" i="3"/>
  <c r="Y27" i="3" s="1"/>
  <c r="X27" i="3"/>
  <c r="M25" i="3"/>
  <c r="S25" i="3"/>
  <c r="U25" i="3"/>
  <c r="AC25" i="3" s="1"/>
  <c r="V25" i="3"/>
  <c r="W25" i="3"/>
  <c r="X25" i="3"/>
  <c r="M28" i="3"/>
  <c r="U28" i="3"/>
  <c r="AD28" i="3" s="1"/>
  <c r="V28" i="3"/>
  <c r="W28" i="3"/>
  <c r="X28" i="3"/>
  <c r="AC28" i="3"/>
  <c r="M14" i="3"/>
  <c r="S14" i="3"/>
  <c r="U14" i="3"/>
  <c r="V14" i="3"/>
  <c r="W14" i="3"/>
  <c r="X14" i="3"/>
  <c r="AC14" i="3"/>
  <c r="M43" i="3"/>
  <c r="R43" i="3"/>
  <c r="S43" i="3"/>
  <c r="U43" i="3"/>
  <c r="AC43" i="3" s="1"/>
  <c r="V43" i="3"/>
  <c r="W43" i="3"/>
  <c r="Y43" i="3" s="1"/>
  <c r="X43" i="3"/>
  <c r="M29" i="3"/>
  <c r="U29" i="3"/>
  <c r="AC29" i="3" s="1"/>
  <c r="V29" i="3"/>
  <c r="W29" i="3"/>
  <c r="X29" i="3"/>
  <c r="X147" i="1" l="1"/>
  <c r="X30" i="1"/>
  <c r="AA182" i="1"/>
  <c r="AG167" i="1"/>
  <c r="X167" i="1"/>
  <c r="AG127" i="1"/>
  <c r="AA121" i="1"/>
  <c r="X113" i="1"/>
  <c r="T17" i="3"/>
  <c r="T28" i="3"/>
  <c r="X225" i="1"/>
  <c r="AA246" i="1"/>
  <c r="AA244" i="1"/>
  <c r="AA147" i="1"/>
  <c r="AA142" i="1"/>
  <c r="X73" i="1"/>
  <c r="AA63" i="1"/>
  <c r="AA29" i="1"/>
  <c r="X27" i="1"/>
  <c r="AA112" i="1"/>
  <c r="AD32" i="3"/>
  <c r="AA174" i="1"/>
  <c r="T32" i="3"/>
  <c r="AG212" i="1"/>
  <c r="AG50" i="1"/>
  <c r="X224" i="1"/>
  <c r="AG210" i="1"/>
  <c r="X209" i="1"/>
  <c r="X245" i="1"/>
  <c r="AA137" i="1"/>
  <c r="AA134" i="1"/>
  <c r="W134" i="1" s="1"/>
  <c r="AA120" i="1"/>
  <c r="X109" i="1"/>
  <c r="AG106" i="1"/>
  <c r="X106" i="1"/>
  <c r="AA87" i="1"/>
  <c r="W87" i="1" s="1"/>
  <c r="AI83" i="1"/>
  <c r="AG36" i="1"/>
  <c r="X26" i="1"/>
  <c r="T20" i="1"/>
  <c r="X28" i="1"/>
  <c r="AG112" i="1"/>
  <c r="X112" i="1"/>
  <c r="AA53" i="1"/>
  <c r="AA227" i="1"/>
  <c r="AA201" i="1"/>
  <c r="AA193" i="1"/>
  <c r="AG186" i="1"/>
  <c r="X186" i="1"/>
  <c r="AA165" i="1"/>
  <c r="AA221" i="1"/>
  <c r="AA161" i="1"/>
  <c r="AA151" i="1"/>
  <c r="AG129" i="1"/>
  <c r="AG121" i="1"/>
  <c r="AI121" i="1" s="1"/>
  <c r="AA117" i="1"/>
  <c r="W117" i="1" s="1"/>
  <c r="AG110" i="1"/>
  <c r="X110" i="1"/>
  <c r="AA73" i="1"/>
  <c r="AA68" i="1"/>
  <c r="W68" i="1" s="1"/>
  <c r="AA52" i="1"/>
  <c r="W52" i="1" s="1"/>
  <c r="AG35" i="1"/>
  <c r="AA34" i="1"/>
  <c r="AA27" i="1"/>
  <c r="AA17" i="1"/>
  <c r="Y20" i="3"/>
  <c r="Y8" i="3"/>
  <c r="Y18" i="3"/>
  <c r="X171" i="1"/>
  <c r="X127" i="1"/>
  <c r="X96" i="1"/>
  <c r="U36" i="1"/>
  <c r="Y7" i="3"/>
  <c r="AE36" i="3"/>
  <c r="T24" i="3"/>
  <c r="Y31" i="3"/>
  <c r="Y16" i="3"/>
  <c r="AA200" i="1"/>
  <c r="AA190" i="1"/>
  <c r="AA235" i="1"/>
  <c r="AA229" i="1"/>
  <c r="AA156" i="1"/>
  <c r="AG139" i="1"/>
  <c r="AG84" i="1"/>
  <c r="X84" i="1"/>
  <c r="AG81" i="1"/>
  <c r="AA76" i="1"/>
  <c r="W76" i="1" s="1"/>
  <c r="X69" i="1"/>
  <c r="AA64" i="1"/>
  <c r="AG61" i="1"/>
  <c r="X61" i="1"/>
  <c r="AA59" i="1"/>
  <c r="AA38" i="1"/>
  <c r="AA30" i="1"/>
  <c r="X24" i="1"/>
  <c r="AD21" i="3"/>
  <c r="Y11" i="3"/>
  <c r="X202" i="1"/>
  <c r="AA169" i="1"/>
  <c r="T243" i="1"/>
  <c r="X244" i="1"/>
  <c r="AA243" i="1"/>
  <c r="AG151" i="1"/>
  <c r="X152" i="1"/>
  <c r="AC44" i="3"/>
  <c r="AE44" i="3"/>
  <c r="T41" i="3"/>
  <c r="AD41" i="3"/>
  <c r="AA205" i="1"/>
  <c r="AA203" i="1"/>
  <c r="AA196" i="1"/>
  <c r="AA192" i="1"/>
  <c r="AA180" i="1"/>
  <c r="AA178" i="1"/>
  <c r="W178" i="1" s="1"/>
  <c r="AA140" i="1"/>
  <c r="X126" i="1"/>
  <c r="AG123" i="1"/>
  <c r="X123" i="1"/>
  <c r="AA115" i="1"/>
  <c r="AA98" i="1"/>
  <c r="AD40" i="3"/>
  <c r="T33" i="3"/>
  <c r="AD33" i="3"/>
  <c r="AE16" i="3"/>
  <c r="Y32" i="3"/>
  <c r="Y21" i="3"/>
  <c r="Y41" i="3"/>
  <c r="AA230" i="1"/>
  <c r="W230" i="1" s="1"/>
  <c r="AA218" i="1"/>
  <c r="AA103" i="1"/>
  <c r="AA99" i="1"/>
  <c r="W99" i="1" s="1"/>
  <c r="W20" i="1"/>
  <c r="AA91" i="1"/>
  <c r="W91" i="1" s="1"/>
  <c r="AA80" i="1"/>
  <c r="X57" i="1"/>
  <c r="AA57" i="1"/>
  <c r="AG39" i="1"/>
  <c r="X39" i="1"/>
  <c r="AI34" i="1"/>
  <c r="AG27" i="1"/>
  <c r="AI27" i="1" s="1"/>
  <c r="AA24" i="1"/>
  <c r="AG16" i="1"/>
  <c r="AI16" i="1" s="1"/>
  <c r="AE41" i="3"/>
  <c r="AD37" i="3"/>
  <c r="AD34" i="3"/>
  <c r="AE33" i="3"/>
  <c r="Y24" i="3"/>
  <c r="Y10" i="3"/>
  <c r="Y19" i="3"/>
  <c r="AA208" i="1"/>
  <c r="AA204" i="1"/>
  <c r="AA197" i="1"/>
  <c r="W197" i="1" s="1"/>
  <c r="AA195" i="1"/>
  <c r="AA166" i="1"/>
  <c r="AA242" i="1"/>
  <c r="W242" i="1" s="1"/>
  <c r="X239" i="1"/>
  <c r="AA237" i="1"/>
  <c r="AA233" i="1"/>
  <c r="AA219" i="1"/>
  <c r="AA216" i="1"/>
  <c r="AA159" i="1"/>
  <c r="AA155" i="1"/>
  <c r="W155" i="1" s="1"/>
  <c r="AA149" i="1"/>
  <c r="X139" i="1"/>
  <c r="AA113" i="1"/>
  <c r="AA108" i="1"/>
  <c r="AA104" i="1"/>
  <c r="W104" i="1" s="1"/>
  <c r="AA95" i="1"/>
  <c r="W95" i="1" s="1"/>
  <c r="AA92" i="1"/>
  <c r="AA90" i="1"/>
  <c r="AA79" i="1"/>
  <c r="AI76" i="1"/>
  <c r="AA72" i="1"/>
  <c r="W72" i="1" s="1"/>
  <c r="AI68" i="1"/>
  <c r="AG54" i="1"/>
  <c r="AI54" i="1" s="1"/>
  <c r="AI52" i="1"/>
  <c r="AA50" i="1"/>
  <c r="W50" i="1" s="1"/>
  <c r="AI49" i="1"/>
  <c r="AG46" i="1"/>
  <c r="AG43" i="1"/>
  <c r="U43" i="1" s="1"/>
  <c r="S43" i="1" s="1"/>
  <c r="X43" i="1"/>
  <c r="T31" i="1"/>
  <c r="AG28" i="1"/>
  <c r="U28" i="1" s="1"/>
  <c r="AG24" i="1"/>
  <c r="AI24" i="1" s="1"/>
  <c r="AA22" i="1"/>
  <c r="AA184" i="1"/>
  <c r="AA177" i="1"/>
  <c r="AA238" i="1"/>
  <c r="W238" i="1" s="1"/>
  <c r="X157" i="1"/>
  <c r="AA148" i="1"/>
  <c r="AA144" i="1"/>
  <c r="W121" i="1"/>
  <c r="AA111" i="1"/>
  <c r="AI104" i="1"/>
  <c r="W64" i="1"/>
  <c r="AA45" i="1"/>
  <c r="W45" i="1" s="1"/>
  <c r="AA39" i="1"/>
  <c r="T38" i="1"/>
  <c r="AA37" i="1"/>
  <c r="X35" i="1"/>
  <c r="AA31" i="1"/>
  <c r="X17" i="1"/>
  <c r="AA15" i="1"/>
  <c r="AG14" i="1"/>
  <c r="U14" i="1" s="1"/>
  <c r="AI108" i="1"/>
  <c r="AI125" i="1"/>
  <c r="W34" i="1"/>
  <c r="W165" i="1"/>
  <c r="U129" i="1"/>
  <c r="S129" i="1" s="1"/>
  <c r="T125" i="1"/>
  <c r="U125" i="1" s="1"/>
  <c r="S125" i="1" s="1"/>
  <c r="X115" i="1"/>
  <c r="T113" i="1"/>
  <c r="U113" i="1" s="1"/>
  <c r="S113" i="1" s="1"/>
  <c r="T108" i="1"/>
  <c r="U108" i="1" s="1"/>
  <c r="S108" i="1" s="1"/>
  <c r="AA94" i="1"/>
  <c r="X88" i="1"/>
  <c r="AA88" i="1"/>
  <c r="T72" i="1"/>
  <c r="AG69" i="1"/>
  <c r="AI69" i="1" s="1"/>
  <c r="AA56" i="1"/>
  <c r="W56" i="1" s="1"/>
  <c r="U50" i="1"/>
  <c r="S50" i="1" s="1"/>
  <c r="AA36" i="1"/>
  <c r="T34" i="1"/>
  <c r="AG31" i="1"/>
  <c r="U22" i="1"/>
  <c r="S22" i="1" s="1"/>
  <c r="AG18" i="1"/>
  <c r="U18" i="1" s="1"/>
  <c r="S18" i="1" s="1"/>
  <c r="AA225" i="1"/>
  <c r="AA223" i="1"/>
  <c r="AA206" i="1"/>
  <c r="T202" i="1"/>
  <c r="AG194" i="1"/>
  <c r="X194" i="1"/>
  <c r="X193" i="1"/>
  <c r="AA188" i="1"/>
  <c r="X183" i="1"/>
  <c r="AG176" i="1"/>
  <c r="X176" i="1"/>
  <c r="T245" i="1"/>
  <c r="AA172" i="1"/>
  <c r="AA170" i="1"/>
  <c r="X166" i="1"/>
  <c r="X220" i="1"/>
  <c r="X215" i="1"/>
  <c r="AA212" i="1"/>
  <c r="W212" i="1" s="1"/>
  <c r="AA163" i="1"/>
  <c r="AA158" i="1"/>
  <c r="X153" i="1"/>
  <c r="AA153" i="1"/>
  <c r="AG149" i="1"/>
  <c r="X149" i="1"/>
  <c r="AA145" i="1"/>
  <c r="AG137" i="1"/>
  <c r="AI137" i="1" s="1"/>
  <c r="AA136" i="1"/>
  <c r="X131" i="1"/>
  <c r="AA131" i="1"/>
  <c r="AA128" i="1"/>
  <c r="AA123" i="1"/>
  <c r="AG119" i="1"/>
  <c r="U119" i="1" s="1"/>
  <c r="S119" i="1" s="1"/>
  <c r="X119" i="1"/>
  <c r="AA106" i="1"/>
  <c r="W106" i="1" s="1"/>
  <c r="AG100" i="1"/>
  <c r="X100" i="1"/>
  <c r="AI99" i="1"/>
  <c r="T96" i="1"/>
  <c r="AA83" i="1"/>
  <c r="W83" i="1" s="1"/>
  <c r="AA75" i="1"/>
  <c r="X68" i="1"/>
  <c r="AA62" i="1"/>
  <c r="W62" i="1" s="1"/>
  <c r="AA60" i="1"/>
  <c r="W60" i="1" s="1"/>
  <c r="AA44" i="1"/>
  <c r="W38" i="1"/>
  <c r="AA25" i="1"/>
  <c r="T25" i="1"/>
  <c r="X180" i="1"/>
  <c r="X238" i="1"/>
  <c r="X216" i="1"/>
  <c r="X212" i="1"/>
  <c r="T157" i="1"/>
  <c r="AI139" i="1"/>
  <c r="W125" i="1"/>
  <c r="W113" i="1"/>
  <c r="W108" i="1"/>
  <c r="AG40" i="1"/>
  <c r="U40" i="1" s="1"/>
  <c r="AG30" i="1"/>
  <c r="AA222" i="1"/>
  <c r="AA209" i="1"/>
  <c r="AG202" i="1"/>
  <c r="U202" i="1" s="1"/>
  <c r="S202" i="1" s="1"/>
  <c r="AA198" i="1"/>
  <c r="AA189" i="1"/>
  <c r="AA187" i="1"/>
  <c r="AA185" i="1"/>
  <c r="W185" i="1" s="1"/>
  <c r="AA179" i="1"/>
  <c r="W179" i="1" s="1"/>
  <c r="AG245" i="1"/>
  <c r="AA173" i="1"/>
  <c r="AA168" i="1"/>
  <c r="AG243" i="1"/>
  <c r="X243" i="1"/>
  <c r="AA240" i="1"/>
  <c r="AG235" i="1"/>
  <c r="W235" i="1" s="1"/>
  <c r="X235" i="1"/>
  <c r="AA231" i="1"/>
  <c r="AA215" i="1"/>
  <c r="W215" i="1" s="1"/>
  <c r="AA214" i="1"/>
  <c r="W214" i="1" s="1"/>
  <c r="AA211" i="1"/>
  <c r="AA160" i="1"/>
  <c r="W160" i="1" s="1"/>
  <c r="AA133" i="1"/>
  <c r="W133" i="1" s="1"/>
  <c r="AA129" i="1"/>
  <c r="W129" i="1" s="1"/>
  <c r="AA118" i="1"/>
  <c r="W118" i="1" s="1"/>
  <c r="X102" i="1"/>
  <c r="AG96" i="1"/>
  <c r="AI96" i="1" s="1"/>
  <c r="AI95" i="1"/>
  <c r="AG89" i="1"/>
  <c r="AG85" i="1"/>
  <c r="U85" i="1" s="1"/>
  <c r="AA82" i="1"/>
  <c r="AG80" i="1"/>
  <c r="W80" i="1" s="1"/>
  <c r="X80" i="1"/>
  <c r="X76" i="1"/>
  <c r="AA55" i="1"/>
  <c r="T52" i="1"/>
  <c r="U52" i="1" s="1"/>
  <c r="S52" i="1" s="1"/>
  <c r="AA51" i="1"/>
  <c r="AA46" i="1"/>
  <c r="AI45" i="1"/>
  <c r="AA42" i="1"/>
  <c r="AA28" i="1"/>
  <c r="AG25" i="1"/>
  <c r="AA23" i="1"/>
  <c r="AG21" i="1"/>
  <c r="X21" i="1"/>
  <c r="T205" i="1"/>
  <c r="T228" i="1"/>
  <c r="U228" i="1" s="1"/>
  <c r="S228" i="1" s="1"/>
  <c r="AA226" i="1"/>
  <c r="T225" i="1"/>
  <c r="AG206" i="1"/>
  <c r="X206" i="1"/>
  <c r="AA202" i="1"/>
  <c r="T201" i="1"/>
  <c r="U201" i="1" s="1"/>
  <c r="S201" i="1" s="1"/>
  <c r="AA199" i="1"/>
  <c r="T198" i="1"/>
  <c r="AG190" i="1"/>
  <c r="W190" i="1" s="1"/>
  <c r="X190" i="1"/>
  <c r="AA186" i="1"/>
  <c r="W186" i="1" s="1"/>
  <c r="T185" i="1"/>
  <c r="U185" i="1" s="1"/>
  <c r="S185" i="1" s="1"/>
  <c r="AA183" i="1"/>
  <c r="AA181" i="1"/>
  <c r="T180" i="1"/>
  <c r="AA176" i="1"/>
  <c r="W176" i="1" s="1"/>
  <c r="T175" i="1"/>
  <c r="U175" i="1" s="1"/>
  <c r="S175" i="1" s="1"/>
  <c r="AA171" i="1"/>
  <c r="W171" i="1" s="1"/>
  <c r="T170" i="1"/>
  <c r="W243" i="1"/>
  <c r="T242" i="1"/>
  <c r="T230" i="1"/>
  <c r="T160" i="1"/>
  <c r="T144" i="1"/>
  <c r="U144" i="1" s="1"/>
  <c r="S144" i="1" s="1"/>
  <c r="AI133" i="1"/>
  <c r="T224" i="1"/>
  <c r="U224" i="1" s="1"/>
  <c r="S224" i="1" s="1"/>
  <c r="T197" i="1"/>
  <c r="X189" i="1"/>
  <c r="T179" i="1"/>
  <c r="T239" i="1"/>
  <c r="X234" i="1"/>
  <c r="AG231" i="1"/>
  <c r="X231" i="1"/>
  <c r="AA220" i="1"/>
  <c r="T219" i="1"/>
  <c r="AA217" i="1"/>
  <c r="T216" i="1"/>
  <c r="X211" i="1"/>
  <c r="AG161" i="1"/>
  <c r="W161" i="1" s="1"/>
  <c r="X161" i="1"/>
  <c r="AA157" i="1"/>
  <c r="T156" i="1"/>
  <c r="AA154" i="1"/>
  <c r="T153" i="1"/>
  <c r="U153" i="1" s="1"/>
  <c r="S153" i="1" s="1"/>
  <c r="X148" i="1"/>
  <c r="AG145" i="1"/>
  <c r="AI145" i="1" s="1"/>
  <c r="T141" i="1"/>
  <c r="X205" i="1"/>
  <c r="X228" i="1"/>
  <c r="AG225" i="1"/>
  <c r="AA210" i="1"/>
  <c r="W210" i="1" s="1"/>
  <c r="T209" i="1"/>
  <c r="AA207" i="1"/>
  <c r="X201" i="1"/>
  <c r="AG198" i="1"/>
  <c r="W198" i="1" s="1"/>
  <c r="AA194" i="1"/>
  <c r="W194" i="1" s="1"/>
  <c r="T193" i="1"/>
  <c r="AA191" i="1"/>
  <c r="X185" i="1"/>
  <c r="AG180" i="1"/>
  <c r="W180" i="1" s="1"/>
  <c r="X175" i="1"/>
  <c r="AA245" i="1"/>
  <c r="W245" i="1" s="1"/>
  <c r="T244" i="1"/>
  <c r="X170" i="1"/>
  <c r="AA167" i="1"/>
  <c r="W167" i="1" s="1"/>
  <c r="T166" i="1"/>
  <c r="U166" i="1" s="1"/>
  <c r="S166" i="1" s="1"/>
  <c r="X242" i="1"/>
  <c r="AA239" i="1"/>
  <c r="T238" i="1"/>
  <c r="AA236" i="1"/>
  <c r="X230" i="1"/>
  <c r="AG220" i="1"/>
  <c r="U220" i="1" s="1"/>
  <c r="S220" i="1" s="1"/>
  <c r="T215" i="1"/>
  <c r="AA213" i="1"/>
  <c r="X160" i="1"/>
  <c r="AG157" i="1"/>
  <c r="U157" i="1" s="1"/>
  <c r="S157" i="1" s="1"/>
  <c r="T152" i="1"/>
  <c r="AA150" i="1"/>
  <c r="AG138" i="1"/>
  <c r="T138" i="1"/>
  <c r="X138" i="1"/>
  <c r="U73" i="1"/>
  <c r="S73" i="1" s="1"/>
  <c r="X197" i="1"/>
  <c r="T189" i="1"/>
  <c r="U189" i="1" s="1"/>
  <c r="S189" i="1" s="1"/>
  <c r="X179" i="1"/>
  <c r="AA164" i="1"/>
  <c r="AG239" i="1"/>
  <c r="T234" i="1"/>
  <c r="AA232" i="1"/>
  <c r="X219" i="1"/>
  <c r="AG216" i="1"/>
  <c r="T211" i="1"/>
  <c r="U211" i="1" s="1"/>
  <c r="S211" i="1" s="1"/>
  <c r="AA162" i="1"/>
  <c r="X156" i="1"/>
  <c r="AG153" i="1"/>
  <c r="W149" i="1"/>
  <c r="T148" i="1"/>
  <c r="AA146" i="1"/>
  <c r="AA139" i="1"/>
  <c r="W139" i="1" s="1"/>
  <c r="AI117" i="1"/>
  <c r="X134" i="1"/>
  <c r="AI129" i="1"/>
  <c r="AA126" i="1"/>
  <c r="W126" i="1" s="1"/>
  <c r="T126" i="1"/>
  <c r="W123" i="1"/>
  <c r="U121" i="1"/>
  <c r="S121" i="1" s="1"/>
  <c r="X118" i="1"/>
  <c r="AI113" i="1"/>
  <c r="AA109" i="1"/>
  <c r="W109" i="1" s="1"/>
  <c r="T109" i="1"/>
  <c r="U109" i="1" s="1"/>
  <c r="S109" i="1" s="1"/>
  <c r="U104" i="1"/>
  <c r="S104" i="1" s="1"/>
  <c r="X99" i="1"/>
  <c r="T95" i="1"/>
  <c r="U95" i="1" s="1"/>
  <c r="S95" i="1" s="1"/>
  <c r="AA81" i="1"/>
  <c r="W81" i="1" s="1"/>
  <c r="W75" i="1"/>
  <c r="T68" i="1"/>
  <c r="U68" i="1" s="1"/>
  <c r="S68" i="1" s="1"/>
  <c r="T57" i="1"/>
  <c r="W44" i="1"/>
  <c r="X42" i="1"/>
  <c r="W31" i="1"/>
  <c r="W17" i="1"/>
  <c r="U16" i="1"/>
  <c r="S16" i="1" s="1"/>
  <c r="T133" i="1"/>
  <c r="U133" i="1" s="1"/>
  <c r="S133" i="1" s="1"/>
  <c r="AA132" i="1"/>
  <c r="T131" i="1"/>
  <c r="AA130" i="1"/>
  <c r="W130" i="1" s="1"/>
  <c r="T130" i="1"/>
  <c r="AA127" i="1"/>
  <c r="W127" i="1" s="1"/>
  <c r="X122" i="1"/>
  <c r="T117" i="1"/>
  <c r="U117" i="1" s="1"/>
  <c r="S117" i="1" s="1"/>
  <c r="AA116" i="1"/>
  <c r="T115" i="1"/>
  <c r="U115" i="1" s="1"/>
  <c r="S115" i="1" s="1"/>
  <c r="AA114" i="1"/>
  <c r="W114" i="1" s="1"/>
  <c r="T114" i="1"/>
  <c r="AA110" i="1"/>
  <c r="W110" i="1" s="1"/>
  <c r="X105" i="1"/>
  <c r="AA102" i="1"/>
  <c r="AA100" i="1"/>
  <c r="AG97" i="1"/>
  <c r="U93" i="1"/>
  <c r="S93" i="1" s="1"/>
  <c r="AG92" i="1"/>
  <c r="W92" i="1" s="1"/>
  <c r="X92" i="1"/>
  <c r="T91" i="1"/>
  <c r="U91" i="1" s="1"/>
  <c r="S91" i="1" s="1"/>
  <c r="T88" i="1"/>
  <c r="AG77" i="1"/>
  <c r="W73" i="1"/>
  <c r="AA67" i="1"/>
  <c r="AA66" i="1"/>
  <c r="T65" i="1"/>
  <c r="AG57" i="1"/>
  <c r="W57" i="1" s="1"/>
  <c r="T56" i="1"/>
  <c r="T53" i="1"/>
  <c r="X49" i="1"/>
  <c r="AA33" i="1"/>
  <c r="AA32" i="1"/>
  <c r="AA19" i="1"/>
  <c r="AA18" i="1"/>
  <c r="T99" i="1"/>
  <c r="U69" i="1"/>
  <c r="S69" i="1" s="1"/>
  <c r="AG42" i="1"/>
  <c r="U42" i="1" s="1"/>
  <c r="U38" i="1"/>
  <c r="S38" i="1" s="1"/>
  <c r="W25" i="1"/>
  <c r="AA138" i="1"/>
  <c r="AA135" i="1"/>
  <c r="W135" i="1" s="1"/>
  <c r="AG131" i="1"/>
  <c r="W131" i="1" s="1"/>
  <c r="X130" i="1"/>
  <c r="AA124" i="1"/>
  <c r="AA122" i="1"/>
  <c r="T122" i="1"/>
  <c r="U122" i="1" s="1"/>
  <c r="S122" i="1" s="1"/>
  <c r="AA119" i="1"/>
  <c r="AG115" i="1"/>
  <c r="W115" i="1" s="1"/>
  <c r="X114" i="1"/>
  <c r="AA107" i="1"/>
  <c r="AA105" i="1"/>
  <c r="W105" i="1" s="1"/>
  <c r="T105" i="1"/>
  <c r="AA97" i="1"/>
  <c r="W97" i="1" s="1"/>
  <c r="AA96" i="1"/>
  <c r="W96" i="1" s="1"/>
  <c r="AG88" i="1"/>
  <c r="W88" i="1" s="1"/>
  <c r="T87" i="1"/>
  <c r="U87" i="1" s="1"/>
  <c r="S87" i="1" s="1"/>
  <c r="AA86" i="1"/>
  <c r="AA84" i="1"/>
  <c r="W84" i="1" s="1"/>
  <c r="T83" i="1"/>
  <c r="U83" i="1" s="1"/>
  <c r="S83" i="1" s="1"/>
  <c r="T79" i="1"/>
  <c r="AA78" i="1"/>
  <c r="AA77" i="1"/>
  <c r="W77" i="1" s="1"/>
  <c r="AA71" i="1"/>
  <c r="AA69" i="1"/>
  <c r="AG65" i="1"/>
  <c r="T64" i="1"/>
  <c r="U64" i="1" s="1"/>
  <c r="S64" i="1" s="1"/>
  <c r="AA61" i="1"/>
  <c r="T60" i="1"/>
  <c r="U60" i="1" s="1"/>
  <c r="S60" i="1" s="1"/>
  <c r="AG53" i="1"/>
  <c r="AA48" i="1"/>
  <c r="W46" i="1"/>
  <c r="AA43" i="1"/>
  <c r="AA41" i="1"/>
  <c r="AA40" i="1"/>
  <c r="AA35" i="1"/>
  <c r="W35" i="1" s="1"/>
  <c r="U34" i="1"/>
  <c r="S34" i="1" s="1"/>
  <c r="AG32" i="1"/>
  <c r="U32" i="1" s="1"/>
  <c r="AA26" i="1"/>
  <c r="AA21" i="1"/>
  <c r="W21" i="1" s="1"/>
  <c r="U20" i="1"/>
  <c r="S20" i="1" s="1"/>
  <c r="W228" i="1"/>
  <c r="U205" i="1"/>
  <c r="S205" i="1" s="1"/>
  <c r="AI234" i="1"/>
  <c r="W201" i="1"/>
  <c r="AI218" i="1"/>
  <c r="AI230" i="1"/>
  <c r="AI214" i="1"/>
  <c r="AI242" i="1"/>
  <c r="W209" i="1"/>
  <c r="U197" i="1"/>
  <c r="S197" i="1" s="1"/>
  <c r="W193" i="1"/>
  <c r="U209" i="1"/>
  <c r="S209" i="1" s="1"/>
  <c r="AI238" i="1"/>
  <c r="W205" i="1"/>
  <c r="U193" i="1"/>
  <c r="S193" i="1" s="1"/>
  <c r="W189" i="1"/>
  <c r="U210" i="1"/>
  <c r="S210" i="1" s="1"/>
  <c r="U206" i="1"/>
  <c r="S206" i="1" s="1"/>
  <c r="U194" i="1"/>
  <c r="S194" i="1" s="1"/>
  <c r="U190" i="1"/>
  <c r="S190" i="1" s="1"/>
  <c r="U186" i="1"/>
  <c r="S186" i="1" s="1"/>
  <c r="T181" i="1"/>
  <c r="X181" i="1"/>
  <c r="W175" i="1"/>
  <c r="W173" i="1"/>
  <c r="W170" i="1"/>
  <c r="U234" i="1"/>
  <c r="S234" i="1" s="1"/>
  <c r="W233" i="1"/>
  <c r="AI167" i="1"/>
  <c r="W163" i="1"/>
  <c r="AI151" i="1"/>
  <c r="AI148" i="1"/>
  <c r="U148" i="1"/>
  <c r="S148" i="1" s="1"/>
  <c r="W147" i="1"/>
  <c r="W144" i="1"/>
  <c r="AG226" i="1"/>
  <c r="W226" i="1" s="1"/>
  <c r="AG222" i="1"/>
  <c r="W222" i="1" s="1"/>
  <c r="AG207" i="1"/>
  <c r="AG203" i="1"/>
  <c r="AI203" i="1" s="1"/>
  <c r="AG199" i="1"/>
  <c r="W199" i="1" s="1"/>
  <c r="AG195" i="1"/>
  <c r="W195" i="1" s="1"/>
  <c r="AG191" i="1"/>
  <c r="AI191" i="1" s="1"/>
  <c r="AG187" i="1"/>
  <c r="AG183" i="1"/>
  <c r="W183" i="1" s="1"/>
  <c r="T183" i="1"/>
  <c r="AG182" i="1"/>
  <c r="W182" i="1" s="1"/>
  <c r="T182" i="1"/>
  <c r="X182" i="1"/>
  <c r="AI210" i="1"/>
  <c r="U170" i="1"/>
  <c r="S170" i="1" s="1"/>
  <c r="U242" i="1"/>
  <c r="S242" i="1" s="1"/>
  <c r="AI179" i="1"/>
  <c r="AI176" i="1"/>
  <c r="U230" i="1"/>
  <c r="S230" i="1" s="1"/>
  <c r="W229" i="1"/>
  <c r="W219" i="1"/>
  <c r="AI163" i="1"/>
  <c r="AI160" i="1"/>
  <c r="U160" i="1"/>
  <c r="S160" i="1" s="1"/>
  <c r="W159" i="1"/>
  <c r="W156" i="1"/>
  <c r="AI147" i="1"/>
  <c r="AI144" i="1"/>
  <c r="W143" i="1"/>
  <c r="W141" i="1"/>
  <c r="AG227" i="1"/>
  <c r="AI227" i="1" s="1"/>
  <c r="X226" i="1"/>
  <c r="AI243" i="1"/>
  <c r="AG223" i="1"/>
  <c r="W223" i="1" s="1"/>
  <c r="X222" i="1"/>
  <c r="AI239" i="1"/>
  <c r="AG208" i="1"/>
  <c r="W208" i="1" s="1"/>
  <c r="X207" i="1"/>
  <c r="AI235" i="1"/>
  <c r="AG204" i="1"/>
  <c r="W204" i="1" s="1"/>
  <c r="X203" i="1"/>
  <c r="AG200" i="1"/>
  <c r="AI200" i="1" s="1"/>
  <c r="X199" i="1"/>
  <c r="AG196" i="1"/>
  <c r="AI196" i="1" s="1"/>
  <c r="X195" i="1"/>
  <c r="AG192" i="1"/>
  <c r="AI192" i="1" s="1"/>
  <c r="X191" i="1"/>
  <c r="AI219" i="1"/>
  <c r="AG188" i="1"/>
  <c r="X187" i="1"/>
  <c r="AI215" i="1"/>
  <c r="AG184" i="1"/>
  <c r="AI184" i="1" s="1"/>
  <c r="U181" i="1"/>
  <c r="S181" i="1" s="1"/>
  <c r="AI209" i="1"/>
  <c r="AI208" i="1"/>
  <c r="U179" i="1"/>
  <c r="S179" i="1" s="1"/>
  <c r="W174" i="1"/>
  <c r="W244" i="1"/>
  <c r="W169" i="1"/>
  <c r="W166" i="1"/>
  <c r="W241" i="1"/>
  <c r="AI175" i="1"/>
  <c r="U219" i="1"/>
  <c r="S219" i="1" s="1"/>
  <c r="W218" i="1"/>
  <c r="AI159" i="1"/>
  <c r="AI156" i="1"/>
  <c r="U156" i="1"/>
  <c r="S156" i="1" s="1"/>
  <c r="AI143" i="1"/>
  <c r="AI141" i="1"/>
  <c r="U141" i="1"/>
  <c r="S141" i="1" s="1"/>
  <c r="X227" i="1"/>
  <c r="X223" i="1"/>
  <c r="X208" i="1"/>
  <c r="X204" i="1"/>
  <c r="X200" i="1"/>
  <c r="X196" i="1"/>
  <c r="X192" i="1"/>
  <c r="X188" i="1"/>
  <c r="X184" i="1"/>
  <c r="W181" i="1"/>
  <c r="U244" i="1"/>
  <c r="S244" i="1" s="1"/>
  <c r="AI187" i="1"/>
  <c r="U238" i="1"/>
  <c r="S238" i="1" s="1"/>
  <c r="W237" i="1"/>
  <c r="W234" i="1"/>
  <c r="AI171" i="1"/>
  <c r="U215" i="1"/>
  <c r="S215" i="1" s="1"/>
  <c r="W211" i="1"/>
  <c r="AI155" i="1"/>
  <c r="AI152" i="1"/>
  <c r="U152" i="1"/>
  <c r="S152" i="1" s="1"/>
  <c r="W151" i="1"/>
  <c r="W148" i="1"/>
  <c r="X178" i="1"/>
  <c r="T178" i="1"/>
  <c r="U178" i="1" s="1"/>
  <c r="S178" i="1" s="1"/>
  <c r="X174" i="1"/>
  <c r="T174" i="1"/>
  <c r="U174" i="1" s="1"/>
  <c r="S174" i="1" s="1"/>
  <c r="X173" i="1"/>
  <c r="T173" i="1"/>
  <c r="U173" i="1" s="1"/>
  <c r="S173" i="1" s="1"/>
  <c r="X169" i="1"/>
  <c r="T169" i="1"/>
  <c r="U169" i="1" s="1"/>
  <c r="S169" i="1" s="1"/>
  <c r="X165" i="1"/>
  <c r="T165" i="1"/>
  <c r="U165" i="1" s="1"/>
  <c r="S165" i="1" s="1"/>
  <c r="X241" i="1"/>
  <c r="T241" i="1"/>
  <c r="U241" i="1" s="1"/>
  <c r="S241" i="1" s="1"/>
  <c r="X237" i="1"/>
  <c r="T237" i="1"/>
  <c r="U237" i="1" s="1"/>
  <c r="S237" i="1" s="1"/>
  <c r="X233" i="1"/>
  <c r="T233" i="1"/>
  <c r="U233" i="1" s="1"/>
  <c r="S233" i="1" s="1"/>
  <c r="X229" i="1"/>
  <c r="T229" i="1"/>
  <c r="U229" i="1" s="1"/>
  <c r="S229" i="1" s="1"/>
  <c r="X218" i="1"/>
  <c r="T218" i="1"/>
  <c r="U218" i="1" s="1"/>
  <c r="S218" i="1" s="1"/>
  <c r="X214" i="1"/>
  <c r="T214" i="1"/>
  <c r="U214" i="1" s="1"/>
  <c r="S214" i="1" s="1"/>
  <c r="X163" i="1"/>
  <c r="T163" i="1"/>
  <c r="U163" i="1" s="1"/>
  <c r="S163" i="1" s="1"/>
  <c r="X159" i="1"/>
  <c r="T159" i="1"/>
  <c r="U159" i="1" s="1"/>
  <c r="S159" i="1" s="1"/>
  <c r="X155" i="1"/>
  <c r="T155" i="1"/>
  <c r="U155" i="1" s="1"/>
  <c r="S155" i="1" s="1"/>
  <c r="X151" i="1"/>
  <c r="T151" i="1"/>
  <c r="U151" i="1" s="1"/>
  <c r="S151" i="1" s="1"/>
  <c r="T147" i="1"/>
  <c r="U147" i="1" s="1"/>
  <c r="S147" i="1" s="1"/>
  <c r="T143" i="1"/>
  <c r="U143" i="1" s="1"/>
  <c r="U139" i="1"/>
  <c r="S139" i="1" s="1"/>
  <c r="AI122" i="1"/>
  <c r="AI105" i="1"/>
  <c r="U105" i="1"/>
  <c r="S105" i="1" s="1"/>
  <c r="U176" i="1"/>
  <c r="S176" i="1" s="1"/>
  <c r="U171" i="1"/>
  <c r="S171" i="1" s="1"/>
  <c r="U167" i="1"/>
  <c r="S167" i="1" s="1"/>
  <c r="U243" i="1"/>
  <c r="S243" i="1" s="1"/>
  <c r="U239" i="1"/>
  <c r="S239" i="1" s="1"/>
  <c r="U235" i="1"/>
  <c r="S235" i="1" s="1"/>
  <c r="U216" i="1"/>
  <c r="S216" i="1" s="1"/>
  <c r="U212" i="1"/>
  <c r="S212" i="1" s="1"/>
  <c r="U161" i="1"/>
  <c r="S161" i="1" s="1"/>
  <c r="U149" i="1"/>
  <c r="S149" i="1" s="1"/>
  <c r="U145" i="1"/>
  <c r="AI126" i="1"/>
  <c r="U126" i="1"/>
  <c r="S126" i="1" s="1"/>
  <c r="AI109" i="1"/>
  <c r="AG177" i="1"/>
  <c r="AI177" i="1" s="1"/>
  <c r="AG246" i="1"/>
  <c r="AI246" i="1" s="1"/>
  <c r="AG172" i="1"/>
  <c r="AI172" i="1" s="1"/>
  <c r="AG168" i="1"/>
  <c r="AI168" i="1" s="1"/>
  <c r="AG164" i="1"/>
  <c r="W164" i="1" s="1"/>
  <c r="AG240" i="1"/>
  <c r="AG236" i="1"/>
  <c r="AG232" i="1"/>
  <c r="AG221" i="1"/>
  <c r="AG217" i="1"/>
  <c r="AG213" i="1"/>
  <c r="AG162" i="1"/>
  <c r="AG158" i="1"/>
  <c r="W158" i="1" s="1"/>
  <c r="AG154" i="1"/>
  <c r="AG150" i="1"/>
  <c r="AG146" i="1"/>
  <c r="AG142" i="1"/>
  <c r="AI130" i="1"/>
  <c r="U130" i="1"/>
  <c r="S130" i="1" s="1"/>
  <c r="AI114" i="1"/>
  <c r="U114" i="1"/>
  <c r="S114" i="1" s="1"/>
  <c r="AI101" i="1"/>
  <c r="X177" i="1"/>
  <c r="AI205" i="1"/>
  <c r="X246" i="1"/>
  <c r="AI201" i="1"/>
  <c r="X172" i="1"/>
  <c r="AI197" i="1"/>
  <c r="X168" i="1"/>
  <c r="AI193" i="1"/>
  <c r="X164" i="1"/>
  <c r="AI189" i="1"/>
  <c r="X240" i="1"/>
  <c r="AI185" i="1"/>
  <c r="X236" i="1"/>
  <c r="AI181" i="1"/>
  <c r="X232" i="1"/>
  <c r="X221" i="1"/>
  <c r="AI173" i="1"/>
  <c r="X217" i="1"/>
  <c r="AI169" i="1"/>
  <c r="X213" i="1"/>
  <c r="AI165" i="1"/>
  <c r="X162" i="1"/>
  <c r="AI161" i="1"/>
  <c r="X158" i="1"/>
  <c r="AI157" i="1"/>
  <c r="X154" i="1"/>
  <c r="AI153" i="1"/>
  <c r="X150" i="1"/>
  <c r="AI149" i="1"/>
  <c r="AG140" i="1"/>
  <c r="AI138" i="1"/>
  <c r="U137" i="1"/>
  <c r="S137" i="1" s="1"/>
  <c r="AI134" i="1"/>
  <c r="U134" i="1"/>
  <c r="S134" i="1" s="1"/>
  <c r="W122" i="1"/>
  <c r="AI118" i="1"/>
  <c r="U118" i="1"/>
  <c r="S118" i="1" s="1"/>
  <c r="X137" i="1"/>
  <c r="X133" i="1"/>
  <c r="X129" i="1"/>
  <c r="X125" i="1"/>
  <c r="X121" i="1"/>
  <c r="X117" i="1"/>
  <c r="X108" i="1"/>
  <c r="X104" i="1"/>
  <c r="W100" i="1"/>
  <c r="T94" i="1"/>
  <c r="X94" i="1"/>
  <c r="AG94" i="1"/>
  <c r="X95" i="1"/>
  <c r="AI89" i="1"/>
  <c r="U79" i="1"/>
  <c r="S79" i="1" s="1"/>
  <c r="AI79" i="1"/>
  <c r="U135" i="1"/>
  <c r="S135" i="1" s="1"/>
  <c r="U127" i="1"/>
  <c r="S127" i="1" s="1"/>
  <c r="U123" i="1"/>
  <c r="S123" i="1" s="1"/>
  <c r="U110" i="1"/>
  <c r="S110" i="1" s="1"/>
  <c r="U106" i="1"/>
  <c r="S106" i="1" s="1"/>
  <c r="AI100" i="1"/>
  <c r="AI93" i="1"/>
  <c r="U89" i="1"/>
  <c r="S89" i="1" s="1"/>
  <c r="AA85" i="1"/>
  <c r="W85" i="1" s="1"/>
  <c r="T82" i="1"/>
  <c r="X82" i="1"/>
  <c r="AG82" i="1"/>
  <c r="X83" i="1"/>
  <c r="AG136" i="1"/>
  <c r="AG132" i="1"/>
  <c r="AG128" i="1"/>
  <c r="AG124" i="1"/>
  <c r="W124" i="1" s="1"/>
  <c r="AG120" i="1"/>
  <c r="W120" i="1" s="1"/>
  <c r="AG116" i="1"/>
  <c r="AG111" i="1"/>
  <c r="AG107" i="1"/>
  <c r="AG103" i="1"/>
  <c r="W103" i="1" s="1"/>
  <c r="AA101" i="1"/>
  <c r="W101" i="1" s="1"/>
  <c r="U99" i="1"/>
  <c r="S99" i="1" s="1"/>
  <c r="T98" i="1"/>
  <c r="X98" i="1"/>
  <c r="AG98" i="1"/>
  <c r="W98" i="1" s="1"/>
  <c r="AI97" i="1"/>
  <c r="AA89" i="1"/>
  <c r="W89" i="1" s="1"/>
  <c r="T86" i="1"/>
  <c r="X86" i="1"/>
  <c r="AG86" i="1"/>
  <c r="W86" i="1" s="1"/>
  <c r="X87" i="1"/>
  <c r="X136" i="1"/>
  <c r="AI135" i="1"/>
  <c r="X132" i="1"/>
  <c r="X128" i="1"/>
  <c r="AI127" i="1"/>
  <c r="X124" i="1"/>
  <c r="AI123" i="1"/>
  <c r="X120" i="1"/>
  <c r="X116" i="1"/>
  <c r="AI115" i="1"/>
  <c r="X111" i="1"/>
  <c r="AI110" i="1"/>
  <c r="X107" i="1"/>
  <c r="AI106" i="1"/>
  <c r="X103" i="1"/>
  <c r="T102" i="1"/>
  <c r="AG102" i="1"/>
  <c r="W102" i="1" s="1"/>
  <c r="T101" i="1"/>
  <c r="U101" i="1" s="1"/>
  <c r="S101" i="1" s="1"/>
  <c r="X101" i="1"/>
  <c r="U100" i="1"/>
  <c r="S100" i="1" s="1"/>
  <c r="U97" i="1"/>
  <c r="S97" i="1" s="1"/>
  <c r="AA93" i="1"/>
  <c r="W93" i="1" s="1"/>
  <c r="T90" i="1"/>
  <c r="X90" i="1"/>
  <c r="AG90" i="1"/>
  <c r="W90" i="1" s="1"/>
  <c r="X91" i="1"/>
  <c r="S85" i="1"/>
  <c r="AI85" i="1"/>
  <c r="W79" i="1"/>
  <c r="U96" i="1"/>
  <c r="S96" i="1" s="1"/>
  <c r="U92" i="1"/>
  <c r="S92" i="1" s="1"/>
  <c r="U84" i="1"/>
  <c r="S84" i="1" s="1"/>
  <c r="U80" i="1"/>
  <c r="S80" i="1" s="1"/>
  <c r="X79" i="1"/>
  <c r="T75" i="1"/>
  <c r="U75" i="1" s="1"/>
  <c r="S75" i="1" s="1"/>
  <c r="X75" i="1"/>
  <c r="U72" i="1"/>
  <c r="S72" i="1" s="1"/>
  <c r="T70" i="1"/>
  <c r="U70" i="1" s="1"/>
  <c r="S70" i="1" s="1"/>
  <c r="X70" i="1"/>
  <c r="T67" i="1"/>
  <c r="X67" i="1"/>
  <c r="AG67" i="1"/>
  <c r="AI66" i="1"/>
  <c r="W65" i="1"/>
  <c r="AI61" i="1"/>
  <c r="AA58" i="1"/>
  <c r="U56" i="1"/>
  <c r="S56" i="1" s="1"/>
  <c r="AI50" i="1"/>
  <c r="AI48" i="1"/>
  <c r="U81" i="1"/>
  <c r="S81" i="1" s="1"/>
  <c r="U77" i="1"/>
  <c r="S77" i="1" s="1"/>
  <c r="AI74" i="1"/>
  <c r="T71" i="1"/>
  <c r="X71" i="1"/>
  <c r="AG71" i="1"/>
  <c r="AI70" i="1"/>
  <c r="AI65" i="1"/>
  <c r="T58" i="1"/>
  <c r="X58" i="1"/>
  <c r="T55" i="1"/>
  <c r="X55" i="1"/>
  <c r="AG55" i="1"/>
  <c r="X97" i="1"/>
  <c r="X93" i="1"/>
  <c r="AI92" i="1"/>
  <c r="X89" i="1"/>
  <c r="AI88" i="1"/>
  <c r="X85" i="1"/>
  <c r="AI84" i="1"/>
  <c r="X81" i="1"/>
  <c r="AI80" i="1"/>
  <c r="AG78" i="1"/>
  <c r="X77" i="1"/>
  <c r="X72" i="1"/>
  <c r="W66" i="1"/>
  <c r="T62" i="1"/>
  <c r="U62" i="1" s="1"/>
  <c r="S62" i="1" s="1"/>
  <c r="X62" i="1"/>
  <c r="U61" i="1"/>
  <c r="S61" i="1" s="1"/>
  <c r="T59" i="1"/>
  <c r="X59" i="1"/>
  <c r="AG59" i="1"/>
  <c r="AG58" i="1"/>
  <c r="X56" i="1"/>
  <c r="U54" i="1"/>
  <c r="AI81" i="1"/>
  <c r="X78" i="1"/>
  <c r="AI77" i="1"/>
  <c r="T76" i="1"/>
  <c r="U76" i="1" s="1"/>
  <c r="S76" i="1" s="1"/>
  <c r="AA74" i="1"/>
  <c r="W74" i="1" s="1"/>
  <c r="U74" i="1"/>
  <c r="S74" i="1" s="1"/>
  <c r="AI73" i="1"/>
  <c r="AA70" i="1"/>
  <c r="W70" i="1" s="1"/>
  <c r="T66" i="1"/>
  <c r="U66" i="1" s="1"/>
  <c r="S66" i="1" s="1"/>
  <c r="X66" i="1"/>
  <c r="U65" i="1"/>
  <c r="S65" i="1" s="1"/>
  <c r="T63" i="1"/>
  <c r="X63" i="1"/>
  <c r="AG63" i="1"/>
  <c r="AI62" i="1"/>
  <c r="W61" i="1"/>
  <c r="X60" i="1"/>
  <c r="AI57" i="1"/>
  <c r="AA54" i="1"/>
  <c r="X52" i="1"/>
  <c r="T51" i="1"/>
  <c r="X51" i="1"/>
  <c r="AG51" i="1"/>
  <c r="W48" i="1"/>
  <c r="AG47" i="1"/>
  <c r="X47" i="1"/>
  <c r="U46" i="1"/>
  <c r="S46" i="1" s="1"/>
  <c r="X54" i="1"/>
  <c r="X50" i="1"/>
  <c r="X46" i="1"/>
  <c r="T45" i="1"/>
  <c r="U45" i="1" s="1"/>
  <c r="S45" i="1" s="1"/>
  <c r="AI44" i="1"/>
  <c r="W43" i="1"/>
  <c r="AI42" i="1"/>
  <c r="S42" i="1"/>
  <c r="W40" i="1"/>
  <c r="W36" i="1"/>
  <c r="W32" i="1"/>
  <c r="W28" i="1"/>
  <c r="W22" i="1"/>
  <c r="W18" i="1"/>
  <c r="AA14" i="1"/>
  <c r="T49" i="1"/>
  <c r="U49" i="1" s="1"/>
  <c r="S49" i="1" s="1"/>
  <c r="AA47" i="1"/>
  <c r="AI46" i="1"/>
  <c r="X45" i="1"/>
  <c r="T44" i="1"/>
  <c r="U44" i="1" s="1"/>
  <c r="S44" i="1" s="1"/>
  <c r="X44" i="1"/>
  <c r="T37" i="1"/>
  <c r="X37" i="1"/>
  <c r="AG37" i="1"/>
  <c r="X38" i="1"/>
  <c r="T33" i="1"/>
  <c r="X33" i="1"/>
  <c r="AG33" i="1"/>
  <c r="W33" i="1" s="1"/>
  <c r="X34" i="1"/>
  <c r="T29" i="1"/>
  <c r="AG29" i="1"/>
  <c r="T26" i="1"/>
  <c r="AG26" i="1"/>
  <c r="W26" i="1" s="1"/>
  <c r="T23" i="1"/>
  <c r="X23" i="1"/>
  <c r="AG23" i="1"/>
  <c r="T19" i="1"/>
  <c r="X19" i="1"/>
  <c r="AG19" i="1"/>
  <c r="W19" i="1" s="1"/>
  <c r="X20" i="1"/>
  <c r="T15" i="1"/>
  <c r="X15" i="1"/>
  <c r="AG15" i="1"/>
  <c r="X16" i="1"/>
  <c r="T48" i="1"/>
  <c r="U48" i="1" s="1"/>
  <c r="S48" i="1" s="1"/>
  <c r="X48" i="1"/>
  <c r="T41" i="1"/>
  <c r="X41" i="1"/>
  <c r="AG41" i="1"/>
  <c r="W41" i="1" s="1"/>
  <c r="S40" i="1"/>
  <c r="AI40" i="1"/>
  <c r="S36" i="1"/>
  <c r="AI36" i="1"/>
  <c r="S32" i="1"/>
  <c r="AI32" i="1"/>
  <c r="S28" i="1"/>
  <c r="AI28" i="1"/>
  <c r="AI22" i="1"/>
  <c r="U35" i="1"/>
  <c r="S35" i="1" s="1"/>
  <c r="U31" i="1"/>
  <c r="S31" i="1" s="1"/>
  <c r="U25" i="1"/>
  <c r="S25" i="1" s="1"/>
  <c r="U21" i="1"/>
  <c r="S21" i="1" s="1"/>
  <c r="U17" i="1"/>
  <c r="S17" i="1" s="1"/>
  <c r="X40" i="1"/>
  <c r="X36" i="1"/>
  <c r="AI35" i="1"/>
  <c r="X32" i="1"/>
  <c r="AI31" i="1"/>
  <c r="AI25" i="1"/>
  <c r="X22" i="1"/>
  <c r="AI21" i="1"/>
  <c r="X18" i="1"/>
  <c r="AI17" i="1"/>
  <c r="AE20" i="3"/>
  <c r="T29" i="3"/>
  <c r="Y14" i="3"/>
  <c r="Y25" i="3"/>
  <c r="AC7" i="3"/>
  <c r="AE28" i="3"/>
  <c r="AD26" i="3"/>
  <c r="AD24" i="3"/>
  <c r="AD20" i="3"/>
  <c r="AD13" i="3"/>
  <c r="Y29" i="3"/>
  <c r="Y30" i="3"/>
  <c r="Y26" i="3"/>
  <c r="Y13" i="3"/>
  <c r="Y15" i="3"/>
  <c r="AD25" i="3"/>
  <c r="AE25" i="3"/>
  <c r="AD22" i="3"/>
  <c r="T9" i="3"/>
  <c r="Y33" i="3"/>
  <c r="Y12" i="3"/>
  <c r="AE12" i="3"/>
  <c r="AD30" i="3"/>
  <c r="Y23" i="3"/>
  <c r="Y35" i="3"/>
  <c r="Y9" i="3"/>
  <c r="T16" i="3"/>
  <c r="AD12" i="3"/>
  <c r="AD8" i="3"/>
  <c r="Y28" i="3"/>
  <c r="AE40" i="3"/>
  <c r="AC30" i="3"/>
  <c r="T39" i="3"/>
  <c r="Y17" i="3"/>
  <c r="T40" i="3"/>
  <c r="AD29" i="3"/>
  <c r="AE29" i="3"/>
  <c r="Y22" i="3"/>
  <c r="AE24" i="3"/>
  <c r="AC38" i="3"/>
  <c r="T34" i="3"/>
  <c r="AE19" i="3"/>
  <c r="AD17" i="3"/>
  <c r="AE17" i="3"/>
  <c r="T8" i="3"/>
  <c r="T37" i="3"/>
  <c r="AE11" i="3"/>
  <c r="AD9" i="3"/>
  <c r="AE9" i="3"/>
  <c r="Y40" i="3"/>
  <c r="Y34" i="3"/>
  <c r="Y37" i="3"/>
  <c r="Y39" i="3"/>
  <c r="T25" i="3"/>
  <c r="AE37" i="3"/>
  <c r="AE32" i="3"/>
  <c r="AC36" i="3"/>
  <c r="T35" i="3"/>
  <c r="AE21" i="3"/>
  <c r="T11" i="3"/>
  <c r="AE15" i="3"/>
  <c r="AE13" i="3"/>
  <c r="T21" i="3"/>
  <c r="AE39" i="3"/>
  <c r="T27" i="3"/>
  <c r="AE35" i="3"/>
  <c r="T26" i="3"/>
  <c r="AE31" i="3"/>
  <c r="T20" i="3"/>
  <c r="AE27" i="3"/>
  <c r="T31" i="3"/>
  <c r="AE23" i="3"/>
  <c r="T10" i="3"/>
  <c r="AD43" i="3"/>
  <c r="T14" i="3"/>
  <c r="AD39" i="3"/>
  <c r="AE38" i="3"/>
  <c r="T30" i="3"/>
  <c r="AD35" i="3"/>
  <c r="AE34" i="3"/>
  <c r="T7" i="3"/>
  <c r="AD31" i="3"/>
  <c r="AE30" i="3"/>
  <c r="T36" i="3"/>
  <c r="AD27" i="3"/>
  <c r="AE26" i="3"/>
  <c r="T23" i="3"/>
  <c r="AD23" i="3"/>
  <c r="AE22" i="3"/>
  <c r="T38" i="3"/>
  <c r="AD19" i="3"/>
  <c r="AE18" i="3"/>
  <c r="T19" i="3"/>
  <c r="AD15" i="3"/>
  <c r="AE14" i="3"/>
  <c r="T12" i="3"/>
  <c r="AD11" i="3"/>
  <c r="AE10" i="3"/>
  <c r="T44" i="3"/>
  <c r="AC18" i="3"/>
  <c r="AE43" i="3"/>
  <c r="T43" i="3"/>
  <c r="AD18" i="3"/>
  <c r="AD14" i="3"/>
  <c r="AD10" i="3"/>
  <c r="AE8" i="3"/>
  <c r="S42" i="3"/>
  <c r="R42" i="3"/>
  <c r="M42" i="3"/>
  <c r="U42" i="3"/>
  <c r="AC42" i="3" s="1"/>
  <c r="V42" i="3"/>
  <c r="W42" i="3"/>
  <c r="X42" i="3"/>
  <c r="W138" i="1" l="1"/>
  <c r="U198" i="1"/>
  <c r="S198" i="1" s="1"/>
  <c r="W225" i="1"/>
  <c r="W206" i="1"/>
  <c r="U138" i="1"/>
  <c r="S138" i="1" s="1"/>
  <c r="W145" i="1"/>
  <c r="AI112" i="1"/>
  <c r="U112" i="1"/>
  <c r="S112" i="1" s="1"/>
  <c r="W112" i="1"/>
  <c r="W54" i="1"/>
  <c r="AI180" i="1"/>
  <c r="U53" i="1"/>
  <c r="U88" i="1"/>
  <c r="S88" i="1" s="1"/>
  <c r="W231" i="1"/>
  <c r="W94" i="1"/>
  <c r="AI195" i="1"/>
  <c r="U245" i="1"/>
  <c r="S245" i="1" s="1"/>
  <c r="W39" i="1"/>
  <c r="AI119" i="1"/>
  <c r="W132" i="1"/>
  <c r="U231" i="1"/>
  <c r="S231" i="1" s="1"/>
  <c r="AI199" i="1"/>
  <c r="U180" i="1"/>
  <c r="S180" i="1" s="1"/>
  <c r="W119" i="1"/>
  <c r="U24" i="1"/>
  <c r="S24" i="1" s="1"/>
  <c r="W202" i="1"/>
  <c r="U27" i="1"/>
  <c r="S27" i="1" s="1"/>
  <c r="W24" i="1"/>
  <c r="AI39" i="1"/>
  <c r="U39" i="1"/>
  <c r="S39" i="1" s="1"/>
  <c r="AI43" i="1"/>
  <c r="W47" i="1"/>
  <c r="AI131" i="1"/>
  <c r="W107" i="1"/>
  <c r="U131" i="1"/>
  <c r="S131" i="1" s="1"/>
  <c r="W188" i="1"/>
  <c r="AI231" i="1"/>
  <c r="U225" i="1"/>
  <c r="S225" i="1" s="1"/>
  <c r="W153" i="1"/>
  <c r="W27" i="1"/>
  <c r="W16" i="1"/>
  <c r="AI18" i="1"/>
  <c r="AI53" i="1"/>
  <c r="W55" i="1"/>
  <c r="W69" i="1"/>
  <c r="W216" i="1"/>
  <c r="AI14" i="1"/>
  <c r="W14" i="1"/>
  <c r="W137" i="1"/>
  <c r="AI183" i="1"/>
  <c r="U30" i="1"/>
  <c r="S30" i="1" s="1"/>
  <c r="AI30" i="1"/>
  <c r="AI223" i="1"/>
  <c r="W239" i="1"/>
  <c r="W30" i="1"/>
  <c r="AI204" i="1"/>
  <c r="AI164" i="1"/>
  <c r="AI226" i="1"/>
  <c r="AI188" i="1"/>
  <c r="W207" i="1"/>
  <c r="AI207" i="1"/>
  <c r="W220" i="1"/>
  <c r="W58" i="1"/>
  <c r="AI222" i="1"/>
  <c r="W53" i="1"/>
  <c r="W42" i="1"/>
  <c r="U57" i="1"/>
  <c r="S57" i="1" s="1"/>
  <c r="W157" i="1"/>
  <c r="AI51" i="1"/>
  <c r="U51" i="1"/>
  <c r="S51" i="1" s="1"/>
  <c r="U63" i="1"/>
  <c r="S63" i="1" s="1"/>
  <c r="AI63" i="1"/>
  <c r="W63" i="1"/>
  <c r="W51" i="1"/>
  <c r="U78" i="1"/>
  <c r="S78" i="1"/>
  <c r="AI78" i="1"/>
  <c r="U67" i="1"/>
  <c r="S67" i="1" s="1"/>
  <c r="AI67" i="1"/>
  <c r="W78" i="1"/>
  <c r="U111" i="1"/>
  <c r="S111" i="1" s="1"/>
  <c r="AI111" i="1"/>
  <c r="U128" i="1"/>
  <c r="S128" i="1" s="1"/>
  <c r="AI128" i="1"/>
  <c r="U94" i="1"/>
  <c r="S94" i="1" s="1"/>
  <c r="AI94" i="1"/>
  <c r="U146" i="1"/>
  <c r="AI146" i="1"/>
  <c r="U162" i="1"/>
  <c r="S162" i="1" s="1"/>
  <c r="AI162" i="1"/>
  <c r="U232" i="1"/>
  <c r="S232" i="1" s="1"/>
  <c r="AI178" i="1"/>
  <c r="U168" i="1"/>
  <c r="S168" i="1" s="1"/>
  <c r="AI194" i="1"/>
  <c r="W111" i="1"/>
  <c r="U184" i="1"/>
  <c r="S184" i="1" s="1"/>
  <c r="AI213" i="1"/>
  <c r="U200" i="1"/>
  <c r="S200" i="1" s="1"/>
  <c r="AI229" i="1"/>
  <c r="W227" i="1"/>
  <c r="U227" i="1"/>
  <c r="S227" i="1" s="1"/>
  <c r="AI245" i="1"/>
  <c r="AI216" i="1"/>
  <c r="U187" i="1"/>
  <c r="S187" i="1" s="1"/>
  <c r="AI232" i="1"/>
  <c r="U203" i="1"/>
  <c r="S203" i="1" s="1"/>
  <c r="U41" i="1"/>
  <c r="S41" i="1" s="1"/>
  <c r="AI41" i="1"/>
  <c r="U15" i="1"/>
  <c r="S15" i="1" s="1"/>
  <c r="AI15" i="1"/>
  <c r="U19" i="1"/>
  <c r="S19" i="1" s="1"/>
  <c r="AI19" i="1"/>
  <c r="U23" i="1"/>
  <c r="S23" i="1" s="1"/>
  <c r="AI23" i="1"/>
  <c r="U26" i="1"/>
  <c r="S26" i="1" s="1"/>
  <c r="AI26" i="1"/>
  <c r="U29" i="1"/>
  <c r="S29" i="1" s="1"/>
  <c r="AI29" i="1"/>
  <c r="U33" i="1"/>
  <c r="S33" i="1" s="1"/>
  <c r="AI33" i="1"/>
  <c r="U37" i="1"/>
  <c r="S37" i="1" s="1"/>
  <c r="AI37" i="1"/>
  <c r="W15" i="1"/>
  <c r="W23" i="1"/>
  <c r="W29" i="1"/>
  <c r="W37" i="1"/>
  <c r="AI47" i="1"/>
  <c r="U47" i="1"/>
  <c r="S47" i="1" s="1"/>
  <c r="AI58" i="1"/>
  <c r="U58" i="1"/>
  <c r="S58" i="1" s="1"/>
  <c r="U86" i="1"/>
  <c r="S86" i="1" s="1"/>
  <c r="AI86" i="1"/>
  <c r="U98" i="1"/>
  <c r="S98" i="1" s="1"/>
  <c r="AI98" i="1"/>
  <c r="U116" i="1"/>
  <c r="S116" i="1" s="1"/>
  <c r="AI116" i="1"/>
  <c r="U132" i="1"/>
  <c r="S132" i="1" s="1"/>
  <c r="AI132" i="1"/>
  <c r="U140" i="1"/>
  <c r="S140" i="1" s="1"/>
  <c r="AI140" i="1"/>
  <c r="U150" i="1"/>
  <c r="S150" i="1" s="1"/>
  <c r="AI150" i="1"/>
  <c r="U213" i="1"/>
  <c r="S213" i="1" s="1"/>
  <c r="AI166" i="1"/>
  <c r="U236" i="1"/>
  <c r="S236" i="1" s="1"/>
  <c r="AI182" i="1"/>
  <c r="U172" i="1"/>
  <c r="S172" i="1" s="1"/>
  <c r="AI198" i="1"/>
  <c r="W116" i="1"/>
  <c r="W128" i="1"/>
  <c r="W150" i="1"/>
  <c r="W236" i="1"/>
  <c r="U196" i="1"/>
  <c r="S196" i="1" s="1"/>
  <c r="AI225" i="1"/>
  <c r="U223" i="1"/>
  <c r="S223" i="1" s="1"/>
  <c r="AI241" i="1"/>
  <c r="U182" i="1"/>
  <c r="S182" i="1" s="1"/>
  <c r="AI211" i="1"/>
  <c r="AI220" i="1"/>
  <c r="U191" i="1"/>
  <c r="S191" i="1" s="1"/>
  <c r="AI236" i="1"/>
  <c r="U207" i="1"/>
  <c r="S207" i="1" s="1"/>
  <c r="W146" i="1"/>
  <c r="W191" i="1"/>
  <c r="W196" i="1"/>
  <c r="W200" i="1"/>
  <c r="W203" i="1"/>
  <c r="U90" i="1"/>
  <c r="S90" i="1" s="1"/>
  <c r="AI90" i="1"/>
  <c r="U103" i="1"/>
  <c r="S103" i="1" s="1"/>
  <c r="AI103" i="1"/>
  <c r="U120" i="1"/>
  <c r="S120" i="1" s="1"/>
  <c r="AI120" i="1"/>
  <c r="U136" i="1"/>
  <c r="S136" i="1" s="1"/>
  <c r="AI136" i="1"/>
  <c r="W136" i="1"/>
  <c r="U154" i="1"/>
  <c r="S154" i="1" s="1"/>
  <c r="AI154" i="1"/>
  <c r="U217" i="1"/>
  <c r="S217" i="1" s="1"/>
  <c r="AI170" i="1"/>
  <c r="U240" i="1"/>
  <c r="S240" i="1" s="1"/>
  <c r="AI186" i="1"/>
  <c r="U246" i="1"/>
  <c r="S246" i="1"/>
  <c r="AI202" i="1"/>
  <c r="W154" i="1"/>
  <c r="W217" i="1"/>
  <c r="U192" i="1"/>
  <c r="S192" i="1" s="1"/>
  <c r="AI221" i="1"/>
  <c r="U208" i="1"/>
  <c r="S208" i="1" s="1"/>
  <c r="AI237" i="1"/>
  <c r="AI224" i="1"/>
  <c r="U195" i="1"/>
  <c r="S195" i="1" s="1"/>
  <c r="AI240" i="1"/>
  <c r="U222" i="1"/>
  <c r="S222" i="1" s="1"/>
  <c r="W162" i="1"/>
  <c r="W184" i="1"/>
  <c r="W187" i="1"/>
  <c r="W192" i="1"/>
  <c r="U59" i="1"/>
  <c r="S59" i="1" s="1"/>
  <c r="AI59" i="1"/>
  <c r="U55" i="1"/>
  <c r="AI55" i="1"/>
  <c r="U71" i="1"/>
  <c r="S71" i="1" s="1"/>
  <c r="AI71" i="1"/>
  <c r="W71" i="1"/>
  <c r="U102" i="1"/>
  <c r="S102" i="1" s="1"/>
  <c r="AI102" i="1"/>
  <c r="U107" i="1"/>
  <c r="S107" i="1" s="1"/>
  <c r="AI107" i="1"/>
  <c r="U124" i="1"/>
  <c r="S124" i="1" s="1"/>
  <c r="AI124" i="1"/>
  <c r="W67" i="1"/>
  <c r="U82" i="1"/>
  <c r="S82" i="1" s="1"/>
  <c r="AI82" i="1"/>
  <c r="W59" i="1"/>
  <c r="W82" i="1"/>
  <c r="U142" i="1"/>
  <c r="S142" i="1" s="1"/>
  <c r="AI142" i="1"/>
  <c r="U158" i="1"/>
  <c r="S158" i="1" s="1"/>
  <c r="AI158" i="1"/>
  <c r="U221" i="1"/>
  <c r="S221" i="1" s="1"/>
  <c r="AI174" i="1"/>
  <c r="U164" i="1"/>
  <c r="S164" i="1" s="1"/>
  <c r="AI190" i="1"/>
  <c r="U177" i="1"/>
  <c r="S177" i="1" s="1"/>
  <c r="AI206" i="1"/>
  <c r="W140" i="1"/>
  <c r="W213" i="1"/>
  <c r="W240" i="1"/>
  <c r="W168" i="1"/>
  <c r="W246" i="1"/>
  <c r="U188" i="1"/>
  <c r="S188" i="1" s="1"/>
  <c r="AI217" i="1"/>
  <c r="U204" i="1"/>
  <c r="S204" i="1" s="1"/>
  <c r="AI233" i="1"/>
  <c r="W142" i="1"/>
  <c r="W221" i="1"/>
  <c r="U183" i="1"/>
  <c r="S183" i="1" s="1"/>
  <c r="AI212" i="1"/>
  <c r="AI228" i="1"/>
  <c r="U199" i="1"/>
  <c r="S199" i="1" s="1"/>
  <c r="AI244" i="1"/>
  <c r="U226" i="1"/>
  <c r="S226" i="1" s="1"/>
  <c r="W232" i="1"/>
  <c r="W172" i="1"/>
  <c r="W177" i="1"/>
  <c r="AE42" i="3"/>
  <c r="AD42" i="3"/>
  <c r="T42" i="3"/>
  <c r="Y42" i="3"/>
  <c r="S53" i="1" l="1"/>
  <c r="B3" i="6"/>
  <c r="M28" i="5" l="1"/>
  <c r="M23" i="5" l="1"/>
  <c r="AD7" i="3" l="1"/>
  <c r="AN13" i="1"/>
  <c r="AE7" i="3" l="1"/>
  <c r="K13" i="1" l="1"/>
  <c r="M13" i="1"/>
  <c r="P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S18" i="3" s="1"/>
  <c r="B31" i="9"/>
  <c r="B32" i="9"/>
  <c r="C33" i="9" s="1"/>
  <c r="C32" i="9" l="1"/>
  <c r="G3" i="4" l="1"/>
  <c r="G4" i="4"/>
  <c r="G5" i="4"/>
  <c r="G6" i="4"/>
  <c r="G7" i="4"/>
  <c r="G8" i="4"/>
  <c r="N18" i="3" s="1"/>
  <c r="G9" i="4"/>
  <c r="G10" i="4"/>
  <c r="G11" i="4"/>
  <c r="G12" i="4"/>
  <c r="G13" i="4"/>
  <c r="G14" i="4"/>
  <c r="G15" i="4"/>
  <c r="G16" i="4"/>
  <c r="N41" i="3" s="1"/>
  <c r="G17" i="4"/>
  <c r="G18" i="4"/>
  <c r="G19" i="4"/>
  <c r="G20" i="4"/>
  <c r="N44" i="3" s="1"/>
  <c r="G21" i="4"/>
  <c r="G22" i="4"/>
  <c r="G23" i="4"/>
  <c r="G24" i="4"/>
  <c r="G25" i="4"/>
  <c r="G26" i="4"/>
  <c r="G27" i="4"/>
  <c r="G28" i="4"/>
  <c r="G29" i="4"/>
  <c r="G30" i="4"/>
  <c r="G31" i="4"/>
  <c r="G32" i="4"/>
  <c r="N42" i="3" s="1"/>
  <c r="G33" i="4"/>
  <c r="G34" i="4"/>
  <c r="G35" i="4"/>
  <c r="G36" i="4"/>
  <c r="G37" i="4"/>
  <c r="G38" i="4"/>
  <c r="G39" i="4"/>
  <c r="G40" i="4"/>
  <c r="N21" i="3" s="1"/>
  <c r="G41" i="4"/>
  <c r="G42" i="4"/>
  <c r="G43" i="4"/>
  <c r="N32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37" i="3" s="1"/>
  <c r="G64" i="4"/>
  <c r="G65" i="4"/>
  <c r="G66" i="4"/>
  <c r="G67" i="4"/>
  <c r="G68" i="4"/>
  <c r="G69" i="4"/>
  <c r="G70" i="4"/>
  <c r="N12" i="3" s="1"/>
  <c r="G71" i="4"/>
  <c r="G72" i="4"/>
  <c r="G73" i="4"/>
  <c r="G74" i="4"/>
  <c r="N8" i="3" s="1"/>
  <c r="G75" i="4"/>
  <c r="N19" i="3" s="1"/>
  <c r="G76" i="4"/>
  <c r="G77" i="4"/>
  <c r="G78" i="4"/>
  <c r="N16" i="3" s="1"/>
  <c r="G79" i="4"/>
  <c r="N33" i="3" s="1"/>
  <c r="G80" i="4"/>
  <c r="G81" i="4"/>
  <c r="G82" i="4"/>
  <c r="G83" i="4"/>
  <c r="G84" i="4"/>
  <c r="G85" i="4"/>
  <c r="N11" i="3" s="1"/>
  <c r="G86" i="4"/>
  <c r="G87" i="4"/>
  <c r="G88" i="4"/>
  <c r="G89" i="4"/>
  <c r="N9" i="3" s="1"/>
  <c r="G90" i="4"/>
  <c r="G91" i="4"/>
  <c r="G92" i="4"/>
  <c r="N34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N38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N22" i="3" s="1"/>
  <c r="G117" i="4"/>
  <c r="N10" i="3" s="1"/>
  <c r="G118" i="4"/>
  <c r="N35" i="3" s="1"/>
  <c r="G119" i="4"/>
  <c r="N23" i="3" s="1"/>
  <c r="G120" i="4"/>
  <c r="G121" i="4"/>
  <c r="G122" i="4"/>
  <c r="G123" i="4"/>
  <c r="G124" i="4"/>
  <c r="N24" i="3" s="1"/>
  <c r="G125" i="4"/>
  <c r="G126" i="4"/>
  <c r="G127" i="4"/>
  <c r="N31" i="3" s="1"/>
  <c r="G128" i="4"/>
  <c r="G129" i="4"/>
  <c r="G130" i="4"/>
  <c r="G131" i="4"/>
  <c r="N15" i="3" s="1"/>
  <c r="G132" i="4"/>
  <c r="G133" i="4"/>
  <c r="G134" i="4"/>
  <c r="G135" i="4"/>
  <c r="G136" i="4"/>
  <c r="G137" i="4"/>
  <c r="G138" i="4"/>
  <c r="G139" i="4"/>
  <c r="N36" i="3" s="1"/>
  <c r="G140" i="4"/>
  <c r="G141" i="4"/>
  <c r="N20" i="3" s="1"/>
  <c r="G142" i="4"/>
  <c r="G143" i="4"/>
  <c r="G144" i="4"/>
  <c r="G145" i="4"/>
  <c r="G146" i="4"/>
  <c r="G147" i="4"/>
  <c r="G148" i="4"/>
  <c r="N40" i="3" s="1"/>
  <c r="G149" i="4"/>
  <c r="N7" i="3" s="1"/>
  <c r="G150" i="4"/>
  <c r="G151" i="4"/>
  <c r="N13" i="3" s="1"/>
  <c r="G152" i="4"/>
  <c r="G153" i="4"/>
  <c r="G154" i="4"/>
  <c r="G155" i="4"/>
  <c r="G156" i="4"/>
  <c r="G157" i="4"/>
  <c r="G158" i="4"/>
  <c r="G159" i="4"/>
  <c r="G160" i="4"/>
  <c r="G161" i="4"/>
  <c r="G162" i="4"/>
  <c r="N26" i="3" s="1"/>
  <c r="G163" i="4"/>
  <c r="G164" i="4"/>
  <c r="N17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27" i="3" s="1"/>
  <c r="G189" i="4"/>
  <c r="G190" i="4"/>
  <c r="G191" i="4"/>
  <c r="G192" i="4"/>
  <c r="G193" i="4"/>
  <c r="N39" i="3" s="1"/>
  <c r="G194" i="4"/>
  <c r="N30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N43" i="3" s="1"/>
  <c r="G207" i="4"/>
  <c r="N25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28" i="3" s="1"/>
  <c r="G227" i="4"/>
  <c r="G228" i="4"/>
  <c r="G229" i="4"/>
  <c r="G230" i="4"/>
  <c r="G231" i="4"/>
  <c r="N14" i="3" s="1"/>
  <c r="G232" i="4"/>
  <c r="G233" i="4"/>
  <c r="G234" i="4"/>
  <c r="G235" i="4"/>
  <c r="G236" i="4"/>
  <c r="G237" i="4"/>
  <c r="G238" i="4"/>
  <c r="G239" i="4"/>
  <c r="G240" i="4"/>
  <c r="G241" i="4"/>
  <c r="G242" i="4"/>
  <c r="N29" i="3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L13" i="1" l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<sst xmlns="http://schemas.openxmlformats.org/spreadsheetml/2006/main" count="2887" uniqueCount="1043">
  <si>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</si>
  <si>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</si>
  <si>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</si>
  <si>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</si>
  <si>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</si>
  <si>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</si>
  <si>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</si>
  <si>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</si>
  <si>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</si>
  <si>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</si>
  <si>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</si>
  <si>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</si>
  <si>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</si>
  <si>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</si>
  <si>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</si>
  <si>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</si>
  <si>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</si>
  <si>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</si>
  <si>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</si>
  <si>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</si>
  <si>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</si>
  <si>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</si>
  <si>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</si>
  <si>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</si>
  <si>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</si>
  <si>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</si>
  <si>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</si>
  <si>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</si>
  <si>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</si>
  <si>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</si>
  <si>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</si>
  <si>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</si>
  <si>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</si>
  <si>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</si>
  <si>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</si>
  <si>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</si>
  <si>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</si>
  <si>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</si>
  <si>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</si>
  <si>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</si>
  <si>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</si>
  <si>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</si>
  <si>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</si>
  <si>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</si>
  <si>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</si>
  <si>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</si>
  <si>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</si>
  <si>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</si>
  <si>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</si>
  <si>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</si>
  <si>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</si>
  <si>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</si>
  <si>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</si>
  <si>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</si>
  <si>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</si>
  <si>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</si>
  <si>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</si>
  <si>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</si>
  <si>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</si>
  <si>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</si>
  <si>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</si>
  <si>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</si>
  <si>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</si>
  <si>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</si>
  <si>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</si>
  <si>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</si>
  <si>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</si>
  <si>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</si>
  <si>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</si>
  <si>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</si>
  <si>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</si>
  <si>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</si>
  <si>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</si>
  <si>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</si>
  <si>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</si>
  <si>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</si>
  <si>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</si>
  <si>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</si>
  <si>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</si>
  <si>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</si>
  <si>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</si>
  <si>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</si>
  <si>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</si>
  <si>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</si>
  <si>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</si>
  <si>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</si>
  <si>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</si>
  <si>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</si>
  <si>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</si>
  <si>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</si>
  <si>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</si>
  <si>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</si>
  <si>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</si>
  <si>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</si>
  <si>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</si>
  <si>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</si>
  <si>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</si>
  <si>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</si>
  <si>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</si>
  <si>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</si>
  <si>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</si>
  <si>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</si>
  <si>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</si>
  <si>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</si>
  <si>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</si>
  <si>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</si>
  <si>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</si>
  <si>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</si>
  <si>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</si>
  <si>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</si>
  <si>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</si>
  <si>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</si>
  <si>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</si>
  <si>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</si>
  <si>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</si>
  <si>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</si>
  <si>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</si>
  <si>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</si>
  <si>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</si>
  <si>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</si>
  <si>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</si>
  <si>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</si>
  <si>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</si>
  <si>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</si>
  <si>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</si>
  <si>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</si>
  <si>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</si>
  <si>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</si>
  <si>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</si>
  <si>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</si>
  <si>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</si>
  <si>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</si>
  <si>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</si>
  <si>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</si>
  <si>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</si>
  <si>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</si>
  <si>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</si>
  <si>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</si>
  <si>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</si>
  <si>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</si>
  <si>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</si>
  <si>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</si>
  <si>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</si>
  <si>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</si>
  <si>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</si>
  <si>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</si>
  <si>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</si>
  <si>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</si>
  <si>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</si>
  <si>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</si>
  <si>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</si>
  <si>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</si>
  <si>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</si>
  <si>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</si>
  <si>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</si>
  <si>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</si>
  <si>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</si>
  <si>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</si>
  <si>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</si>
  <si>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</si>
  <si>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</si>
  <si>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</si>
  <si>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</si>
  <si>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</si>
  <si>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</si>
  <si>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</si>
  <si>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</si>
  <si>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</si>
  <si>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</si>
  <si>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</si>
  <si>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</si>
  <si>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</si>
  <si>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</si>
  <si>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</si>
  <si>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</si>
  <si>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</si>
  <si>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</si>
  <si>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</si>
  <si>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</si>
  <si>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</si>
  <si>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</si>
  <si>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</si>
  <si>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</si>
  <si>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</si>
  <si>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</si>
  <si>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</si>
  <si>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</si>
  <si>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</si>
  <si>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</si>
  <si>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</si>
  <si>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</si>
  <si>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</si>
  <si>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</si>
  <si>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</si>
  <si>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</si>
  <si>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</si>
  <si>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</si>
  <si>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</si>
  <si>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</si>
  <si>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</si>
  <si>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</si>
  <si>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</si>
  <si>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</si>
  <si>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</si>
  <si>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</si>
  <si>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</si>
  <si>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</si>
  <si>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</si>
  <si>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</si>
  <si>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</si>
  <si>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</si>
  <si>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</si>
  <si>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</si>
  <si>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</si>
  <si>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</si>
  <si>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</si>
  <si>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</si>
  <si>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</si>
  <si>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</si>
  <si>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</si>
  <si>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</si>
  <si>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</si>
  <si>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</si>
  <si>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</si>
  <si>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</si>
  <si>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</si>
  <si>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</si>
  <si>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</si>
  <si>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</si>
  <si>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</si>
  <si>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</si>
  <si>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</si>
  <si>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</si>
  <si>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</si>
  <si>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</si>
  <si>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</si>
  <si>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</si>
  <si>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</si>
  <si>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</si>
  <si>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</si>
  <si>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</si>
  <si>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</si>
  <si>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</si>
  <si>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</si>
  <si>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</si>
  <si>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</si>
  <si>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</si>
  <si>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</si>
  <si>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</si>
  <si>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</si>
  <si>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</si>
  <si>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</si>
  <si>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</si>
  <si>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</si>
  <si>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</si>
  <si>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</si>
  <si>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</si>
  <si>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</si>
  <si>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</si>
  <si>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</si>
  <si>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</si>
  <si>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</si>
  <si>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</si>
  <si>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</si>
  <si>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</si>
  <si>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</si>
  <si>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</si>
  <si>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</si>
  <si>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</si>
  <si>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</si>
  <si>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</si>
  <si>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</si>
  <si>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</si>
  <si>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</si>
  <si>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</si>
  <si>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</si>
  <si>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</si>
  <si>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</si>
  <si>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</si>
  <si>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</si>
  <si>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</si>
  <si>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</si>
  <si>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</si>
  <si>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</si>
  <si>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</si>
  <si>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</si>
  <si>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</si>
  <si>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</si>
  <si>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</si>
  <si>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</si>
  <si>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</si>
  <si>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</si>
  <si>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</si>
  <si>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</si>
  <si>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</si>
  <si>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</si>
  <si>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</si>
  <si>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</si>
  <si>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</si>
  <si>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</si>
  <si>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</si>
  <si>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</si>
  <si>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</si>
  <si>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</si>
  <si>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</si>
  <si>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</si>
  <si>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</si>
  <si>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</si>
  <si>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</si>
  <si>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</si>
  <si>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</si>
  <si>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</si>
  <si>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</si>
  <si>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</si>
  <si>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</si>
  <si>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</si>
  <si>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</si>
  <si>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</si>
  <si>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</si>
  <si>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</si>
  <si>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</si>
  <si>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</si>
  <si>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</si>
  <si>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</si>
  <si>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</si>
  <si>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</si>
  <si>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</si>
  <si>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</si>
  <si>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</si>
  <si>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</si>
  <si>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</si>
  <si>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</si>
  <si>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</si>
  <si>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</si>
  <si>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</si>
  <si>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</si>
  <si>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</si>
  <si>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</si>
  <si>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</si>
  <si>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</si>
  <si>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</si>
  <si>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</si>
  <si>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</si>
  <si>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</si>
  <si>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</si>
  <si>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</si>
  <si>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</si>
  <si>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</si>
  <si>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</si>
  <si>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</si>
  <si>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</si>
  <si>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</si>
  <si>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</si>
  <si>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</si>
  <si>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</si>
  <si>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</si>
  <si>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</si>
  <si>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</si>
  <si>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</si>
  <si>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</si>
  <si>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</si>
  <si>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</si>
  <si>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</si>
  <si>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</si>
  <si>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</si>
  <si>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</si>
  <si>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</si>
  <si>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</si>
  <si>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</si>
  <si>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</si>
  <si>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</si>
  <si>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</si>
  <si>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</si>
  <si>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</si>
  <si>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</si>
  <si>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</si>
  <si>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</si>
  <si>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</si>
  <si>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</si>
  <si>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</si>
  <si>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</si>
  <si>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</si>
  <si>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</si>
  <si>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</si>
  <si>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</si>
  <si>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</si>
  <si>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</si>
  <si>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</si>
  <si>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</si>
  <si>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</si>
  <si>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</si>
  <si>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</si>
  <si>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</si>
  <si>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</si>
  <si>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</si>
  <si>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rtdc.l.rtdc.4042:itc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</si>
  <si>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</si>
  <si>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</si>
  <si>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</si>
  <si>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</si>
  <si>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</si>
  <si>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</si>
  <si>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</si>
  <si>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</si>
  <si>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</si>
  <si>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</si>
  <si>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</si>
  <si>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</si>
  <si>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</si>
  <si>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</si>
  <si>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</si>
  <si>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</si>
  <si>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204:233002</t>
  </si>
  <si>
    <t>204:233293</t>
  </si>
  <si>
    <t>204:150</t>
  </si>
  <si>
    <t>204:447</t>
  </si>
  <si>
    <t>204:473</t>
  </si>
  <si>
    <t>rtdc.l.rtdc.4006:itc</t>
  </si>
  <si>
    <t>partly-cloudy-night</t>
  </si>
  <si>
    <t>204:149</t>
  </si>
  <si>
    <t>204:232998</t>
  </si>
  <si>
    <t>204:143</t>
  </si>
  <si>
    <t>s</t>
  </si>
  <si>
    <t>204:442</t>
  </si>
  <si>
    <t>300:58630</t>
  </si>
  <si>
    <t>204:139</t>
  </si>
  <si>
    <t>204:163</t>
  </si>
  <si>
    <t>rtdc.l.rtdc.4026:itc</t>
  </si>
  <si>
    <t>rtdc.l.rtdc.4025:itc</t>
  </si>
  <si>
    <t>rtdc.l.rtdc.4005:itc</t>
  </si>
  <si>
    <t>Y</t>
  </si>
  <si>
    <t>partly-cloudy-day</t>
  </si>
  <si>
    <t>204:233315</t>
  </si>
  <si>
    <t>204:156</t>
  </si>
  <si>
    <t>204:444</t>
  </si>
  <si>
    <t>204:136</t>
  </si>
  <si>
    <t>204:161</t>
  </si>
  <si>
    <t>204:233000</t>
  </si>
  <si>
    <t>204:169</t>
  </si>
  <si>
    <t>rtdc.l.rtdc.4015:itc</t>
  </si>
  <si>
    <t>SWITCH UNKNOWN</t>
  </si>
  <si>
    <t>Track device (7)</t>
  </si>
  <si>
    <t>rtdc.l.rtdc.4023:itc</t>
  </si>
  <si>
    <t>rtdc.l.rtdc.4024:itc</t>
  </si>
  <si>
    <t>204:233312</t>
  </si>
  <si>
    <t>204:232984</t>
  </si>
  <si>
    <t>204:438</t>
  </si>
  <si>
    <t>300:23304</t>
  </si>
  <si>
    <t>Early arrival</t>
  </si>
  <si>
    <t>SIGNAL</t>
  </si>
  <si>
    <t>Signal based authority (5)</t>
  </si>
  <si>
    <t>rtdc.l.rtdc.4001:itc</t>
  </si>
  <si>
    <t>STARKS</t>
  </si>
  <si>
    <t>ANGELINA</t>
  </si>
  <si>
    <t>ROCHA</t>
  </si>
  <si>
    <t>YAOTL</t>
  </si>
  <si>
    <t>CLARK</t>
  </si>
  <si>
    <t>KATHLEEN</t>
  </si>
  <si>
    <t>Mostly Cloudy</t>
  </si>
  <si>
    <t>204:469</t>
  </si>
  <si>
    <t>204:233311</t>
  </si>
  <si>
    <t>204:232981</t>
  </si>
  <si>
    <t>204:165</t>
  </si>
  <si>
    <t>204:974</t>
  </si>
  <si>
    <t>300:58634</t>
  </si>
  <si>
    <t>300:58944</t>
  </si>
  <si>
    <t>rtdc.l.rtdc.4039:itc</t>
  </si>
  <si>
    <t>4023-18</t>
  </si>
  <si>
    <t>243-18</t>
  </si>
  <si>
    <t>rtdc.l.rtdc.4040:itc</t>
  </si>
  <si>
    <t>LOZA</t>
  </si>
  <si>
    <t>FIDEL</t>
  </si>
  <si>
    <t>YANG</t>
  </si>
  <si>
    <t>JAN</t>
  </si>
  <si>
    <t>4024-18</t>
  </si>
  <si>
    <t>240-18</t>
  </si>
  <si>
    <t>204:233317</t>
  </si>
  <si>
    <t>204:232994</t>
  </si>
  <si>
    <t>204:451</t>
  </si>
  <si>
    <t>204:233301</t>
  </si>
  <si>
    <t>204:233325</t>
  </si>
  <si>
    <t>204:232971</t>
  </si>
  <si>
    <t>204:232959</t>
  </si>
  <si>
    <t>204:437</t>
  </si>
  <si>
    <t>204:233284</t>
  </si>
  <si>
    <t>300:23346</t>
  </si>
  <si>
    <t>300:58948</t>
  </si>
  <si>
    <t>300:58636</t>
  </si>
  <si>
    <t>204:677</t>
  </si>
  <si>
    <t>204:696</t>
  </si>
  <si>
    <t>rtdc.l.rtdc.4007:itc</t>
  </si>
  <si>
    <t>rtdc.l.rtdc.4032:itc</t>
  </si>
  <si>
    <t>SPECTOR</t>
  </si>
  <si>
    <t>BADERTSCHER</t>
  </si>
  <si>
    <t>DIANE</t>
  </si>
  <si>
    <t>YANAI</t>
  </si>
  <si>
    <t>IAN</t>
  </si>
  <si>
    <t>DELGADO</t>
  </si>
  <si>
    <t>DIANAH</t>
  </si>
  <si>
    <t>LOPES</t>
  </si>
  <si>
    <t>KIMBERLY</t>
  </si>
  <si>
    <t>BRUDER</t>
  </si>
  <si>
    <t>RICHARD</t>
  </si>
  <si>
    <t>precipType</t>
  </si>
  <si>
    <t>rain</t>
  </si>
  <si>
    <t>Drizzle</t>
  </si>
  <si>
    <t>204:232985</t>
  </si>
  <si>
    <t>204:232982</t>
  </si>
  <si>
    <t>204:127</t>
  </si>
  <si>
    <t>204:233297</t>
  </si>
  <si>
    <t>204:233303</t>
  </si>
  <si>
    <t>204:232973</t>
  </si>
  <si>
    <t>204:233006</t>
  </si>
  <si>
    <t>204:233282</t>
  </si>
  <si>
    <t>204:232975</t>
  </si>
  <si>
    <t>204:132</t>
  </si>
  <si>
    <t>204:181</t>
  </si>
  <si>
    <t>300:58960</t>
  </si>
  <si>
    <t>300:58626</t>
  </si>
  <si>
    <t>204:981</t>
  </si>
  <si>
    <t>300:58632</t>
  </si>
  <si>
    <t>204:689</t>
  </si>
  <si>
    <t>204:233347</t>
  </si>
  <si>
    <t>300:58956</t>
  </si>
  <si>
    <t>300:58641</t>
  </si>
  <si>
    <t>204:694</t>
  </si>
  <si>
    <t>204:983</t>
  </si>
  <si>
    <t>204:699</t>
  </si>
  <si>
    <t>300:58615</t>
  </si>
  <si>
    <t>Wi-MAX data drop</t>
  </si>
  <si>
    <t>rtdc.l.rtdc.4002:itc</t>
  </si>
  <si>
    <t>rtdc.l.rtdc.4043:itc</t>
  </si>
  <si>
    <t>COOLAHAN</t>
  </si>
  <si>
    <t>JOHN</t>
  </si>
  <si>
    <t>BEAM</t>
  </si>
  <si>
    <t>ROSS</t>
  </si>
  <si>
    <t>WHITED</t>
  </si>
  <si>
    <t>DUSTIN</t>
  </si>
  <si>
    <t>THOMPSON</t>
  </si>
  <si>
    <t>LESTER</t>
  </si>
  <si>
    <t>THOMAS</t>
  </si>
  <si>
    <t>PERKINS</t>
  </si>
  <si>
    <t>DARREN</t>
  </si>
  <si>
    <t>rtdc.l.rtdc.4044:itc</t>
  </si>
  <si>
    <t>HOLCOMB</t>
  </si>
  <si>
    <t>KAMDEN</t>
  </si>
  <si>
    <t>242-20</t>
  </si>
  <si>
    <t>309-20</t>
  </si>
  <si>
    <t>244-20</t>
  </si>
  <si>
    <t>311-20</t>
  </si>
  <si>
    <t>313-20</t>
  </si>
  <si>
    <t>302-21</t>
  </si>
  <si>
    <t>Light Rain</t>
  </si>
  <si>
    <t>204:233314</t>
  </si>
  <si>
    <t>204:746</t>
  </si>
  <si>
    <t>204:167</t>
  </si>
  <si>
    <t>204:233274</t>
  </si>
  <si>
    <t>204:233304</t>
  </si>
  <si>
    <t>204:233289</t>
  </si>
  <si>
    <t>204:464</t>
  </si>
  <si>
    <t>204:233302</t>
  </si>
  <si>
    <t>204:233003</t>
  </si>
  <si>
    <t>204:233310</t>
  </si>
  <si>
    <t>204:174</t>
  </si>
  <si>
    <t>204:232955</t>
  </si>
  <si>
    <t>204:482</t>
  </si>
  <si>
    <t>204:233280</t>
  </si>
  <si>
    <t>204:233328</t>
  </si>
  <si>
    <t>204:232979</t>
  </si>
  <si>
    <t>204:232986</t>
  </si>
  <si>
    <t>204:233319</t>
  </si>
  <si>
    <t>204:233320</t>
  </si>
  <si>
    <t>204:233374</t>
  </si>
  <si>
    <t>300:23306</t>
  </si>
  <si>
    <t>204:1477</t>
  </si>
  <si>
    <t>300:58963</t>
  </si>
  <si>
    <t>300:58645</t>
  </si>
  <si>
    <t>204:986</t>
  </si>
  <si>
    <t>300:58984</t>
  </si>
  <si>
    <t>300:58643</t>
  </si>
  <si>
    <t>204:698</t>
  </si>
  <si>
    <t>300:58967</t>
  </si>
  <si>
    <t>204:691</t>
  </si>
  <si>
    <t>204:969</t>
  </si>
  <si>
    <t>300:58971</t>
  </si>
  <si>
    <t>start /low /b %USERPROFILE%\Documents\GitHub\eaglep3\Utilities\DownloadLogsFromS3.py --loco 4030 --day 2017-04-21</t>
  </si>
  <si>
    <t>Overspeed</t>
  </si>
  <si>
    <t>101-21</t>
  </si>
  <si>
    <t>310-21</t>
  </si>
  <si>
    <t>rtdc.l.rtdc.4056:itc</t>
  </si>
  <si>
    <t>901-21</t>
  </si>
  <si>
    <t>116-21</t>
  </si>
  <si>
    <t>TEMPORARY SPEED RESTRICTION</t>
  </si>
  <si>
    <t>804-21</t>
  </si>
  <si>
    <t>811-21</t>
  </si>
  <si>
    <t>136-21</t>
  </si>
  <si>
    <t>145-21</t>
  </si>
  <si>
    <t>142-21</t>
  </si>
  <si>
    <t>814-21</t>
  </si>
  <si>
    <t>140-21</t>
  </si>
  <si>
    <t>146-21</t>
  </si>
  <si>
    <t>148-21</t>
  </si>
  <si>
    <t>816-21</t>
  </si>
  <si>
    <t>rtdc.l.rtdc.4064:itc</t>
  </si>
  <si>
    <t>50-21</t>
  </si>
  <si>
    <t>171-21</t>
  </si>
  <si>
    <t>820-21</t>
  </si>
  <si>
    <t>164-21</t>
  </si>
  <si>
    <t>166-21</t>
  </si>
  <si>
    <t>821-21</t>
  </si>
  <si>
    <t>170-21</t>
  </si>
  <si>
    <t>176-21</t>
  </si>
  <si>
    <t>824-21</t>
  </si>
  <si>
    <t>189-21</t>
  </si>
  <si>
    <t>rtdc.l.rtdc.4055:itc</t>
  </si>
  <si>
    <t>904-21</t>
  </si>
  <si>
    <t>195-21</t>
  </si>
  <si>
    <t>188-21</t>
  </si>
  <si>
    <t>203-21</t>
  </si>
  <si>
    <t>198-21</t>
  </si>
  <si>
    <t>303-21</t>
  </si>
  <si>
    <t>838-21</t>
  </si>
  <si>
    <t>217-21</t>
  </si>
  <si>
    <t>222-21</t>
  </si>
  <si>
    <t>233-21</t>
  </si>
  <si>
    <t>236-21</t>
  </si>
  <si>
    <t>80-21</t>
  </si>
  <si>
    <t>241-21</t>
  </si>
  <si>
    <t>304-21</t>
  </si>
  <si>
    <t>DAVIS</t>
  </si>
  <si>
    <t>WENDY</t>
  </si>
  <si>
    <t>103-21</t>
  </si>
  <si>
    <t>306-21</t>
  </si>
  <si>
    <t>308-21</t>
  </si>
  <si>
    <t>105-21</t>
  </si>
  <si>
    <t>ROBINSON</t>
  </si>
  <si>
    <t>KADDIBA</t>
  </si>
  <si>
    <t>102-21</t>
  </si>
  <si>
    <t>107-21</t>
  </si>
  <si>
    <t>104-21</t>
  </si>
  <si>
    <t>109-21</t>
  </si>
  <si>
    <t>ZEWDU</t>
  </si>
  <si>
    <t>DEREJE</t>
  </si>
  <si>
    <t>111-21</t>
  </si>
  <si>
    <t>BIRENBAUM</t>
  </si>
  <si>
    <t>rtdc.l.rtdc.4016:itc</t>
  </si>
  <si>
    <t>113-21</t>
  </si>
  <si>
    <t>106-21</t>
  </si>
  <si>
    <t>108-21</t>
  </si>
  <si>
    <t>800-21</t>
  </si>
  <si>
    <t>115-21</t>
  </si>
  <si>
    <t>801-21</t>
  </si>
  <si>
    <t>117-21</t>
  </si>
  <si>
    <t>110-21</t>
  </si>
  <si>
    <t>112-21</t>
  </si>
  <si>
    <t>902-21</t>
  </si>
  <si>
    <t>119-21</t>
  </si>
  <si>
    <t>114-21</t>
  </si>
  <si>
    <t>51-21</t>
  </si>
  <si>
    <t>802-21</t>
  </si>
  <si>
    <t>121-21</t>
  </si>
  <si>
    <t>803-21</t>
  </si>
  <si>
    <t>123-21</t>
  </si>
  <si>
    <t>805-21</t>
  </si>
  <si>
    <t>118-21</t>
  </si>
  <si>
    <t>125-21</t>
  </si>
  <si>
    <t>120-21</t>
  </si>
  <si>
    <t>127-21</t>
  </si>
  <si>
    <t>806-21</t>
  </si>
  <si>
    <t>122-21</t>
  </si>
  <si>
    <t>129-21</t>
  </si>
  <si>
    <t>807-21</t>
  </si>
  <si>
    <t>124-21</t>
  </si>
  <si>
    <t>131-21</t>
  </si>
  <si>
    <t>809-21</t>
  </si>
  <si>
    <t>126-21</t>
  </si>
  <si>
    <t>808-21</t>
  </si>
  <si>
    <t>133-21</t>
  </si>
  <si>
    <t>128-21</t>
  </si>
  <si>
    <t>135-21</t>
  </si>
  <si>
    <t>810-21</t>
  </si>
  <si>
    <t>130-21</t>
  </si>
  <si>
    <t>137-21</t>
  </si>
  <si>
    <t>132-21</t>
  </si>
  <si>
    <t>139-21</t>
  </si>
  <si>
    <t>903-21</t>
  </si>
  <si>
    <t>812-21</t>
  </si>
  <si>
    <t>134-21</t>
  </si>
  <si>
    <t>141-21</t>
  </si>
  <si>
    <t>143-21</t>
  </si>
  <si>
    <t>138-21</t>
  </si>
  <si>
    <t>813-21</t>
  </si>
  <si>
    <t>147-21</t>
  </si>
  <si>
    <t>149-21</t>
  </si>
  <si>
    <t>151-21</t>
  </si>
  <si>
    <t>ACKERMAN</t>
  </si>
  <si>
    <t>JARED</t>
  </si>
  <si>
    <t>144-21</t>
  </si>
  <si>
    <t>153-21</t>
  </si>
  <si>
    <t>815-21</t>
  </si>
  <si>
    <t>rtdc.l.rtdc.4063:itc</t>
  </si>
  <si>
    <t>53-21</t>
  </si>
  <si>
    <t>STEWART</t>
  </si>
  <si>
    <t>155-21</t>
  </si>
  <si>
    <t>150-21</t>
  </si>
  <si>
    <t>157-21</t>
  </si>
  <si>
    <t>54-21</t>
  </si>
  <si>
    <t>DE LA ROSA</t>
  </si>
  <si>
    <t>ALEX</t>
  </si>
  <si>
    <t>152-21</t>
  </si>
  <si>
    <t>159-21</t>
  </si>
  <si>
    <t>154-21</t>
  </si>
  <si>
    <t>156-21</t>
  </si>
  <si>
    <t>161-21</t>
  </si>
  <si>
    <t>ROMERO</t>
  </si>
  <si>
    <t>CHAD</t>
  </si>
  <si>
    <t>817-21</t>
  </si>
  <si>
    <t>158-21</t>
  </si>
  <si>
    <t>163-21</t>
  </si>
  <si>
    <t>818-21</t>
  </si>
  <si>
    <t>165-21</t>
  </si>
  <si>
    <t>160-21</t>
  </si>
  <si>
    <t>167-21</t>
  </si>
  <si>
    <t>LAMAR</t>
  </si>
  <si>
    <t>NEKESHA</t>
  </si>
  <si>
    <t>162-21</t>
  </si>
  <si>
    <t>169-21</t>
  </si>
  <si>
    <t>819-21</t>
  </si>
  <si>
    <t>GRASTON</t>
  </si>
  <si>
    <t>MATHEU</t>
  </si>
  <si>
    <t>173-21</t>
  </si>
  <si>
    <t>181-21</t>
  </si>
  <si>
    <t>168-21</t>
  </si>
  <si>
    <t>175-21</t>
  </si>
  <si>
    <t>177-21</t>
  </si>
  <si>
    <t>172-21</t>
  </si>
  <si>
    <t>179-21</t>
  </si>
  <si>
    <t>822-21</t>
  </si>
  <si>
    <t>174-21</t>
  </si>
  <si>
    <t>183-21</t>
  </si>
  <si>
    <t>823-21</t>
  </si>
  <si>
    <t>178-21</t>
  </si>
  <si>
    <t>185-21</t>
  </si>
  <si>
    <t>180-21</t>
  </si>
  <si>
    <t>187-21</t>
  </si>
  <si>
    <t>182-21</t>
  </si>
  <si>
    <t>184-21</t>
  </si>
  <si>
    <t>186-21</t>
  </si>
  <si>
    <t>191-21</t>
  </si>
  <si>
    <t>193-21</t>
  </si>
  <si>
    <t>825-21</t>
  </si>
  <si>
    <t>190-21</t>
  </si>
  <si>
    <t>826-21</t>
  </si>
  <si>
    <t>197-21</t>
  </si>
  <si>
    <t>827-21</t>
  </si>
  <si>
    <t>192-21</t>
  </si>
  <si>
    <t>199-21</t>
  </si>
  <si>
    <t>194-21</t>
  </si>
  <si>
    <t>829-21</t>
  </si>
  <si>
    <t>828-21</t>
  </si>
  <si>
    <t>201-21</t>
  </si>
  <si>
    <t>196-21</t>
  </si>
  <si>
    <t>831-21</t>
  </si>
  <si>
    <t>830-21</t>
  </si>
  <si>
    <t>205-21</t>
  </si>
  <si>
    <t>200-21</t>
  </si>
  <si>
    <t>55-21</t>
  </si>
  <si>
    <t>207-21</t>
  </si>
  <si>
    <t>202-21</t>
  </si>
  <si>
    <t>832-21</t>
  </si>
  <si>
    <t>209-21</t>
  </si>
  <si>
    <t>204-21</t>
  </si>
  <si>
    <t>833-21</t>
  </si>
  <si>
    <t>211-21</t>
  </si>
  <si>
    <t>835-21</t>
  </si>
  <si>
    <t>DAVIDSON</t>
  </si>
  <si>
    <t>DAVID</t>
  </si>
  <si>
    <t>206-21</t>
  </si>
  <si>
    <t>834-21</t>
  </si>
  <si>
    <t>213-21</t>
  </si>
  <si>
    <t>59-21</t>
  </si>
  <si>
    <t>BRANDNER</t>
  </si>
  <si>
    <t>MELINDA</t>
  </si>
  <si>
    <t>70-21</t>
  </si>
  <si>
    <t>SAFIEF</t>
  </si>
  <si>
    <t>AEIMEN</t>
  </si>
  <si>
    <t>208-21</t>
  </si>
  <si>
    <t>215-21</t>
  </si>
  <si>
    <t>210-21</t>
  </si>
  <si>
    <t>836-21</t>
  </si>
  <si>
    <t>837-21</t>
  </si>
  <si>
    <t>212-21</t>
  </si>
  <si>
    <t>219-21</t>
  </si>
  <si>
    <t>MAGEE</t>
  </si>
  <si>
    <t>KENYA</t>
  </si>
  <si>
    <t>214-21</t>
  </si>
  <si>
    <t>839-21</t>
  </si>
  <si>
    <t>216-21</t>
  </si>
  <si>
    <t>221-21</t>
  </si>
  <si>
    <t>218-21</t>
  </si>
  <si>
    <t>305-21</t>
  </si>
  <si>
    <t>906-21</t>
  </si>
  <si>
    <t>841-21</t>
  </si>
  <si>
    <t>220-21</t>
  </si>
  <si>
    <t>223-21</t>
  </si>
  <si>
    <t>307-21</t>
  </si>
  <si>
    <t>840-21</t>
  </si>
  <si>
    <t>225-21</t>
  </si>
  <si>
    <t>81-21</t>
  </si>
  <si>
    <t>224-21</t>
  </si>
  <si>
    <t>843-21</t>
  </si>
  <si>
    <t>227-21</t>
  </si>
  <si>
    <t>842-21</t>
  </si>
  <si>
    <t>226-21</t>
  </si>
  <si>
    <t>229-21</t>
  </si>
  <si>
    <t>845-21</t>
  </si>
  <si>
    <t>231-21</t>
  </si>
  <si>
    <t>228-21</t>
  </si>
  <si>
    <t>844-21</t>
  </si>
  <si>
    <t>230-21</t>
  </si>
  <si>
    <t>847-21</t>
  </si>
  <si>
    <t>232-21</t>
  </si>
  <si>
    <t>235-21</t>
  </si>
  <si>
    <t>908-21</t>
  </si>
  <si>
    <t>234-21</t>
  </si>
  <si>
    <t>237-21</t>
  </si>
  <si>
    <t>239-21</t>
  </si>
  <si>
    <t>238-21</t>
  </si>
  <si>
    <t>240-21</t>
  </si>
  <si>
    <t>243-21</t>
  </si>
  <si>
    <t>245-21</t>
  </si>
  <si>
    <t>242-21</t>
  </si>
  <si>
    <t>309-21</t>
  </si>
  <si>
    <t>244-21</t>
  </si>
  <si>
    <t>311-21</t>
  </si>
  <si>
    <t>246-21</t>
  </si>
  <si>
    <t>313-21</t>
  </si>
  <si>
    <t>315-21</t>
  </si>
  <si>
    <t>cloudy</t>
  </si>
  <si>
    <t>Overcast</t>
  </si>
  <si>
    <t>204:64773</t>
  </si>
  <si>
    <t>204:774</t>
  </si>
  <si>
    <t>204:37254</t>
  </si>
  <si>
    <t>204:232671</t>
  </si>
  <si>
    <t>204:759</t>
  </si>
  <si>
    <t>204:232685</t>
  </si>
  <si>
    <t>204:757</t>
  </si>
  <si>
    <t>204:232700</t>
  </si>
  <si>
    <t>204:233308</t>
  </si>
  <si>
    <t>204:125</t>
  </si>
  <si>
    <t>204:433</t>
  </si>
  <si>
    <t>204:232996</t>
  </si>
  <si>
    <t>204:761</t>
  </si>
  <si>
    <t>204:770</t>
  </si>
  <si>
    <t>204:486</t>
  </si>
  <si>
    <t>204:232987</t>
  </si>
  <si>
    <t>204:233309</t>
  </si>
  <si>
    <t>204:232990</t>
  </si>
  <si>
    <t>204:233010</t>
  </si>
  <si>
    <t>204:233321</t>
  </si>
  <si>
    <t>204:18761</t>
  </si>
  <si>
    <t>204:69798</t>
  </si>
  <si>
    <t>204:36796</t>
  </si>
  <si>
    <t>204:1167</t>
  </si>
  <si>
    <t>204:64155</t>
  </si>
  <si>
    <t>204:63593</t>
  </si>
  <si>
    <t>204:233283</t>
  </si>
  <si>
    <t>204:233232</t>
  </si>
  <si>
    <t>204:233004</t>
  </si>
  <si>
    <t>204:1479</t>
  </si>
  <si>
    <t>204:233001</t>
  </si>
  <si>
    <t>204:233272</t>
  </si>
  <si>
    <t>204:233385</t>
  </si>
  <si>
    <t>204:233017</t>
  </si>
  <si>
    <t>204:232946</t>
  </si>
  <si>
    <t>204:229</t>
  </si>
  <si>
    <t>204:233359</t>
  </si>
  <si>
    <t>204:233355</t>
  </si>
  <si>
    <t>204:233030</t>
  </si>
  <si>
    <t>204:233036</t>
  </si>
  <si>
    <t>204:233266</t>
  </si>
  <si>
    <t>204:232926</t>
  </si>
  <si>
    <t>204:233072</t>
  </si>
  <si>
    <t>204:515</t>
  </si>
  <si>
    <t>204:233300</t>
  </si>
  <si>
    <t>204:233288</t>
  </si>
  <si>
    <t>204:233364</t>
  </si>
  <si>
    <t>204:233057</t>
  </si>
  <si>
    <t>204:471</t>
  </si>
  <si>
    <t>204:180</t>
  </si>
  <si>
    <t>204:232991</t>
  </si>
  <si>
    <t>204:233276</t>
  </si>
  <si>
    <t>204:4488</t>
  </si>
  <si>
    <t>204:429</t>
  </si>
  <si>
    <t>204:233077</t>
  </si>
  <si>
    <t>204:233382</t>
  </si>
  <si>
    <t>204:233055</t>
  </si>
  <si>
    <t>204:489</t>
  </si>
  <si>
    <t>204:176</t>
  </si>
  <si>
    <t>204:233380</t>
  </si>
  <si>
    <t>204:233068</t>
  </si>
  <si>
    <t>204:431</t>
  </si>
  <si>
    <t>204:233025</t>
  </si>
  <si>
    <t>204:233393</t>
  </si>
  <si>
    <t>204:233079</t>
  </si>
  <si>
    <t>204:116</t>
  </si>
  <si>
    <t>204:233357</t>
  </si>
  <si>
    <t>204:233008</t>
  </si>
  <si>
    <t>204:233322</t>
  </si>
  <si>
    <t>204:426</t>
  </si>
  <si>
    <t>204:19136</t>
  </si>
  <si>
    <t>204:233329</t>
  </si>
  <si>
    <t>204:1404</t>
  </si>
  <si>
    <t>204:154418</t>
  </si>
  <si>
    <t>204:477</t>
  </si>
  <si>
    <t>204:136688</t>
  </si>
  <si>
    <t>204:233331</t>
  </si>
  <si>
    <t>204:233023</t>
  </si>
  <si>
    <t>204:427</t>
  </si>
  <si>
    <t>204:233387</t>
  </si>
  <si>
    <t>204:233085</t>
  </si>
  <si>
    <t>204:233013</t>
  </si>
  <si>
    <t>204:233412</t>
  </si>
  <si>
    <t>204:233104</t>
  </si>
  <si>
    <t>204:232960</t>
  </si>
  <si>
    <t>300:22698</t>
  </si>
  <si>
    <t>300:22584</t>
  </si>
  <si>
    <t>300:23589</t>
  </si>
  <si>
    <t>204:123</t>
  </si>
  <si>
    <t>300:23466</t>
  </si>
  <si>
    <t>300:23324</t>
  </si>
  <si>
    <t>300:23519</t>
  </si>
  <si>
    <t>204:448</t>
  </si>
  <si>
    <t>300:24216</t>
  </si>
  <si>
    <t>204:3249</t>
  </si>
  <si>
    <t>204:1169</t>
  </si>
  <si>
    <t>204:3572</t>
  </si>
  <si>
    <t>300:22166</t>
  </si>
  <si>
    <t>204:645</t>
  </si>
  <si>
    <t>204:3300</t>
  </si>
  <si>
    <t>204:144</t>
  </si>
  <si>
    <t>204:943</t>
  </si>
  <si>
    <t>204:3646</t>
  </si>
  <si>
    <t>204:3488</t>
  </si>
  <si>
    <t>204:3791</t>
  </si>
  <si>
    <t>204:1158</t>
  </si>
  <si>
    <t>300:23030</t>
  </si>
  <si>
    <t>300:23552</t>
  </si>
  <si>
    <t>204:232351</t>
  </si>
  <si>
    <t>204:189503</t>
  </si>
  <si>
    <t>204:232669</t>
  </si>
  <si>
    <t>204:188739</t>
  </si>
  <si>
    <t>204:233099</t>
  </si>
  <si>
    <t>300:23535</t>
  </si>
  <si>
    <t>204:893</t>
  </si>
  <si>
    <t>204:348</t>
  </si>
  <si>
    <t>300:23308</t>
  </si>
  <si>
    <t>300:58672</t>
  </si>
  <si>
    <t>204:706</t>
  </si>
  <si>
    <t>300:58988</t>
  </si>
  <si>
    <t>300:58666</t>
  </si>
  <si>
    <t>204:939</t>
  </si>
  <si>
    <t>300:58656</t>
  </si>
  <si>
    <t>204:673</t>
  </si>
  <si>
    <t>204:729</t>
  </si>
  <si>
    <t>300:58954</t>
  </si>
  <si>
    <t>204:643</t>
  </si>
  <si>
    <t>204:997</t>
  </si>
  <si>
    <t>300:58986</t>
  </si>
  <si>
    <t>204:1203</t>
  </si>
  <si>
    <t>204:189048</t>
  </si>
  <si>
    <t>204:232667</t>
  </si>
  <si>
    <t>204:189805</t>
  </si>
  <si>
    <t>300:58668</t>
  </si>
  <si>
    <t>204:128</t>
  </si>
  <si>
    <t>204:950</t>
  </si>
  <si>
    <t>300:58941</t>
  </si>
  <si>
    <t>204:1048</t>
  </si>
  <si>
    <t>204:827</t>
  </si>
  <si>
    <t>204:1130</t>
  </si>
  <si>
    <t>204:734</t>
  </si>
  <si>
    <t>204:1002</t>
  </si>
  <si>
    <t>204:1035</t>
  </si>
  <si>
    <t>300:58660</t>
  </si>
  <si>
    <t>204:927</t>
  </si>
  <si>
    <t>300:58943</t>
  </si>
  <si>
    <t>300:58623</t>
  </si>
  <si>
    <t>204:647</t>
  </si>
  <si>
    <t>204:990</t>
  </si>
  <si>
    <t>300:58946</t>
  </si>
  <si>
    <t>204:941</t>
  </si>
  <si>
    <t>300:58935</t>
  </si>
  <si>
    <t>300:58613</t>
  </si>
  <si>
    <t>204:971</t>
  </si>
  <si>
    <t>300:58640</t>
  </si>
  <si>
    <t>204:978</t>
  </si>
  <si>
    <t>300:58950</t>
  </si>
  <si>
    <t>300:58658</t>
  </si>
  <si>
    <t>204:1011</t>
  </si>
  <si>
    <t>204:682</t>
  </si>
  <si>
    <t>300:58914</t>
  </si>
  <si>
    <t>300:29851</t>
  </si>
  <si>
    <t>300:23555</t>
  </si>
  <si>
    <t>204:428</t>
  </si>
  <si>
    <t>300:24244</t>
  </si>
  <si>
    <t>300:23357</t>
  </si>
  <si>
    <t>204:649</t>
  </si>
  <si>
    <t>300:28763</t>
  </si>
  <si>
    <t>300:58611</t>
  </si>
  <si>
    <t>300:21263</t>
  </si>
  <si>
    <t>300:21479</t>
  </si>
  <si>
    <t>300:23070</t>
  </si>
  <si>
    <t>start /low /b %USERPROFILE%\Documents\GitHub\eaglep3\Utilities\DownloadLogsFromS3.py --loco 4032 --day 2017-04-21</t>
  </si>
  <si>
    <t>start /low /b %USERPROFILE%\Documents\GitHub\eaglep3\Utilities\DownloadLogsFromS3.py --loco 4023 --day 2017-04-21</t>
  </si>
  <si>
    <t>start /low /b %USERPROFILE%\Documents\GitHub\eaglep3\Utilities\DownloadLogsFromS3.py --loco 4031 --day 2017-04-21</t>
  </si>
  <si>
    <t>start /low /b %USERPROFILE%\Documents\GitHub\eaglep3\Utilities\DownloadLogsFromS3.py --loco 4016 --day 1969-12-31</t>
  </si>
  <si>
    <t>start /low /b %USERPROFILE%\Documents\GitHub\eaglep3\Utilities\DownloadLogsFromS3.py --loco 4015 --day 2017-04-21</t>
  </si>
  <si>
    <t>start /low /b %USERPROFILE%\Documents\GitHub\eaglep3\Utilities\DownloadLogsFromS3.py --loco 4002 --day 2017-04-21</t>
  </si>
  <si>
    <t>start /low /b %USERPROFILE%\Documents\GitHub\eaglep3\Utilities\DownloadLogsFromS3.py --loco 4024 --day 2017-04-21</t>
  </si>
  <si>
    <t>start /low /b %USERPROFILE%\Documents\GitHub\eaglep3\Utilities\DownloadLogsFromS3.py --loco 4039 --day 2017-04-21</t>
  </si>
  <si>
    <t>start /low /b %USERPROFILE%\Documents\GitHub\eaglep3\Utilities\DownloadLogsFromS3.py --loco 4040 --day 2017-04-21</t>
  </si>
  <si>
    <t>start /low /b %USERPROFILE%\Documents\GitHub\eaglep3\Utilities\DownloadLogsFromS3.py --loco 4003 --day 2017-04-21</t>
  </si>
  <si>
    <t>start /low /b %USERPROFILE%\Documents\GitHub\eaglep3\Utilities\DownloadLogsFromS3.py --loco 4044 --day 2017-04-21</t>
  </si>
  <si>
    <t>start /low /b %USERPROFILE%\Documents\GitHub\eaglep3\Utilities\DownloadLogsFromS3.py --loco 4001 --day 2017-04-21</t>
  </si>
  <si>
    <t>start /low /b %USERPROFILE%\Documents\GitHub\eaglep3\Utilities\DownloadLogsFromS3.py --loco 4001 --day 2017-04-22</t>
  </si>
  <si>
    <t>start /low /b %USERPROFILE%\Documents\GitHub\eaglep3\Utilities\DownloadLogsFromS3.py --loco 4004 --day 2017-04-21</t>
  </si>
  <si>
    <t>start /low /b %USERPROFILE%\Documents\GitHub\eaglep3\Utilities\DownloadLogsFromS3.py --loco 4043 --day 2017-04-21</t>
  </si>
  <si>
    <t>start /low /b %USERPROFILE%\Documents\GitHub\eaglep3\Utilities\DownloadLogsFromS3.py --loco 4045 --day 2017-04-21</t>
  </si>
  <si>
    <t>start /low /b %USERPROFILE%\Documents\GitHub\eaglep3\Utilities\DownloadLogsFromS3.py --loco 4023 --day 2017-04-22</t>
  </si>
  <si>
    <t>start /low /b %USERPROFILE%\Documents\GitHub\eaglep3\Utilities\DownloadLogsFromS3.py --loco 4004 --day 2017-04-22</t>
  </si>
  <si>
    <t>start /low /b %USERPROFILE%\Documents\GitHub\eaglep3\Utilities\DownloadLogsFromS3.py --loco 4029 --day 2017-04-22</t>
  </si>
  <si>
    <t>start /low /b %USERPROFILE%\Documents\GitHub\eaglep3\Utilities\DownloadLogsFromS3.py --loco 4029 --day 2017-04-21</t>
  </si>
  <si>
    <t>Issues canceling PSS in TMDS</t>
  </si>
  <si>
    <t>Maintenance at CP Sand Creek</t>
  </si>
  <si>
    <t>Onboard in-route failure</t>
  </si>
  <si>
    <t>Delayed by onboard in-route failure</t>
  </si>
  <si>
    <t>Selected wrong track</t>
  </si>
  <si>
    <t>http://stevetu21.github.io/eaglep3/load_kml.html?kml=http://rtdc.gmaps-snips.s3.amazonaws.com/ab562817-f69e-4754-8282-82e37d263802.kml</t>
  </si>
  <si>
    <t>ELX failure at ML0508</t>
  </si>
  <si>
    <t>http://stevetu21.github.io/eaglep3/load_kml.html?kml=http://rtdc.gmaps-snips.s3.amazonaws.com/3ff1f32f-5bdc-47ba-b7f7-7dd5a28a4e90.kml</t>
  </si>
  <si>
    <t>Went active too close to signal</t>
  </si>
  <si>
    <t>http://stevetu21.github.io/eaglep3/load_kml.html?kml=http://rtdc.gmaps-snips.s3.amazonaws.com/dc5f2777-e025-48e0-8ce8-95ce016fe2f7.kml</t>
  </si>
  <si>
    <t>Wheel tach slip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</si>
</sst>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0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0" fillId="0" borderId="5" xfId="0" applyNumberFormat="1" applyFill="1" applyBorder="1"/>
    <xf numFmtId="169" fontId="0" fillId="0" borderId="0" xfId="0" applyNumberFormat="1" applyBorder="1"/>
    <xf numFmtId="169" fontId="1" fillId="0" borderId="0" xfId="0" applyNumberFormat="1" applyFon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1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0"/>
  <sheetViews>
    <sheetView tabSelected="1" topLeftCell="A33" zoomScaleNormal="100" workbookViewId="0">
      <selection activeCell="V51" sqref="V5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74" customWidth="1"/>
    <col min="22" max="22" width="5.7109375" style="194" customWidth="1"/>
    <col min="23" max="23" width="3.85546875" style="175" customWidth="1"/>
    <col min="24" max="24" width="6.5703125" style="175" customWidth="1"/>
    <col min="25" max="25" width="11.5703125" style="175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47"/>
  </cols>
  <sheetData>
    <row r="1" spans="1:91" s="20" customFormat="1" ht="15.75" thickBot="1" x14ac:dyDescent="0.3">
      <c r="A1" s="35" t="s">
        <v>422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4"/>
      <c r="Y1" s="175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47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42846</v>
      </c>
      <c r="S2" s="66"/>
      <c r="T2" s="67"/>
      <c r="U2" s="176"/>
      <c r="V2" s="177" t="s">
        <v>8</v>
      </c>
      <c r="W2" s="178"/>
      <c r="X2" s="179"/>
      <c r="Y2" s="175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47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0"/>
      <c r="V3" s="181" t="s">
        <v>11</v>
      </c>
      <c r="W3" s="182" t="s">
        <v>12</v>
      </c>
      <c r="X3" s="183" t="s">
        <v>13</v>
      </c>
      <c r="Y3" s="175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47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4"/>
      <c r="V4" s="181" t="s">
        <v>15</v>
      </c>
      <c r="W4" s="182" t="s">
        <v>15</v>
      </c>
      <c r="X4" s="183" t="s">
        <v>15</v>
      </c>
      <c r="Y4" s="175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47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COUNTIFS($N$13:$N$9319,"&gt;0",$AG$13:$AG$9319,I1)</f>
        <v>138</v>
      </c>
      <c r="K5" s="40"/>
      <c r="L5" s="40"/>
      <c r="M5" s="41">
        <f>AVERAGEIFS($N$13:$N$9319,$AG$13:$AG$9319,I1)</f>
        <v>38.589855072964184</v>
      </c>
      <c r="N5" s="39">
        <f t="array" ref="N5">MIN(IF($AG$13:$AG$9319=I1,IF(ISNUMBER($N$13:$N$9319),IF($N$13:$N$9319&gt;0,$N$13:$N$9319))))</f>
        <v>34.65000000083819</v>
      </c>
      <c r="O5" s="3">
        <f t="array" ref="O5">MAX(IF($AG$13:$AG$9319=I1,IF(ISNUMBER($N$13:$N$9319),IF($N$13:$N$9319&gt;0,$N$13:$N$9319))))</f>
        <v>56.266666670562699</v>
      </c>
      <c r="P5" s="2"/>
      <c r="R5" s="74" t="s">
        <v>17</v>
      </c>
      <c r="S5" s="50">
        <f>COUNTIFS($N$13:$N$9319,"&gt;0",$AG$13:$AG$9319,R1)</f>
        <v>47</v>
      </c>
      <c r="T5" s="40"/>
      <c r="U5" s="184"/>
      <c r="V5" s="181">
        <f>AVERAGEIFS($N$13:$N$9319,$AG$13:$AG$9319,R1)</f>
        <v>15.361347518009232</v>
      </c>
      <c r="W5" s="182">
        <f t="array" ref="W5">MIN(IF($AG$13:$AG$9319=R1,IF(ISNUMBER($N$13:$N$9319),IF($N$13:$N$9319&gt;0,$N$13:$N$9319))))</f>
        <v>12.466666668187827</v>
      </c>
      <c r="X5" s="183">
        <f t="array" ref="X5">MAX(IF($AG$13:$AG$9319=R1,IF(ISNUMBER($N$13:$N$9319),IF($N$13:$N$9319&gt;0,$N$13:$N$9319))))</f>
        <v>24.666666659759358</v>
      </c>
      <c r="Y5" s="175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47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COUNT($O$13:$O$107)</f>
        <v>0</v>
      </c>
      <c r="K6" s="40"/>
      <c r="L6" s="40"/>
      <c r="M6" s="41">
        <f>IFERROR(AVERAGE($O$13:$O$107),0)</f>
        <v>0</v>
      </c>
      <c r="N6" s="39">
        <f>MIN($O$13:$O$107)</f>
        <v>0</v>
      </c>
      <c r="O6" s="3">
        <f>MAX($O$13:$O$107)</f>
        <v>0</v>
      </c>
      <c r="P6" s="2"/>
      <c r="R6" s="75" t="s">
        <v>43</v>
      </c>
      <c r="S6" s="50">
        <f>COUNT($O$13:$O$107)</f>
        <v>0</v>
      </c>
      <c r="T6" s="40"/>
      <c r="U6" s="184"/>
      <c r="V6" s="181">
        <f>IFERROR(AVERAGE($O$13:$O$107),0)</f>
        <v>0</v>
      </c>
      <c r="W6" s="182">
        <f>MIN($O$13:$O$107)</f>
        <v>0</v>
      </c>
      <c r="X6" s="183">
        <f>MAX($O$13:$O$107)</f>
        <v>0</v>
      </c>
      <c r="Y6" s="175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47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COUNTIFS($P$13:$P$9319,"&gt;0",$AG$13:$AG$9319,I1)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COUNTIFS($P$13:$P$9319,"&gt;0",$AG$13:$AG$9319,R1)</f>
        <v>0</v>
      </c>
      <c r="T7" s="40"/>
      <c r="U7" s="184"/>
      <c r="V7" s="181" t="s">
        <v>15</v>
      </c>
      <c r="W7" s="182" t="s">
        <v>15</v>
      </c>
      <c r="X7" s="183" t="s">
        <v>15</v>
      </c>
      <c r="Y7" s="175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47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138</v>
      </c>
      <c r="K8" s="40"/>
      <c r="L8" s="40"/>
      <c r="M8" s="41">
        <f>M5</f>
        <v>38.589855072964184</v>
      </c>
      <c r="N8" s="39">
        <f>N5</f>
        <v>34.65000000083819</v>
      </c>
      <c r="O8" s="3">
        <f>O5</f>
        <v>56.266666670562699</v>
      </c>
      <c r="P8" s="2"/>
      <c r="R8" s="74" t="s">
        <v>16</v>
      </c>
      <c r="S8" s="50">
        <f>S5</f>
        <v>47</v>
      </c>
      <c r="T8" s="40"/>
      <c r="U8" s="184"/>
      <c r="V8" s="181">
        <f>V5</f>
        <v>15.361347518009232</v>
      </c>
      <c r="W8" s="182">
        <f>W5</f>
        <v>12.466666668187827</v>
      </c>
      <c r="X8" s="183">
        <f>X5</f>
        <v>24.666666659759358</v>
      </c>
      <c r="Y8" s="175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47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0.9452054794520548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72"/>
      <c r="V9" s="185"/>
      <c r="W9" s="172"/>
      <c r="X9" s="186"/>
      <c r="Y9" s="175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47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4"/>
      <c r="V10" s="187"/>
      <c r="W10" s="175"/>
      <c r="X10" s="175"/>
      <c r="Y10" s="175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47"/>
    </row>
    <row r="11" spans="1:91" ht="16.5" thickBot="1" x14ac:dyDescent="0.3">
      <c r="A11" s="200" t="str">
        <f>"Eagle P3 System Performance - "&amp;TEXT(Variables!A2,"yyyy-mm-dd")</f>
        <v>Eagle P3 System Performance - 2017-04-21</v>
      </c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S11" s="64">
        <f>AVERAGE(S13:S79)</f>
        <v>0.96875</v>
      </c>
      <c r="V11" s="187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8" t="s">
        <v>65</v>
      </c>
      <c r="V12" s="189" t="s">
        <v>45</v>
      </c>
      <c r="W12" s="190" t="s">
        <v>23</v>
      </c>
      <c r="X12" s="190" t="s">
        <v>48</v>
      </c>
      <c r="Y12" s="190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48" t="s">
        <v>199</v>
      </c>
      <c r="AN12" s="47" t="s">
        <v>379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587</v>
      </c>
      <c r="B13" s="7">
        <v>4032</v>
      </c>
      <c r="C13" s="21" t="s">
        <v>212</v>
      </c>
      <c r="D13" s="21" t="s">
        <v>840</v>
      </c>
      <c r="E13" s="13">
        <v>42846.147893518515</v>
      </c>
      <c r="F13" s="13">
        <v>42846.148680555554</v>
      </c>
      <c r="G13" s="7">
        <v>1</v>
      </c>
      <c r="H13" s="21" t="s">
        <v>571</v>
      </c>
      <c r="I13" s="13">
        <v>42846.166388888887</v>
      </c>
      <c r="J13" s="7">
        <v>1</v>
      </c>
      <c r="K13" s="97" t="str">
        <f t="shared" ref="K13:K76" si="0">IF(ISEVEN(B13),(B13-1)&amp;"/"&amp;B13,B13&amp;"/"&amp;(B13+1))</f>
        <v>4031/4032</v>
      </c>
      <c r="L13" s="21" t="str">
        <f>VLOOKUP(A13,'Trips&amp;Operators'!$C$1:$G$99999,5,FALSE)</f>
        <v>BADERTSCHER DIANE</v>
      </c>
      <c r="M13" s="6">
        <f t="shared" ref="M13:M76" si="1">I13-F13</f>
        <v>1.7708333332848269E-2</v>
      </c>
      <c r="N13" s="7"/>
      <c r="O13" s="7"/>
      <c r="P13" s="7">
        <f>24*60*SUM($M13:$M14)</f>
        <v>46.699999999254942</v>
      </c>
      <c r="Q13" s="22"/>
      <c r="R13" s="22" t="s">
        <v>1038</v>
      </c>
      <c r="S13" s="31">
        <f>SUM(U13:U14)/IF(AG13="EC",12,1)</f>
        <v>0.5</v>
      </c>
      <c r="T13" s="46" t="str">
        <f t="shared" ref="T13:T76" si="2">IF(ISEVEN(LEFT(AD13,4)),"Southbound","NorthBound")</f>
        <v>NorthBound</v>
      </c>
      <c r="U13" s="19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192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-21T02:32:58-0600',mode:absolute,to:'2017-04-21T04:59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3" t="str">
        <f t="shared" ref="W13:W76" si="4">IF(AA13&lt;IF(AG13="EC",23,5.65),"Y","N")</f>
        <v>Y</v>
      </c>
      <c r="X13" s="193" t="e">
        <f t="shared" ref="X13:X23" si="5">VALUE(LEFT(AD13,4))-VALUE(LEFT(AD12,4))</f>
        <v>#VALUE!</v>
      </c>
      <c r="Y13" s="193">
        <f t="shared" ref="Y13:Y76" si="6">RIGHT(D13,LEN(D13)-4)/10000</f>
        <v>6.4772999999999996</v>
      </c>
      <c r="Z13" s="62">
        <f t="shared" ref="Z13:Z76" si="7">RIGHT(H13,LEN(H13)-4)/10000</f>
        <v>23.332000000000001</v>
      </c>
      <c r="AA13" s="62">
        <f t="shared" ref="AA13:AA76" si="8">ABS(Z13-Y13)</f>
        <v>16.854700000000001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0101-21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/stypes="app*4032*20170421*" /stext=" 09:.+((SYSTEM_STATE.+slice.+state.+changed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4032 --swversion DE.1.0.9.0 --startMP 204:64773 --initTime 2017-04-21T03:32:58 --startdatetime 2017-04-21T03:34:06 --delay 1 --endMP 204:233320 --enddatetime 2017-04-21T03:59:36 --enforcementcount 1 &gt;&gt;C:\Users\stu\Documents\GitHub\eaglep3-reporting\EC\2017-04-21-refined-times.txt</v>
      </c>
      <c r="AI13" s="104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{"issue":{"subject":"ELX failure at ML0508","project_id":79,"tracker_id":40,"status_id":1,"priority_id":2,"assigned_to_id":23,"start_date":"2017-04-21","description":"","custom_fields":[{"id":1,"name":"Subdivision","value":"EC"},{"id":4,"name":"Milepost","value":"23.332"},{"id":17,"name":"Train ID","value":"101-21"},{"id":16,"name":"Locomotive ID","value":"4032"},{"id":130,"name":"Impact","value":""},{"id":150,"name":"Time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47" t="str">
        <f t="shared" ref="AM13" si="15">"start /low /b "&amp;dls3logs&amp;" --loco "&amp;B13&amp;" --day "&amp;TEXT(F13,"YYYY-MM-DD")</f>
        <v>start /low /b %USERPROFILE%\Documents\GitHub\eaglep3\Utilities\DownloadLogsFromS3.py --loco 4032 --day 2017-04-21</v>
      </c>
      <c r="AN13" s="156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{"issue":{"subject":"ELX failure at ML0508","project_id":30,"tracker_id":4,"status_id":1,"priority_id":1,"assigned_to_id":10,"start_date":"2017-04-21","description":"","custom_fields":[{"id":30,"name":"Category","value":"Issue"},{"id":3,"name":"Functional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09:59:36"},{"id":29,"name":"Sharepoint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587</v>
      </c>
      <c r="B14" s="7">
        <v>4032</v>
      </c>
      <c r="C14" s="21" t="s">
        <v>212</v>
      </c>
      <c r="D14" s="21" t="s">
        <v>841</v>
      </c>
      <c r="E14" s="13">
        <v>42846.126261574071</v>
      </c>
      <c r="F14" s="13">
        <v>42846.127534722225</v>
      </c>
      <c r="G14" s="7">
        <v>1</v>
      </c>
      <c r="H14" s="21" t="s">
        <v>842</v>
      </c>
      <c r="I14" s="13">
        <v>42846.142256944448</v>
      </c>
      <c r="J14" s="7">
        <v>0</v>
      </c>
      <c r="K14" s="97" t="str">
        <f t="shared" si="0"/>
        <v>4031/4032</v>
      </c>
      <c r="L14" s="21" t="str">
        <f>VLOOKUP(A14,'Trips&amp;Operators'!$C$1:$G$99999,5,FALSE)</f>
        <v>BADERTSCHER DIANE</v>
      </c>
      <c r="M14" s="6">
        <f t="shared" si="1"/>
        <v>1.4722222222189885E-2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9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192" t="str">
        <f t="shared" si="3"/>
        <v>https://d0f6bd738d7f1b3e5a7ca70fe4ff75f0.us-east-1.aws.found.io/app/kibana#/discover/Steve-Slow-Train-Analysis-(2080s-and-2083s)?_g=(refreshInterval:(display:Off,pause:!f,section:0,value:0),time:(from:'2017-04-21T02:01:49-0600',mode:absolute,to:'2017-04-21T04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" s="193" t="str">
        <f t="shared" si="4"/>
        <v>Y</v>
      </c>
      <c r="X14" s="193">
        <f t="shared" si="5"/>
        <v>0</v>
      </c>
      <c r="Y14" s="193">
        <f t="shared" si="6"/>
        <v>7.7399999999999997E-2</v>
      </c>
      <c r="Z14" s="62">
        <f t="shared" si="7"/>
        <v>3.7254</v>
      </c>
      <c r="AA14" s="62">
        <f t="shared" si="8"/>
        <v>3.6480000000000001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0101-21</v>
      </c>
      <c r="AE14" s="85" t="str">
        <f t="shared" si="10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14" s="82" t="str">
        <f t="shared" si="11"/>
        <v>"C:\Program Files (x86)\AstroGrep\AstroGrep.exe" /e /r /s /spath="%USERPROFILE%\AppData\Local\Temp\OnboardLogs" /stypes="app*4032*20170421*" /stext=" 09:.+((SYSTEM_STATE.+slice.+state.+changed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101-21 --locoid 4032 --swversion DE.1.0.9.0 --startMP 204:774 --initTime 2017-04-21T03:01:49 --startdatetime 2017-04-21T03:03:39 --delay 1 --endMP 204:37254 --enddatetime 2017-04-21T03:24:51 --enforcementcount 0 &gt;&gt;C:\Users\stu\Documents\GitHub\eaglep3-reporting\EC\2017-04-21-refined-times.txt</v>
      </c>
      <c r="AI14" s="104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{"issue":{"subject":"","project_id":79,"tracker_id":40,"status_id":1,"priority_id":2,"assigned_to_id":23,"start_date":"2017-04-21","description":"","custom_fields":[{"id":1,"name":"Subdivision","value":"EC"},{"id":4,"name":"Milepost","value":"3.7254"},{"id":17,"name":"Train ID","value":"101-21"},{"id":16,"name":"Locomotive ID","value":"4032"},{"id":130,"name":"Impact","value":""},{"id":150,"name":"Time of Event (Mountain Time)","value":"03:24:51"},{"id":151,"name":"Denver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47" t="str">
        <f t="shared" ref="AM14:AM75" si="19">"start /low /b "&amp;dls3logs&amp;" --loco "&amp;B14&amp;" --day "&amp;TEXT(F14,"YYYY-MM-DD")</f>
        <v>start /low /b %USERPROFILE%\Documents\GitHub\eaglep3\Utilities\DownloadLogsFromS3.py --loco 4032 --day 2017-04-21</v>
      </c>
      <c r="AN14" s="156" t="str">
        <f t="shared" ref="AN14:AN75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09:24:51"},{"id":29,"name":"Sharepoint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637</v>
      </c>
      <c r="B15" s="7">
        <v>4015</v>
      </c>
      <c r="C15" s="21" t="s">
        <v>212</v>
      </c>
      <c r="D15" s="21" t="s">
        <v>843</v>
      </c>
      <c r="E15" s="13">
        <v>42846.173101851855</v>
      </c>
      <c r="F15" s="13">
        <v>42846.175347222219</v>
      </c>
      <c r="G15" s="7">
        <v>1</v>
      </c>
      <c r="H15" s="21" t="s">
        <v>425</v>
      </c>
      <c r="I15" s="13">
        <v>42846.203576388885</v>
      </c>
      <c r="J15" s="7">
        <v>1</v>
      </c>
      <c r="K15" s="97" t="str">
        <f t="shared" si="0"/>
        <v>4015/4016</v>
      </c>
      <c r="L15" s="21" t="str">
        <f>VLOOKUP(A15,'Trips&amp;Operators'!$C$1:$G$99999,5,FALSE)</f>
        <v>BADERTSCHER DIANE</v>
      </c>
      <c r="M15" s="6">
        <f t="shared" si="1"/>
        <v>2.8229166666278616E-2</v>
      </c>
      <c r="N15" s="7">
        <f t="shared" ref="N15:N50" si="21">24*60*SUM($M15:$M15)</f>
        <v>40.649999999441206</v>
      </c>
      <c r="O15" s="7"/>
      <c r="P15" s="7"/>
      <c r="Q15" s="22"/>
      <c r="R15" s="22"/>
      <c r="S15" s="31">
        <f t="shared" ref="S15:S52" si="22">SUM(U15:U15)/IF(AG15="EC",12,1)</f>
        <v>1</v>
      </c>
      <c r="T15" s="46" t="str">
        <f t="shared" si="2"/>
        <v>Southbound</v>
      </c>
      <c r="U15" s="19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2" t="str">
        <f t="shared" si="3"/>
        <v>https://d0f6bd738d7f1b3e5a7ca70fe4ff75f0.us-east-1.aws.found.io/app/kibana#/discover/Steve-Slow-Train-Analysis-(2080s-and-2083s)?_g=(refreshInterval:(display:Off,pause:!f,section:0,value:0),time:(from:'2017-04-21T03:09:16-0600',mode:absolute,to:'2017-04-21T05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" s="193" t="str">
        <f t="shared" si="4"/>
        <v>N</v>
      </c>
      <c r="X15" s="193">
        <f t="shared" si="5"/>
        <v>1</v>
      </c>
      <c r="Y15" s="193">
        <f t="shared" si="6"/>
        <v>23.267099999999999</v>
      </c>
      <c r="Z15" s="62">
        <f t="shared" si="7"/>
        <v>1.3899999999999999E-2</v>
      </c>
      <c r="AA15" s="62">
        <f t="shared" si="8"/>
        <v>23.2532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0102-21</v>
      </c>
      <c r="AE15" s="85" t="str">
        <f t="shared" si="10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15" s="82" t="str">
        <f t="shared" si="11"/>
        <v>"C:\Program Files (x86)\AstroGrep\AstroGrep.exe" /e /r /s /spath="%USERPROFILE%\AppData\Local\Temp\OnboardLogs" /stypes="app*4015*20170421*" /stext=" 10:.+((SYSTEM_STATE.+slice.+state.+changed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7"/>
        <v>"%USERPROFILE%\Documents\GitHub\eaglep3\Utilities\RefineRTDCRunTimes.py" --tripid 102-21 --locoid 4015 --swversion DE.1.0.9.0 --startMP 204:232671 --initTime 2017-04-21T04:09:16 --startdatetime 2017-04-21T04:12:30 --delay 1 --endMP 204:139 --enddatetime 2017-04-21T04:53:09 --enforcementcount 1 &gt;&gt;C:\Users\stu\Documents\GitHub\eaglep3-reporting\EC\2017-04-21-refined-times.txt</v>
      </c>
      <c r="AI1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{"issue":{"subject":"","project_id":79,"tracker_id":40,"status_id":1,"priority_id":2,"assigned_to_id":23,"start_date":"2017-04-21","description":"","custom_fields":[{"id":1,"name":"Subdivision","value":"EC"},{"id":4,"name":"Milepost","value":"0.0139"},{"id":17,"name":"Train ID","value":"102-21"},{"id":16,"name":"Locomotive ID","value":"4015"},{"id":130,"name":"Impact","value":""},{"id":150,"name":"Time of Event (Mountain Time)","value":"04:53:09"},{"id":151,"name":"Denver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47" t="str">
        <f t="shared" si="19"/>
        <v>start /low /b %USERPROFILE%\Documents\GitHub\eaglep3\Utilities\DownloadLogsFromS3.py --loco 4015 --day 2017-04-21</v>
      </c>
      <c r="AN1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10:53:09"},{"id":29,"name":"Sharepoint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631</v>
      </c>
      <c r="B16" s="7">
        <v>4044</v>
      </c>
      <c r="C16" s="21" t="s">
        <v>212</v>
      </c>
      <c r="D16" s="21" t="s">
        <v>844</v>
      </c>
      <c r="E16" s="13">
        <v>42846.145543981482</v>
      </c>
      <c r="F16" s="13">
        <v>42846.156446759262</v>
      </c>
      <c r="G16" s="7">
        <v>1</v>
      </c>
      <c r="H16" s="21" t="s">
        <v>480</v>
      </c>
      <c r="I16" s="13">
        <v>42846.183368055557</v>
      </c>
      <c r="J16" s="7">
        <v>1</v>
      </c>
      <c r="K16" s="97" t="str">
        <f t="shared" si="0"/>
        <v>4043/4044</v>
      </c>
      <c r="L16" s="21" t="str">
        <f>VLOOKUP(A16,'Trips&amp;Operators'!$C$1:$G$99999,5,FALSE)</f>
        <v>DAVIS WENDY</v>
      </c>
      <c r="M16" s="6">
        <f t="shared" si="1"/>
        <v>2.6921296295768116E-2</v>
      </c>
      <c r="N16" s="7">
        <f t="shared" si="21"/>
        <v>38.766666665906087</v>
      </c>
      <c r="O16" s="7"/>
      <c r="P16" s="7"/>
      <c r="Q16" s="22"/>
      <c r="R16" s="22"/>
      <c r="S16" s="31">
        <f t="shared" si="22"/>
        <v>1</v>
      </c>
      <c r="T16" s="46" t="str">
        <f t="shared" si="2"/>
        <v>NorthBound</v>
      </c>
      <c r="U16" s="19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2" t="str">
        <f t="shared" si="3"/>
        <v>https://d0f6bd738d7f1b3e5a7ca70fe4ff75f0.us-east-1.aws.found.io/app/kibana#/discover/Steve-Slow-Train-Analysis-(2080s-and-2083s)?_g=(refreshInterval:(display:Off,pause:!f,section:0,value:0),time:(from:'2017-04-21T02:29:35-0600',mode:absolute,to:'2017-04-21T05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" s="193" t="str">
        <f t="shared" si="4"/>
        <v>N</v>
      </c>
      <c r="X16" s="193">
        <f t="shared" si="5"/>
        <v>1</v>
      </c>
      <c r="Y16" s="193">
        <f t="shared" si="6"/>
        <v>7.5899999999999995E-2</v>
      </c>
      <c r="Z16" s="62">
        <f t="shared" si="7"/>
        <v>23.3325</v>
      </c>
      <c r="AA16" s="62">
        <f t="shared" si="8"/>
        <v>23.256599999999999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0103-21</v>
      </c>
      <c r="AE16" s="85" t="str">
        <f t="shared" si="10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6" s="82" t="str">
        <f t="shared" si="11"/>
        <v>"C:\Program Files (x86)\AstroGrep\AstroGrep.exe" /e /r /s /spath="%USERPROFILE%\AppData\Local\Temp\OnboardLogs" /stypes="app*4044*20170421*" /stext=" 10:.+((SYSTEM_STATE.+slice.+state.+changed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7"/>
        <v>"%USERPROFILE%\Documents\GitHub\eaglep3\Utilities\RefineRTDCRunTimes.py" --tripid 103-21 --locoid 4044 --swversion DE.1.0.9.0 --startMP 204:759 --initTime 2017-04-21T03:29:35 --startdatetime 2017-04-21T03:45:17 --delay 1 --endMP 204:233325 --enddatetime 2017-04-21T04:24:03 --enforcementcount 1 &gt;&gt;C:\Users\stu\Documents\GitHub\eaglep3-reporting\EC\2017-04-21-refined-times.txt</v>
      </c>
      <c r="AI16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{"issue":{"subject":"","project_id":79,"tracker_id":40,"status_id":1,"priority_id":2,"assigned_to_id":23,"start_date":"2017-04-21","description":"","custom_fields":[{"id":1,"name":"Subdivision","value":"EC"},{"id":4,"name":"Milepost","value":"23.3325"},{"id":17,"name":"Train ID","value":"103-21"},{"id":16,"name":"Locomotive ID","value":"4044"},{"id":130,"name":"Impact","value":""},{"id":150,"name":"Time of Event (Mountain Time)","value":"04:24:03"},{"id":151,"name":"Denver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47" t="str">
        <f t="shared" si="19"/>
        <v>start /low /b %USERPROFILE%\Documents\GitHub\eaglep3\Utilities\DownloadLogsFromS3.py --loco 4044 --day 2017-04-21</v>
      </c>
      <c r="AN16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10:24:03"},{"id":29,"name":"Sharepoint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639</v>
      </c>
      <c r="B17" s="7">
        <v>4039</v>
      </c>
      <c r="C17" s="21" t="s">
        <v>212</v>
      </c>
      <c r="D17" s="21" t="s">
        <v>845</v>
      </c>
      <c r="E17" s="13">
        <v>42846.190740740742</v>
      </c>
      <c r="F17" s="13">
        <v>42846.1953125</v>
      </c>
      <c r="G17" s="7">
        <v>1</v>
      </c>
      <c r="H17" s="21" t="s">
        <v>515</v>
      </c>
      <c r="I17" s="13">
        <v>42846.223912037036</v>
      </c>
      <c r="J17" s="7">
        <v>1</v>
      </c>
      <c r="K17" s="97" t="str">
        <f t="shared" si="0"/>
        <v>4039/4040</v>
      </c>
      <c r="L17" s="21" t="str">
        <f>VLOOKUP(A17,'Trips&amp;Operators'!$C$1:$G$99999,5,FALSE)</f>
        <v>DAVIS WENDY</v>
      </c>
      <c r="M17" s="6">
        <f t="shared" si="1"/>
        <v>2.8599537035916001E-2</v>
      </c>
      <c r="N17" s="7">
        <f t="shared" si="21"/>
        <v>41.183333331719041</v>
      </c>
      <c r="O17" s="7"/>
      <c r="P17" s="7"/>
      <c r="Q17" s="22"/>
      <c r="R17" s="22"/>
      <c r="S17" s="31">
        <f t="shared" si="22"/>
        <v>1</v>
      </c>
      <c r="T17" s="46" t="str">
        <f t="shared" si="2"/>
        <v>Southbound</v>
      </c>
      <c r="U17" s="19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2" t="str">
        <f t="shared" si="3"/>
        <v>https://d0f6bd738d7f1b3e5a7ca70fe4ff75f0.us-east-1.aws.found.io/app/kibana#/discover/Steve-Slow-Train-Analysis-(2080s-and-2083s)?_g=(refreshInterval:(display:Off,pause:!f,section:0,value:0),time:(from:'2017-04-21T03:34:40-0600',mode:absolute,to:'2017-04-21T06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" s="193" t="str">
        <f t="shared" si="4"/>
        <v>N</v>
      </c>
      <c r="X17" s="193">
        <f t="shared" si="5"/>
        <v>1</v>
      </c>
      <c r="Y17" s="193">
        <f t="shared" si="6"/>
        <v>23.2685</v>
      </c>
      <c r="Z17" s="62">
        <f t="shared" si="7"/>
        <v>1.32E-2</v>
      </c>
      <c r="AA17" s="62">
        <f t="shared" si="8"/>
        <v>23.255299999999998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0104-21</v>
      </c>
      <c r="AE17" s="85" t="str">
        <f t="shared" si="10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17" s="82" t="str">
        <f t="shared" si="11"/>
        <v>"C:\Program Files (x86)\AstroGrep\AstroGrep.exe" /e /r /s /spath="%USERPROFILE%\AppData\Local\Temp\OnboardLogs" /stypes="app*4039*20170421*" /stext=" 11:.+((SYSTEM_STATE.+slice.+state.+changed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7"/>
        <v>"%USERPROFILE%\Documents\GitHub\eaglep3\Utilities\RefineRTDCRunTimes.py" --tripid 104-21 --locoid 4039 --swversion DE.1.0.9.0 --startMP 204:232685 --initTime 2017-04-21T04:34:40 --startdatetime 2017-04-21T04:41:15 --delay 1 --endMP 204:132 --enddatetime 2017-04-21T05:22:26 --enforcementcount 1 &gt;&gt;C:\Users\stu\Documents\GitHub\eaglep3-reporting\EC\2017-04-21-refined-times.txt</v>
      </c>
      <c r="AI17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{"issue":{"subject":"","project_id":79,"tracker_id":40,"status_id":1,"priority_id":2,"assigned_to_id":23,"start_date":"2017-04-21","description":"","custom_fields":[{"id":1,"name":"Subdivision","value":"EC"},{"id":4,"name":"Milepost","value":"0.0132"},{"id":17,"name":"Train ID","value":"104-21"},{"id":16,"name":"Locomotive ID","value":"4039"},{"id":130,"name":"Impact","value":""},{"id":150,"name":"Time of Event (Mountain Time)","value":"05:22:26"},{"id":151,"name":"Denver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47" t="str">
        <f t="shared" si="19"/>
        <v>start /low /b %USERPROFILE%\Documents\GitHub\eaglep3\Utilities\DownloadLogsFromS3.py --loco 4039 --day 2017-04-21</v>
      </c>
      <c r="AN17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634</v>
      </c>
      <c r="B18" s="7">
        <v>4004</v>
      </c>
      <c r="C18" s="21" t="s">
        <v>212</v>
      </c>
      <c r="D18" s="21" t="s">
        <v>846</v>
      </c>
      <c r="E18" s="13">
        <v>42846.172638888886</v>
      </c>
      <c r="F18" s="13">
        <v>42846.177245370367</v>
      </c>
      <c r="G18" s="7">
        <v>1</v>
      </c>
      <c r="H18" s="21" t="s">
        <v>522</v>
      </c>
      <c r="I18" s="13">
        <v>42846.203275462962</v>
      </c>
      <c r="J18" s="7">
        <v>1</v>
      </c>
      <c r="K18" s="97" t="str">
        <f t="shared" si="0"/>
        <v>4003/4004</v>
      </c>
      <c r="L18" s="21" t="str">
        <f>VLOOKUP(A18,'Trips&amp;Operators'!$C$1:$G$99999,5,FALSE)</f>
        <v>ROBINSON KADDIBA</v>
      </c>
      <c r="M18" s="6">
        <f t="shared" si="1"/>
        <v>2.6030092594737653E-2</v>
      </c>
      <c r="N18" s="7">
        <f t="shared" si="21"/>
        <v>37.48333333642222</v>
      </c>
      <c r="O18" s="7"/>
      <c r="P18" s="7"/>
      <c r="Q18" s="22"/>
      <c r="R18" s="22"/>
      <c r="S18" s="31">
        <f t="shared" si="22"/>
        <v>1</v>
      </c>
      <c r="T18" s="46" t="str">
        <f t="shared" si="2"/>
        <v>NorthBound</v>
      </c>
      <c r="U18" s="19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2" t="str">
        <f t="shared" si="3"/>
        <v>https://d0f6bd738d7f1b3e5a7ca70fe4ff75f0.us-east-1.aws.found.io/app/kibana#/discover/Steve-Slow-Train-Analysis-(2080s-and-2083s)?_g=(refreshInterval:(display:Off,pause:!f,section:0,value:0),time:(from:'2017-04-21T03:08:36-0600',mode:absolute,to:'2017-04-21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" s="193" t="str">
        <f t="shared" si="4"/>
        <v>N</v>
      </c>
      <c r="X18" s="193">
        <f t="shared" si="5"/>
        <v>1</v>
      </c>
      <c r="Y18" s="193">
        <f t="shared" si="6"/>
        <v>7.5700000000000003E-2</v>
      </c>
      <c r="Z18" s="62">
        <f t="shared" si="7"/>
        <v>23.334700000000002</v>
      </c>
      <c r="AA18" s="62">
        <f t="shared" si="8"/>
        <v>23.259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0105-21</v>
      </c>
      <c r="AE18" s="85" t="str">
        <f t="shared" si="10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18" s="82" t="str">
        <f t="shared" si="11"/>
        <v>"C:\Program Files (x86)\AstroGrep\AstroGrep.exe" /e /r /s /spath="%USERPROFILE%\AppData\Local\Temp\OnboardLogs" /stypes="app*4004*20170421*" /stext=" 10:.+((SYSTEM_STATE.+slice.+state.+changed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7"/>
        <v>"%USERPROFILE%\Documents\GitHub\eaglep3\Utilities\RefineRTDCRunTimes.py" --tripid 105-21 --locoid 4004 --swversion DE.1.0.9.0 --startMP 204:757 --initTime 2017-04-21T04:08:36 --startdatetime 2017-04-21T04:15:14 --delay 1 --endMP 204:233347 --enddatetime 2017-04-21T04:52:43 --enforcementcount 1 &gt;&gt;C:\Users\stu\Documents\GitHub\eaglep3-reporting\EC\2017-04-21-refined-times.txt</v>
      </c>
      <c r="AI18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{"issue":{"subject":"","project_id":79,"tracker_id":40,"status_id":1,"priority_id":2,"assigned_to_id":23,"start_date":"2017-04-21","description":"","custom_fields":[{"id":1,"name":"Subdivision","value":"EC"},{"id":4,"name":"Milepost","value":"23.3347"},{"id":17,"name":"Train ID","value":"105-21"},{"id":16,"name":"Locomotive ID","value":"4004"},{"id":130,"name":"Impact","value":""},{"id":150,"name":"Time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47" t="str">
        <f t="shared" si="19"/>
        <v>start /low /b %USERPROFILE%\Documents\GitHub\eaglep3\Utilities\DownloadLogsFromS3.py --loco 4004 --day 2017-04-21</v>
      </c>
      <c r="AN18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647</v>
      </c>
      <c r="B19" s="7">
        <v>4045</v>
      </c>
      <c r="C19" s="21" t="s">
        <v>212</v>
      </c>
      <c r="D19" s="21" t="s">
        <v>847</v>
      </c>
      <c r="E19" s="13">
        <v>42846.211493055554</v>
      </c>
      <c r="F19" s="13">
        <v>42846.216134259259</v>
      </c>
      <c r="G19" s="7">
        <v>1</v>
      </c>
      <c r="H19" s="21" t="s">
        <v>202</v>
      </c>
      <c r="I19" s="13">
        <v>42846.244467592594</v>
      </c>
      <c r="J19" s="7">
        <v>1</v>
      </c>
      <c r="K19" s="97" t="str">
        <f t="shared" si="0"/>
        <v>4045/4046</v>
      </c>
      <c r="L19" s="21" t="str">
        <f>VLOOKUP(A19,'Trips&amp;Operators'!$C$1:$G$99999,5,FALSE)</f>
        <v>HOLCOMB KAMDEN</v>
      </c>
      <c r="M19" s="6">
        <f t="shared" si="1"/>
        <v>2.8333333335467614E-2</v>
      </c>
      <c r="N19" s="7">
        <f t="shared" si="21"/>
        <v>40.800000003073364</v>
      </c>
      <c r="O19" s="7"/>
      <c r="P19" s="7"/>
      <c r="Q19" s="22"/>
      <c r="R19" s="22"/>
      <c r="S19" s="31">
        <f t="shared" si="22"/>
        <v>1</v>
      </c>
      <c r="T19" s="46" t="str">
        <f t="shared" si="2"/>
        <v>Southbound</v>
      </c>
      <c r="U19" s="19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2" t="str">
        <f t="shared" si="3"/>
        <v>https://d0f6bd738d7f1b3e5a7ca70fe4ff75f0.us-east-1.aws.found.io/app/kibana#/discover/Steve-Slow-Train-Analysis-(2080s-and-2083s)?_g=(refreshInterval:(display:Off,pause:!f,section:0,value:0),time:(from:'2017-04-21T04:04:33-0600',mode:absolute,to:'2017-04-21T06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" s="193" t="str">
        <f t="shared" si="4"/>
        <v>N</v>
      </c>
      <c r="X19" s="193">
        <f t="shared" si="5"/>
        <v>1</v>
      </c>
      <c r="Y19" s="193">
        <f t="shared" si="6"/>
        <v>23.27</v>
      </c>
      <c r="Z19" s="62">
        <f t="shared" si="7"/>
        <v>1.54E-2</v>
      </c>
      <c r="AA19" s="62">
        <f t="shared" si="8"/>
        <v>23.2546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0106-21</v>
      </c>
      <c r="AE19" s="85" t="str">
        <f t="shared" si="10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19" s="82" t="str">
        <f t="shared" si="11"/>
        <v>"C:\Program Files (x86)\AstroGrep\AstroGrep.exe" /e /r /s /spath="%USERPROFILE%\AppData\Local\Temp\OnboardLogs" /stypes="app*4045*20170421*"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7"/>
        <v>"%USERPROFILE%\Documents\GitHub\eaglep3\Utilities\RefineRTDCRunTimes.py" --tripid 106-21 --locoid 4045 --swversion DE.1.0.9.0 --startMP 204:232700 --initTime 2017-04-21T05:04:33 --startdatetime 2017-04-21T05:11:14 --delay 1 --endMP 204:154 --enddatetime 2017-04-21T05:52:02 --enforcementcount 1 &gt;&gt;C:\Users\stu\Documents\GitHub\eaglep3-reporting\EC\2017-04-21-refined-times.txt</v>
      </c>
      <c r="AI19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{"issue":{"subject":"","project_id":79,"tracker_id":40,"status_id":1,"priority_id":2,"assigned_to_id":23,"start_date":"2017-04-21","description":"","custom_fields":[{"id":1,"name":"Subdivision","value":"EC"},{"id":4,"name":"Milepost","value":"0.0154"},{"id":17,"name":"Train ID","value":"106-21"},{"id":16,"name":"Locomotive ID","value":"4045"},{"id":130,"name":"Impact","value":""},{"id":150,"name":"Time of Event (Mountain Time)","value":"05:52:02"},{"id":151,"name":"Denver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47" t="str">
        <f t="shared" si="19"/>
        <v>start /low /b %USERPROFILE%\Documents\GitHub\eaglep3\Utilities\DownloadLogsFromS3.py --loco 4045 --day 2017-04-21</v>
      </c>
      <c r="AN19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638</v>
      </c>
      <c r="B20" s="7">
        <v>4002</v>
      </c>
      <c r="C20" s="21" t="s">
        <v>212</v>
      </c>
      <c r="D20" s="21" t="s">
        <v>410</v>
      </c>
      <c r="E20" s="13">
        <v>42846.182847222219</v>
      </c>
      <c r="F20" s="13">
        <v>42846.187673611108</v>
      </c>
      <c r="G20" s="7">
        <v>1</v>
      </c>
      <c r="H20" s="21" t="s">
        <v>479</v>
      </c>
      <c r="I20" s="13">
        <v>42846.212210648147</v>
      </c>
      <c r="J20" s="7">
        <v>1</v>
      </c>
      <c r="K20" s="97" t="str">
        <f t="shared" si="0"/>
        <v>4001/4002</v>
      </c>
      <c r="L20" s="21" t="str">
        <f>VLOOKUP(A20,'Trips&amp;Operators'!$C$1:$G$99999,5,FALSE)</f>
        <v>YANAI IAN</v>
      </c>
      <c r="M20" s="6">
        <f t="shared" si="1"/>
        <v>2.453703703940846E-2</v>
      </c>
      <c r="N20" s="7">
        <f t="shared" si="21"/>
        <v>35.333333336748183</v>
      </c>
      <c r="O20" s="7"/>
      <c r="P20" s="7"/>
      <c r="Q20" s="22"/>
      <c r="R20" s="22"/>
      <c r="S20" s="31">
        <f t="shared" si="22"/>
        <v>1</v>
      </c>
      <c r="T20" s="46" t="str">
        <f t="shared" si="2"/>
        <v>NorthBound</v>
      </c>
      <c r="U20" s="19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2" t="str">
        <f t="shared" si="3"/>
        <v>https://d0f6bd738d7f1b3e5a7ca70fe4ff75f0.us-east-1.aws.found.io/app/kibana#/discover/Steve-Slow-Train-Analysis-(2080s-and-2083s)?_g=(refreshInterval:(display:Off,pause:!f,section:0,value:0),time:(from:'2017-04-21T03:23:18-0600',mode:absolute,to:'2017-04-21T06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" s="193" t="str">
        <f t="shared" si="4"/>
        <v>N</v>
      </c>
      <c r="X20" s="193">
        <f t="shared" si="5"/>
        <v>1</v>
      </c>
      <c r="Y20" s="193">
        <f t="shared" si="6"/>
        <v>4.6699999999999998E-2</v>
      </c>
      <c r="Z20" s="62">
        <f t="shared" si="7"/>
        <v>23.330100000000002</v>
      </c>
      <c r="AA20" s="62">
        <f t="shared" si="8"/>
        <v>23.2834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0107-21</v>
      </c>
      <c r="AE20" s="85" t="str">
        <f t="shared" si="10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20" s="82" t="str">
        <f t="shared" si="11"/>
        <v>"C:\Program Files (x86)\AstroGrep\AstroGrep.exe" /e /r /s /spath="%USERPROFILE%\AppData\Local\Temp\OnboardLogs" /stypes="app*4002*20170421*" /stext=" 11:.+((SYSTEM_STATE.+slice.+state.+changed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7"/>
        <v>"%USERPROFILE%\Documents\GitHub\eaglep3\Utilities\RefineRTDCRunTimes.py" --tripid 107-21 --locoid 4002 --swversion DE.1.0.9.0 --startMP 204:467 --initTime 2017-04-21T04:23:18 --startdatetime 2017-04-21T04:30:15 --delay 1 --endMP 204:233301 --enddatetime 2017-04-21T05:05:35 --enforcementcount 1 &gt;&gt;C:\Users\stu\Documents\GitHub\eaglep3-reporting\EC\2017-04-21-refined-times.txt</v>
      </c>
      <c r="AI20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{"issue":{"subject":"","project_id":79,"tracker_id":40,"status_id":1,"priority_id":2,"assigned_to_id":23,"start_date":"2017-04-21","description":"","custom_fields":[{"id":1,"name":"Subdivision","value":"EC"},{"id":4,"name":"Milepost","value":"23.3301"},{"id":17,"name":"Train ID","value":"107-21"},{"id":16,"name":"Locomotive ID","value":"4002"},{"id":130,"name":"Impact","value":""},{"id":150,"name":"Time of Event (Mountain Time)","value":"05:05:35"},{"id":151,"name":"Denver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47" t="str">
        <f t="shared" si="19"/>
        <v>start /low /b %USERPROFILE%\Documents\GitHub\eaglep3\Utilities\DownloadLogsFromS3.py --loco 4002 --day 2017-04-21</v>
      </c>
      <c r="AN20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648</v>
      </c>
      <c r="B21" s="7">
        <v>4001</v>
      </c>
      <c r="C21" s="21" t="s">
        <v>212</v>
      </c>
      <c r="D21" s="21" t="s">
        <v>477</v>
      </c>
      <c r="E21" s="13">
        <v>42846.214074074072</v>
      </c>
      <c r="F21" s="13">
        <v>42846.2265625</v>
      </c>
      <c r="G21" s="7">
        <v>1</v>
      </c>
      <c r="H21" s="21" t="s">
        <v>433</v>
      </c>
      <c r="I21" s="13">
        <v>42846.253067129626</v>
      </c>
      <c r="J21" s="7">
        <v>1</v>
      </c>
      <c r="K21" s="97" t="str">
        <f t="shared" si="0"/>
        <v>4001/4002</v>
      </c>
      <c r="L21" s="21" t="str">
        <f>VLOOKUP(A21,'Trips&amp;Operators'!$C$1:$G$99999,5,FALSE)</f>
        <v>YANAI IAN</v>
      </c>
      <c r="M21" s="6">
        <f t="shared" si="1"/>
        <v>2.6504629626288079E-2</v>
      </c>
      <c r="N21" s="7">
        <f t="shared" si="21"/>
        <v>38.166666661854833</v>
      </c>
      <c r="O21" s="7"/>
      <c r="P21" s="7"/>
      <c r="Q21" s="22"/>
      <c r="R21" s="22"/>
      <c r="S21" s="31">
        <f t="shared" si="22"/>
        <v>1</v>
      </c>
      <c r="T21" s="46" t="str">
        <f t="shared" si="2"/>
        <v>Southbound</v>
      </c>
      <c r="U21" s="19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2" t="str">
        <f t="shared" si="3"/>
        <v>https://d0f6bd738d7f1b3e5a7ca70fe4ff75f0.us-east-1.aws.found.io/app/kibana#/discover/Steve-Slow-Train-Analysis-(2080s-and-2083s)?_g=(refreshInterval:(display:Off,pause:!f,section:0,value:0),time:(from:'2017-04-21T04:08:16-0600',mode:absolute,to:'2017-04-21T07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" s="193" t="str">
        <f t="shared" si="4"/>
        <v>N</v>
      </c>
      <c r="X21" s="193">
        <f t="shared" si="5"/>
        <v>1</v>
      </c>
      <c r="Y21" s="193">
        <f t="shared" si="6"/>
        <v>23.299399999999999</v>
      </c>
      <c r="Z21" s="62">
        <f t="shared" si="7"/>
        <v>1.5599999999999999E-2</v>
      </c>
      <c r="AA21" s="62">
        <f t="shared" si="8"/>
        <v>23.283799999999999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0108-21</v>
      </c>
      <c r="AE21" s="85" t="str">
        <f t="shared" si="10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21" s="82" t="str">
        <f t="shared" si="11"/>
        <v>"C:\Program Files (x86)\AstroGrep\AstroGrep.exe" /e /r /s /spath="%USERPROFILE%\AppData\Local\Temp\OnboardLogs" /stypes="app*4001*20170421*" /stext=" 12:.+((SYSTEM_STATE.+slice.+state.+changed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7"/>
        <v>"%USERPROFILE%\Documents\GitHub\eaglep3\Utilities\RefineRTDCRunTimes.py" --tripid 108-21 --locoid 4001 --swversion DE.1.0.9.0 --startMP 204:232994 --initTime 2017-04-21T05:08:16 --startdatetime 2017-04-21T05:26:15 --delay 1 --endMP 204:156 --enddatetime 2017-04-21T06:04:25 --enforcementcount 1 &gt;&gt;C:\Users\stu\Documents\GitHub\eaglep3-reporting\EC\2017-04-21-refined-times.txt</v>
      </c>
      <c r="AI21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{"issue":{"subject":"","project_id":79,"tracker_id":40,"status_id":1,"priority_id":2,"assigned_to_id":23,"start_date":"2017-04-21","description":"","custom_fields":[{"id":1,"name":"Subdivision","value":"EC"},{"id":4,"name":"Milepost","value":"0.0156"},{"id":17,"name":"Train ID","value":"108-21"},{"id":16,"name":"Locomotive ID","value":"4001"},{"id":130,"name":"Impact","value":""},{"id":150,"name":"Time of Event (Mountain Time)","value":"06:04:25"},{"id":151,"name":"Denver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47" t="str">
        <f t="shared" si="19"/>
        <v>start /low /b %USERPROFILE%\Documents\GitHub\eaglep3\Utilities\DownloadLogsFromS3.py --loco 4001 --day 2017-04-21</v>
      </c>
      <c r="AN21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640</v>
      </c>
      <c r="B22" s="7">
        <v>4024</v>
      </c>
      <c r="C22" s="21" t="s">
        <v>212</v>
      </c>
      <c r="D22" s="21" t="s">
        <v>207</v>
      </c>
      <c r="E22" s="13">
        <v>42846.193877314814</v>
      </c>
      <c r="F22" s="13">
        <v>42846.198182870372</v>
      </c>
      <c r="G22" s="7">
        <v>2</v>
      </c>
      <c r="H22" s="21" t="s">
        <v>848</v>
      </c>
      <c r="I22" s="13">
        <v>42846.223321759258</v>
      </c>
      <c r="J22" s="7">
        <v>1</v>
      </c>
      <c r="K22" s="97" t="str">
        <f t="shared" si="0"/>
        <v>4023/4024</v>
      </c>
      <c r="L22" s="21" t="str">
        <f>VLOOKUP(A22,'Trips&amp;Operators'!$C$1:$G$99999,5,FALSE)</f>
        <v>LOZA FIDEL</v>
      </c>
      <c r="M22" s="6">
        <f t="shared" si="1"/>
        <v>2.5138888886431232E-2</v>
      </c>
      <c r="N22" s="7">
        <f t="shared" si="21"/>
        <v>36.199999996460974</v>
      </c>
      <c r="O22" s="7"/>
      <c r="P22" s="7"/>
      <c r="Q22" s="22"/>
      <c r="R22" s="22"/>
      <c r="S22" s="31">
        <f t="shared" si="22"/>
        <v>1</v>
      </c>
      <c r="T22" s="46" t="str">
        <f t="shared" si="2"/>
        <v>NorthBound</v>
      </c>
      <c r="U22" s="19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2" t="str">
        <f t="shared" si="3"/>
        <v>https://d0f6bd738d7f1b3e5a7ca70fe4ff75f0.us-east-1.aws.found.io/app/kibana#/discover/Steve-Slow-Train-Analysis-(2080s-and-2083s)?_g=(refreshInterval:(display:Off,pause:!f,section:0,value:0),time:(from:'2017-04-21T03:39:11-0600',mode:absolute,to:'2017-04-21T06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" s="193" t="str">
        <f t="shared" si="4"/>
        <v>N</v>
      </c>
      <c r="X22" s="193">
        <f t="shared" si="5"/>
        <v>1</v>
      </c>
      <c r="Y22" s="193">
        <f t="shared" si="6"/>
        <v>4.53E-2</v>
      </c>
      <c r="Z22" s="62">
        <f t="shared" si="7"/>
        <v>23.3308</v>
      </c>
      <c r="AA22" s="62">
        <f t="shared" si="8"/>
        <v>23.285499999999999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0109-21</v>
      </c>
      <c r="AE22" s="85" t="str">
        <f t="shared" si="10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22" s="82" t="str">
        <f t="shared" si="11"/>
        <v>"C:\Program Files (x86)\AstroGrep\AstroGrep.exe" /e /r /s /spath="%USERPROFILE%\AppData\Local\Temp\OnboardLogs" /stypes="app*4024*20170421*" /stext=" 11:.+((SYSTEM_STATE.+slice.+state.+changed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7"/>
        <v>"%USERPROFILE%\Documents\GitHub\eaglep3\Utilities\RefineRTDCRunTimes.py" --tripid 109-21 --locoid 4024 --swversion DE.1.0.9.0 --startMP 204:453 --initTime 2017-04-21T04:39:11 --startdatetime 2017-04-21T04:45:23 --delay 2 --endMP 204:233308 --enddatetime 2017-04-21T05:21:35 --enforcementcount 1 &gt;&gt;C:\Users\stu\Documents\GitHub\eaglep3-reporting\EC\2017-04-21-refined-times.txt</v>
      </c>
      <c r="AI22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{"issue":{"subject":"","project_id":79,"tracker_id":40,"status_id":1,"priority_id":2,"assigned_to_id":23,"start_date":"2017-04-21","description":"","custom_fields":[{"id":1,"name":"Subdivision","value":"EC"},{"id":4,"name":"Milepost","value":"23.3308"},{"id":17,"name":"Train ID","value":"109-21"},{"id":16,"name":"Locomotive ID","value":"4024"},{"id":130,"name":"Impact","value":""},{"id":150,"name":"Time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47" t="str">
        <f t="shared" si="19"/>
        <v>start /low /b %USERPROFILE%\Documents\GitHub\eaglep3\Utilities\DownloadLogsFromS3.py --loco 4024 --day 2017-04-21</v>
      </c>
      <c r="AN22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653</v>
      </c>
      <c r="B23" s="7">
        <v>4023</v>
      </c>
      <c r="C23" s="21" t="s">
        <v>212</v>
      </c>
      <c r="D23" s="21" t="s">
        <v>384</v>
      </c>
      <c r="E23" s="13">
        <v>42846.233402777776</v>
      </c>
      <c r="F23" s="13">
        <v>42846.23704861111</v>
      </c>
      <c r="G23" s="7">
        <v>1</v>
      </c>
      <c r="H23" s="21" t="s">
        <v>202</v>
      </c>
      <c r="I23" s="13">
        <v>42846.263865740744</v>
      </c>
      <c r="J23" s="7">
        <v>1</v>
      </c>
      <c r="K23" s="97" t="str">
        <f t="shared" si="0"/>
        <v>4023/4024</v>
      </c>
      <c r="L23" s="21" t="str">
        <f>VLOOKUP(A23,'Trips&amp;Operators'!$C$1:$G$99999,5,FALSE)</f>
        <v>LOZA FIDEL</v>
      </c>
      <c r="M23" s="6">
        <f t="shared" si="1"/>
        <v>2.6817129633855075E-2</v>
      </c>
      <c r="N23" s="7">
        <f t="shared" si="21"/>
        <v>38.616666672751307</v>
      </c>
      <c r="O23" s="7"/>
      <c r="P23" s="7"/>
      <c r="Q23" s="22"/>
      <c r="R23" s="22"/>
      <c r="S23" s="31">
        <f t="shared" si="22"/>
        <v>1</v>
      </c>
      <c r="T23" s="46" t="str">
        <f t="shared" si="2"/>
        <v>Southbound</v>
      </c>
      <c r="U23" s="19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2" t="str">
        <f t="shared" si="3"/>
        <v>https://d0f6bd738d7f1b3e5a7ca70fe4ff75f0.us-east-1.aws.found.io/app/kibana#/discover/Steve-Slow-Train-Analysis-(2080s-and-2083s)?_g=(refreshInterval:(display:Off,pause:!f,section:0,value:0),time:(from:'2017-04-21T04:36:06-0600',mode:absolute,to:'2017-04-21T07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" s="193" t="str">
        <f t="shared" si="4"/>
        <v>N</v>
      </c>
      <c r="X23" s="193">
        <f t="shared" si="5"/>
        <v>1</v>
      </c>
      <c r="Y23" s="193">
        <f t="shared" si="6"/>
        <v>23.2989</v>
      </c>
      <c r="Z23" s="62">
        <f t="shared" si="7"/>
        <v>1.54E-2</v>
      </c>
      <c r="AA23" s="62">
        <f t="shared" si="8"/>
        <v>23.2835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0110-21</v>
      </c>
      <c r="AE23" s="85" t="str">
        <f t="shared" si="10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23" s="82" t="str">
        <f t="shared" si="11"/>
        <v>"C:\Program Files (x86)\AstroGrep\AstroGrep.exe" /e /r /s /spath="%USERPROFILE%\AppData\Local\Temp\OnboardLogs" /stypes="app*4023*20170421*"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7"/>
        <v>"%USERPROFILE%\Documents\GitHub\eaglep3\Utilities\RefineRTDCRunTimes.py" --tripid 110-21 --locoid 4023 --swversion DE.1.0.9.0 --startMP 204:232989 --initTime 2017-04-21T05:36:06 --startdatetime 2017-04-21T05:41:21 --delay 1 --endMP 204:154 --enddatetime 2017-04-21T06:19:58 --enforcementcount 1 &gt;&gt;C:\Users\stu\Documents\GitHub\eaglep3-reporting\EC\2017-04-21-refined-times.txt</v>
      </c>
      <c r="AI23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{"issue":{"subject":"","project_id":79,"tracker_id":40,"status_id":1,"priority_id":2,"assigned_to_id":23,"start_date":"2017-04-21","description":"","custom_fields":[{"id":1,"name":"Subdivision","value":"EC"},{"id":4,"name":"Milepost","value":"0.0154"},{"id":17,"name":"Train ID","value":"110-21"},{"id":16,"name":"Locomotive ID","value":"4023"},{"id":130,"name":"Impact","value":""},{"id":150,"name":"Time of Event (Mountain Time)","value":"06:19:58"},{"id":151,"name":"Denver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47" t="str">
        <f t="shared" si="19"/>
        <v>start /low /b %USERPROFILE%\Documents\GitHub\eaglep3\Utilities\DownloadLogsFromS3.py --loco 4023 --day 2017-04-21</v>
      </c>
      <c r="AN23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643</v>
      </c>
      <c r="B24" s="7">
        <v>4032</v>
      </c>
      <c r="C24" s="21" t="s">
        <v>212</v>
      </c>
      <c r="D24" s="21" t="s">
        <v>554</v>
      </c>
      <c r="E24" s="13">
        <v>42846.205659722225</v>
      </c>
      <c r="F24" s="13">
        <v>42846.208726851852</v>
      </c>
      <c r="G24" s="7">
        <v>1</v>
      </c>
      <c r="H24" s="21" t="s">
        <v>411</v>
      </c>
      <c r="I24" s="13">
        <v>42846.234675925924</v>
      </c>
      <c r="J24" s="7">
        <v>1</v>
      </c>
      <c r="K24" s="97" t="str">
        <f t="shared" si="0"/>
        <v>4031/4032</v>
      </c>
      <c r="L24" s="21" t="str">
        <f>VLOOKUP(A24,'Trips&amp;Operators'!$C$1:$G$99999,5,FALSE)</f>
        <v>BIRENBAUM THOMAS</v>
      </c>
      <c r="M24" s="6">
        <f t="shared" si="1"/>
        <v>2.5949074071832001E-2</v>
      </c>
      <c r="N24" s="7">
        <f t="shared" si="21"/>
        <v>37.366666663438082</v>
      </c>
      <c r="O24" s="7"/>
      <c r="P24" s="7"/>
      <c r="Q24" s="22"/>
      <c r="R24" s="22"/>
      <c r="S24" s="31">
        <f t="shared" si="22"/>
        <v>1</v>
      </c>
      <c r="T24" s="46" t="str">
        <f t="shared" si="2"/>
        <v>NorthBound</v>
      </c>
      <c r="U24" s="19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2" t="str">
        <f t="shared" si="3"/>
        <v>https://d0f6bd738d7f1b3e5a7ca70fe4ff75f0.us-east-1.aws.found.io/app/kibana#/discover/Steve-Slow-Train-Analysis-(2080s-and-2083s)?_g=(refreshInterval:(display:Off,pause:!f,section:0,value:0),time:(from:'2017-04-21T03:56:09-0600',mode:absolute,to:'2017-04-21T06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" s="193" t="str">
        <f t="shared" si="4"/>
        <v>N</v>
      </c>
      <c r="X24" s="193">
        <f t="shared" ref="X24:X31" si="23">VALUE(LEFT(AD24,4))-VALUE(LEFT(AD23,4))</f>
        <v>1</v>
      </c>
      <c r="Y24" s="193">
        <f t="shared" si="6"/>
        <v>7.46E-2</v>
      </c>
      <c r="Z24" s="62">
        <f t="shared" si="7"/>
        <v>23.3291</v>
      </c>
      <c r="AA24" s="62">
        <f t="shared" si="8"/>
        <v>23.2545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0111-21</v>
      </c>
      <c r="AE24" s="85" t="str">
        <f t="shared" si="10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24" s="82" t="str">
        <f t="shared" si="11"/>
        <v>"C:\Program Files (x86)\AstroGrep\AstroGrep.exe" /e /r /s /spath="%USERPROFILE%\AppData\Local\Temp\OnboardLogs" /stypes="app*4032*20170421*"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7"/>
        <v>"%USERPROFILE%\Documents\GitHub\eaglep3\Utilities\RefineRTDCRunTimes.py" --tripid 111-21 --locoid 4032 --swversion DE.1.0.9.0 --startMP 204:746 --initTime 2017-04-21T04:56:09 --startdatetime 2017-04-21T05:00:34 --delay 1 --endMP 204:233291 --enddatetime 2017-04-21T05:37:56 --enforcementcount 1 &gt;&gt;C:\Users\stu\Documents\GitHub\eaglep3-reporting\EC\2017-04-21-refined-times.txt</v>
      </c>
      <c r="AI24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{"issue":{"subject":"","project_id":79,"tracker_id":40,"status_id":1,"priority_id":2,"assigned_to_id":23,"start_date":"2017-04-21","description":"","custom_fields":[{"id":1,"name":"Subdivision","value":"EC"},{"id":4,"name":"Milepost","value":"23.3291"},{"id":17,"name":"Train ID","value":"111-21"},{"id":16,"name":"Locomotive ID","value":"4032"},{"id":130,"name":"Impact","value":""},{"id":150,"name":"Time of Event (Mountain Time)","value":"05:37:56"},{"id":151,"name":"Denver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47" t="str">
        <f t="shared" si="19"/>
        <v>start /low /b %USERPROFILE%\Documents\GitHub\eaglep3\Utilities\DownloadLogsFromS3.py --loco 4032 --day 2017-04-21</v>
      </c>
      <c r="AN24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654</v>
      </c>
      <c r="B25" s="7">
        <v>4031</v>
      </c>
      <c r="C25" s="21" t="s">
        <v>212</v>
      </c>
      <c r="D25" s="21" t="s">
        <v>481</v>
      </c>
      <c r="E25" s="13">
        <v>42846.241967592592</v>
      </c>
      <c r="F25" s="13">
        <v>42846.247442129628</v>
      </c>
      <c r="G25" s="7">
        <v>1</v>
      </c>
      <c r="H25" s="21" t="s">
        <v>849</v>
      </c>
      <c r="I25" s="13">
        <v>42846.275694444441</v>
      </c>
      <c r="J25" s="7">
        <v>1</v>
      </c>
      <c r="K25" s="97" t="str">
        <f t="shared" si="0"/>
        <v>4031/4032</v>
      </c>
      <c r="L25" s="21" t="str">
        <f>VLOOKUP(A25,'Trips&amp;Operators'!$C$1:$G$99999,5,FALSE)</f>
        <v>BIRENBAUM THOMAS</v>
      </c>
      <c r="M25" s="6">
        <f t="shared" si="1"/>
        <v>2.8252314812561963E-2</v>
      </c>
      <c r="N25" s="7">
        <f t="shared" si="21"/>
        <v>40.683333330089226</v>
      </c>
      <c r="O25" s="7"/>
      <c r="P25" s="7"/>
      <c r="Q25" s="22"/>
      <c r="R25" s="22"/>
      <c r="S25" s="31">
        <f t="shared" si="22"/>
        <v>1</v>
      </c>
      <c r="T25" s="46" t="str">
        <f t="shared" si="2"/>
        <v>Southbound</v>
      </c>
      <c r="U25" s="19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2" t="str">
        <f t="shared" si="3"/>
        <v>https://d0f6bd738d7f1b3e5a7ca70fe4ff75f0.us-east-1.aws.found.io/app/kibana#/discover/Steve-Slow-Train-Analysis-(2080s-and-2083s)?_g=(refreshInterval:(display:Off,pause:!f,section:0,value:0),time:(from:'2017-04-21T04:48:26-0600',mode:absolute,to:'2017-04-21T07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5" s="193" t="str">
        <f t="shared" si="4"/>
        <v>N</v>
      </c>
      <c r="X25" s="193">
        <f t="shared" si="23"/>
        <v>1</v>
      </c>
      <c r="Y25" s="193">
        <f t="shared" si="6"/>
        <v>23.2971</v>
      </c>
      <c r="Z25" s="62">
        <f t="shared" si="7"/>
        <v>1.2500000000000001E-2</v>
      </c>
      <c r="AA25" s="62">
        <f t="shared" si="8"/>
        <v>23.284600000000001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0112-21</v>
      </c>
      <c r="AE25" s="85" t="str">
        <f t="shared" si="10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25" s="82" t="str">
        <f t="shared" si="11"/>
        <v>"C:\Program Files (x86)\AstroGrep\AstroGrep.exe" /e /r /s /spath="%USERPROFILE%\AppData\Local\Temp\OnboardLogs" /stypes="app*4031*20170421*"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7"/>
        <v>"%USERPROFILE%\Documents\GitHub\eaglep3\Utilities\RefineRTDCRunTimes.py" --tripid 112-21 --locoid 4031 --swversion DE.1.0.9.0 --startMP 204:232971 --initTime 2017-04-21T05:48:26 --startdatetime 2017-04-21T05:56:19 --delay 1 --endMP 204:125 --enddatetime 2017-04-21T06:37:00 --enforcementcount 1 &gt;&gt;C:\Users\stu\Documents\GitHub\eaglep3-reporting\EC\2017-04-21-refined-times.txt</v>
      </c>
      <c r="AI2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{"issue":{"subject":"","project_id":79,"tracker_id":40,"status_id":1,"priority_id":2,"assigned_to_id":23,"start_date":"2017-04-21","description":"","custom_fields":[{"id":1,"name":"Subdivision","value":"EC"},{"id":4,"name":"Milepost","value":"0.0125"},{"id":17,"name":"Train ID","value":"112-21"},{"id":16,"name":"Locomotive ID","value":"4031"},{"id":130,"name":"Impact","value":""},{"id":150,"name":"Time of Event (Mountain Time)","value":"06:37:00"},{"id":151,"name":"Denver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47" t="str">
        <f t="shared" si="19"/>
        <v>start /low /b %USERPROFILE%\Documents\GitHub\eaglep3\Utilities\DownloadLogsFromS3.py --loco 4031 --day 2017-04-21</v>
      </c>
      <c r="AN2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646</v>
      </c>
      <c r="B26" s="7">
        <v>4016</v>
      </c>
      <c r="C26" s="21" t="s">
        <v>212</v>
      </c>
      <c r="D26" s="21" t="s">
        <v>850</v>
      </c>
      <c r="E26" s="13">
        <v>42846.209456018521</v>
      </c>
      <c r="F26" s="13">
        <v>42846.2190625</v>
      </c>
      <c r="G26" s="7">
        <v>1</v>
      </c>
      <c r="H26" s="21" t="s">
        <v>562</v>
      </c>
      <c r="I26" s="13">
        <v>42846.244976851849</v>
      </c>
      <c r="J26" s="7">
        <v>1</v>
      </c>
      <c r="K26" s="97" t="str">
        <f t="shared" si="0"/>
        <v>4015/4016</v>
      </c>
      <c r="L26" s="21" t="str">
        <f>VLOOKUP(A26,'Trips&amp;Operators'!$C$1:$G$99999,5,FALSE)</f>
        <v>BADERTSCHER DIANE</v>
      </c>
      <c r="M26" s="6">
        <f t="shared" si="1"/>
        <v>2.5914351848769002E-2</v>
      </c>
      <c r="N26" s="7">
        <f t="shared" si="21"/>
        <v>37.316666662227362</v>
      </c>
      <c r="O26" s="7"/>
      <c r="P26" s="7"/>
      <c r="Q26" s="22"/>
      <c r="R26" s="22"/>
      <c r="S26" s="31">
        <f t="shared" si="22"/>
        <v>1</v>
      </c>
      <c r="T26" s="46" t="str">
        <f t="shared" si="2"/>
        <v>NorthBound</v>
      </c>
      <c r="U26" s="19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2" t="str">
        <f t="shared" si="3"/>
        <v>https://d0f6bd738d7f1b3e5a7ca70fe4ff75f0.us-east-1.aws.found.io/app/kibana#/discover/Steve-Slow-Train-Analysis-(2080s-and-2083s)?_g=(refreshInterval:(display:Off,pause:!f,section:0,value:0),time:(from:'2017-04-21T04:01:37-0600',mode:absolute,to:'2017-04-21T06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6" s="193" t="str">
        <f t="shared" si="4"/>
        <v>N</v>
      </c>
      <c r="X26" s="193">
        <f t="shared" si="23"/>
        <v>1</v>
      </c>
      <c r="Y26" s="193">
        <f t="shared" si="6"/>
        <v>4.3299999999999998E-2</v>
      </c>
      <c r="Z26" s="62">
        <f t="shared" si="7"/>
        <v>23.331</v>
      </c>
      <c r="AA26" s="62">
        <f t="shared" si="8"/>
        <v>23.287700000000001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0113-21</v>
      </c>
      <c r="AE26" s="85" t="str">
        <f t="shared" si="10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26" s="82" t="str">
        <f t="shared" si="11"/>
        <v>"C:\Program Files (x86)\AstroGrep\AstroGrep.exe" /e /r /s /spath="%USERPROFILE%\AppData\Local\Temp\OnboardLogs" /stypes="app*4016*20170421*" /stext=" 11:.+((SYSTEM_STATE.+slice.+state.+changed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7"/>
        <v>"%USERPROFILE%\Documents\GitHub\eaglep3\Utilities\RefineRTDCRunTimes.py" --tripid 113-21 --locoid 4016 --swversion DE.1.0.9.0 --startMP 204:433 --initTime 2017-04-21T05:01:37 --startdatetime 2017-04-21T05:15:27 --delay 1 --endMP 204:233310 --enddatetime 2017-04-21T05:52:46 --enforcementcount 1 &gt;&gt;C:\Users\stu\Documents\GitHub\eaglep3-reporting\EC\2017-04-21-refined-times.txt</v>
      </c>
      <c r="AI26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{"issue":{"subject":"","project_id":79,"tracker_id":40,"status_id":1,"priority_id":2,"assigned_to_id":23,"start_date":"2017-04-21","description":"","custom_fields":[{"id":1,"name":"Subdivision","value":"EC"},{"id":4,"name":"Milepost","value":"23.331"},{"id":17,"name":"Train ID","value":"113-21"},{"id":16,"name":"Locomotive ID","value":"4016"},{"id":130,"name":"Impact","value":""},{"id":150,"name":"Time of Event (Mountain Time)","value":"05:52:46"},{"id":151,"name":"Denver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47" t="str">
        <f t="shared" si="19"/>
        <v>start /low /b %USERPROFILE%\Documents\GitHub\eaglep3\Utilities\DownloadLogsFromS3.py --loco 4016 --day 2017-04-21</v>
      </c>
      <c r="AN26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657</v>
      </c>
      <c r="B27" s="7">
        <v>4015</v>
      </c>
      <c r="C27" s="21" t="s">
        <v>212</v>
      </c>
      <c r="D27" s="21" t="s">
        <v>851</v>
      </c>
      <c r="E27" s="13">
        <v>42846.247939814813</v>
      </c>
      <c r="F27" s="13">
        <v>42846.2578125</v>
      </c>
      <c r="G27" s="7">
        <v>13</v>
      </c>
      <c r="H27" s="21" t="s">
        <v>378</v>
      </c>
      <c r="I27" s="13">
        <v>42846.287291666667</v>
      </c>
      <c r="J27" s="7">
        <v>1</v>
      </c>
      <c r="K27" s="97" t="str">
        <f t="shared" si="0"/>
        <v>4015/4016</v>
      </c>
      <c r="L27" s="21" t="str">
        <f>VLOOKUP(A27,'Trips&amp;Operators'!$C$1:$G$99999,5,FALSE)</f>
        <v>BADERTSCHER DIANE</v>
      </c>
      <c r="M27" s="6">
        <f t="shared" si="1"/>
        <v>2.9479166667442769E-2</v>
      </c>
      <c r="N27" s="7">
        <f t="shared" si="21"/>
        <v>42.450000001117587</v>
      </c>
      <c r="O27" s="7"/>
      <c r="P27" s="7"/>
      <c r="Q27" s="22"/>
      <c r="R27" s="22"/>
      <c r="S27" s="31">
        <f t="shared" si="22"/>
        <v>1</v>
      </c>
      <c r="T27" s="46" t="str">
        <f t="shared" si="2"/>
        <v>Southbound</v>
      </c>
      <c r="U27" s="19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2" t="str">
        <f t="shared" si="3"/>
        <v>https://d0f6bd738d7f1b3e5a7ca70fe4ff75f0.us-east-1.aws.found.io/app/kibana#/discover/Steve-Slow-Train-Analysis-(2080s-and-2083s)?_g=(refreshInterval:(display:Off,pause:!f,section:0,value:0),time:(from:'2017-04-21T04:57:02-0600',mode:absolute,to:'2017-04-21T07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7" s="193" t="str">
        <f t="shared" si="4"/>
        <v>N</v>
      </c>
      <c r="X27" s="193">
        <f t="shared" si="23"/>
        <v>1</v>
      </c>
      <c r="Y27" s="193">
        <f t="shared" si="6"/>
        <v>23.299600000000002</v>
      </c>
      <c r="Z27" s="62">
        <f t="shared" si="7"/>
        <v>1.41E-2</v>
      </c>
      <c r="AA27" s="62">
        <f t="shared" si="8"/>
        <v>23.285500000000003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0114-21</v>
      </c>
      <c r="AE27" s="85" t="str">
        <f t="shared" si="10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27" s="82" t="str">
        <f t="shared" si="11"/>
        <v>"C:\Program Files (x86)\AstroGrep\AstroGrep.exe" /e /r /s /spath="%USERPROFILE%\AppData\Local\Temp\OnboardLogs" /stypes="app*4015*20170421*" /stext=" 12:.+((SYSTEM_STATE.+slice.+state.+changed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7"/>
        <v>"%USERPROFILE%\Documents\GitHub\eaglep3\Utilities\RefineRTDCRunTimes.py" --tripid 114-21 --locoid 4015 --swversion DE.1.0.9.0 --startMP 204:232996 --initTime 2017-04-21T05:57:02 --startdatetime 2017-04-21T06:11:15 --delay 13 --endMP 204:141 --enddatetime 2017-04-21T06:53:42 --enforcementcount 1 &gt;&gt;C:\Users\stu\Documents\GitHub\eaglep3-reporting\EC\2017-04-21-refined-times.txt</v>
      </c>
      <c r="AI27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{"issue":{"subject":"","project_id":79,"tracker_id":40,"status_id":1,"priority_id":2,"assigned_to_id":23,"start_date":"2017-04-21","description":"","custom_fields":[{"id":1,"name":"Subdivision","value":"EC"},{"id":4,"name":"Milepost","value":"0.0141"},{"id":17,"name":"Train ID","value":"114-21"},{"id":16,"name":"Locomotive ID","value":"4015"},{"id":130,"name":"Impact","value":""},{"id":150,"name":"Time of Event (Mountain Time)","value":"06:53:42"},{"id":151,"name":"Denver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47" t="str">
        <f t="shared" si="19"/>
        <v>start /low /b %USERPROFILE%\Documents\GitHub\eaglep3\Utilities\DownloadLogsFromS3.py --loco 4015 --day 2017-04-21</v>
      </c>
      <c r="AN27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650</v>
      </c>
      <c r="B28" s="7">
        <v>4044</v>
      </c>
      <c r="C28" s="21" t="s">
        <v>212</v>
      </c>
      <c r="D28" s="21" t="s">
        <v>852</v>
      </c>
      <c r="E28" s="13">
        <v>42846.226666666669</v>
      </c>
      <c r="F28" s="13">
        <v>42846.22934027778</v>
      </c>
      <c r="G28" s="7">
        <v>1</v>
      </c>
      <c r="H28" s="21" t="s">
        <v>376</v>
      </c>
      <c r="I28" s="13">
        <v>42846.253680555557</v>
      </c>
      <c r="J28" s="7">
        <v>1</v>
      </c>
      <c r="K28" s="97" t="str">
        <f t="shared" si="0"/>
        <v>4043/4044</v>
      </c>
      <c r="L28" s="21" t="str">
        <f>VLOOKUP(A28,'Trips&amp;Operators'!$C$1:$G$99999,5,FALSE)</f>
        <v>ROCHA YAOTL</v>
      </c>
      <c r="M28" s="6">
        <f t="shared" si="1"/>
        <v>2.4340277777810115E-2</v>
      </c>
      <c r="N28" s="7">
        <f t="shared" si="21"/>
        <v>35.050000000046566</v>
      </c>
      <c r="O28" s="7"/>
      <c r="P28" s="7"/>
      <c r="Q28" s="22"/>
      <c r="R28" s="22"/>
      <c r="S28" s="31">
        <f t="shared" si="22"/>
        <v>1</v>
      </c>
      <c r="T28" s="46" t="str">
        <f t="shared" si="2"/>
        <v>NorthBound</v>
      </c>
      <c r="U28" s="19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2" t="str">
        <f t="shared" si="3"/>
        <v>https://d0f6bd738d7f1b3e5a7ca70fe4ff75f0.us-east-1.aws.found.io/app/kibana#/discover/Steve-Slow-Train-Analysis-(2080s-and-2083s)?_g=(refreshInterval:(display:Off,pause:!f,section:0,value:0),time:(from:'2017-04-21T04:26:24-0600',mode:absolute,to:'2017-04-21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8" s="193" t="str">
        <f t="shared" si="4"/>
        <v>N</v>
      </c>
      <c r="X28" s="193">
        <f t="shared" si="23"/>
        <v>1</v>
      </c>
      <c r="Y28" s="193">
        <f t="shared" si="6"/>
        <v>7.6100000000000001E-2</v>
      </c>
      <c r="Z28" s="62">
        <f t="shared" si="7"/>
        <v>23.329499999999999</v>
      </c>
      <c r="AA28" s="62">
        <f t="shared" si="8"/>
        <v>23.253399999999999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0115-21</v>
      </c>
      <c r="AE28" s="85" t="str">
        <f t="shared" si="10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28" s="82" t="str">
        <f t="shared" si="11"/>
        <v>"C:\Program Files (x86)\AstroGrep\AstroGrep.exe" /e /r /s /spath="%USERPROFILE%\AppData\Local\Temp\OnboardLogs" /stypes="app*4044*20170421*"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7"/>
        <v>"%USERPROFILE%\Documents\GitHub\eaglep3\Utilities\RefineRTDCRunTimes.py" --tripid 115-21 --locoid 4044 --swversion DE.1.0.9.0 --startMP 204:761 --initTime 2017-04-21T05:26:24 --startdatetime 2017-04-21T05:30:15 --delay 1 --endMP 204:233295 --enddatetime 2017-04-21T06:05:18 --enforcementcount 1 &gt;&gt;C:\Users\stu\Documents\GitHub\eaglep3-reporting\EC\2017-04-21-refined-times.txt</v>
      </c>
      <c r="AI28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ID","value":"115-21"},{"id":16,"name":"Locomotive ID","value":"4044"},{"id":130,"name":"Impact","value":""},{"id":150,"name":"Time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47" t="str">
        <f t="shared" si="19"/>
        <v>start /low /b %USERPROFILE%\Documents\GitHub\eaglep3\Utilities\DownloadLogsFromS3.py --loco 4044 --day 2017-04-21</v>
      </c>
      <c r="AN28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591</v>
      </c>
      <c r="B29" s="7">
        <v>4043</v>
      </c>
      <c r="C29" s="21" t="s">
        <v>212</v>
      </c>
      <c r="D29" s="21" t="s">
        <v>481</v>
      </c>
      <c r="E29" s="13">
        <v>42846.266111111108</v>
      </c>
      <c r="F29" s="13">
        <v>42846.268275462964</v>
      </c>
      <c r="G29" s="7">
        <v>1</v>
      </c>
      <c r="H29" s="21" t="s">
        <v>197</v>
      </c>
      <c r="I29" s="13">
        <v>42846.296215277776</v>
      </c>
      <c r="J29" s="7">
        <v>1</v>
      </c>
      <c r="K29" s="97" t="str">
        <f t="shared" si="0"/>
        <v>4043/4044</v>
      </c>
      <c r="L29" s="21" t="str">
        <f>VLOOKUP(A29,'Trips&amp;Operators'!$C$1:$G$99999,5,FALSE)</f>
        <v>ROCHA YAOTL</v>
      </c>
      <c r="M29" s="6">
        <f t="shared" si="1"/>
        <v>2.7939814812270924E-2</v>
      </c>
      <c r="N29" s="7">
        <f t="shared" si="21"/>
        <v>40.233333329670131</v>
      </c>
      <c r="O29" s="7"/>
      <c r="P29" s="7"/>
      <c r="Q29" s="22"/>
      <c r="R29" s="22"/>
      <c r="S29" s="31">
        <f t="shared" si="22"/>
        <v>1</v>
      </c>
      <c r="T29" s="46" t="str">
        <f t="shared" si="2"/>
        <v>Southbound</v>
      </c>
      <c r="U29" s="19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2" t="str">
        <f t="shared" si="3"/>
        <v>https://d0f6bd738d7f1b3e5a7ca70fe4ff75f0.us-east-1.aws.found.io/app/kibana#/discover/Steve-Slow-Train-Analysis-(2080s-and-2083s)?_g=(refreshInterval:(display:Off,pause:!f,section:0,value:0),time:(from:'2017-04-21T05:23:12-0600',mode:absolute,to:'2017-04-21T08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9" s="193" t="str">
        <f t="shared" si="4"/>
        <v>N</v>
      </c>
      <c r="X29" s="193">
        <f t="shared" si="23"/>
        <v>1</v>
      </c>
      <c r="Y29" s="193">
        <f t="shared" si="6"/>
        <v>23.2971</v>
      </c>
      <c r="Z29" s="62">
        <f t="shared" si="7"/>
        <v>1.52E-2</v>
      </c>
      <c r="AA29" s="62">
        <f t="shared" si="8"/>
        <v>23.2819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0116-21</v>
      </c>
      <c r="AE29" s="85" t="str">
        <f t="shared" si="10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29" s="82" t="str">
        <f t="shared" si="11"/>
        <v>"C:\Program Files (x86)\AstroGrep\AstroGrep.exe" /e /r /s /spath="%USERPROFILE%\AppData\Local\Temp\OnboardLogs" /stypes="app*4043*20170421*" /stext=" 13:.+((SYSTEM_STATE.+slice.+state.+changed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7"/>
        <v>"%USERPROFILE%\Documents\GitHub\eaglep3\Utilities\RefineRTDCRunTimes.py" --tripid 116-21 --locoid 4043 --swversion DE.1.0.9.0 --startMP 204:232971 --initTime 2017-04-21T06:23:12 --startdatetime 2017-04-21T06:26:19 --delay 1 --endMP 204:152 --enddatetime 2017-04-21T07:06:33 --enforcementcount 1 &gt;&gt;C:\Users\stu\Documents\GitHub\eaglep3-reporting\EC\2017-04-21-refined-times.txt</v>
      </c>
      <c r="AI29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{"issue":{"subject":"","project_id":79,"tracker_id":40,"status_id":1,"priority_id":2,"assigned_to_id":23,"start_date":"2017-04-21","description":"","custom_fields":[{"id":1,"name":"Subdivision","value":"EC"},{"id":4,"name":"Milepost","value":"0.0152"},{"id":17,"name":"Train ID","value":"116-21"},{"id":16,"name":"Locomotive ID","value":"4043"},{"id":130,"name":"Impact","value":""},{"id":150,"name":"Time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47" t="str">
        <f t="shared" si="19"/>
        <v>start /low /b %USERPROFILE%\Documents\GitHub\eaglep3\Utilities\DownloadLogsFromS3.py --loco 4043 --day 2017-04-21</v>
      </c>
      <c r="AN29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652</v>
      </c>
      <c r="B30" s="7">
        <v>4040</v>
      </c>
      <c r="C30" s="21" t="s">
        <v>212</v>
      </c>
      <c r="D30" s="21" t="s">
        <v>446</v>
      </c>
      <c r="E30" s="13">
        <v>42846.229259259257</v>
      </c>
      <c r="F30" s="13">
        <v>42846.239745370367</v>
      </c>
      <c r="G30" s="7">
        <v>1</v>
      </c>
      <c r="H30" s="21" t="s">
        <v>570</v>
      </c>
      <c r="I30" s="13">
        <v>42846.265543981484</v>
      </c>
      <c r="J30" s="7">
        <v>1</v>
      </c>
      <c r="K30" s="97" t="str">
        <f t="shared" si="0"/>
        <v>4039/4040</v>
      </c>
      <c r="L30" s="21" t="str">
        <f>VLOOKUP(A30,'Trips&amp;Operators'!$C$1:$G$99999,5,FALSE)</f>
        <v>DAVIS WENDY</v>
      </c>
      <c r="M30" s="6">
        <f t="shared" si="1"/>
        <v>2.5798611117352266E-2</v>
      </c>
      <c r="N30" s="7">
        <f t="shared" si="21"/>
        <v>37.150000008987263</v>
      </c>
      <c r="O30" s="7"/>
      <c r="P30" s="7"/>
      <c r="Q30" s="22"/>
      <c r="R30" s="22"/>
      <c r="S30" s="31">
        <f t="shared" si="22"/>
        <v>1</v>
      </c>
      <c r="T30" s="46" t="str">
        <f t="shared" si="2"/>
        <v>NorthBound</v>
      </c>
      <c r="U30" s="19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2" t="str">
        <f t="shared" si="3"/>
        <v>https://d0f6bd738d7f1b3e5a7ca70fe4ff75f0.us-east-1.aws.found.io/app/kibana#/discover/Steve-Slow-Train-Analysis-(2080s-and-2083s)?_g=(refreshInterval:(display:Off,pause:!f,section:0,value:0),time:(from:'2017-04-21T04:30:08-0600',mode:absolute,to:'2017-04-21T07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0" s="193" t="str">
        <f t="shared" si="4"/>
        <v>N</v>
      </c>
      <c r="X30" s="193">
        <f t="shared" si="23"/>
        <v>1</v>
      </c>
      <c r="Y30" s="193">
        <f t="shared" si="6"/>
        <v>4.3799999999999999E-2</v>
      </c>
      <c r="Z30" s="62">
        <f t="shared" si="7"/>
        <v>23.331900000000001</v>
      </c>
      <c r="AA30" s="62">
        <f t="shared" si="8"/>
        <v>23.2881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0117-21</v>
      </c>
      <c r="AE30" s="85" t="str">
        <f t="shared" si="10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30" s="82" t="str">
        <f t="shared" si="11"/>
        <v>"C:\Program Files (x86)\AstroGrep\AstroGrep.exe" /e /r /s /spath="%USERPROFILE%\AppData\Local\Temp\OnboardLogs" /stypes="app*4040*20170421*" /stext=" 12:.+((SYSTEM_STATE.+slice.+state.+changed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7"/>
        <v>"%USERPROFILE%\Documents\GitHub\eaglep3\Utilities\RefineRTDCRunTimes.py" --tripid 117-21 --locoid 4040 --swversion DE.1.0.9.0 --startMP 204:438 --initTime 2017-04-21T05:30:08 --startdatetime 2017-04-21T05:45:14 --delay 1 --endMP 204:233319 --enddatetime 2017-04-21T06:22:23 --enforcementcount 1 &gt;&gt;C:\Users\stu\Documents\GitHub\eaglep3-reporting\EC\2017-04-21-refined-times.txt</v>
      </c>
      <c r="AI30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{"issue":{"subject":"","project_id":79,"tracker_id":40,"status_id":1,"priority_id":2,"assigned_to_id":23,"start_date":"2017-04-21","description":"","custom_fields":[{"id":1,"name":"Subdivision","value":"EC"},{"id":4,"name":"Milepost","value":"23.3319"},{"id":17,"name":"Train ID","value":"117-21"},{"id":16,"name":"Locomotive ID","value":"4040"},{"id":130,"name":"Impact","value":""},{"id":150,"name":"Time of Event (Mountain Time)","value":"06:22:23"},{"id":151,"name":"Denver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47" t="str">
        <f t="shared" si="19"/>
        <v>start /low /b %USERPROFILE%\Documents\GitHub\eaglep3\Utilities\DownloadLogsFromS3.py --loco 4040 --day 2017-04-21</v>
      </c>
      <c r="AN30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664</v>
      </c>
      <c r="B31" s="7">
        <v>4039</v>
      </c>
      <c r="C31" s="21" t="s">
        <v>212</v>
      </c>
      <c r="D31" s="21" t="s">
        <v>420</v>
      </c>
      <c r="E31" s="13">
        <v>42846.276273148149</v>
      </c>
      <c r="F31" s="13">
        <v>42846.278634259259</v>
      </c>
      <c r="G31" s="7">
        <v>1</v>
      </c>
      <c r="H31" s="21" t="s">
        <v>419</v>
      </c>
      <c r="I31" s="13">
        <v>42846.308680555558</v>
      </c>
      <c r="J31" s="7">
        <v>1</v>
      </c>
      <c r="K31" s="97" t="str">
        <f t="shared" si="0"/>
        <v>4039/4040</v>
      </c>
      <c r="L31" s="21" t="str">
        <f>VLOOKUP(A31,'Trips&amp;Operators'!$C$1:$G$99999,5,FALSE)</f>
        <v>DAVIS WENDY</v>
      </c>
      <c r="M31" s="6">
        <f t="shared" si="1"/>
        <v>3.0046296298678499E-2</v>
      </c>
      <c r="N31" s="7">
        <f t="shared" si="21"/>
        <v>43.266666670097038</v>
      </c>
      <c r="O31" s="7"/>
      <c r="P31" s="7"/>
      <c r="Q31" s="22"/>
      <c r="R31" s="22"/>
      <c r="S31" s="31">
        <f t="shared" si="22"/>
        <v>1</v>
      </c>
      <c r="T31" s="46" t="str">
        <f t="shared" si="2"/>
        <v>Southbound</v>
      </c>
      <c r="U31" s="19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2" t="str">
        <f t="shared" si="3"/>
        <v>https://d0f6bd738d7f1b3e5a7ca70fe4ff75f0.us-east-1.aws.found.io/app/kibana#/discover/Steve-Slow-Train-Analysis-(2080s-and-2083s)?_g=(refreshInterval:(display:Off,pause:!f,section:0,value:0),time:(from:'2017-04-21T05:37:50-0600',mode:absolute,to:'2017-04-21T08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1" s="193" t="str">
        <f t="shared" si="4"/>
        <v>N</v>
      </c>
      <c r="X31" s="193">
        <f t="shared" si="23"/>
        <v>1</v>
      </c>
      <c r="Y31" s="193">
        <f t="shared" si="6"/>
        <v>23.299800000000001</v>
      </c>
      <c r="Z31" s="62">
        <f t="shared" si="7"/>
        <v>1.49E-2</v>
      </c>
      <c r="AA31" s="62">
        <f t="shared" si="8"/>
        <v>23.2849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0118-21</v>
      </c>
      <c r="AE31" s="85" t="str">
        <f t="shared" si="10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31" s="82" t="str">
        <f t="shared" si="11"/>
        <v>"C:\Program Files (x86)\AstroGrep\AstroGrep.exe" /e /r /s /spath="%USERPROFILE%\AppData\Local\Temp\OnboardLogs" /stypes="app*4039*20170421*" /stext=" 13:.+((SYSTEM_STATE.+slice.+state.+changed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7"/>
        <v>"%USERPROFILE%\Documents\GitHub\eaglep3\Utilities\RefineRTDCRunTimes.py" --tripid 118-21 --locoid 4039 --swversion DE.1.0.9.0 --startMP 204:232998 --initTime 2017-04-21T06:37:50 --startdatetime 2017-04-21T06:41:14 --delay 1 --endMP 204:149 --enddatetime 2017-04-21T07:24:30 --enforcementcount 1 &gt;&gt;C:\Users\stu\Documents\GitHub\eaglep3-reporting\EC\2017-04-21-refined-times.txt</v>
      </c>
      <c r="AI31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ID","value":"118-21"},{"id":16,"name":"Locomotive ID","value":"4039"},{"id":130,"name":"Impact","value":""},{"id":150,"name":"Time of Event (Mountain Time)","value":"07:24:30"},{"id":151,"name":"Denver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47" t="str">
        <f t="shared" si="19"/>
        <v>start /low /b %USERPROFILE%\Documents\GitHub\eaglep3\Utilities\DownloadLogsFromS3.py --loco 4039 --day 2017-04-21</v>
      </c>
      <c r="AN31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656</v>
      </c>
      <c r="B32" s="7">
        <v>4004</v>
      </c>
      <c r="C32" s="21" t="s">
        <v>212</v>
      </c>
      <c r="D32" s="21" t="s">
        <v>853</v>
      </c>
      <c r="E32" s="13">
        <v>42846.247789351852</v>
      </c>
      <c r="F32" s="13">
        <v>42846.250185185185</v>
      </c>
      <c r="G32" s="7">
        <v>1</v>
      </c>
      <c r="H32" s="21" t="s">
        <v>510</v>
      </c>
      <c r="I32" s="13">
        <v>42846.274965277778</v>
      </c>
      <c r="J32" s="7">
        <v>1</v>
      </c>
      <c r="K32" s="97" t="str">
        <f t="shared" si="0"/>
        <v>4003/4004</v>
      </c>
      <c r="L32" s="21" t="str">
        <f>VLOOKUP(A32,'Trips&amp;Operators'!$C$1:$G$99999,5,FALSE)</f>
        <v>ROBINSON KADDIBA</v>
      </c>
      <c r="M32" s="6">
        <f t="shared" si="1"/>
        <v>2.4780092593573499E-2</v>
      </c>
      <c r="N32" s="7">
        <f t="shared" si="21"/>
        <v>35.683333334745839</v>
      </c>
      <c r="O32" s="7"/>
      <c r="P32" s="7"/>
      <c r="Q32" s="22"/>
      <c r="R32" s="22"/>
      <c r="S32" s="31">
        <f t="shared" si="22"/>
        <v>1</v>
      </c>
      <c r="T32" s="46" t="str">
        <f t="shared" si="2"/>
        <v>NorthBound</v>
      </c>
      <c r="U32" s="19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2" t="str">
        <f t="shared" si="3"/>
        <v>https://d0f6bd738d7f1b3e5a7ca70fe4ff75f0.us-east-1.aws.found.io/app/kibana#/discover/Steve-Slow-Train-Analysis-(2080s-and-2083s)?_g=(refreshInterval:(display:Off,pause:!f,section:0,value:0),time:(from:'2017-04-21T04:56:49-0600',mode:absolute,to:'2017-04-21T07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93" t="str">
        <f t="shared" si="4"/>
        <v>N</v>
      </c>
      <c r="X32" s="193">
        <f t="shared" ref="X32:X63" si="24">VALUE(LEFT(AD32,4))-VALUE(LEFT(AD31,4))</f>
        <v>1</v>
      </c>
      <c r="Y32" s="193">
        <f t="shared" si="6"/>
        <v>7.6999999999999999E-2</v>
      </c>
      <c r="Z32" s="62">
        <f t="shared" si="7"/>
        <v>23.330300000000001</v>
      </c>
      <c r="AA32" s="62">
        <f t="shared" si="8"/>
        <v>23.253299999999999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0119-21</v>
      </c>
      <c r="AE32" s="85" t="str">
        <f t="shared" si="10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32" s="82" t="str">
        <f t="shared" si="11"/>
        <v>"C:\Program Files (x86)\AstroGrep\AstroGrep.exe" /e /r /s /spath="%USERPROFILE%\AppData\Local\Temp\OnboardLogs" /stypes="app*4004*20170421*" /stext=" 12:.+((SYSTEM_STATE.+slice.+state.+changed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7"/>
        <v>"%USERPROFILE%\Documents\GitHub\eaglep3\Utilities\RefineRTDCRunTimes.py" --tripid 119-21 --locoid 4004 --swversion DE.1.0.9.0 --startMP 204:770 --initTime 2017-04-21T05:56:49 --startdatetime 2017-04-21T06:00:16 --delay 1 --endMP 204:233303 --enddatetime 2017-04-21T06:35:57 --enforcementcount 1 &gt;&gt;C:\Users\stu\Documents\GitHub\eaglep3-reporting\EC\2017-04-21-refined-times.txt</v>
      </c>
      <c r="AI32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{"issue":{"subject":"","project_id":79,"tracker_id":40,"status_id":1,"priority_id":2,"assigned_to_id":23,"start_date":"2017-04-21","description":"","custom_fields":[{"id":1,"name":"Subdivision","value":"EC"},{"id":4,"name":"Milepost","value":"23.3303"},{"id":17,"name":"Train ID","value":"119-21"},{"id":16,"name":"Locomotive ID","value":"4004"},{"id":130,"name":"Impact","value":""},{"id":150,"name":"Time of Event (Mountain Time)","value":"06:35:57"},{"id":151,"name":"Denver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47" t="str">
        <f t="shared" si="19"/>
        <v>start /low /b %USERPROFILE%\Documents\GitHub\eaglep3\Utilities\DownloadLogsFromS3.py --loco 4004 --day 2017-04-21</v>
      </c>
      <c r="AN32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666</v>
      </c>
      <c r="B33" s="7">
        <v>4003</v>
      </c>
      <c r="C33" s="21" t="s">
        <v>212</v>
      </c>
      <c r="D33" s="21" t="s">
        <v>569</v>
      </c>
      <c r="E33" s="13">
        <v>42846.283530092594</v>
      </c>
      <c r="F33" s="13">
        <v>42846.2890625</v>
      </c>
      <c r="G33" s="7">
        <v>1</v>
      </c>
      <c r="H33" s="21" t="s">
        <v>378</v>
      </c>
      <c r="I33" s="13">
        <v>42846.31827546296</v>
      </c>
      <c r="J33" s="7">
        <v>1</v>
      </c>
      <c r="K33" s="97" t="str">
        <f t="shared" si="0"/>
        <v>4003/4004</v>
      </c>
      <c r="L33" s="21" t="str">
        <f>VLOOKUP(A33,'Trips&amp;Operators'!$C$1:$G$99999,5,FALSE)</f>
        <v>ROBINSON KADDIBA</v>
      </c>
      <c r="M33" s="6">
        <f t="shared" si="1"/>
        <v>2.9212962959718425E-2</v>
      </c>
      <c r="N33" s="7">
        <f t="shared" si="21"/>
        <v>42.066666661994532</v>
      </c>
      <c r="O33" s="7"/>
      <c r="P33" s="7"/>
      <c r="Q33" s="22"/>
      <c r="R33" s="22"/>
      <c r="S33" s="31">
        <f t="shared" si="22"/>
        <v>1</v>
      </c>
      <c r="T33" s="46" t="str">
        <f t="shared" si="2"/>
        <v>Southbound</v>
      </c>
      <c r="U33" s="19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2" t="str">
        <f t="shared" si="3"/>
        <v>https://d0f6bd738d7f1b3e5a7ca70fe4ff75f0.us-east-1.aws.found.io/app/kibana#/discover/Steve-Slow-Train-Analysis-(2080s-and-2083s)?_g=(refreshInterval:(display:Off,pause:!f,section:0,value:0),time:(from:'2017-04-21T05:48:17-0600',mode:absolute,to:'2017-04-21T08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93" t="str">
        <f t="shared" si="4"/>
        <v>N</v>
      </c>
      <c r="X33" s="193">
        <f t="shared" si="24"/>
        <v>1</v>
      </c>
      <c r="Y33" s="193">
        <f t="shared" si="6"/>
        <v>23.2986</v>
      </c>
      <c r="Z33" s="62">
        <f t="shared" si="7"/>
        <v>1.41E-2</v>
      </c>
      <c r="AA33" s="62">
        <f t="shared" si="8"/>
        <v>23.284500000000001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0120-21</v>
      </c>
      <c r="AE33" s="85" t="str">
        <f t="shared" si="10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33" s="82" t="str">
        <f t="shared" si="11"/>
        <v>"C:\Program Files (x86)\AstroGrep\AstroGrep.exe" /e /r /s /spath="%USERPROFILE%\AppData\Local\Temp\OnboardLogs" /stypes="app*4003*20170421*" /stext=" 13:.+((SYSTEM_STATE.+slice.+state.+changed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7"/>
        <v>"%USERPROFILE%\Documents\GitHub\eaglep3\Utilities\RefineRTDCRunTimes.py" --tripid 120-21 --locoid 4003 --swversion DE.1.0.9.0 --startMP 204:232986 --initTime 2017-04-21T06:48:17 --startdatetime 2017-04-21T06:56:15 --delay 1 --endMP 204:141 --enddatetime 2017-04-21T07:38:19 --enforcementcount 1 &gt;&gt;C:\Users\stu\Documents\GitHub\eaglep3-reporting\EC\2017-04-21-refined-times.txt</v>
      </c>
      <c r="AI33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{"issue":{"subject":"","project_id":79,"tracker_id":40,"status_id":1,"priority_id":2,"assigned_to_id":23,"start_date":"2017-04-21","description":"","custom_fields":[{"id":1,"name":"Subdivision","value":"EC"},{"id":4,"name":"Milepost","value":"0.0141"},{"id":17,"name":"Train ID","value":"120-21"},{"id":16,"name":"Locomotive ID","value":"4003"},{"id":130,"name":"Impact","value":""},{"id":150,"name":"Time of Event (Mountain Time)","value":"07:38:19"},{"id":151,"name":"Denver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47" t="str">
        <f t="shared" si="19"/>
        <v>start /low /b %USERPROFILE%\Documents\GitHub\eaglep3\Utilities\DownloadLogsFromS3.py --loco 4003 --day 2017-04-21</v>
      </c>
      <c r="AN33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660</v>
      </c>
      <c r="B34" s="7">
        <v>4002</v>
      </c>
      <c r="C34" s="21" t="s">
        <v>212</v>
      </c>
      <c r="D34" s="21" t="s">
        <v>410</v>
      </c>
      <c r="E34" s="13">
        <v>42846.255879629629</v>
      </c>
      <c r="F34" s="13">
        <v>42846.26059027778</v>
      </c>
      <c r="G34" s="7">
        <v>3</v>
      </c>
      <c r="H34" s="21" t="s">
        <v>570</v>
      </c>
      <c r="I34" s="13">
        <v>42846.286261574074</v>
      </c>
      <c r="J34" s="7">
        <v>1</v>
      </c>
      <c r="K34" s="97" t="str">
        <f t="shared" si="0"/>
        <v>4001/4002</v>
      </c>
      <c r="L34" s="21" t="str">
        <f>VLOOKUP(A34,'Trips&amp;Operators'!$C$1:$G$99999,5,FALSE)</f>
        <v>YANAI IAN</v>
      </c>
      <c r="M34" s="6">
        <f t="shared" si="1"/>
        <v>2.5671296294603962E-2</v>
      </c>
      <c r="N34" s="7">
        <f t="shared" si="21"/>
        <v>36.966666664229706</v>
      </c>
      <c r="O34" s="7"/>
      <c r="P34" s="7"/>
      <c r="Q34" s="22"/>
      <c r="R34" s="22"/>
      <c r="S34" s="31">
        <f t="shared" si="22"/>
        <v>1</v>
      </c>
      <c r="T34" s="46" t="str">
        <f t="shared" si="2"/>
        <v>NorthBound</v>
      </c>
      <c r="U34" s="19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2" t="str">
        <f t="shared" si="3"/>
        <v>https://d0f6bd738d7f1b3e5a7ca70fe4ff75f0.us-east-1.aws.found.io/app/kibana#/discover/Steve-Slow-Train-Analysis-(2080s-and-2083s)?_g=(refreshInterval:(display:Off,pause:!f,section:0,value:0),time:(from:'2017-04-21T05:08:28-0600',mode:absolute,to:'2017-04-21T07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4" s="193" t="str">
        <f t="shared" si="4"/>
        <v>N</v>
      </c>
      <c r="X34" s="193">
        <f t="shared" si="24"/>
        <v>1</v>
      </c>
      <c r="Y34" s="193">
        <f t="shared" si="6"/>
        <v>4.6699999999999998E-2</v>
      </c>
      <c r="Z34" s="62">
        <f t="shared" si="7"/>
        <v>23.331900000000001</v>
      </c>
      <c r="AA34" s="62">
        <f t="shared" si="8"/>
        <v>23.2852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0121-21</v>
      </c>
      <c r="AE34" s="85" t="str">
        <f t="shared" si="10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34" s="82" t="str">
        <f t="shared" si="11"/>
        <v>"C:\Program Files (x86)\AstroGrep\AstroGrep.exe" /e /r /s /spath="%USERPROFILE%\AppData\Local\Temp\OnboardLogs" /stypes="app*4002*20170421*" /stext=" 12:.+((SYSTEM_STATE.+slice.+state.+changed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7"/>
        <v>"%USERPROFILE%\Documents\GitHub\eaglep3\Utilities\RefineRTDCRunTimes.py" --tripid 121-21 --locoid 4002 --swversion DE.1.0.9.0 --startMP 204:467 --initTime 2017-04-21T06:08:28 --startdatetime 2017-04-21T06:15:15 --delay 3 --endMP 204:233319 --enddatetime 2017-04-21T06:52:13 --enforcementcount 1 &gt;&gt;C:\Users\stu\Documents\GitHub\eaglep3-reporting\EC\2017-04-21-refined-times.txt</v>
      </c>
      <c r="AI34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{"issue":{"subject":"","project_id":79,"tracker_id":40,"status_id":1,"priority_id":2,"assigned_to_id":23,"start_date":"2017-04-21","description":"","custom_fields":[{"id":1,"name":"Subdivision","value":"EC"},{"id":4,"name":"Milepost","value":"23.3319"},{"id":17,"name":"Train ID","value":"121-21"},{"id":16,"name":"Locomotive ID","value":"4002"},{"id":130,"name":"Impact","value":""},{"id":150,"name":"Time of Event (Mountain Time)","value":"06:52:13"},{"id":151,"name":"Denver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47" t="str">
        <f t="shared" si="19"/>
        <v>start /low /b %USERPROFILE%\Documents\GitHub\eaglep3\Utilities\DownloadLogsFromS3.py --loco 4002 --day 2017-04-21</v>
      </c>
      <c r="AN34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669</v>
      </c>
      <c r="B35" s="7">
        <v>4001</v>
      </c>
      <c r="C35" s="21" t="s">
        <v>212</v>
      </c>
      <c r="D35" s="21" t="s">
        <v>512</v>
      </c>
      <c r="E35" s="13">
        <v>42846.297337962962</v>
      </c>
      <c r="F35" s="13">
        <v>42846.299467592595</v>
      </c>
      <c r="G35" s="7">
        <v>2</v>
      </c>
      <c r="H35" s="21" t="s">
        <v>435</v>
      </c>
      <c r="I35" s="13">
        <v>42846.328587962962</v>
      </c>
      <c r="J35" s="7">
        <v>1</v>
      </c>
      <c r="K35" s="97" t="str">
        <f t="shared" si="0"/>
        <v>4001/4002</v>
      </c>
      <c r="L35" s="21" t="str">
        <f>VLOOKUP(A35,'Trips&amp;Operators'!$C$1:$G$99999,5,FALSE)</f>
        <v>STARKS ANGELINA</v>
      </c>
      <c r="M35" s="6">
        <f t="shared" si="1"/>
        <v>2.9120370367309079E-2</v>
      </c>
      <c r="N35" s="7">
        <f t="shared" si="21"/>
        <v>41.933333328925073</v>
      </c>
      <c r="O35" s="7"/>
      <c r="P35" s="7"/>
      <c r="Q35" s="22"/>
      <c r="R35" s="22"/>
      <c r="S35" s="31">
        <f t="shared" si="22"/>
        <v>1</v>
      </c>
      <c r="T35" s="46" t="str">
        <f t="shared" si="2"/>
        <v>Southbound</v>
      </c>
      <c r="U35" s="19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2" t="str">
        <f t="shared" si="3"/>
        <v>https://d0f6bd738d7f1b3e5a7ca70fe4ff75f0.us-east-1.aws.found.io/app/kibana#/discover/Steve-Slow-Train-Analysis-(2080s-and-2083s)?_g=(refreshInterval:(display:Off,pause:!f,section:0,value:0),time:(from:'2017-04-21T06:08:10-0600',mode:absolute,to:'2017-04-21T08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5" s="193" t="str">
        <f t="shared" si="4"/>
        <v>N</v>
      </c>
      <c r="X35" s="193">
        <f t="shared" si="24"/>
        <v>1</v>
      </c>
      <c r="Y35" s="193">
        <f t="shared" si="6"/>
        <v>23.300599999999999</v>
      </c>
      <c r="Z35" s="62">
        <f t="shared" si="7"/>
        <v>1.3599999999999999E-2</v>
      </c>
      <c r="AA35" s="62">
        <f t="shared" si="8"/>
        <v>23.286999999999999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0122-21</v>
      </c>
      <c r="AE35" s="85" t="str">
        <f t="shared" si="10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35" s="82" t="str">
        <f t="shared" si="11"/>
        <v>"C:\Program Files (x86)\AstroGrep\AstroGrep.exe" /e /r /s /spath="%USERPROFILE%\AppData\Local\Temp\OnboardLogs" /stypes="app*4001*20170421*" /stext=" 13:.+((SYSTEM_STATE.+slice.+state.+changed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7"/>
        <v>"%USERPROFILE%\Documents\GitHub\eaglep3\Utilities\RefineRTDCRunTimes.py" --tripid 122-21 --locoid 4001 --swversion DE.1.0.9.0 --startMP 204:233006 --initTime 2017-04-21T07:08:10 --startdatetime 2017-04-21T07:11:14 --delay 2 --endMP 204:136 --enddatetime 2017-04-21T07:53:10 --enforcementcount 1 &gt;&gt;C:\Users\stu\Documents\GitHub\eaglep3-reporting\EC\2017-04-21-refined-times.txt</v>
      </c>
      <c r="AI3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{"issue":{"subject":"","project_id":79,"tracker_id":40,"status_id":1,"priority_id":2,"assigned_to_id":23,"start_date":"2017-04-21","description":"","custom_fields":[{"id":1,"name":"Subdivision","value":"EC"},{"id":4,"name":"Milepost","value":"0.0136"},{"id":17,"name":"Train ID","value":"122-21"},{"id":16,"name":"Locomotive ID","value":"4001"},{"id":130,"name":"Impact","value":""},{"id":150,"name":"Time of Event (Mountain Time)","value":"07:53:10"},{"id":151,"name":"Denver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47" t="str">
        <f t="shared" si="19"/>
        <v>start /low /b %USERPROFILE%\Documents\GitHub\eaglep3\Utilities\DownloadLogsFromS3.py --loco 4001 --day 2017-04-21</v>
      </c>
      <c r="AN3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662</v>
      </c>
      <c r="B36" s="7">
        <v>4024</v>
      </c>
      <c r="C36" s="21" t="s">
        <v>212</v>
      </c>
      <c r="D36" s="21" t="s">
        <v>854</v>
      </c>
      <c r="E36" s="13">
        <v>42846.26771990741</v>
      </c>
      <c r="F36" s="13">
        <v>42846.271041666667</v>
      </c>
      <c r="G36" s="7">
        <v>1</v>
      </c>
      <c r="H36" s="21" t="s">
        <v>444</v>
      </c>
      <c r="I36" s="13">
        <v>42846.29792824074</v>
      </c>
      <c r="J36" s="7">
        <v>1</v>
      </c>
      <c r="K36" s="97" t="str">
        <f t="shared" si="0"/>
        <v>4023/4024</v>
      </c>
      <c r="L36" s="21" t="str">
        <f>VLOOKUP(A36,'Trips&amp;Operators'!$C$1:$G$99999,5,FALSE)</f>
        <v>LOZA FIDEL</v>
      </c>
      <c r="M36" s="6">
        <f t="shared" si="1"/>
        <v>2.6886574072705116E-2</v>
      </c>
      <c r="N36" s="7">
        <f t="shared" si="21"/>
        <v>38.716666664695367</v>
      </c>
      <c r="O36" s="7"/>
      <c r="P36" s="7"/>
      <c r="Q36" s="22"/>
      <c r="R36" s="22"/>
      <c r="S36" s="31">
        <f t="shared" si="22"/>
        <v>1</v>
      </c>
      <c r="T36" s="46" t="str">
        <f t="shared" si="2"/>
        <v>NorthBound</v>
      </c>
      <c r="U36" s="19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2" t="str">
        <f t="shared" si="3"/>
        <v>https://d0f6bd738d7f1b3e5a7ca70fe4ff75f0.us-east-1.aws.found.io/app/kibana#/discover/Steve-Slow-Train-Analysis-(2080s-and-2083s)?_g=(refreshInterval:(display:Off,pause:!f,section:0,value:0),time:(from:'2017-04-21T05:25:31-0600',mode:absolute,to:'2017-04-21T08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6" s="193" t="str">
        <f t="shared" si="4"/>
        <v>N</v>
      </c>
      <c r="X36" s="193">
        <f t="shared" si="24"/>
        <v>1</v>
      </c>
      <c r="Y36" s="193">
        <f t="shared" si="6"/>
        <v>4.8599999999999997E-2</v>
      </c>
      <c r="Z36" s="62">
        <f t="shared" si="7"/>
        <v>23.331199999999999</v>
      </c>
      <c r="AA36" s="62">
        <f t="shared" si="8"/>
        <v>23.282599999999999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0123-21</v>
      </c>
      <c r="AE36" s="85" t="str">
        <f t="shared" si="10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36" s="82" t="str">
        <f t="shared" si="11"/>
        <v>"C:\Program Files (x86)\AstroGrep\AstroGrep.exe" /e /r /s /spath="%USERPROFILE%\AppData\Local\Temp\OnboardLogs" /stypes="app*4024*20170421*"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7"/>
        <v>"%USERPROFILE%\Documents\GitHub\eaglep3\Utilities\RefineRTDCRunTimes.py" --tripid 123-21 --locoid 4024 --swversion DE.1.0.9.0 --startMP 204:486 --initTime 2017-04-21T06:25:31 --startdatetime 2017-04-21T06:30:18 --delay 1 --endMP 204:233312 --enddatetime 2017-04-21T07:09:01 --enforcementcount 1 &gt;&gt;C:\Users\stu\Documents\GitHub\eaglep3-reporting\EC\2017-04-21-refined-times.txt</v>
      </c>
      <c r="AI36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{"issue":{"subject":"","project_id":79,"tracker_id":40,"status_id":1,"priority_id":2,"assigned_to_id":23,"start_date":"2017-04-21","description":"","custom_fields":[{"id":1,"name":"Subdivision","value":"EC"},{"id":4,"name":"Milepost","value":"23.3312"},{"id":17,"name":"Train ID","value":"123-21"},{"id":16,"name":"Locomotive ID","value":"4024"},{"id":130,"name":"Impact","value":""},{"id":150,"name":"Time of Event (Mountain Time)","value":"07:09:01"},{"id":151,"name":"Denver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47" t="str">
        <f t="shared" si="19"/>
        <v>start /low /b %USERPROFILE%\Documents\GitHub\eaglep3\Utilities\DownloadLogsFromS3.py --loco 4024 --day 2017-04-21</v>
      </c>
      <c r="AN36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672</v>
      </c>
      <c r="B37" s="7">
        <v>4023</v>
      </c>
      <c r="C37" s="21" t="s">
        <v>212</v>
      </c>
      <c r="D37" s="21" t="s">
        <v>477</v>
      </c>
      <c r="E37" s="13">
        <v>42846.304363425923</v>
      </c>
      <c r="F37" s="13">
        <v>42846.309942129628</v>
      </c>
      <c r="G37" s="7">
        <v>1</v>
      </c>
      <c r="H37" s="21" t="s">
        <v>419</v>
      </c>
      <c r="I37" s="13">
        <v>42846.337696759256</v>
      </c>
      <c r="J37" s="7">
        <v>1</v>
      </c>
      <c r="K37" s="97" t="str">
        <f t="shared" si="0"/>
        <v>4023/4024</v>
      </c>
      <c r="L37" s="21" t="str">
        <f>VLOOKUP(A37,'Trips&amp;Operators'!$C$1:$G$99999,5,FALSE)</f>
        <v>LOZA FIDEL</v>
      </c>
      <c r="M37" s="6">
        <f t="shared" si="1"/>
        <v>2.7754629627452232E-2</v>
      </c>
      <c r="N37" s="7">
        <f t="shared" si="21"/>
        <v>39.966666663531214</v>
      </c>
      <c r="O37" s="7"/>
      <c r="P37" s="7"/>
      <c r="Q37" s="22"/>
      <c r="R37" s="22"/>
      <c r="S37" s="31">
        <f t="shared" si="22"/>
        <v>1</v>
      </c>
      <c r="T37" s="46" t="str">
        <f t="shared" si="2"/>
        <v>Southbound</v>
      </c>
      <c r="U37" s="19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2" t="str">
        <f t="shared" si="3"/>
        <v>https://d0f6bd738d7f1b3e5a7ca70fe4ff75f0.us-east-1.aws.found.io/app/kibana#/discover/Steve-Slow-Train-Analysis-(2080s-and-2083s)?_g=(refreshInterval:(display:Off,pause:!f,section:0,value:0),time:(from:'2017-04-21T06:18:17-0600',mode:absolute,to:'2017-04-21T09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7" s="193" t="str">
        <f t="shared" si="4"/>
        <v>N</v>
      </c>
      <c r="X37" s="193">
        <f t="shared" si="24"/>
        <v>1</v>
      </c>
      <c r="Y37" s="193">
        <f t="shared" si="6"/>
        <v>23.299399999999999</v>
      </c>
      <c r="Z37" s="62">
        <f t="shared" si="7"/>
        <v>1.49E-2</v>
      </c>
      <c r="AA37" s="62">
        <f t="shared" si="8"/>
        <v>23.284499999999998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0124-21</v>
      </c>
      <c r="AE37" s="85" t="str">
        <f t="shared" si="10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37" s="82" t="str">
        <f t="shared" si="11"/>
        <v>"C:\Program Files (x86)\AstroGrep\AstroGrep.exe" /e /r /s /spath="%USERPROFILE%\AppData\Local\Temp\OnboardLogs" /stypes="app*4023*20170421*" /stext=" 14:.+((SYSTEM_STATE.+slice.+state.+changed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7"/>
        <v>"%USERPROFILE%\Documents\GitHub\eaglep3\Utilities\RefineRTDCRunTimes.py" --tripid 124-21 --locoid 4023 --swversion DE.1.0.9.0 --startMP 204:232994 --initTime 2017-04-21T07:18:17 --startdatetime 2017-04-21T07:26:19 --delay 1 --endMP 204:149 --enddatetime 2017-04-21T08:06:17 --enforcementcount 1 &gt;&gt;C:\Users\stu\Documents\GitHub\eaglep3-reporting\EC\2017-04-21-refined-times.txt</v>
      </c>
      <c r="AI37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ID","value":"124-21"},{"id":16,"name":"Locomotive ID","value":"4023"},{"id":130,"name":"Impact","value":""},{"id":150,"name":"Time of Event (Mountain Time)","value":"08:06:17"},{"id":151,"name":"Denver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47" t="str">
        <f t="shared" si="19"/>
        <v>start /low /b %USERPROFILE%\Documents\GitHub\eaglep3\Utilities\DownloadLogsFromS3.py --loco 4023 --day 2017-04-21</v>
      </c>
      <c r="AN37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665</v>
      </c>
      <c r="B38" s="7">
        <v>4032</v>
      </c>
      <c r="C38" s="21" t="s">
        <v>212</v>
      </c>
      <c r="D38" s="21" t="s">
        <v>207</v>
      </c>
      <c r="E38" s="13">
        <v>42846.277754629627</v>
      </c>
      <c r="F38" s="13">
        <v>42846.281412037039</v>
      </c>
      <c r="G38" s="7">
        <v>1</v>
      </c>
      <c r="H38" s="21" t="s">
        <v>558</v>
      </c>
      <c r="I38" s="13">
        <v>42846.308946759258</v>
      </c>
      <c r="J38" s="7">
        <v>1</v>
      </c>
      <c r="K38" s="97" t="str">
        <f t="shared" si="0"/>
        <v>4031/4032</v>
      </c>
      <c r="L38" s="21" t="str">
        <f>VLOOKUP(A38,'Trips&amp;Operators'!$C$1:$G$99999,5,FALSE)</f>
        <v>BIRENBAUM THOMAS</v>
      </c>
      <c r="M38" s="6">
        <f t="shared" si="1"/>
        <v>2.753472221957054E-2</v>
      </c>
      <c r="N38" s="7">
        <f t="shared" si="21"/>
        <v>39.649999996181577</v>
      </c>
      <c r="O38" s="7"/>
      <c r="P38" s="7"/>
      <c r="Q38" s="22"/>
      <c r="R38" s="22"/>
      <c r="S38" s="31">
        <f t="shared" si="22"/>
        <v>1</v>
      </c>
      <c r="T38" s="46" t="str">
        <f t="shared" si="2"/>
        <v>NorthBound</v>
      </c>
      <c r="U38" s="19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2" t="str">
        <f t="shared" si="3"/>
        <v>https://d0f6bd738d7f1b3e5a7ca70fe4ff75f0.us-east-1.aws.found.io/app/kibana#/discover/Steve-Slow-Train-Analysis-(2080s-and-2083s)?_g=(refreshInterval:(display:Off,pause:!f,section:0,value:0),time:(from:'2017-04-21T05:39:58-0600',mode:absolute,to:'2017-04-21T08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8" s="193" t="str">
        <f t="shared" si="4"/>
        <v>N</v>
      </c>
      <c r="X38" s="193">
        <f t="shared" si="24"/>
        <v>1</v>
      </c>
      <c r="Y38" s="193">
        <f t="shared" si="6"/>
        <v>4.53E-2</v>
      </c>
      <c r="Z38" s="62">
        <f t="shared" si="7"/>
        <v>23.328900000000001</v>
      </c>
      <c r="AA38" s="62">
        <f t="shared" si="8"/>
        <v>23.2836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0125-21</v>
      </c>
      <c r="AE38" s="85" t="str">
        <f t="shared" si="10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38" s="82" t="str">
        <f t="shared" si="11"/>
        <v>"C:\Program Files (x86)\AstroGrep\AstroGrep.exe" /e /r /s /spath="%USERPROFILE%\AppData\Local\Temp\OnboardLogs" /stypes="app*4032*20170421*" /stext=" 13:.+((SYSTEM_STATE.+slice.+state.+changed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7"/>
        <v>"%USERPROFILE%\Documents\GitHub\eaglep3\Utilities\RefineRTDCRunTimes.py" --tripid 125-21 --locoid 4032 --swversion DE.1.0.9.0 --startMP 204:453 --initTime 2017-04-21T06:39:58 --startdatetime 2017-04-21T06:45:14 --delay 1 --endMP 204:233289 --enddatetime 2017-04-21T07:24:53 --enforcementcount 1 &gt;&gt;C:\Users\stu\Documents\GitHub\eaglep3-reporting\EC\2017-04-21-refined-times.txt</v>
      </c>
      <c r="AI38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{"issue":{"subject":"","project_id":79,"tracker_id":40,"status_id":1,"priority_id":2,"assigned_to_id":23,"start_date":"2017-04-21","description":"","custom_fields":[{"id":1,"name":"Subdivision","value":"EC"},{"id":4,"name":"Milepost","value":"23.3289"},{"id":17,"name":"Train ID","value":"125-21"},{"id":16,"name":"Locomotive ID","value":"4032"},{"id":130,"name":"Impact","value":""},{"id":150,"name":"Time of Event (Mountain Time)","value":"07:24:53"},{"id":151,"name":"Denver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47" t="str">
        <f t="shared" si="19"/>
        <v>start /low /b %USERPROFILE%\Documents\GitHub\eaglep3\Utilities\DownloadLogsFromS3.py --loco 4032 --day 2017-04-21</v>
      </c>
      <c r="AN38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675</v>
      </c>
      <c r="B39" s="7">
        <v>4031</v>
      </c>
      <c r="C39" s="21" t="s">
        <v>212</v>
      </c>
      <c r="D39" s="21" t="s">
        <v>855</v>
      </c>
      <c r="E39" s="13">
        <v>42846.311863425923</v>
      </c>
      <c r="F39" s="13">
        <v>42846.320509259262</v>
      </c>
      <c r="G39" s="7">
        <v>1</v>
      </c>
      <c r="H39" s="21" t="s">
        <v>414</v>
      </c>
      <c r="I39" s="13">
        <v>42846.348298611112</v>
      </c>
      <c r="J39" s="7">
        <v>1</v>
      </c>
      <c r="K39" s="97" t="str">
        <f t="shared" si="0"/>
        <v>4031/4032</v>
      </c>
      <c r="L39" s="21" t="str">
        <f>VLOOKUP(A39,'Trips&amp;Operators'!$C$1:$G$99999,5,FALSE)</f>
        <v>BIRENBAUM THOMAS</v>
      </c>
      <c r="M39" s="6">
        <f t="shared" si="1"/>
        <v>2.7789351850515231E-2</v>
      </c>
      <c r="N39" s="7">
        <f t="shared" si="21"/>
        <v>40.016666664741933</v>
      </c>
      <c r="O39" s="7"/>
      <c r="P39" s="7"/>
      <c r="Q39" s="22"/>
      <c r="R39" s="22"/>
      <c r="S39" s="31">
        <f t="shared" si="22"/>
        <v>1</v>
      </c>
      <c r="T39" s="46" t="str">
        <f t="shared" si="2"/>
        <v>Southbound</v>
      </c>
      <c r="U39" s="19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2" t="str">
        <f t="shared" si="3"/>
        <v>https://d0f6bd738d7f1b3e5a7ca70fe4ff75f0.us-east-1.aws.found.io/app/kibana#/discover/Steve-Slow-Train-Analysis-(2080s-and-2083s)?_g=(refreshInterval:(display:Off,pause:!f,section:0,value:0),time:(from:'2017-04-21T06:29:05-0600',mode:absolute,to:'2017-04-21T09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9" s="193" t="str">
        <f t="shared" si="4"/>
        <v>N</v>
      </c>
      <c r="X39" s="193">
        <f t="shared" si="24"/>
        <v>1</v>
      </c>
      <c r="Y39" s="193">
        <f t="shared" si="6"/>
        <v>23.2987</v>
      </c>
      <c r="Z39" s="62">
        <f t="shared" si="7"/>
        <v>1.4999999999999999E-2</v>
      </c>
      <c r="AA39" s="62">
        <f t="shared" si="8"/>
        <v>23.2837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0126-21</v>
      </c>
      <c r="AE39" s="85" t="str">
        <f t="shared" si="10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39" s="82" t="str">
        <f t="shared" si="11"/>
        <v>"C:\Program Files (x86)\AstroGrep\AstroGrep.exe" /e /r /s /spath="%USERPROFILE%\AppData\Local\Temp\OnboardLogs" /stypes="app*4031*20170421*" /stext=" 14:.+((SYSTEM_STATE.+slice.+state.+changed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7"/>
        <v>"%USERPROFILE%\Documents\GitHub\eaglep3\Utilities\RefineRTDCRunTimes.py" --tripid 126-21 --locoid 4031 --swversion DE.1.0.9.0 --startMP 204:232987 --initTime 2017-04-21T07:29:05 --startdatetime 2017-04-21T07:41:32 --delay 1 --endMP 204:150 --enddatetime 2017-04-21T08:21:33 --enforcementcount 1 &gt;&gt;C:\Users\stu\Documents\GitHub\eaglep3-reporting\EC\2017-04-21-refined-times.txt</v>
      </c>
      <c r="AI39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{"issue":{"subject":"","project_id":79,"tracker_id":40,"status_id":1,"priority_id":2,"assigned_to_id":23,"start_date":"2017-04-21","description":"","custom_fields":[{"id":1,"name":"Subdivision","value":"EC"},{"id":4,"name":"Milepost","value":"0.015"},{"id":17,"name":"Train ID","value":"126-21"},{"id":16,"name":"Locomotive ID","value":"4031"},{"id":130,"name":"Impact","value":""},{"id":150,"name":"Time of Event (Mountain Time)","value":"08:21:33"},{"id":151,"name":"Denver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47" t="str">
        <f t="shared" si="19"/>
        <v>start /low /b %USERPROFILE%\Documents\GitHub\eaglep3\Utilities\DownloadLogsFromS3.py --loco 4031 --day 2017-04-21</v>
      </c>
      <c r="AN39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667</v>
      </c>
      <c r="B40" s="7">
        <v>4016</v>
      </c>
      <c r="C40" s="21" t="s">
        <v>212</v>
      </c>
      <c r="D40" s="21" t="s">
        <v>434</v>
      </c>
      <c r="E40" s="13">
        <v>42846.289212962962</v>
      </c>
      <c r="F40" s="13">
        <v>42846.291828703703</v>
      </c>
      <c r="G40" s="7">
        <v>1</v>
      </c>
      <c r="H40" s="21" t="s">
        <v>413</v>
      </c>
      <c r="I40" s="13">
        <v>42846.318935185183</v>
      </c>
      <c r="J40" s="7">
        <v>1</v>
      </c>
      <c r="K40" s="97" t="str">
        <f t="shared" si="0"/>
        <v>4015/4016</v>
      </c>
      <c r="L40" s="21" t="str">
        <f>VLOOKUP(A40,'Trips&amp;Operators'!$C$1:$G$99999,5,FALSE)</f>
        <v>BADERTSCHER DIANE</v>
      </c>
      <c r="M40" s="6">
        <f t="shared" si="1"/>
        <v>2.7106481480586808E-2</v>
      </c>
      <c r="N40" s="7">
        <f t="shared" si="21"/>
        <v>39.033333332045004</v>
      </c>
      <c r="O40" s="7"/>
      <c r="P40" s="7"/>
      <c r="Q40" s="22"/>
      <c r="R40" s="22"/>
      <c r="S40" s="31">
        <f t="shared" si="22"/>
        <v>1</v>
      </c>
      <c r="T40" s="46" t="str">
        <f t="shared" si="2"/>
        <v>NorthBound</v>
      </c>
      <c r="U40" s="19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2" t="str">
        <f t="shared" si="3"/>
        <v>https://d0f6bd738d7f1b3e5a7ca70fe4ff75f0.us-east-1.aws.found.io/app/kibana#/discover/Steve-Slow-Train-Analysis-(2080s-and-2083s)?_g=(refreshInterval:(display:Off,pause:!f,section:0,value:0),time:(from:'2017-04-21T05:56:28-0600',mode:absolute,to:'2017-04-21T08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0" s="193" t="str">
        <f t="shared" si="4"/>
        <v>N</v>
      </c>
      <c r="X40" s="193">
        <f t="shared" si="24"/>
        <v>1</v>
      </c>
      <c r="Y40" s="193">
        <f t="shared" si="6"/>
        <v>4.4400000000000002E-2</v>
      </c>
      <c r="Z40" s="62">
        <f t="shared" si="7"/>
        <v>23.3293</v>
      </c>
      <c r="AA40" s="62">
        <f t="shared" si="8"/>
        <v>23.2849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0127-21</v>
      </c>
      <c r="AE40" s="85" t="str">
        <f t="shared" si="10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40" s="82" t="str">
        <f t="shared" si="11"/>
        <v>"C:\Program Files (x86)\AstroGrep\AstroGrep.exe" /e /r /s /spath="%USERPROFILE%\AppData\Local\Temp\OnboardLogs" /stypes="app*4016*20170421*" /stext=" 13:.+((SYSTEM_STATE.+slice.+state.+changed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7"/>
        <v>"%USERPROFILE%\Documents\GitHub\eaglep3\Utilities\RefineRTDCRunTimes.py" --tripid 127-21 --locoid 4016 --swversion DE.1.0.9.0 --startMP 204:444 --initTime 2017-04-21T06:56:28 --startdatetime 2017-04-21T07:00:14 --delay 1 --endMP 204:233293 --enddatetime 2017-04-21T07:39:16 --enforcementcount 1 &gt;&gt;C:\Users\stu\Documents\GitHub\eaglep3-reporting\EC\2017-04-21-refined-times.txt</v>
      </c>
      <c r="AI40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{"issue":{"subject":"","project_id":79,"tracker_id":40,"status_id":1,"priority_id":2,"assigned_to_id":23,"start_date":"2017-04-21","description":"","custom_fields":[{"id":1,"name":"Subdivision","value":"EC"},{"id":4,"name":"Milepost","value":"23.3293"},{"id":17,"name":"Train ID","value":"127-21"},{"id":16,"name":"Locomotive ID","value":"4016"},{"id":130,"name":"Impact","value":""},{"id":150,"name":"Time of Event (Mountain Time)","value":"07:39:16"},{"id":151,"name":"Denver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47" t="str">
        <f t="shared" si="19"/>
        <v>start /low /b %USERPROFILE%\Documents\GitHub\eaglep3\Utilities\DownloadLogsFromS3.py --loco 4016 --day 2017-04-21</v>
      </c>
      <c r="AN40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678</v>
      </c>
      <c r="B41" s="7">
        <v>4015</v>
      </c>
      <c r="C41" s="21" t="s">
        <v>212</v>
      </c>
      <c r="D41" s="21" t="s">
        <v>373</v>
      </c>
      <c r="E41" s="13">
        <v>42846.326932870368</v>
      </c>
      <c r="F41" s="13">
        <v>42846.330729166664</v>
      </c>
      <c r="G41" s="7">
        <v>4</v>
      </c>
      <c r="H41" s="21" t="s">
        <v>209</v>
      </c>
      <c r="I41" s="13">
        <v>42846.358657407407</v>
      </c>
      <c r="J41" s="7">
        <v>1</v>
      </c>
      <c r="K41" s="97" t="str">
        <f t="shared" si="0"/>
        <v>4015/4016</v>
      </c>
      <c r="L41" s="21" t="str">
        <f>VLOOKUP(A41,'Trips&amp;Operators'!$C$1:$G$99999,5,FALSE)</f>
        <v>BADERTSCHER DIANE</v>
      </c>
      <c r="M41" s="6">
        <f t="shared" si="1"/>
        <v>2.792824074276723E-2</v>
      </c>
      <c r="N41" s="7">
        <f t="shared" si="21"/>
        <v>40.216666669584811</v>
      </c>
      <c r="O41" s="7"/>
      <c r="P41" s="7"/>
      <c r="Q41" s="22"/>
      <c r="R41" s="22"/>
      <c r="S41" s="31">
        <f t="shared" si="22"/>
        <v>1</v>
      </c>
      <c r="T41" s="46" t="str">
        <f t="shared" si="2"/>
        <v>Southbound</v>
      </c>
      <c r="U41" s="19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2" t="str">
        <f t="shared" si="3"/>
        <v>https://d0f6bd738d7f1b3e5a7ca70fe4ff75f0.us-east-1.aws.found.io/app/kibana#/discover/Steve-Slow-Train-Analysis-(2080s-and-2083s)?_g=(refreshInterval:(display:Off,pause:!f,section:0,value:0),time:(from:'2017-04-21T06:50:47-0600',mode:absolute,to:'2017-04-21T09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1" s="193" t="str">
        <f t="shared" si="4"/>
        <v>N</v>
      </c>
      <c r="X41" s="193">
        <f t="shared" si="24"/>
        <v>1</v>
      </c>
      <c r="Y41" s="193">
        <f t="shared" si="6"/>
        <v>23.297699999999999</v>
      </c>
      <c r="Z41" s="62">
        <f t="shared" si="7"/>
        <v>1.47E-2</v>
      </c>
      <c r="AA41" s="62">
        <f t="shared" si="8"/>
        <v>23.282999999999998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0128-21</v>
      </c>
      <c r="AE41" s="85" t="str">
        <f t="shared" si="10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41" s="82" t="str">
        <f t="shared" si="11"/>
        <v>"C:\Program Files (x86)\AstroGrep\AstroGrep.exe" /e /r /s /spath="%USERPROFILE%\AppData\Local\Temp\OnboardLogs" /stypes="app*4015*20170421*" /stext=" 14:.+((SYSTEM_STATE.+slice.+state.+changed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7"/>
        <v>"%USERPROFILE%\Documents\GitHub\eaglep3\Utilities\RefineRTDCRunTimes.py" --tripid 128-21 --locoid 4015 --swversion DE.1.0.9.0 --startMP 204:232977 --initTime 2017-04-21T07:50:47 --startdatetime 2017-04-21T07:56:15 --delay 4 --endMP 204:147 --enddatetime 2017-04-21T08:36:28 --enforcementcount 1 &gt;&gt;C:\Users\stu\Documents\GitHub\eaglep3-reporting\EC\2017-04-21-refined-times.txt</v>
      </c>
      <c r="AI41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{"issue":{"subject":"","project_id":79,"tracker_id":40,"status_id":1,"priority_id":2,"assigned_to_id":23,"start_date":"2017-04-21","description":"","custom_fields":[{"id":1,"name":"Subdivision","value":"EC"},{"id":4,"name":"Milepost","value":"0.0147"},{"id":17,"name":"Train ID","value":"128-21"},{"id":16,"name":"Locomotive ID","value":"4015"},{"id":130,"name":"Impact","value":""},{"id":150,"name":"Time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47" t="str">
        <f t="shared" si="19"/>
        <v>start /low /b %USERPROFILE%\Documents\GitHub\eaglep3\Utilities\DownloadLogsFromS3.py --loco 4015 --day 2017-04-21</v>
      </c>
      <c r="AN41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670</v>
      </c>
      <c r="B42" s="7">
        <v>4044</v>
      </c>
      <c r="C42" s="21" t="s">
        <v>212</v>
      </c>
      <c r="D42" s="21" t="s">
        <v>410</v>
      </c>
      <c r="E42" s="13">
        <v>42846.298564814817</v>
      </c>
      <c r="F42" s="13">
        <v>42846.30228009259</v>
      </c>
      <c r="G42" s="7">
        <v>1</v>
      </c>
      <c r="H42" s="21" t="s">
        <v>570</v>
      </c>
      <c r="I42" s="13">
        <v>42846.326932870368</v>
      </c>
      <c r="J42" s="7">
        <v>1</v>
      </c>
      <c r="K42" s="97" t="str">
        <f t="shared" si="0"/>
        <v>4043/4044</v>
      </c>
      <c r="L42" s="21" t="str">
        <f>VLOOKUP(A42,'Trips&amp;Operators'!$C$1:$G$99999,5,FALSE)</f>
        <v>ROCHA YAOTL</v>
      </c>
      <c r="M42" s="6">
        <f t="shared" si="1"/>
        <v>2.4652777778101154E-2</v>
      </c>
      <c r="N42" s="7">
        <f t="shared" si="21"/>
        <v>35.500000000465661</v>
      </c>
      <c r="O42" s="7"/>
      <c r="P42" s="7"/>
      <c r="Q42" s="22"/>
      <c r="R42" s="22"/>
      <c r="S42" s="31">
        <f t="shared" si="22"/>
        <v>1</v>
      </c>
      <c r="T42" s="46" t="str">
        <f t="shared" si="2"/>
        <v>NorthBound</v>
      </c>
      <c r="U42" s="19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2" t="str">
        <f t="shared" si="3"/>
        <v>https://d0f6bd738d7f1b3e5a7ca70fe4ff75f0.us-east-1.aws.found.io/app/kibana#/discover/Steve-Slow-Train-Analysis-(2080s-and-2083s)?_g=(refreshInterval:(display:Off,pause:!f,section:0,value:0),time:(from:'2017-04-21T06:09:56-0600',mode:absolute,to:'2017-04-21T08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2" s="193" t="str">
        <f t="shared" si="4"/>
        <v>N</v>
      </c>
      <c r="X42" s="193">
        <f t="shared" si="24"/>
        <v>1</v>
      </c>
      <c r="Y42" s="193">
        <f t="shared" si="6"/>
        <v>4.6699999999999998E-2</v>
      </c>
      <c r="Z42" s="62">
        <f t="shared" si="7"/>
        <v>23.331900000000001</v>
      </c>
      <c r="AA42" s="62">
        <f t="shared" si="8"/>
        <v>23.2852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0129-21</v>
      </c>
      <c r="AE42" s="85" t="str">
        <f t="shared" si="10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42" s="82" t="str">
        <f t="shared" si="11"/>
        <v>"C:\Program Files (x86)\AstroGrep\AstroGrep.exe" /e /r /s /spath="%USERPROFILE%\AppData\Local\Temp\OnboardLogs" /stypes="app*4044*20170421*" /stext=" 13:.+((SYSTEM_STATE.+slice.+state.+changed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7"/>
        <v>"%USERPROFILE%\Documents\GitHub\eaglep3\Utilities\RefineRTDCRunTimes.py" --tripid 129-21 --locoid 4044 --swversion DE.1.0.9.0 --startMP 204:467 --initTime 2017-04-21T07:09:56 --startdatetime 2017-04-21T07:15:17 --delay 1 --endMP 204:233319 --enddatetime 2017-04-21T07:50:47 --enforcementcount 1 &gt;&gt;C:\Users\stu\Documents\GitHub\eaglep3-reporting\EC\2017-04-21-refined-times.txt</v>
      </c>
      <c r="AI42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{"issue":{"subject":"","project_id":79,"tracker_id":40,"status_id":1,"priority_id":2,"assigned_to_id":23,"start_date":"2017-04-21","description":"","custom_fields":[{"id":1,"name":"Subdivision","value":"EC"},{"id":4,"name":"Milepost","value":"23.3319"},{"id":17,"name":"Train ID","value":"129-21"},{"id":16,"name":"Locomotive ID","value":"4044"},{"id":130,"name":"Impact","value":""},{"id":150,"name":"Time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47" t="str">
        <f t="shared" si="19"/>
        <v>start /low /b %USERPROFILE%\Documents\GitHub\eaglep3\Utilities\DownloadLogsFromS3.py --loco 4044 --day 2017-04-21</v>
      </c>
      <c r="AN42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681</v>
      </c>
      <c r="B43" s="7">
        <v>4043</v>
      </c>
      <c r="C43" s="21" t="s">
        <v>212</v>
      </c>
      <c r="D43" s="21" t="s">
        <v>412</v>
      </c>
      <c r="E43" s="13">
        <v>42846.340428240743</v>
      </c>
      <c r="F43" s="13">
        <v>42846.341458333336</v>
      </c>
      <c r="G43" s="7">
        <v>0</v>
      </c>
      <c r="H43" s="21" t="s">
        <v>197</v>
      </c>
      <c r="I43" s="13">
        <v>42846.367685185185</v>
      </c>
      <c r="J43" s="7">
        <v>1</v>
      </c>
      <c r="K43" s="97" t="str">
        <f t="shared" si="0"/>
        <v>4043/4044</v>
      </c>
      <c r="L43" s="21" t="str">
        <f>VLOOKUP(A43,'Trips&amp;Operators'!$C$1:$G$99999,5,FALSE)</f>
        <v>ROCHA YAOTL</v>
      </c>
      <c r="M43" s="6">
        <f t="shared" si="1"/>
        <v>2.622685184906004E-2</v>
      </c>
      <c r="N43" s="7">
        <f t="shared" si="21"/>
        <v>37.766666662646458</v>
      </c>
      <c r="O43" s="7"/>
      <c r="P43" s="7"/>
      <c r="Q43" s="22"/>
      <c r="R43" s="22"/>
      <c r="S43" s="31">
        <f t="shared" si="22"/>
        <v>1</v>
      </c>
      <c r="T43" s="46" t="str">
        <f t="shared" si="2"/>
        <v>Southbound</v>
      </c>
      <c r="U43" s="19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2" t="str">
        <f t="shared" si="3"/>
        <v>https://d0f6bd738d7f1b3e5a7ca70fe4ff75f0.us-east-1.aws.found.io/app/kibana#/discover/Steve-Slow-Train-Analysis-(2080s-and-2083s)?_g=(refreshInterval:(display:Off,pause:!f,section:0,value:0),time:(from:'2017-04-21T07:10:13-0600',mode:absolute,to:'2017-04-21T09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3" s="193" t="str">
        <f t="shared" si="4"/>
        <v>N</v>
      </c>
      <c r="X43" s="193">
        <f t="shared" si="24"/>
        <v>1</v>
      </c>
      <c r="Y43" s="193">
        <f t="shared" si="6"/>
        <v>23.3002</v>
      </c>
      <c r="Z43" s="62">
        <f t="shared" si="7"/>
        <v>1.52E-2</v>
      </c>
      <c r="AA43" s="62">
        <f t="shared" si="8"/>
        <v>23.285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0130-21</v>
      </c>
      <c r="AE43" s="85" t="str">
        <f t="shared" si="10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43" s="82" t="str">
        <f t="shared" si="11"/>
        <v>"C:\Program Files (x86)\AstroGrep\AstroGrep.exe" /e /r /s /spath="%USERPROFILE%\AppData\Local\Temp\OnboardLogs" /stypes="app*4043*20170421*" /stext=" 14:.+((SYSTEM_STATE.+slice.+state.+changed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7"/>
        <v>"%USERPROFILE%\Documents\GitHub\eaglep3\Utilities\RefineRTDCRunTimes.py" --tripid 130-21 --locoid 4043 --swversion DE.1.0.9.0 --startMP 204:233002 --initTime 2017-04-21T08:10:13 --startdatetime 2017-04-21T08:11:42 --delay 0 --endMP 204:152 --enddatetime 2017-04-21T08:49:28 --enforcementcount 1 &gt;&gt;C:\Users\stu\Documents\GitHub\eaglep3-reporting\EC\2017-04-21-refined-times.txt</v>
      </c>
      <c r="AI43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{"issue":{"subject":"","project_id":79,"tracker_id":40,"status_id":1,"priority_id":2,"assigned_to_id":23,"start_date":"2017-04-21","description":"","custom_fields":[{"id":1,"name":"Subdivision","value":"EC"},{"id":4,"name":"Milepost","value":"0.0152"},{"id":17,"name":"Train ID","value":"130-21"},{"id":16,"name":"Locomotive ID","value":"4043"},{"id":130,"name":"Impact","value":""},{"id":150,"name":"Time of Event (Mountain Time)","value":"08:49:28"},{"id":151,"name":"Denver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47" t="str">
        <f t="shared" si="19"/>
        <v>start /low /b %USERPROFILE%\Documents\GitHub\eaglep3\Utilities\DownloadLogsFromS3.py --loco 4043 --day 2017-04-21</v>
      </c>
      <c r="AN43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673</v>
      </c>
      <c r="B44" s="7">
        <v>4040</v>
      </c>
      <c r="C44" s="21" t="s">
        <v>212</v>
      </c>
      <c r="D44" s="21" t="s">
        <v>565</v>
      </c>
      <c r="E44" s="13">
        <v>42846.310196759259</v>
      </c>
      <c r="F44" s="13">
        <v>42846.312650462962</v>
      </c>
      <c r="G44" s="7">
        <v>1</v>
      </c>
      <c r="H44" s="21" t="s">
        <v>856</v>
      </c>
      <c r="I44" s="13">
        <v>42846.33766203704</v>
      </c>
      <c r="J44" s="7">
        <v>1</v>
      </c>
      <c r="K44" s="97" t="str">
        <f t="shared" si="0"/>
        <v>4039/4040</v>
      </c>
      <c r="L44" s="21" t="str">
        <f>VLOOKUP(A44,'Trips&amp;Operators'!$C$1:$G$99999,5,FALSE)</f>
        <v>DAVIS WENDY</v>
      </c>
      <c r="M44" s="6">
        <f t="shared" si="1"/>
        <v>2.5011574078234844E-2</v>
      </c>
      <c r="N44" s="7">
        <f t="shared" si="21"/>
        <v>36.016666672658175</v>
      </c>
      <c r="O44" s="7"/>
      <c r="P44" s="7"/>
      <c r="Q44" s="22"/>
      <c r="R44" s="22"/>
      <c r="S44" s="31">
        <f t="shared" si="22"/>
        <v>1</v>
      </c>
      <c r="T44" s="46" t="str">
        <f t="shared" si="2"/>
        <v>NorthBound</v>
      </c>
      <c r="U44" s="19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2" t="str">
        <f t="shared" si="3"/>
        <v>https://d0f6bd738d7f1b3e5a7ca70fe4ff75f0.us-east-1.aws.found.io/app/kibana#/discover/Steve-Slow-Train-Analysis-(2080s-and-2083s)?_g=(refreshInterval:(display:Off,pause:!f,section:0,value:0),time:(from:'2017-04-21T06:26:41-0600',mode:absolute,to:'2017-04-21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4" s="193" t="str">
        <f t="shared" si="4"/>
        <v>N</v>
      </c>
      <c r="X44" s="193">
        <f t="shared" si="24"/>
        <v>1</v>
      </c>
      <c r="Y44" s="193">
        <f t="shared" si="6"/>
        <v>4.82E-2</v>
      </c>
      <c r="Z44" s="62">
        <f t="shared" si="7"/>
        <v>23.3309</v>
      </c>
      <c r="AA44" s="62">
        <f t="shared" si="8"/>
        <v>23.282699999999998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0131-21</v>
      </c>
      <c r="AE44" s="85" t="str">
        <f t="shared" si="10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44" s="82" t="str">
        <f t="shared" si="11"/>
        <v>"C:\Program Files (x86)\AstroGrep\AstroGrep.exe" /e /r /s /spath="%USERPROFILE%\AppData\Local\Temp\OnboardLogs" /stypes="app*4040*20170421*"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7"/>
        <v>"%USERPROFILE%\Documents\GitHub\eaglep3\Utilities\RefineRTDCRunTimes.py" --tripid 131-21 --locoid 4040 --swversion DE.1.0.9.0 --startMP 204:482 --initTime 2017-04-21T07:26:41 --startdatetime 2017-04-21T07:30:13 --delay 1 --endMP 204:233309 --enddatetime 2017-04-21T08:06:14 --enforcementcount 1 &gt;&gt;C:\Users\stu\Documents\GitHub\eaglep3-reporting\EC\2017-04-21-refined-times.txt</v>
      </c>
      <c r="AI44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{"issue":{"subject":"","project_id":79,"tracker_id":40,"status_id":1,"priority_id":2,"assigned_to_id":23,"start_date":"2017-04-21","description":"","custom_fields":[{"id":1,"name":"Subdivision","value":"EC"},{"id":4,"name":"Milepost","value":"23.3309"},{"id":17,"name":"Train ID","value":"131-21"},{"id":16,"name":"Locomotive ID","value":"4040"},{"id":130,"name":"Impact","value":""},{"id":150,"name":"Time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47" t="str">
        <f t="shared" si="19"/>
        <v>start /low /b %USERPROFILE%\Documents\GitHub\eaglep3\Utilities\DownloadLogsFromS3.py --loco 4040 --day 2017-04-21</v>
      </c>
      <c r="AN44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683</v>
      </c>
      <c r="B45" s="7">
        <v>4039</v>
      </c>
      <c r="C45" s="21" t="s">
        <v>212</v>
      </c>
      <c r="D45" s="21" t="s">
        <v>857</v>
      </c>
      <c r="E45" s="13">
        <v>42846.34878472222</v>
      </c>
      <c r="F45" s="13">
        <v>42846.3515162037</v>
      </c>
      <c r="G45" s="7">
        <v>0</v>
      </c>
      <c r="H45" s="21" t="s">
        <v>421</v>
      </c>
      <c r="I45" s="13">
        <v>42846.378935185188</v>
      </c>
      <c r="J45" s="7">
        <v>1</v>
      </c>
      <c r="K45" s="97" t="str">
        <f t="shared" si="0"/>
        <v>4039/4040</v>
      </c>
      <c r="L45" s="21" t="str">
        <f>VLOOKUP(A45,'Trips&amp;Operators'!$C$1:$G$99999,5,FALSE)</f>
        <v>DAVIS WENDY</v>
      </c>
      <c r="M45" s="6">
        <f t="shared" si="1"/>
        <v>2.7418981488153804E-2</v>
      </c>
      <c r="N45" s="7">
        <f t="shared" si="21"/>
        <v>39.483333342941478</v>
      </c>
      <c r="O45" s="7"/>
      <c r="P45" s="7"/>
      <c r="Q45" s="22"/>
      <c r="R45" s="22"/>
      <c r="S45" s="31">
        <f t="shared" si="22"/>
        <v>1</v>
      </c>
      <c r="T45" s="46" t="str">
        <f t="shared" si="2"/>
        <v>Southbound</v>
      </c>
      <c r="U45" s="19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2" t="str">
        <f t="shared" si="3"/>
        <v>https://d0f6bd738d7f1b3e5a7ca70fe4ff75f0.us-east-1.aws.found.io/app/kibana#/discover/Steve-Slow-Train-Analysis-(2080s-and-2083s)?_g=(refreshInterval:(display:Off,pause:!f,section:0,value:0),time:(from:'2017-04-21T07:22:15-0600',mode:absolute,to:'2017-04-21T10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5" s="193" t="str">
        <f t="shared" si="4"/>
        <v>N</v>
      </c>
      <c r="X45" s="193">
        <f t="shared" si="24"/>
        <v>1</v>
      </c>
      <c r="Y45" s="193">
        <f t="shared" si="6"/>
        <v>23.298999999999999</v>
      </c>
      <c r="Z45" s="62">
        <f t="shared" si="7"/>
        <v>1.43E-2</v>
      </c>
      <c r="AA45" s="62">
        <f t="shared" si="8"/>
        <v>23.284700000000001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0132-21</v>
      </c>
      <c r="AE45" s="85" t="str">
        <f t="shared" si="10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45" s="82" t="str">
        <f t="shared" si="11"/>
        <v>"C:\Program Files (x86)\AstroGrep\AstroGrep.exe" /e /r /s /spath="%USERPROFILE%\AppData\Local\Temp\OnboardLogs" /stypes="app*4039*20170421*" /stext=" 15:.+((SYSTEM_STATE.+slice.+state.+changed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7"/>
        <v>"%USERPROFILE%\Documents\GitHub\eaglep3\Utilities\RefineRTDCRunTimes.py" --tripid 132-21 --locoid 4039 --swversion DE.1.0.9.0 --startMP 204:232990 --initTime 2017-04-21T08:22:15 --startdatetime 2017-04-21T08:26:11 --delay 0 --endMP 204:143 --enddatetime 2017-04-21T09:05:40 --enforcementcount 1 &gt;&gt;C:\Users\stu\Documents\GitHub\eaglep3-reporting\EC\2017-04-21-refined-times.txt</v>
      </c>
      <c r="AI4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ID","value":"132-21"},{"id":16,"name":"Locomotive ID","value":"4039"},{"id":130,"name":"Impact","value":""},{"id":150,"name":"Time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47" t="str">
        <f t="shared" si="19"/>
        <v>start /low /b %USERPROFILE%\Documents\GitHub\eaglep3\Utilities\DownloadLogsFromS3.py --loco 4039 --day 2017-04-21</v>
      </c>
      <c r="AN4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677</v>
      </c>
      <c r="B46" s="7">
        <v>4004</v>
      </c>
      <c r="C46" s="21" t="s">
        <v>212</v>
      </c>
      <c r="D46" s="21" t="s">
        <v>410</v>
      </c>
      <c r="E46" s="13">
        <v>42846.320023148146</v>
      </c>
      <c r="F46" s="13">
        <v>42846.323067129626</v>
      </c>
      <c r="G46" s="7">
        <v>0</v>
      </c>
      <c r="H46" s="21" t="s">
        <v>476</v>
      </c>
      <c r="I46" s="13">
        <v>42846.34815972222</v>
      </c>
      <c r="J46" s="7">
        <v>1</v>
      </c>
      <c r="K46" s="97" t="str">
        <f t="shared" si="0"/>
        <v>4003/4004</v>
      </c>
      <c r="L46" s="21" t="str">
        <f>VLOOKUP(A46,'Trips&amp;Operators'!$C$1:$G$99999,5,FALSE)</f>
        <v>ROBINSON KADDIBA</v>
      </c>
      <c r="M46" s="6">
        <f t="shared" si="1"/>
        <v>2.5092592593864538E-2</v>
      </c>
      <c r="N46" s="7">
        <f t="shared" si="21"/>
        <v>36.133333335164934</v>
      </c>
      <c r="O46" s="7"/>
      <c r="P46" s="7"/>
      <c r="Q46" s="22"/>
      <c r="R46" s="22"/>
      <c r="S46" s="31">
        <f t="shared" si="22"/>
        <v>1</v>
      </c>
      <c r="T46" s="46" t="str">
        <f t="shared" si="2"/>
        <v>NorthBound</v>
      </c>
      <c r="U46" s="19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2" t="str">
        <f t="shared" si="3"/>
        <v>https://d0f6bd738d7f1b3e5a7ca70fe4ff75f0.us-east-1.aws.found.io/app/kibana#/discover/Steve-Slow-Train-Analysis-(2080s-and-2083s)?_g=(refreshInterval:(display:Off,pause:!f,section:0,value:0),time:(from:'2017-04-21T06:40:50-0600',mode:absolute,to:'2017-04-21T09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193" t="str">
        <f t="shared" si="4"/>
        <v>N</v>
      </c>
      <c r="X46" s="193">
        <f t="shared" si="24"/>
        <v>1</v>
      </c>
      <c r="Y46" s="193">
        <f t="shared" si="6"/>
        <v>4.6699999999999998E-2</v>
      </c>
      <c r="Z46" s="62">
        <f t="shared" si="7"/>
        <v>23.331700000000001</v>
      </c>
      <c r="AA46" s="62">
        <f t="shared" si="8"/>
        <v>23.285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0133-21</v>
      </c>
      <c r="AE46" s="85" t="str">
        <f t="shared" si="10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46" s="82" t="str">
        <f t="shared" si="11"/>
        <v>"C:\Program Files (x86)\AstroGrep\AstroGrep.exe" /e /r /s /spath="%USERPROFILE%\AppData\Local\Temp\OnboardLogs" /stypes="app*4004*20170421*" /stext=" 14:.+((SYSTEM_STATE.+slice.+state.+changed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7"/>
        <v>"%USERPROFILE%\Documents\GitHub\eaglep3\Utilities\RefineRTDCRunTimes.py" --tripid 133-21 --locoid 4004 --swversion DE.1.0.9.0 --startMP 204:467 --initTime 2017-04-21T07:40:50 --startdatetime 2017-04-21T07:45:13 --delay 0 --endMP 204:233317 --enddatetime 2017-04-21T08:21:21 --enforcementcount 1 &gt;&gt;C:\Users\stu\Documents\GitHub\eaglep3-reporting\EC\2017-04-21-refined-times.txt</v>
      </c>
      <c r="AI46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{"issue":{"subject":"","project_id":79,"tracker_id":40,"status_id":1,"priority_id":2,"assigned_to_id":23,"start_date":"2017-04-21","description":"","custom_fields":[{"id":1,"name":"Subdivision","value":"EC"},{"id":4,"name":"Milepost","value":"23.3317"},{"id":17,"name":"Train ID","value":"133-21"},{"id":16,"name":"Locomotive ID","value":"4004"},{"id":130,"name":"Impact","value":""},{"id":150,"name":"Time of Event (Mountain Time)","value":"08:21:21"},{"id":151,"name":"Denver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47" t="str">
        <f t="shared" si="19"/>
        <v>start /low /b %USERPROFILE%\Documents\GitHub\eaglep3\Utilities\DownloadLogsFromS3.py --loco 4004 --day 2017-04-21</v>
      </c>
      <c r="AN46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687</v>
      </c>
      <c r="B47" s="7">
        <v>4003</v>
      </c>
      <c r="C47" s="21" t="s">
        <v>212</v>
      </c>
      <c r="D47" s="21" t="s">
        <v>858</v>
      </c>
      <c r="E47" s="13">
        <v>42846.358946759261</v>
      </c>
      <c r="F47" s="13">
        <v>42846.361979166664</v>
      </c>
      <c r="G47" s="7">
        <v>1</v>
      </c>
      <c r="H47" s="21" t="s">
        <v>389</v>
      </c>
      <c r="I47" s="13">
        <v>42846.389282407406</v>
      </c>
      <c r="J47" s="7">
        <v>1</v>
      </c>
      <c r="K47" s="97" t="str">
        <f t="shared" si="0"/>
        <v>4003/4004</v>
      </c>
      <c r="L47" s="21" t="str">
        <f>VLOOKUP(A47,'Trips&amp;Operators'!$C$1:$G$99999,5,FALSE)</f>
        <v>ROBINSON KADDIBA</v>
      </c>
      <c r="M47" s="6">
        <f t="shared" si="1"/>
        <v>2.7303240742185153E-2</v>
      </c>
      <c r="N47" s="7">
        <f t="shared" si="21"/>
        <v>39.31666666874662</v>
      </c>
      <c r="O47" s="7"/>
      <c r="P47" s="7"/>
      <c r="Q47" s="22"/>
      <c r="R47" s="22"/>
      <c r="S47" s="31">
        <f t="shared" si="22"/>
        <v>1</v>
      </c>
      <c r="T47" s="46" t="str">
        <f t="shared" si="2"/>
        <v>Southbound</v>
      </c>
      <c r="U47" s="19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2" t="str">
        <f t="shared" si="3"/>
        <v>https://d0f6bd738d7f1b3e5a7ca70fe4ff75f0.us-east-1.aws.found.io/app/kibana#/discover/Steve-Slow-Train-Analysis-(2080s-and-2083s)?_g=(refreshInterval:(display:Off,pause:!f,section:0,value:0),time:(from:'2017-04-21T07:36:53-0600',mode:absolute,to:'2017-04-21T10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193" t="str">
        <f t="shared" si="4"/>
        <v>N</v>
      </c>
      <c r="X47" s="193">
        <f t="shared" si="24"/>
        <v>1</v>
      </c>
      <c r="Y47" s="193">
        <f t="shared" si="6"/>
        <v>23.300999999999998</v>
      </c>
      <c r="Z47" s="62">
        <f t="shared" si="7"/>
        <v>1.6E-2</v>
      </c>
      <c r="AA47" s="62">
        <f t="shared" si="8"/>
        <v>23.285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0134-21</v>
      </c>
      <c r="AE47" s="85" t="str">
        <f t="shared" si="10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47" s="82" t="str">
        <f t="shared" si="11"/>
        <v>"C:\Program Files (x86)\AstroGrep\AstroGrep.exe" /e /r /s /spath="%USERPROFILE%\AppData\Local\Temp\OnboardLogs" /stypes="app*4003*20170421*" /stext=" 15:.+((SYSTEM_STATE.+slice.+state.+changed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7"/>
        <v>"%USERPROFILE%\Documents\GitHub\eaglep3\Utilities\RefineRTDCRunTimes.py" --tripid 134-21 --locoid 4003 --swversion DE.1.0.9.0 --startMP 204:233010 --initTime 2017-04-21T08:36:53 --startdatetime 2017-04-21T08:41:15 --delay 1 --endMP 204:160 --enddatetime 2017-04-21T09:20:34 --enforcementcount 1 &gt;&gt;C:\Users\stu\Documents\GitHub\eaglep3-reporting\EC\2017-04-21-refined-times.txt</v>
      </c>
      <c r="AI47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{"issue":{"subject":"","project_id":79,"tracker_id":40,"status_id":1,"priority_id":2,"assigned_to_id":23,"start_date":"2017-04-21","description":"","custom_fields":[{"id":1,"name":"Subdivision","value":"EC"},{"id":4,"name":"Milepost","value":"0.016"},{"id":17,"name":"Train ID","value":"134-21"},{"id":16,"name":"Locomotive ID","value":"4003"},{"id":130,"name":"Impact","value":""},{"id":150,"name":"Time of Event (Mountain Time)","value":"09:20:34"},{"id":151,"name":"Denver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47" t="str">
        <f t="shared" si="19"/>
        <v>start /low /b %USERPROFILE%\Documents\GitHub\eaglep3\Utilities\DownloadLogsFromS3.py --loco 4003 --day 2017-04-21</v>
      </c>
      <c r="AN47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679</v>
      </c>
      <c r="B48" s="7">
        <v>4002</v>
      </c>
      <c r="C48" s="21" t="s">
        <v>212</v>
      </c>
      <c r="D48" s="21" t="s">
        <v>559</v>
      </c>
      <c r="E48" s="13">
        <v>42846.330416666664</v>
      </c>
      <c r="F48" s="13">
        <v>42846.33494212963</v>
      </c>
      <c r="G48" s="7">
        <v>1</v>
      </c>
      <c r="H48" s="21" t="s">
        <v>376</v>
      </c>
      <c r="I48" s="13">
        <v>42846.359247685185</v>
      </c>
      <c r="J48" s="7">
        <v>1</v>
      </c>
      <c r="K48" s="97" t="str">
        <f t="shared" si="0"/>
        <v>4001/4002</v>
      </c>
      <c r="L48" s="21" t="str">
        <f>VLOOKUP(A48,'Trips&amp;Operators'!$C$1:$G$99999,5,FALSE)</f>
        <v>STARKS ANGELINA</v>
      </c>
      <c r="M48" s="6">
        <f t="shared" si="1"/>
        <v>2.4305555554747116E-2</v>
      </c>
      <c r="N48" s="7">
        <f t="shared" si="21"/>
        <v>34.999999998835847</v>
      </c>
      <c r="O48" s="7"/>
      <c r="P48" s="7"/>
      <c r="Q48" s="22"/>
      <c r="R48" s="22"/>
      <c r="S48" s="31">
        <f t="shared" si="22"/>
        <v>1</v>
      </c>
      <c r="T48" s="46" t="str">
        <f t="shared" si="2"/>
        <v>NorthBound</v>
      </c>
      <c r="U48" s="19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2" t="str">
        <f t="shared" si="3"/>
        <v>https://d0f6bd738d7f1b3e5a7ca70fe4ff75f0.us-east-1.aws.found.io/app/kibana#/discover/Steve-Slow-Train-Analysis-(2080s-and-2083s)?_g=(refreshInterval:(display:Off,pause:!f,section:0,value:0),time:(from:'2017-04-21T06:55:48-0600',mode:absolute,to:'2017-04-21T09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8" s="193" t="str">
        <f t="shared" si="4"/>
        <v>N</v>
      </c>
      <c r="X48" s="193">
        <f t="shared" si="24"/>
        <v>1</v>
      </c>
      <c r="Y48" s="193">
        <f t="shared" si="6"/>
        <v>4.6399999999999997E-2</v>
      </c>
      <c r="Z48" s="62">
        <f t="shared" si="7"/>
        <v>23.329499999999999</v>
      </c>
      <c r="AA48" s="62">
        <f t="shared" si="8"/>
        <v>23.283100000000001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0135-21</v>
      </c>
      <c r="AE48" s="85" t="str">
        <f t="shared" si="10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48" s="82" t="str">
        <f t="shared" si="11"/>
        <v>"C:\Program Files (x86)\AstroGrep\AstroGrep.exe" /e /r /s /spath="%USERPROFILE%\AppData\Local\Temp\OnboardLogs" /stypes="app*4002*20170421*" /stext=" 14:.+((SYSTEM_STATE.+slice.+state.+changed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7"/>
        <v>"%USERPROFILE%\Documents\GitHub\eaglep3\Utilities\RefineRTDCRunTimes.py" --tripid 135-21 --locoid 4002 --swversion DE.1.0.9.0 --startMP 204:464 --initTime 2017-04-21T07:55:48 --startdatetime 2017-04-21T08:02:19 --delay 1 --endMP 204:233295 --enddatetime 2017-04-21T08:37:19 --enforcementcount 1 &gt;&gt;C:\Users\stu\Documents\GitHub\eaglep3-reporting\EC\2017-04-21-refined-times.txt</v>
      </c>
      <c r="AI48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ID","value":"135-21"},{"id":16,"name":"Locomotive ID","value":"4002"},{"id":130,"name":"Impact","value":""},{"id":150,"name":"Time of Event (Mountain Time)","value":"08:37:19"},{"id":151,"name":"Denver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47" t="str">
        <f t="shared" si="19"/>
        <v>start /low /b %USERPROFILE%\Documents\GitHub\eaglep3\Utilities\DownloadLogsFromS3.py --loco 4002 --day 2017-04-21</v>
      </c>
      <c r="AN48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595</v>
      </c>
      <c r="B49" s="7">
        <v>4001</v>
      </c>
      <c r="C49" s="21" t="s">
        <v>212</v>
      </c>
      <c r="D49" s="21" t="s">
        <v>514</v>
      </c>
      <c r="E49" s="13">
        <v>42846.369560185187</v>
      </c>
      <c r="F49" s="13">
        <v>42846.372384259259</v>
      </c>
      <c r="G49" s="7">
        <v>1</v>
      </c>
      <c r="H49" s="21" t="s">
        <v>378</v>
      </c>
      <c r="I49" s="13">
        <v>42846.400902777779</v>
      </c>
      <c r="J49" s="7">
        <v>1</v>
      </c>
      <c r="K49" s="97" t="str">
        <f t="shared" si="0"/>
        <v>4001/4002</v>
      </c>
      <c r="L49" s="21" t="str">
        <f>VLOOKUP(A49,'Trips&amp;Operators'!$C$1:$G$99999,5,FALSE)</f>
        <v>STARKS ANGELINA</v>
      </c>
      <c r="M49" s="6">
        <f t="shared" si="1"/>
        <v>2.8518518520286307E-2</v>
      </c>
      <c r="N49" s="7">
        <f t="shared" si="21"/>
        <v>41.066666669212282</v>
      </c>
      <c r="O49" s="7"/>
      <c r="P49" s="7"/>
      <c r="Q49" s="22"/>
      <c r="R49" s="22"/>
      <c r="S49" s="31">
        <f t="shared" si="22"/>
        <v>1</v>
      </c>
      <c r="T49" s="46" t="str">
        <f t="shared" si="2"/>
        <v>Southbound</v>
      </c>
      <c r="U49" s="19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2" t="str">
        <f t="shared" si="3"/>
        <v>https://d0f6bd738d7f1b3e5a7ca70fe4ff75f0.us-east-1.aws.found.io/app/kibana#/discover/Steve-Slow-Train-Analysis-(2080s-and-2083s)?_g=(refreshInterval:(display:Off,pause:!f,section:0,value:0),time:(from:'2017-04-21T07:52:10-0600',mode:absolute,to:'2017-04-21T10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9" s="193" t="str">
        <f t="shared" si="4"/>
        <v>N</v>
      </c>
      <c r="X49" s="193">
        <f t="shared" si="24"/>
        <v>1</v>
      </c>
      <c r="Y49" s="193">
        <f t="shared" si="6"/>
        <v>23.297499999999999</v>
      </c>
      <c r="Z49" s="62">
        <f t="shared" si="7"/>
        <v>1.41E-2</v>
      </c>
      <c r="AA49" s="62">
        <f t="shared" si="8"/>
        <v>23.2834</v>
      </c>
      <c r="AB49" s="59" t="str">
        <f>VLOOKUP(A49,Enforcements!$C$7:$K$13,8,0)</f>
        <v>Bulletin (2)</v>
      </c>
      <c r="AC49" s="55" t="str">
        <f>VLOOKUP(A49,Enforcements!$C$7:$E$13,3,0)</f>
        <v>GRADE CROSSING</v>
      </c>
      <c r="AD49" s="56" t="str">
        <f t="shared" si="9"/>
        <v>0136-21</v>
      </c>
      <c r="AE49" s="85" t="str">
        <f t="shared" si="10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49" s="82" t="str">
        <f t="shared" si="11"/>
        <v>"C:\Program Files (x86)\AstroGrep\AstroGrep.exe" /e /r /s /spath="%USERPROFILE%\AppData\Local\Temp\OnboardLogs" /stypes="app*4001*20170421*" /stext=" 15:.+((SYSTEM_STATE.+slice.+state.+changed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7"/>
        <v>"%USERPROFILE%\Documents\GitHub\eaglep3\Utilities\RefineRTDCRunTimes.py" --tripid 136-21 --locoid 4001 --swversion DE.1.0.9.0 --startMP 204:232975 --initTime 2017-04-21T08:52:10 --startdatetime 2017-04-21T08:56:14 --delay 1 --endMP 204:141 --enddatetime 2017-04-21T09:37:18 --enforcementcount 1 &gt;&gt;C:\Users\stu\Documents\GitHub\eaglep3-reporting\EC\2017-04-21-refined-times.txt</v>
      </c>
      <c r="AI49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{"issue":{"subject":"","project_id":79,"tracker_id":40,"status_id":1,"priority_id":2,"assigned_to_id":23,"start_date":"2017-04-21","description":"","custom_fields":[{"id":1,"name":"Subdivision","value":"EC"},{"id":4,"name":"Milepost","value":"0.0141"},{"id":17,"name":"Train ID","value":"136-21"},{"id":16,"name":"Locomotive ID","value":"4001"},{"id":130,"name":"Impact","value":""},{"id":150,"name":"Time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47" t="str">
        <f t="shared" si="19"/>
        <v>start /low /b %USERPROFILE%\Documents\GitHub\eaglep3\Utilities\DownloadLogsFromS3.py --loco 4001 --day 2017-04-21</v>
      </c>
      <c r="AN49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682</v>
      </c>
      <c r="B50" s="7">
        <v>4024</v>
      </c>
      <c r="C50" s="21" t="s">
        <v>212</v>
      </c>
      <c r="D50" s="21" t="s">
        <v>208</v>
      </c>
      <c r="E50" s="13">
        <v>42846.341562499998</v>
      </c>
      <c r="F50" s="13">
        <v>42846.344074074077</v>
      </c>
      <c r="G50" s="7">
        <v>1</v>
      </c>
      <c r="H50" s="21" t="s">
        <v>859</v>
      </c>
      <c r="I50" s="13">
        <v>42846.368738425925</v>
      </c>
      <c r="J50" s="7">
        <v>1</v>
      </c>
      <c r="K50" s="97" t="str">
        <f t="shared" si="0"/>
        <v>4023/4024</v>
      </c>
      <c r="L50" s="21" t="str">
        <f>VLOOKUP(A50,'Trips&amp;Operators'!$C$1:$G$99999,5,FALSE)</f>
        <v>LOZA FIDEL</v>
      </c>
      <c r="M50" s="6">
        <f t="shared" si="1"/>
        <v>2.4664351847604848E-2</v>
      </c>
      <c r="N50" s="7">
        <f t="shared" si="21"/>
        <v>35.516666660550982</v>
      </c>
      <c r="O50" s="7"/>
      <c r="P50" s="7"/>
      <c r="Q50" s="22"/>
      <c r="R50" s="22"/>
      <c r="S50" s="31">
        <f t="shared" si="22"/>
        <v>1</v>
      </c>
      <c r="T50" s="46" t="str">
        <f t="shared" si="2"/>
        <v>NorthBound</v>
      </c>
      <c r="U50" s="19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2" t="str">
        <f t="shared" si="3"/>
        <v>https://d0f6bd738d7f1b3e5a7ca70fe4ff75f0.us-east-1.aws.found.io/app/kibana#/discover/Steve-Slow-Train-Analysis-(2080s-and-2083s)?_g=(refreshInterval:(display:Off,pause:!f,section:0,value:0),time:(from:'2017-04-21T07:11:51-0600',mode:absolute,to:'2017-04-21T09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0" s="193" t="str">
        <f t="shared" si="4"/>
        <v>N</v>
      </c>
      <c r="X50" s="193">
        <f t="shared" si="24"/>
        <v>1</v>
      </c>
      <c r="Y50" s="193">
        <f t="shared" si="6"/>
        <v>4.5499999999999999E-2</v>
      </c>
      <c r="Z50" s="62">
        <f t="shared" si="7"/>
        <v>23.332100000000001</v>
      </c>
      <c r="AA50" s="62">
        <f t="shared" si="8"/>
        <v>23.2866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0137-21</v>
      </c>
      <c r="AE50" s="85" t="str">
        <f t="shared" si="10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50" s="82" t="str">
        <f t="shared" si="11"/>
        <v>"C:\Program Files (x86)\AstroGrep\AstroGrep.exe" /e /r /s /spath="%USERPROFILE%\AppData\Local\Temp\OnboardLogs" /stypes="app*4024*20170421*" /stext=" 14:.+((SYSTEM_STATE.+slice.+state.+changed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7"/>
        <v>"%USERPROFILE%\Documents\GitHub\eaglep3\Utilities\RefineRTDCRunTimes.py" --tripid 137-21 --locoid 4024 --swversion DE.1.0.9.0 --startMP 204:455 --initTime 2017-04-21T08:11:51 --startdatetime 2017-04-21T08:15:28 --delay 1 --endMP 204:233321 --enddatetime 2017-04-21T08:50:59 --enforcementcount 1 &gt;&gt;C:\Users\stu\Documents\GitHub\eaglep3-reporting\EC\2017-04-21-refined-times.txt</v>
      </c>
      <c r="AI50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{"issue":{"subject":"","project_id":79,"tracker_id":40,"status_id":1,"priority_id":2,"assigned_to_id":23,"start_date":"2017-04-21","description":"","custom_fields":[{"id":1,"name":"Subdivision","value":"EC"},{"id":4,"name":"Milepost","value":"23.3321"},{"id":17,"name":"Train ID","value":"137-21"},{"id":16,"name":"Locomotive ID","value":"4024"},{"id":130,"name":"Impact","value":""},{"id":150,"name":"Time of Event (Mountain Time)","value":"08:50:59"},{"id":151,"name":"Denver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47" t="str">
        <f t="shared" si="19"/>
        <v>start /low /b %USERPROFILE%\Documents\GitHub\eaglep3\Utilities\DownloadLogsFromS3.py --loco 4024 --day 2017-04-21</v>
      </c>
      <c r="AN50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690</v>
      </c>
      <c r="B51" s="7">
        <v>4023</v>
      </c>
      <c r="C51" s="21" t="s">
        <v>212</v>
      </c>
      <c r="D51" s="21" t="s">
        <v>477</v>
      </c>
      <c r="E51" s="13">
        <v>42846.379432870373</v>
      </c>
      <c r="F51" s="13">
        <v>42846.382928240739</v>
      </c>
      <c r="G51" s="7">
        <v>1</v>
      </c>
      <c r="H51" s="21" t="s">
        <v>860</v>
      </c>
      <c r="I51" s="13">
        <v>42846.413101851853</v>
      </c>
      <c r="J51" s="7">
        <v>1</v>
      </c>
      <c r="K51" s="97" t="str">
        <f t="shared" si="0"/>
        <v>4023/4024</v>
      </c>
      <c r="L51" s="21" t="str">
        <f>VLOOKUP(A51,'Trips&amp;Operators'!$C$1:$G$99999,5,FALSE)</f>
        <v>LOZA FIDEL</v>
      </c>
      <c r="M51" s="6">
        <f t="shared" si="1"/>
        <v>3.0173611114150845E-2</v>
      </c>
      <c r="N51" s="7"/>
      <c r="O51" s="7"/>
      <c r="P51" s="7">
        <f>24*60*SUM($M51:$M51)</f>
        <v>43.450000004377216</v>
      </c>
      <c r="Q51" s="22"/>
      <c r="R51" s="22" t="s">
        <v>1032</v>
      </c>
      <c r="S51" s="31">
        <f t="shared" si="22"/>
        <v>1</v>
      </c>
      <c r="T51" s="46" t="str">
        <f t="shared" si="2"/>
        <v>Southbound</v>
      </c>
      <c r="U51" s="19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2" t="str">
        <f t="shared" si="3"/>
        <v>https://d0f6bd738d7f1b3e5a7ca70fe4ff75f0.us-east-1.aws.found.io/app/kibana#/discover/Steve-Slow-Train-Analysis-(2080s-and-2083s)?_g=(refreshInterval:(display:Off,pause:!f,section:0,value:0),time:(from:'2017-04-21T08:06:23-0600',mode:absolute,to:'2017-04-21T10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1" s="193" t="str">
        <f t="shared" si="4"/>
        <v>Y</v>
      </c>
      <c r="X51" s="193">
        <f t="shared" si="24"/>
        <v>1</v>
      </c>
      <c r="Y51" s="193">
        <f t="shared" si="6"/>
        <v>23.299399999999999</v>
      </c>
      <c r="Z51" s="62">
        <f t="shared" si="7"/>
        <v>1.8761000000000001</v>
      </c>
      <c r="AA51" s="62">
        <f t="shared" si="8"/>
        <v>21.423299999999998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0138-21</v>
      </c>
      <c r="AE51" s="85" t="str">
        <f t="shared" si="10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51" s="82" t="str">
        <f t="shared" si="11"/>
        <v>"C:\Program Files (x86)\AstroGrep\AstroGrep.exe" /e /r /s /spath="%USERPROFILE%\AppData\Local\Temp\OnboardLogs" /stypes="app*4023*20170421*" /stext=" 15:.+((SYSTEM_STATE.+slice.+state.+changed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7"/>
        <v>"%USERPROFILE%\Documents\GitHub\eaglep3\Utilities\RefineRTDCRunTimes.py" --tripid 138-21 --locoid 4023 --swversion DE.1.0.9.0 --startMP 204:232994 --initTime 2017-04-21T09:06:23 --startdatetime 2017-04-21T09:11:25 --delay 1 --endMP 204:18761 --enddatetime 2017-04-21T09:54:52 --enforcementcount 1 &gt;&gt;C:\Users\stu\Documents\GitHub\eaglep3-reporting\EC\2017-04-21-refined-times.txt</v>
      </c>
      <c r="AI51" s="104" t="str">
        <f t="shared" si="18"/>
        <v>echo {"issue":{"subject":"Issues canceling PSS in TMDS","project_id":79,"tracker_id":40,"status_id":1,"priority_id":2,"assigned_to_id":23,"start_date":"2017-04-21","description":"","custom_fields":[{"id":1,"name":"Subdivision","value":"EC"},{"id":4,"name":"Milepost","value":"1.8761"},{"id":17,"name":"Train ID","value":"138-21"},{"id":16,"name":"Locomotive ID","value":"4023"},{"id":130,"name":"Impact","value":""},{"id":150,"name":"Time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47" t="str">
        <f t="shared" si="19"/>
        <v>start /low /b %USERPROFILE%\Documents\GitHub\eaglep3\Utilities\DownloadLogsFromS3.py --loco 4023 --day 2017-04-21</v>
      </c>
      <c r="AN51" s="156" t="str">
        <f t="shared" si="20"/>
        <v>echo {"issue":{"subject":"Issues canceling PSS in TMDS","project_id":30,"tracker_id":4,"status_id":1,"priority_id":1,"assigned_to_id":10,"start_date":"2017-04-21","description":"","custom_fields":[{"id":30,"name":"Category","value":"Issue"},{"id":3,"name":"Functional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684</v>
      </c>
      <c r="B52" s="7">
        <v>4032</v>
      </c>
      <c r="C52" s="21" t="s">
        <v>212</v>
      </c>
      <c r="D52" s="21" t="s">
        <v>204</v>
      </c>
      <c r="E52" s="13">
        <v>42846.35083333333</v>
      </c>
      <c r="F52" s="13">
        <v>42846.354351851849</v>
      </c>
      <c r="G52" s="7">
        <v>1</v>
      </c>
      <c r="H52" s="21" t="s">
        <v>376</v>
      </c>
      <c r="I52" s="13">
        <v>42846.379918981482</v>
      </c>
      <c r="J52" s="7">
        <v>1</v>
      </c>
      <c r="K52" s="97" t="str">
        <f t="shared" si="0"/>
        <v>4031/4032</v>
      </c>
      <c r="L52" s="21" t="str">
        <f>VLOOKUP(A52,'Trips&amp;Operators'!$C$1:$G$99999,5,FALSE)</f>
        <v>BIRENBAUM THOMAS</v>
      </c>
      <c r="M52" s="6">
        <f t="shared" si="1"/>
        <v>2.5567129632690921E-2</v>
      </c>
      <c r="N52" s="7">
        <f>24*60*SUM($M52:$M52)</f>
        <v>36.816666671074927</v>
      </c>
      <c r="O52" s="7"/>
      <c r="P52" s="7"/>
      <c r="Q52" s="22"/>
      <c r="R52" s="22"/>
      <c r="S52" s="31">
        <f t="shared" si="22"/>
        <v>1</v>
      </c>
      <c r="T52" s="46" t="str">
        <f t="shared" si="2"/>
        <v>NorthBound</v>
      </c>
      <c r="U52" s="19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2" t="str">
        <f t="shared" si="3"/>
        <v>https://d0f6bd738d7f1b3e5a7ca70fe4ff75f0.us-east-1.aws.found.io/app/kibana#/discover/Steve-Slow-Train-Analysis-(2080s-and-2083s)?_g=(refreshInterval:(display:Off,pause:!f,section:0,value:0),time:(from:'2017-04-21T07:25:12-0600',mode:absolute,to:'2017-04-21T10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2" s="193" t="str">
        <f t="shared" si="4"/>
        <v>N</v>
      </c>
      <c r="X52" s="193">
        <f t="shared" si="24"/>
        <v>1</v>
      </c>
      <c r="Y52" s="193">
        <f t="shared" si="6"/>
        <v>4.5999999999999999E-2</v>
      </c>
      <c r="Z52" s="62">
        <f t="shared" si="7"/>
        <v>23.329499999999999</v>
      </c>
      <c r="AA52" s="62">
        <f t="shared" si="8"/>
        <v>23.2835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0139-21</v>
      </c>
      <c r="AE52" s="85" t="str">
        <f t="shared" si="10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52" s="82" t="str">
        <f t="shared" si="11"/>
        <v>"C:\Program Files (x86)\AstroGrep\AstroGrep.exe" /e /r /s /spath="%USERPROFILE%\AppData\Local\Temp\OnboardLogs" /stypes="app*4032*20170421*" /stext=" 15:.+((SYSTEM_STATE.+slice.+state.+changed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7"/>
        <v>"%USERPROFILE%\Documents\GitHub\eaglep3\Utilities\RefineRTDCRunTimes.py" --tripid 139-21 --locoid 4032 --swversion DE.1.0.9.0 --startMP 204:460 --initTime 2017-04-21T08:25:12 --startdatetime 2017-04-21T08:30:16 --delay 1 --endMP 204:233295 --enddatetime 2017-04-21T09:07:05 --enforcementcount 1 &gt;&gt;C:\Users\stu\Documents\GitHub\eaglep3-reporting\EC\2017-04-21-refined-times.txt</v>
      </c>
      <c r="AI52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ID","value":"139-21"},{"id":16,"name":"Locomotive ID","value":"4032"},{"id":130,"name":"Impact","value":""},{"id":150,"name":"Time of Event (Mountain Time)","value":"09:07:05"},{"id":151,"name":"Denver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47" t="str">
        <f t="shared" si="19"/>
        <v>start /low /b %USERPROFILE%\Documents\GitHub\eaglep3\Utilities\DownloadLogsFromS3.py --loco 4032 --day 2017-04-21</v>
      </c>
      <c r="AN52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599</v>
      </c>
      <c r="B53" s="7">
        <v>4031</v>
      </c>
      <c r="C53" s="21" t="s">
        <v>212</v>
      </c>
      <c r="D53" s="21" t="s">
        <v>507</v>
      </c>
      <c r="E53" s="13">
        <v>42846.382118055553</v>
      </c>
      <c r="F53" s="13">
        <v>42846.383229166669</v>
      </c>
      <c r="G53" s="7">
        <v>1</v>
      </c>
      <c r="H53" s="21" t="s">
        <v>861</v>
      </c>
      <c r="I53" s="13">
        <v>42846.412256944444</v>
      </c>
      <c r="J53" s="7">
        <v>0</v>
      </c>
      <c r="K53" s="97" t="str">
        <f t="shared" si="0"/>
        <v>4031/4032</v>
      </c>
      <c r="L53" s="21" t="str">
        <f>VLOOKUP(A53,'Trips&amp;Operators'!$C$1:$G$99999,5,FALSE)</f>
        <v>BIRENBAUM THOMAS</v>
      </c>
      <c r="M53" s="6">
        <f t="shared" si="1"/>
        <v>2.9027777774899732E-2</v>
      </c>
      <c r="N53" s="7"/>
      <c r="O53" s="7"/>
      <c r="P53" s="7">
        <f>24*60*SUM($M53:$M55)</f>
        <v>56.166666668141261</v>
      </c>
      <c r="Q53" s="22"/>
      <c r="R53" s="22" t="s">
        <v>1033</v>
      </c>
      <c r="S53" s="31">
        <f>SUM(U53:U55)/IF(AG53="EC",12,1)</f>
        <v>0.5</v>
      </c>
      <c r="T53" s="46" t="str">
        <f t="shared" si="2"/>
        <v>Southbound</v>
      </c>
      <c r="U53" s="19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3</v>
      </c>
      <c r="V53" s="192" t="str">
        <f t="shared" si="3"/>
        <v>https://d0f6bd738d7f1b3e5a7ca70fe4ff75f0.us-east-1.aws.found.io/app/kibana#/discover/Steve-Slow-Train-Analysis-(2080s-and-2083s)?_g=(refreshInterval:(display:Off,pause:!f,section:0,value:0),time:(from:'2017-04-21T08:10:15-0600',mode:absolute,to:'2017-04-21T10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3" s="193" t="str">
        <f t="shared" si="4"/>
        <v>Y</v>
      </c>
      <c r="X53" s="193">
        <f t="shared" si="24"/>
        <v>1</v>
      </c>
      <c r="Y53" s="193">
        <f t="shared" si="6"/>
        <v>23.298200000000001</v>
      </c>
      <c r="Z53" s="62">
        <f t="shared" si="7"/>
        <v>6.9798</v>
      </c>
      <c r="AA53" s="62">
        <f t="shared" si="8"/>
        <v>16.3184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0140-21</v>
      </c>
      <c r="AE53" s="85" t="str">
        <f t="shared" si="10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53" s="82" t="str">
        <f t="shared" si="11"/>
        <v>"C:\Program Files (x86)\AstroGrep\AstroGrep.exe" /e /r /s /spath="%USERPROFILE%\AppData\Local\Temp\OnboardLogs" /stypes="app*4031*20170421*" /stext=" 15:.+((SYSTEM_STATE.+slice.+state.+changed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7"/>
        <v>"%USERPROFILE%\Documents\GitHub\eaglep3\Utilities\RefineRTDCRunTimes.py" --tripid 140-21 --locoid 4031 --swversion DE.1.0.9.0 --startMP 204:232982 --initTime 2017-04-21T09:10:15 --startdatetime 2017-04-21T09:11:51 --delay 1 --endMP 204:69798 --enddatetime 2017-04-21T09:53:39 --enforcementcount 0 &gt;&gt;C:\Users\stu\Documents\GitHub\eaglep3-reporting\EC\2017-04-21-refined-times.txt</v>
      </c>
      <c r="AI53" s="104" t="str">
        <f t="shared" si="18"/>
        <v>echo {"issue":{"subject":"Maintenance at CP Sand Creek","project_id":79,"tracker_id":40,"status_id":1,"priority_id":2,"assigned_to_id":23,"start_date":"2017-04-21","description":"","custom_fields":[{"id":1,"name":"Subdivision","value":"EC"},{"id":4,"name":"Milepost","value":"6.9798"},{"id":17,"name":"Train ID","value":"140-21"},{"id":16,"name":"Locomotive ID","value":"4031"},{"id":130,"name":"Impact","value":""},{"id":150,"name":"Time of Event (Mountain Time)","value":"09:53:39"},{"id":151,"name":"Denver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47" t="str">
        <f t="shared" si="19"/>
        <v>start /low /b %USERPROFILE%\Documents\GitHub\eaglep3\Utilities\DownloadLogsFromS3.py --loco 4031 --day 2017-04-21</v>
      </c>
      <c r="AN53" s="156" t="str">
        <f t="shared" si="20"/>
        <v>echo {"issue":{"subject":"Maintenance at CP Sand Creek","project_id":30,"tracker_id":4,"status_id":1,"priority_id":1,"assigned_to_id":10,"start_date":"2017-04-21","description":"","custom_fields":[{"id":30,"name":"Category","value":"Issue"},{"id":3,"name":"Functional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599</v>
      </c>
      <c r="B54" s="7">
        <v>4031</v>
      </c>
      <c r="C54" s="21" t="s">
        <v>212</v>
      </c>
      <c r="D54" s="21" t="s">
        <v>862</v>
      </c>
      <c r="E54" s="13">
        <v>42846.420243055552</v>
      </c>
      <c r="F54" s="13">
        <v>42846.420844907407</v>
      </c>
      <c r="G54" s="7">
        <v>0</v>
      </c>
      <c r="H54" s="21" t="s">
        <v>863</v>
      </c>
      <c r="I54" s="13">
        <v>42846.429826388892</v>
      </c>
      <c r="J54" s="7">
        <v>0</v>
      </c>
      <c r="K54" s="97" t="str">
        <f t="shared" si="0"/>
        <v>4031/4032</v>
      </c>
      <c r="L54" s="21" t="str">
        <f>VLOOKUP(A54,'Trips&amp;Operators'!$C$1:$G$99999,5,FALSE)</f>
        <v>BIRENBAUM THOMAS</v>
      </c>
      <c r="M54" s="6">
        <f t="shared" si="1"/>
        <v>8.9814814855344594E-3</v>
      </c>
      <c r="N54" s="7"/>
      <c r="O54" s="7"/>
      <c r="P54" s="7"/>
      <c r="Q54" s="22"/>
      <c r="R54" s="22"/>
      <c r="S54" s="31"/>
      <c r="T54" s="46" t="str">
        <f t="shared" si="2"/>
        <v>Southbound</v>
      </c>
      <c r="U54" s="19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3</v>
      </c>
      <c r="V54" s="192" t="str">
        <f t="shared" si="3"/>
        <v>https://d0f6bd738d7f1b3e5a7ca70fe4ff75f0.us-east-1.aws.found.io/app/kibana#/discover/Steve-Slow-Train-Analysis-(2080s-and-2083s)?_g=(refreshInterval:(display:Off,pause:!f,section:0,value:0),time:(from:'2017-04-21T09:05:09-0600',mode:absolute,to:'2017-04-21T11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4" s="193" t="str">
        <f t="shared" si="4"/>
        <v>Y</v>
      </c>
      <c r="X54" s="193">
        <f t="shared" si="24"/>
        <v>0</v>
      </c>
      <c r="Y54" s="193">
        <f t="shared" si="6"/>
        <v>3.6796000000000002</v>
      </c>
      <c r="Z54" s="62">
        <f t="shared" si="7"/>
        <v>0.1167</v>
      </c>
      <c r="AA54" s="62">
        <f t="shared" si="8"/>
        <v>3.5629000000000004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0140-21</v>
      </c>
      <c r="AE54" s="85" t="str">
        <f t="shared" si="10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54" s="82" t="str">
        <f t="shared" si="11"/>
        <v>"C:\Program Files (x86)\AstroGrep\AstroGrep.exe" /e /r /s /spath="%USERPROFILE%\AppData\Local\Temp\OnboardLogs" /stypes="app*4031*20170421*" /stext=" 16:.+((SYSTEM_STATE.+slice.+state.+changed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7"/>
        <v>"%USERPROFILE%\Documents\GitHub\eaglep3\Utilities\RefineRTDCRunTimes.py" --tripid 140-21 --locoid 4031 --swversion DE.1.0.9.0 --startMP 204:36796 --initTime 2017-04-21T10:05:09 --startdatetime 2017-04-21T10:06:01 --delay 0 --endMP 204:1167 --enddatetime 2017-04-21T10:18:57 --enforcementcount 0 &gt;&gt;C:\Users\stu\Documents\GitHub\eaglep3-reporting\EC\2017-04-21-refined-times.txt</v>
      </c>
      <c r="AI54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{"issue":{"subject":"","project_id":79,"tracker_id":40,"status_id":1,"priority_id":2,"assigned_to_id":23,"start_date":"2017-04-21","description":"","custom_fields":[{"id":1,"name":"Subdivision","value":"EC"},{"id":4,"name":"Milepost","value":"0.1167"},{"id":17,"name":"Train ID","value":"140-21"},{"id":16,"name":"Locomotive ID","value":"4031"},{"id":130,"name":"Impact","value":""},{"id":150,"name":"Time of Event (Mountain Time)","value":"10:18:57"},{"id":151,"name":"Denver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47" t="str">
        <f t="shared" si="19"/>
        <v>start /low /b %USERPROFILE%\Documents\GitHub\eaglep3\Utilities\DownloadLogsFromS3.py --loco 4031 --day 2017-04-21</v>
      </c>
      <c r="AN54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599</v>
      </c>
      <c r="B55" s="7">
        <v>4031</v>
      </c>
      <c r="C55" s="21" t="s">
        <v>212</v>
      </c>
      <c r="D55" s="21" t="s">
        <v>864</v>
      </c>
      <c r="E55" s="13">
        <v>42846.414317129631</v>
      </c>
      <c r="F55" s="13">
        <v>42846.415046296293</v>
      </c>
      <c r="G55" s="7">
        <v>1</v>
      </c>
      <c r="H55" s="21" t="s">
        <v>865</v>
      </c>
      <c r="I55" s="13">
        <v>42846.416041666664</v>
      </c>
      <c r="J55" s="7">
        <v>1</v>
      </c>
      <c r="K55" s="97" t="str">
        <f t="shared" si="0"/>
        <v>4031/4032</v>
      </c>
      <c r="L55" s="21" t="str">
        <f>VLOOKUP(A55,'Trips&amp;Operators'!$C$1:$G$99999,5,FALSE)</f>
        <v>BIRENBAUM THOMAS</v>
      </c>
      <c r="M55" s="6">
        <f t="shared" si="1"/>
        <v>9.9537037021946162E-4</v>
      </c>
      <c r="N55" s="7"/>
      <c r="O55" s="7"/>
      <c r="P55" s="7"/>
      <c r="Q55" s="22"/>
      <c r="R55" s="22"/>
      <c r="S55" s="31"/>
      <c r="T55" s="46" t="str">
        <f t="shared" si="2"/>
        <v>Southbound</v>
      </c>
      <c r="U55" s="19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192" t="str">
        <f t="shared" si="3"/>
        <v>https://d0f6bd738d7f1b3e5a7ca70fe4ff75f0.us-east-1.aws.found.io/app/kibana#/discover/Steve-Slow-Train-Analysis-(2080s-and-2083s)?_g=(refreshInterval:(display:Off,pause:!f,section:0,value:0),time:(from:'2017-04-21T08:56:37-0600',mode:absolute,to:'2017-04-21T10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5" s="193" t="str">
        <f t="shared" si="4"/>
        <v>Y</v>
      </c>
      <c r="X55" s="193">
        <f t="shared" si="24"/>
        <v>0</v>
      </c>
      <c r="Y55" s="193">
        <f t="shared" si="6"/>
        <v>6.4154999999999998</v>
      </c>
      <c r="Z55" s="62">
        <f t="shared" si="7"/>
        <v>6.3593000000000002</v>
      </c>
      <c r="AA55" s="62">
        <f t="shared" si="8"/>
        <v>5.6199999999999584E-2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0140-21</v>
      </c>
      <c r="AE55" s="85" t="str">
        <f t="shared" si="10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55" s="82" t="str">
        <f t="shared" si="11"/>
        <v>"C:\Program Files (x86)\AstroGrep\AstroGrep.exe" /e /r /s /spath="%USERPROFILE%\AppData\Local\Temp\OnboardLogs" /stypes="app*4031*20170421*" /stext=" 15:.+((SYSTEM_STATE.+slice.+state.+changed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7"/>
        <v>"%USERPROFILE%\Documents\GitHub\eaglep3\Utilities\RefineRTDCRunTimes.py" --tripid 140-21 --locoid 4031 --swversion DE.1.0.9.0 --startMP 204:64155 --initTime 2017-04-21T09:56:37 --startdatetime 2017-04-21T09:57:40 --delay 1 --endMP 204:63593 --enddatetime 2017-04-21T09:59:06 --enforcementcount 1 &gt;&gt;C:\Users\stu\Documents\GitHub\eaglep3-reporting\EC\2017-04-21-refined-times.txt</v>
      </c>
      <c r="AI5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{"issue":{"subject":"","project_id":79,"tracker_id":40,"status_id":1,"priority_id":2,"assigned_to_id":23,"start_date":"2017-04-21","description":"","custom_fields":[{"id":1,"name":"Subdivision","value":"EC"},{"id":4,"name":"Milepost","value":"6.3593"},{"id":17,"name":"Train ID","value":"140-21"},{"id":16,"name":"Locomotive ID","value":"4031"},{"id":130,"name":"Impact","value":""},{"id":150,"name":"Time of Event (Mountain Time)","value":"09:59:06"},{"id":151,"name":"Denver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47" t="str">
        <f t="shared" si="19"/>
        <v>start /low /b %USERPROFILE%\Documents\GitHub\eaglep3\Utilities\DownloadLogsFromS3.py --loco 4031 --day 2017-04-21</v>
      </c>
      <c r="AN5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15:59:06"},{"id":29,"name":"Sharepoint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688</v>
      </c>
      <c r="B56" s="7">
        <v>4016</v>
      </c>
      <c r="C56" s="21" t="s">
        <v>212</v>
      </c>
      <c r="D56" s="21" t="s">
        <v>866</v>
      </c>
      <c r="E56" s="13">
        <v>42846.360451388886</v>
      </c>
      <c r="F56" s="13">
        <v>42846.39234953704</v>
      </c>
      <c r="G56" s="7">
        <v>45</v>
      </c>
      <c r="H56" s="21" t="s">
        <v>867</v>
      </c>
      <c r="I56" s="13">
        <v>42846.392754629633</v>
      </c>
      <c r="J56" s="7">
        <v>0</v>
      </c>
      <c r="K56" s="97" t="str">
        <f t="shared" si="0"/>
        <v>4015/4016</v>
      </c>
      <c r="L56" s="21" t="str">
        <f>VLOOKUP(A56,'Trips&amp;Operators'!$C$1:$G$99999,5,FALSE)</f>
        <v>BADERTSCHER DIANE</v>
      </c>
      <c r="M56" s="6">
        <f t="shared" si="1"/>
        <v>4.0509259270038456E-4</v>
      </c>
      <c r="N56" s="7"/>
      <c r="O56" s="7"/>
      <c r="P56" s="7">
        <f>24*60*SUM($M56:$M56)</f>
        <v>0.58333333348855376</v>
      </c>
      <c r="Q56" s="22"/>
      <c r="R56" s="22" t="s">
        <v>1034</v>
      </c>
      <c r="S56" s="31">
        <f t="shared" ref="S56:S87" si="25">SUM(U56:U56)/IF(AG56="EC",12,1)</f>
        <v>0</v>
      </c>
      <c r="T56" s="46" t="str">
        <f t="shared" si="2"/>
        <v>NorthBound</v>
      </c>
      <c r="U56" s="19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192" t="str">
        <f t="shared" si="3"/>
        <v>https://d0f6bd738d7f1b3e5a7ca70fe4ff75f0.us-east-1.aws.found.io/app/kibana#/discover/Steve-Slow-Train-Analysis-(2080s-and-2083s)?_g=(refreshInterval:(display:Off,pause:!f,section:0,value:0),time:(from:'2017-04-21T07:39:03-0600',mode:absolute,to:'2017-04-21T10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193" t="str">
        <f t="shared" si="4"/>
        <v>Y</v>
      </c>
      <c r="X56" s="193">
        <f t="shared" si="24"/>
        <v>1</v>
      </c>
      <c r="Y56" s="193">
        <f t="shared" si="6"/>
        <v>23.328299999999999</v>
      </c>
      <c r="Z56" s="62">
        <f t="shared" si="7"/>
        <v>23.3232</v>
      </c>
      <c r="AA56" s="62">
        <f t="shared" si="8"/>
        <v>5.0999999999987722E-3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0141-21</v>
      </c>
      <c r="AE56" s="85" t="str">
        <f t="shared" si="10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56" s="82" t="str">
        <f t="shared" si="11"/>
        <v>"C:\Program Files (x86)\AstroGrep\AstroGrep.exe" /e /r /s /spath="%USERPROFILE%\AppData\Local\Temp\OnboardLogs" /stypes="app*4016*20170421*" /stext=" 15:.+((SYSTEM_STATE.+slice.+state.+changed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7"/>
        <v>"%USERPROFILE%\Documents\GitHub\eaglep3\Utilities\RefineRTDCRunTimes.py" --tripid 141-21 --locoid 4016 --swversion DE.1.0.9.0 --startMP 204:233283 --initTime 2017-04-21T08:39:03 --startdatetime 2017-04-21T09:24:59 --delay 45 --endMP 204:233232 --enddatetime 2017-04-21T09:25:34 --enforcementcount 0 &gt;&gt;C:\Users\stu\Documents\GitHub\eaglep3-reporting\EC\2017-04-21-refined-times.txt</v>
      </c>
      <c r="AI56" s="104" t="str">
        <f t="shared" si="18"/>
        <v>echo {"issue":{"subject":"Onboard in-route failure","project_id":79,"tracker_id":40,"status_id":1,"priority_id":2,"assigned_to_id":23,"start_date":"2017-04-21","description":"","custom_fields":[{"id":1,"name":"Subdivision","value":"EC"},{"id":4,"name":"Milepost","value":"23.3232"},{"id":17,"name":"Train ID","value":"141-21"},{"id":16,"name":"Locomotive ID","value":"4016"},{"id":130,"name":"Impact","value":""},{"id":150,"name":"Time of Event (Mountain Time)","value":"09:25:34"},{"id":151,"name":"Denver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47" t="str">
        <f t="shared" si="19"/>
        <v>start /low /b %USERPROFILE%\Documents\GitHub\eaglep3\Utilities\DownloadLogsFromS3.py --loco 4016 --day 2017-04-21</v>
      </c>
      <c r="AN56" s="156" t="str">
        <f t="shared" si="20"/>
        <v>echo {"issue":{"subject":"Onboard in-route failure","project_id":30,"tracker_id":4,"status_id":1,"priority_id":1,"assigned_to_id":10,"start_date":"2017-04-21","description":"","custom_fields":[{"id":30,"name":"Category","value":"Issue"},{"id":3,"name":"Functional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597</v>
      </c>
      <c r="B57" s="7">
        <v>4015</v>
      </c>
      <c r="C57" s="21" t="s">
        <v>212</v>
      </c>
      <c r="D57" s="21" t="s">
        <v>506</v>
      </c>
      <c r="E57" s="13">
        <v>42846.398356481484</v>
      </c>
      <c r="F57" s="13">
        <v>42846.403645833336</v>
      </c>
      <c r="G57" s="7">
        <v>1</v>
      </c>
      <c r="H57" s="21" t="s">
        <v>421</v>
      </c>
      <c r="I57" s="13">
        <v>42846.432905092595</v>
      </c>
      <c r="J57" s="7">
        <v>1</v>
      </c>
      <c r="K57" s="97" t="str">
        <f t="shared" si="0"/>
        <v>4015/4016</v>
      </c>
      <c r="L57" s="21" t="str">
        <f>VLOOKUP(A57,'Trips&amp;Operators'!$C$1:$G$99999,5,FALSE)</f>
        <v>BADERTSCHER DIANE</v>
      </c>
      <c r="M57" s="6">
        <f t="shared" si="1"/>
        <v>2.9259259259561077E-2</v>
      </c>
      <c r="N57" s="7">
        <f t="shared" ref="N57:N88" si="26">24*60*SUM($M57:$M57)</f>
        <v>42.133333333767951</v>
      </c>
      <c r="O57" s="7"/>
      <c r="P57" s="7"/>
      <c r="Q57" s="22"/>
      <c r="R57" s="22"/>
      <c r="S57" s="31">
        <f t="shared" si="25"/>
        <v>1</v>
      </c>
      <c r="T57" s="46" t="str">
        <f t="shared" si="2"/>
        <v>Southbound</v>
      </c>
      <c r="U57" s="19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2" t="str">
        <f t="shared" si="3"/>
        <v>https://d0f6bd738d7f1b3e5a7ca70fe4ff75f0.us-east-1.aws.found.io/app/kibana#/discover/Steve-Slow-Train-Analysis-(2080s-and-2083s)?_g=(refreshInterval:(display:Off,pause:!f,section:0,value:0),time:(from:'2017-04-21T08:33:38-0600',mode:absolute,to:'2017-04-21T11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193" t="str">
        <f t="shared" si="4"/>
        <v>N</v>
      </c>
      <c r="X57" s="193">
        <f t="shared" si="24"/>
        <v>1</v>
      </c>
      <c r="Y57" s="193">
        <f t="shared" si="6"/>
        <v>23.298500000000001</v>
      </c>
      <c r="Z57" s="62">
        <f t="shared" si="7"/>
        <v>1.43E-2</v>
      </c>
      <c r="AA57" s="62">
        <f t="shared" si="8"/>
        <v>23.284200000000002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0142-21</v>
      </c>
      <c r="AE57" s="85" t="str">
        <f t="shared" si="10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57" s="82" t="str">
        <f t="shared" si="11"/>
        <v>"C:\Program Files (x86)\AstroGrep\AstroGrep.exe" /e /r /s /spath="%USERPROFILE%\AppData\Local\Temp\OnboardLogs" /stypes="app*4015*20170421*" /stext=" 16:.+((SYSTEM_STATE.+slice.+state.+changed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7"/>
        <v>"%USERPROFILE%\Documents\GitHub\eaglep3\Utilities\RefineRTDCRunTimes.py" --tripid 142-21 --locoid 4015 --swversion DE.1.0.9.0 --startMP 204:232985 --initTime 2017-04-21T09:33:38 --startdatetime 2017-04-21T09:41:15 --delay 1 --endMP 204:143 --enddatetime 2017-04-21T10:23:23 --enforcementcount 1 &gt;&gt;C:\Users\stu\Documents\GitHub\eaglep3-reporting\EC\2017-04-21-refined-times.txt</v>
      </c>
      <c r="AI57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ID","value":"142-21"},{"id":16,"name":"Locomotive ID","value":"4015"},{"id":130,"name":"Impact","value":""},{"id":150,"name":"Time of Event (Mountain Time)","value":"10:23:23"},{"id":151,"name":"Denver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47" t="str">
        <f t="shared" si="19"/>
        <v>start /low /b %USERPROFILE%\Documents\GitHub\eaglep3\Utilities\DownloadLogsFromS3.py --loco 4015 --day 2017-04-21</v>
      </c>
      <c r="AN57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689</v>
      </c>
      <c r="B58" s="7">
        <v>4044</v>
      </c>
      <c r="C58" s="21" t="s">
        <v>212</v>
      </c>
      <c r="D58" s="21" t="s">
        <v>434</v>
      </c>
      <c r="E58" s="13">
        <v>42846.37296296296</v>
      </c>
      <c r="F58" s="13">
        <v>42846.375243055554</v>
      </c>
      <c r="G58" s="7">
        <v>1</v>
      </c>
      <c r="H58" s="21" t="s">
        <v>856</v>
      </c>
      <c r="I58" s="13">
        <v>42846.399386574078</v>
      </c>
      <c r="J58" s="7">
        <v>1</v>
      </c>
      <c r="K58" s="97" t="str">
        <f t="shared" si="0"/>
        <v>4043/4044</v>
      </c>
      <c r="L58" s="21" t="str">
        <f>VLOOKUP(A58,'Trips&amp;Operators'!$C$1:$G$99999,5,FALSE)</f>
        <v>ROCHA YAOTL</v>
      </c>
      <c r="M58" s="6">
        <f t="shared" si="1"/>
        <v>2.4143518523487728E-2</v>
      </c>
      <c r="N58" s="7">
        <f t="shared" si="26"/>
        <v>34.766666673822328</v>
      </c>
      <c r="O58" s="7"/>
      <c r="P58" s="7"/>
      <c r="Q58" s="22"/>
      <c r="R58" s="22"/>
      <c r="S58" s="31">
        <f t="shared" si="25"/>
        <v>1</v>
      </c>
      <c r="T58" s="46" t="str">
        <f t="shared" si="2"/>
        <v>NorthBound</v>
      </c>
      <c r="U58" s="19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2" t="str">
        <f t="shared" si="3"/>
        <v>https://d0f6bd738d7f1b3e5a7ca70fe4ff75f0.us-east-1.aws.found.io/app/kibana#/discover/Steve-Slow-Train-Analysis-(2080s-and-2083s)?_g=(refreshInterval:(display:Off,pause:!f,section:0,value:0),time:(from:'2017-04-21T07:57:04-0600',mode:absolute,to:'2017-04-21T10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8" s="193" t="str">
        <f t="shared" si="4"/>
        <v>N</v>
      </c>
      <c r="X58" s="193">
        <f t="shared" si="24"/>
        <v>1</v>
      </c>
      <c r="Y58" s="193">
        <f t="shared" si="6"/>
        <v>4.4400000000000002E-2</v>
      </c>
      <c r="Z58" s="62">
        <f t="shared" si="7"/>
        <v>23.3309</v>
      </c>
      <c r="AA58" s="62">
        <f t="shared" si="8"/>
        <v>23.2865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0143-21</v>
      </c>
      <c r="AE58" s="85" t="str">
        <f t="shared" si="10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58" s="82" t="str">
        <f t="shared" si="11"/>
        <v>"C:\Program Files (x86)\AstroGrep\AstroGrep.exe" /e /r /s /spath="%USERPROFILE%\AppData\Local\Temp\OnboardLogs" /stypes="app*4044*20170421*" /stext=" 15:.+((SYSTEM_STATE.+slice.+state.+changed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7"/>
        <v>"%USERPROFILE%\Documents\GitHub\eaglep3\Utilities\RefineRTDCRunTimes.py" --tripid 143-21 --locoid 4044 --swversion DE.1.0.9.0 --startMP 204:444 --initTime 2017-04-21T08:57:04 --startdatetime 2017-04-21T09:00:21 --delay 1 --endMP 204:233309 --enddatetime 2017-04-21T09:35:07 --enforcementcount 1 &gt;&gt;C:\Users\stu\Documents\GitHub\eaglep3-reporting\EC\2017-04-21-refined-times.txt</v>
      </c>
      <c r="AI58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{"issue":{"subject":"","project_id":79,"tracker_id":40,"status_id":1,"priority_id":2,"assigned_to_id":23,"start_date":"2017-04-21","description":"","custom_fields":[{"id":1,"name":"Subdivision","value":"EC"},{"id":4,"name":"Milepost","value":"23.3309"},{"id":17,"name":"Train ID","value":"143-21"},{"id":16,"name":"Locomotive ID","value":"4044"},{"id":130,"name":"Impact","value":""},{"id":150,"name":"Time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47" t="str">
        <f t="shared" si="19"/>
        <v>start /low /b %USERPROFILE%\Documents\GitHub\eaglep3\Utilities\DownloadLogsFromS3.py --loco 4044 --day 2017-04-21</v>
      </c>
      <c r="AN58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697</v>
      </c>
      <c r="B59" s="7">
        <v>4043</v>
      </c>
      <c r="C59" s="21" t="s">
        <v>212</v>
      </c>
      <c r="D59" s="21" t="s">
        <v>420</v>
      </c>
      <c r="E59" s="13">
        <v>42846.412905092591</v>
      </c>
      <c r="F59" s="13">
        <v>42846.415023148147</v>
      </c>
      <c r="G59" s="7">
        <v>1</v>
      </c>
      <c r="H59" s="21" t="s">
        <v>197</v>
      </c>
      <c r="I59" s="13">
        <v>42846.441157407404</v>
      </c>
      <c r="J59" s="7">
        <v>1</v>
      </c>
      <c r="K59" s="97" t="str">
        <f t="shared" si="0"/>
        <v>4043/4044</v>
      </c>
      <c r="L59" s="21" t="str">
        <f>VLOOKUP(A59,'Trips&amp;Operators'!$C$1:$G$99999,5,FALSE)</f>
        <v>ROCHA YAOTL</v>
      </c>
      <c r="M59" s="6">
        <f t="shared" si="1"/>
        <v>2.6134259256650694E-2</v>
      </c>
      <c r="N59" s="7">
        <f t="shared" si="26"/>
        <v>37.633333329576999</v>
      </c>
      <c r="O59" s="7"/>
      <c r="P59" s="7"/>
      <c r="Q59" s="22"/>
      <c r="R59" s="22"/>
      <c r="S59" s="31">
        <f t="shared" si="25"/>
        <v>1</v>
      </c>
      <c r="T59" s="46" t="str">
        <f t="shared" si="2"/>
        <v>Southbound</v>
      </c>
      <c r="U59" s="19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2" t="str">
        <f t="shared" si="3"/>
        <v>https://d0f6bd738d7f1b3e5a7ca70fe4ff75f0.us-east-1.aws.found.io/app/kibana#/discover/Steve-Slow-Train-Analysis-(2080s-and-2083s)?_g=(refreshInterval:(display:Off,pause:!f,section:0,value:0),time:(from:'2017-04-21T08:54:35-0600',mode:absolute,to:'2017-04-21T11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9" s="193" t="str">
        <f t="shared" si="4"/>
        <v>N</v>
      </c>
      <c r="X59" s="193">
        <f t="shared" si="24"/>
        <v>1</v>
      </c>
      <c r="Y59" s="193">
        <f t="shared" si="6"/>
        <v>23.299800000000001</v>
      </c>
      <c r="Z59" s="62">
        <f t="shared" si="7"/>
        <v>1.52E-2</v>
      </c>
      <c r="AA59" s="62">
        <f t="shared" si="8"/>
        <v>23.284600000000001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0144-21</v>
      </c>
      <c r="AE59" s="85" t="str">
        <f t="shared" si="10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59" s="82" t="str">
        <f t="shared" si="11"/>
        <v>"C:\Program Files (x86)\AstroGrep\AstroGrep.exe" /e /r /s /spath="%USERPROFILE%\AppData\Local\Temp\OnboardLogs" /stypes="app*4043*20170421*" /stext=" 16:.+((SYSTEM_STATE.+slice.+state.+changed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7"/>
        <v>"%USERPROFILE%\Documents\GitHub\eaglep3\Utilities\RefineRTDCRunTimes.py" --tripid 144-21 --locoid 4043 --swversion DE.1.0.9.0 --startMP 204:232998 --initTime 2017-04-21T09:54:35 --startdatetime 2017-04-21T09:57:38 --delay 1 --endMP 204:152 --enddatetime 2017-04-21T10:35:16 --enforcementcount 1 &gt;&gt;C:\Users\stu\Documents\GitHub\eaglep3-reporting\EC\2017-04-21-refined-times.txt</v>
      </c>
      <c r="AI59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{"issue":{"subject":"","project_id":79,"tracker_id":40,"status_id":1,"priority_id":2,"assigned_to_id":23,"start_date":"2017-04-21","description":"","custom_fields":[{"id":1,"name":"Subdivision","value":"EC"},{"id":4,"name":"Milepost","value":"0.0152"},{"id":17,"name":"Train ID","value":"144-21"},{"id":16,"name":"Locomotive ID","value":"4043"},{"id":130,"name":"Impact","value":""},{"id":150,"name":"Time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47" t="str">
        <f t="shared" si="19"/>
        <v>start /low /b %USERPROFILE%\Documents\GitHub\eaglep3\Utilities\DownloadLogsFromS3.py --loco 4043 --day 2017-04-21</v>
      </c>
      <c r="AN59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596</v>
      </c>
      <c r="B60" s="7">
        <v>4040</v>
      </c>
      <c r="C60" s="21" t="s">
        <v>212</v>
      </c>
      <c r="D60" s="21" t="s">
        <v>392</v>
      </c>
      <c r="E60" s="13">
        <v>42846.380578703705</v>
      </c>
      <c r="F60" s="13">
        <v>42846.385729166665</v>
      </c>
      <c r="G60" s="7">
        <v>1</v>
      </c>
      <c r="H60" s="21" t="s">
        <v>476</v>
      </c>
      <c r="I60" s="13">
        <v>42846.412627314814</v>
      </c>
      <c r="J60" s="7">
        <v>1</v>
      </c>
      <c r="K60" s="97" t="str">
        <f t="shared" si="0"/>
        <v>4039/4040</v>
      </c>
      <c r="L60" s="21" t="str">
        <f>VLOOKUP(A60,'Trips&amp;Operators'!$C$1:$G$99999,5,FALSE)</f>
        <v>DAVIS WENDY</v>
      </c>
      <c r="M60" s="6">
        <f t="shared" si="1"/>
        <v>2.6898148149484769E-2</v>
      </c>
      <c r="N60" s="7">
        <f t="shared" si="26"/>
        <v>38.733333335258067</v>
      </c>
      <c r="O60" s="7"/>
      <c r="P60" s="7"/>
      <c r="Q60" s="22"/>
      <c r="R60" s="22"/>
      <c r="S60" s="31">
        <f t="shared" si="25"/>
        <v>1</v>
      </c>
      <c r="T60" s="46" t="str">
        <f t="shared" si="2"/>
        <v>NorthBound</v>
      </c>
      <c r="U60" s="19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2" t="str">
        <f t="shared" si="3"/>
        <v>https://d0f6bd738d7f1b3e5a7ca70fe4ff75f0.us-east-1.aws.found.io/app/kibana#/discover/Steve-Slow-Train-Analysis-(2080s-and-2083s)?_g=(refreshInterval:(display:Off,pause:!f,section:0,value:0),time:(from:'2017-04-21T08:08:02-0600',mode:absolute,to:'2017-04-21T10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193" t="str">
        <f t="shared" si="4"/>
        <v>N</v>
      </c>
      <c r="X60" s="193">
        <f t="shared" si="24"/>
        <v>1</v>
      </c>
      <c r="Y60" s="193">
        <f t="shared" si="6"/>
        <v>4.58E-2</v>
      </c>
      <c r="Z60" s="62">
        <f t="shared" si="7"/>
        <v>23.331700000000001</v>
      </c>
      <c r="AA60" s="62">
        <f t="shared" si="8"/>
        <v>23.285900000000002</v>
      </c>
      <c r="AB60" s="59" t="str">
        <f>VLOOKUP(A60,Enforcements!$C$7:$K$13,8,0)</f>
        <v>Bulletin (2)</v>
      </c>
      <c r="AC60" s="55" t="str">
        <f>VLOOKUP(A60,Enforcements!$C$7:$E$13,3,0)</f>
        <v>GRADE CROSSING</v>
      </c>
      <c r="AD60" s="56" t="str">
        <f t="shared" si="9"/>
        <v>0145-21</v>
      </c>
      <c r="AE60" s="85" t="str">
        <f t="shared" si="10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60" s="82" t="str">
        <f t="shared" si="11"/>
        <v>"C:\Program Files (x86)\AstroGrep\AstroGrep.exe" /e /r /s /spath="%USERPROFILE%\AppData\Local\Temp\OnboardLogs" /stypes="app*4040*20170421*" /stext=" 15:.+((SYSTEM_STATE.+slice.+state.+changed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7"/>
        <v>"%USERPROFILE%\Documents\GitHub\eaglep3\Utilities\RefineRTDCRunTimes.py" --tripid 145-21 --locoid 4040 --swversion DE.1.0.9.0 --startMP 204:458 --initTime 2017-04-21T09:08:02 --startdatetime 2017-04-21T09:15:27 --delay 1 --endMP 204:233317 --enddatetime 2017-04-21T09:54:11 --enforcementcount 1 &gt;&gt;C:\Users\stu\Documents\GitHub\eaglep3-reporting\EC\2017-04-21-refined-times.txt</v>
      </c>
      <c r="AI60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{"issue":{"subject":"","project_id":79,"tracker_id":40,"status_id":1,"priority_id":2,"assigned_to_id":23,"start_date":"2017-04-21","description":"","custom_fields":[{"id":1,"name":"Subdivision","value":"EC"},{"id":4,"name":"Milepost","value":"23.3317"},{"id":17,"name":"Train ID","value":"145-21"},{"id":16,"name":"Locomotive ID","value":"4040"},{"id":130,"name":"Impact","value":""},{"id":150,"name":"Time of Event (Mountain Time)","value":"09:54:11"},{"id":151,"name":"Denver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47" t="str">
        <f t="shared" si="19"/>
        <v>start /low /b %USERPROFILE%\Documents\GitHub\eaglep3\Utilities\DownloadLogsFromS3.py --loco 4040 --day 2017-04-21</v>
      </c>
      <c r="AN60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600</v>
      </c>
      <c r="B61" s="7">
        <v>4039</v>
      </c>
      <c r="C61" s="21" t="s">
        <v>212</v>
      </c>
      <c r="D61" s="21" t="s">
        <v>868</v>
      </c>
      <c r="E61" s="13">
        <v>42846.4216087963</v>
      </c>
      <c r="F61" s="13">
        <v>42846.424618055556</v>
      </c>
      <c r="G61" s="7">
        <v>1</v>
      </c>
      <c r="H61" s="21" t="s">
        <v>419</v>
      </c>
      <c r="I61" s="13">
        <v>42846.453113425923</v>
      </c>
      <c r="J61" s="7">
        <v>1</v>
      </c>
      <c r="K61" s="97" t="str">
        <f t="shared" si="0"/>
        <v>4039/4040</v>
      </c>
      <c r="L61" s="21" t="str">
        <f>VLOOKUP(A61,'Trips&amp;Operators'!$C$1:$G$99999,5,FALSE)</f>
        <v>DAVIS WENDY</v>
      </c>
      <c r="M61" s="6">
        <f t="shared" si="1"/>
        <v>2.8495370366727002E-2</v>
      </c>
      <c r="N61" s="7">
        <f t="shared" si="26"/>
        <v>41.033333328086883</v>
      </c>
      <c r="O61" s="7"/>
      <c r="P61" s="7"/>
      <c r="Q61" s="22"/>
      <c r="R61" s="22"/>
      <c r="S61" s="31">
        <f t="shared" si="25"/>
        <v>1</v>
      </c>
      <c r="T61" s="46" t="str">
        <f t="shared" si="2"/>
        <v>Southbound</v>
      </c>
      <c r="U61" s="19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2" t="str">
        <f t="shared" si="3"/>
        <v>https://d0f6bd738d7f1b3e5a7ca70fe4ff75f0.us-east-1.aws.found.io/app/kibana#/discover/Steve-Slow-Train-Analysis-(2080s-and-2083s)?_g=(refreshInterval:(display:Off,pause:!f,section:0,value:0),time:(from:'2017-04-21T09:07:07-0600',mode:absolute,to:'2017-04-21T11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193" t="str">
        <f t="shared" si="4"/>
        <v>N</v>
      </c>
      <c r="X61" s="193">
        <f t="shared" si="24"/>
        <v>1</v>
      </c>
      <c r="Y61" s="193">
        <f t="shared" si="6"/>
        <v>23.3004</v>
      </c>
      <c r="Z61" s="62">
        <f t="shared" si="7"/>
        <v>1.49E-2</v>
      </c>
      <c r="AA61" s="62">
        <f t="shared" si="8"/>
        <v>23.285499999999999</v>
      </c>
      <c r="AB61" s="59" t="str">
        <f>VLOOKUP(A61,Enforcements!$C$7:$K$13,8,0)</f>
        <v>Bulletin (2)</v>
      </c>
      <c r="AC61" s="55" t="str">
        <f>VLOOKUP(A61,Enforcements!$C$7:$E$13,3,0)</f>
        <v>GRADE CROSSING</v>
      </c>
      <c r="AD61" s="56" t="str">
        <f t="shared" si="9"/>
        <v>0146-21</v>
      </c>
      <c r="AE61" s="85" t="str">
        <f t="shared" si="10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61" s="82" t="str">
        <f t="shared" si="11"/>
        <v>"C:\Program Files (x86)\AstroGrep\AstroGrep.exe" /e /r /s /spath="%USERPROFILE%\AppData\Local\Temp\OnboardLogs" /stypes="app*4039*20170421*" /stext=" 16:.+((SYSTEM_STATE.+slice.+state.+changed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7"/>
        <v>"%USERPROFILE%\Documents\GitHub\eaglep3\Utilities\RefineRTDCRunTimes.py" --tripid 146-21 --locoid 4039 --swversion DE.1.0.9.0 --startMP 204:233004 --initTime 2017-04-21T10:07:07 --startdatetime 2017-04-21T10:11:27 --delay 1 --endMP 204:149 --enddatetime 2017-04-21T10:52:29 --enforcementcount 1 &gt;&gt;C:\Users\stu\Documents\GitHub\eaglep3-reporting\EC\2017-04-21-refined-times.txt</v>
      </c>
      <c r="AI61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ID","value":"146-21"},{"id":16,"name":"Locomotive ID","value":"4039"},{"id":130,"name":"Impact","value":""},{"id":150,"name":"Time of Event (Mountain Time)","value":"10:52:29"},{"id":151,"name":"Denver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47" t="str">
        <f t="shared" si="19"/>
        <v>start /low /b %USERPROFILE%\Documents\GitHub\eaglep3\Utilities\DownloadLogsFromS3.py --loco 4039 --day 2017-04-21</v>
      </c>
      <c r="AN61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692</v>
      </c>
      <c r="B62" s="7">
        <v>4004</v>
      </c>
      <c r="C62" s="21" t="s">
        <v>212</v>
      </c>
      <c r="D62" s="21" t="s">
        <v>559</v>
      </c>
      <c r="E62" s="13">
        <v>42846.390856481485</v>
      </c>
      <c r="F62" s="13">
        <v>42846.396053240744</v>
      </c>
      <c r="G62" s="7">
        <v>1</v>
      </c>
      <c r="H62" s="21" t="s">
        <v>510</v>
      </c>
      <c r="I62" s="13">
        <v>42846.422083333331</v>
      </c>
      <c r="J62" s="7">
        <v>1</v>
      </c>
      <c r="K62" s="97" t="str">
        <f t="shared" si="0"/>
        <v>4003/4004</v>
      </c>
      <c r="L62" s="21" t="str">
        <f>VLOOKUP(A62,'Trips&amp;Operators'!$C$1:$G$99999,5,FALSE)</f>
        <v>ROBINSON KADDIBA</v>
      </c>
      <c r="M62" s="6">
        <f t="shared" si="1"/>
        <v>2.6030092587461695E-2</v>
      </c>
      <c r="N62" s="7">
        <f t="shared" si="26"/>
        <v>37.483333325944841</v>
      </c>
      <c r="O62" s="7"/>
      <c r="P62" s="7"/>
      <c r="Q62" s="22"/>
      <c r="R62" s="22"/>
      <c r="S62" s="31">
        <f t="shared" si="25"/>
        <v>1</v>
      </c>
      <c r="T62" s="46" t="str">
        <f t="shared" si="2"/>
        <v>NorthBound</v>
      </c>
      <c r="U62" s="19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2" t="str">
        <f t="shared" si="3"/>
        <v>https://d0f6bd738d7f1b3e5a7ca70fe4ff75f0.us-east-1.aws.found.io/app/kibana#/discover/Steve-Slow-Train-Analysis-(2080s-and-2083s)?_g=(refreshInterval:(display:Off,pause:!f,section:0,value:0),time:(from:'2017-04-21T08:22:50-0600',mode:absolute,to:'2017-04-21T11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193" t="str">
        <f t="shared" si="4"/>
        <v>N</v>
      </c>
      <c r="X62" s="193">
        <f t="shared" si="24"/>
        <v>1</v>
      </c>
      <c r="Y62" s="193">
        <f t="shared" si="6"/>
        <v>4.6399999999999997E-2</v>
      </c>
      <c r="Z62" s="62">
        <f t="shared" si="7"/>
        <v>23.330300000000001</v>
      </c>
      <c r="AA62" s="62">
        <f t="shared" si="8"/>
        <v>23.283900000000003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0147-21</v>
      </c>
      <c r="AE62" s="85" t="str">
        <f t="shared" si="10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62" s="82" t="str">
        <f t="shared" si="11"/>
        <v>"C:\Program Files (x86)\AstroGrep\AstroGrep.exe" /e /r /s /spath="%USERPROFILE%\AppData\Local\Temp\OnboardLogs" /stypes="app*4004*20170421*" /stext=" 16:.+((SYSTEM_STATE.+slice.+state.+changed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7"/>
        <v>"%USERPROFILE%\Documents\GitHub\eaglep3\Utilities\RefineRTDCRunTimes.py" --tripid 147-21 --locoid 4004 --swversion DE.1.0.9.0 --startMP 204:464 --initTime 2017-04-21T09:22:50 --startdatetime 2017-04-21T09:30:19 --delay 1 --endMP 204:233303 --enddatetime 2017-04-21T10:07:48 --enforcementcount 1 &gt;&gt;C:\Users\stu\Documents\GitHub\eaglep3-reporting\EC\2017-04-21-refined-times.txt</v>
      </c>
      <c r="AI62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{"issue":{"subject":"","project_id":79,"tracker_id":40,"status_id":1,"priority_id":2,"assigned_to_id":23,"start_date":"2017-04-21","description":"","custom_fields":[{"id":1,"name":"Subdivision","value":"EC"},{"id":4,"name":"Milepost","value":"23.3303"},{"id":17,"name":"Train ID","value":"147-21"},{"id":16,"name":"Locomotive ID","value":"4004"},{"id":130,"name":"Impact","value":""},{"id":150,"name":"Time of Event (Mountain Time)","value":"10:07:48"},{"id":151,"name":"Denver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47" t="str">
        <f t="shared" si="19"/>
        <v>start /low /b %USERPROFILE%\Documents\GitHub\eaglep3\Utilities\DownloadLogsFromS3.py --loco 4004 --day 2017-04-21</v>
      </c>
      <c r="AN62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601</v>
      </c>
      <c r="B63" s="7">
        <v>4003</v>
      </c>
      <c r="C63" s="21" t="s">
        <v>212</v>
      </c>
      <c r="D63" s="21" t="s">
        <v>511</v>
      </c>
      <c r="E63" s="13">
        <v>42846.43304398148</v>
      </c>
      <c r="F63" s="13">
        <v>42846.434895833336</v>
      </c>
      <c r="G63" s="7">
        <v>1</v>
      </c>
      <c r="H63" s="21" t="s">
        <v>419</v>
      </c>
      <c r="I63" s="13">
        <v>42846.463958333334</v>
      </c>
      <c r="J63" s="7">
        <v>1</v>
      </c>
      <c r="K63" s="97" t="str">
        <f t="shared" si="0"/>
        <v>4003/4004</v>
      </c>
      <c r="L63" s="21" t="str">
        <f>VLOOKUP(A63,'Trips&amp;Operators'!$C$1:$G$99999,5,FALSE)</f>
        <v>ROBINSON KADDIBA</v>
      </c>
      <c r="M63" s="6">
        <f t="shared" si="1"/>
        <v>2.9062499997962732E-2</v>
      </c>
      <c r="N63" s="7">
        <f t="shared" si="26"/>
        <v>41.849999997066334</v>
      </c>
      <c r="O63" s="7"/>
      <c r="P63" s="7"/>
      <c r="Q63" s="22"/>
      <c r="R63" s="22"/>
      <c r="S63" s="31">
        <f t="shared" si="25"/>
        <v>1</v>
      </c>
      <c r="T63" s="46" t="str">
        <f t="shared" si="2"/>
        <v>Southbound</v>
      </c>
      <c r="U63" s="19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2" t="str">
        <f t="shared" si="3"/>
        <v>https://d0f6bd738d7f1b3e5a7ca70fe4ff75f0.us-east-1.aws.found.io/app/kibana#/discover/Steve-Slow-Train-Analysis-(2080s-and-2083s)?_g=(refreshInterval:(display:Off,pause:!f,section:0,value:0),time:(from:'2017-04-21T09:23:35-0600',mode:absolute,to:'2017-04-21T12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3" t="str">
        <f t="shared" si="4"/>
        <v>N</v>
      </c>
      <c r="X63" s="193">
        <f t="shared" si="24"/>
        <v>1</v>
      </c>
      <c r="Y63" s="193">
        <f t="shared" si="6"/>
        <v>23.2973</v>
      </c>
      <c r="Z63" s="62">
        <f t="shared" si="7"/>
        <v>1.49E-2</v>
      </c>
      <c r="AA63" s="62">
        <f t="shared" si="8"/>
        <v>23.282399999999999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9"/>
        <v>0148-21</v>
      </c>
      <c r="AE63" s="85" t="str">
        <f t="shared" si="10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63" s="82" t="str">
        <f t="shared" si="11"/>
        <v>"C:\Program Files (x86)\AstroGrep\AstroGrep.exe" /e /r /s /spath="%USERPROFILE%\AppData\Local\Temp\OnboardLogs" /stypes="app*4003*20170421*" /stext=" 17:.+((SYSTEM_STATE.+slice.+state.+changed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7"/>
        <v>"%USERPROFILE%\Documents\GitHub\eaglep3\Utilities\RefineRTDCRunTimes.py" --tripid 148-21 --locoid 4003 --swversion DE.1.0.9.0 --startMP 204:232973 --initTime 2017-04-21T10:23:35 --startdatetime 2017-04-21T10:26:15 --delay 1 --endMP 204:149 --enddatetime 2017-04-21T11:08:06 --enforcementcount 1 &gt;&gt;C:\Users\stu\Documents\GitHub\eaglep3-reporting\EC\2017-04-21-refined-times.txt</v>
      </c>
      <c r="AI63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ID","value":"148-21"},{"id":16,"name":"Locomotive ID","value":"4003"},{"id":130,"name":"Impact","value":""},{"id":150,"name":"Time of Event (Mountain Time)","value":"11:08:06"},{"id":151,"name":"Denver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47" t="str">
        <f t="shared" si="19"/>
        <v>start /low /b %USERPROFILE%\Documents\GitHub\eaglep3\Utilities\DownloadLogsFromS3.py --loco 4003 --day 2017-04-21</v>
      </c>
      <c r="AN63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693</v>
      </c>
      <c r="B64" s="7">
        <v>4002</v>
      </c>
      <c r="C64" s="21" t="s">
        <v>212</v>
      </c>
      <c r="D64" s="21" t="s">
        <v>423</v>
      </c>
      <c r="E64" s="13">
        <v>42846.40347222222</v>
      </c>
      <c r="F64" s="13">
        <v>42846.406400462962</v>
      </c>
      <c r="G64" s="7">
        <v>1</v>
      </c>
      <c r="H64" s="21" t="s">
        <v>432</v>
      </c>
      <c r="I64" s="13">
        <v>42846.432974537034</v>
      </c>
      <c r="J64" s="7">
        <v>1</v>
      </c>
      <c r="K64" s="97" t="str">
        <f t="shared" si="0"/>
        <v>4001/4002</v>
      </c>
      <c r="L64" s="21" t="str">
        <f>VLOOKUP(A64,'Trips&amp;Operators'!$C$1:$G$99999,5,FALSE)</f>
        <v>STARKS ANGELINA</v>
      </c>
      <c r="M64" s="6">
        <f t="shared" si="1"/>
        <v>2.6574074072414078E-2</v>
      </c>
      <c r="N64" s="7">
        <f t="shared" si="26"/>
        <v>38.266666664276272</v>
      </c>
      <c r="O64" s="7"/>
      <c r="P64" s="7"/>
      <c r="Q64" s="22"/>
      <c r="R64" s="22"/>
      <c r="S64" s="31">
        <f t="shared" si="25"/>
        <v>1</v>
      </c>
      <c r="T64" s="46" t="str">
        <f t="shared" si="2"/>
        <v>NorthBound</v>
      </c>
      <c r="U64" s="19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2" t="str">
        <f t="shared" si="3"/>
        <v>https://d0f6bd738d7f1b3e5a7ca70fe4ff75f0.us-east-1.aws.found.io/app/kibana#/discover/Steve-Slow-Train-Analysis-(2080s-and-2083s)?_g=(refreshInterval:(display:Off,pause:!f,section:0,value:0),time:(from:'2017-04-21T08:41:00-0600',mode:absolute,to:'2017-04-21T11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3" t="str">
        <f t="shared" si="4"/>
        <v>N</v>
      </c>
      <c r="X64" s="193">
        <f t="shared" ref="X64:X95" si="27">VALUE(LEFT(AD64,4))-VALUE(LEFT(AD63,4))</f>
        <v>1</v>
      </c>
      <c r="Y64" s="193">
        <f t="shared" si="6"/>
        <v>4.4200000000000003E-2</v>
      </c>
      <c r="Z64" s="62">
        <f t="shared" si="7"/>
        <v>23.331499999999998</v>
      </c>
      <c r="AA64" s="62">
        <f t="shared" si="8"/>
        <v>23.287299999999998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0149-21</v>
      </c>
      <c r="AE64" s="85" t="str">
        <f t="shared" si="10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64" s="82" t="str">
        <f t="shared" si="11"/>
        <v>"C:\Program Files (x86)\AstroGrep\AstroGrep.exe" /e /r /s /spath="%USERPROFILE%\AppData\Local\Temp\OnboardLogs" /stypes="app*4002*20170421*" /stext=" 16:.+((SYSTEM_STATE.+slice.+state.+changed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7"/>
        <v>"%USERPROFILE%\Documents\GitHub\eaglep3\Utilities\RefineRTDCRunTimes.py" --tripid 149-21 --locoid 4002 --swversion DE.1.0.9.0 --startMP 204:442 --initTime 2017-04-21T09:41:00 --startdatetime 2017-04-21T09:45:13 --delay 1 --endMP 204:233315 --enddatetime 2017-04-21T10:23:29 --enforcementcount 1 &gt;&gt;C:\Users\stu\Documents\GitHub\eaglep3-reporting\EC\2017-04-21-refined-times.txt</v>
      </c>
      <c r="AI64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{"issue":{"subject":"","project_id":79,"tracker_id":40,"status_id":1,"priority_id":2,"assigned_to_id":23,"start_date":"2017-04-21","description":"","custom_fields":[{"id":1,"name":"Subdivision","value":"EC"},{"id":4,"name":"Milepost","value":"23.3315"},{"id":17,"name":"Train ID","value":"149-21"},{"id":16,"name":"Locomotive ID","value":"4002"},{"id":130,"name":"Impact","value":""},{"id":150,"name":"Time of Event (Mountain Time)","value":"10:23:29"},{"id":151,"name":"Denver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47" t="str">
        <f t="shared" si="19"/>
        <v>start /low /b %USERPROFILE%\Documents\GitHub\eaglep3\Utilities\DownloadLogsFromS3.py --loco 4002 --day 2017-04-21</v>
      </c>
      <c r="AN64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704</v>
      </c>
      <c r="B65" s="7">
        <v>4001</v>
      </c>
      <c r="C65" s="21" t="s">
        <v>212</v>
      </c>
      <c r="D65" s="21" t="s">
        <v>412</v>
      </c>
      <c r="E65" s="13">
        <v>42846.44127314815</v>
      </c>
      <c r="F65" s="13">
        <v>42846.4453587963</v>
      </c>
      <c r="G65" s="7">
        <v>1</v>
      </c>
      <c r="H65" s="21" t="s">
        <v>419</v>
      </c>
      <c r="I65" s="13">
        <v>42846.473043981481</v>
      </c>
      <c r="J65" s="7">
        <v>1</v>
      </c>
      <c r="K65" s="97" t="str">
        <f t="shared" si="0"/>
        <v>4001/4002</v>
      </c>
      <c r="L65" s="21" t="str">
        <f>VLOOKUP(A65,'Trips&amp;Operators'!$C$1:$G$99999,5,FALSE)</f>
        <v>STARKS ANGELINA</v>
      </c>
      <c r="M65" s="6">
        <f t="shared" si="1"/>
        <v>2.7685185181326233E-2</v>
      </c>
      <c r="N65" s="7">
        <f t="shared" si="26"/>
        <v>39.866666661109775</v>
      </c>
      <c r="O65" s="7"/>
      <c r="P65" s="7"/>
      <c r="Q65" s="22"/>
      <c r="R65" s="22"/>
      <c r="S65" s="31">
        <f t="shared" si="25"/>
        <v>1</v>
      </c>
      <c r="T65" s="46" t="str">
        <f t="shared" si="2"/>
        <v>Southbound</v>
      </c>
      <c r="U65" s="19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2" t="str">
        <f t="shared" si="3"/>
        <v>https://d0f6bd738d7f1b3e5a7ca70fe4ff75f0.us-east-1.aws.found.io/app/kibana#/discover/Steve-Slow-Train-Analysis-(2080s-and-2083s)?_g=(refreshInterval:(display:Off,pause:!f,section:0,value:0),time:(from:'2017-04-21T09:35:26-0600',mode:absolute,to:'2017-04-21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3" t="str">
        <f t="shared" si="4"/>
        <v>N</v>
      </c>
      <c r="X65" s="193">
        <f t="shared" si="27"/>
        <v>1</v>
      </c>
      <c r="Y65" s="193">
        <f t="shared" si="6"/>
        <v>23.3002</v>
      </c>
      <c r="Z65" s="62">
        <f t="shared" si="7"/>
        <v>1.49E-2</v>
      </c>
      <c r="AA65" s="62">
        <f t="shared" si="8"/>
        <v>23.285299999999999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0150-21</v>
      </c>
      <c r="AE65" s="85" t="str">
        <f t="shared" si="10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65" s="82" t="str">
        <f t="shared" si="11"/>
        <v>"C:\Program Files (x86)\AstroGrep\AstroGrep.exe" /e /r /s /spath="%USERPROFILE%\AppData\Local\Temp\OnboardLogs" /stypes="app*4001*20170421*" /stext=" 17:.+((SYSTEM_STATE.+slice.+state.+changed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7"/>
        <v>"%USERPROFILE%\Documents\GitHub\eaglep3\Utilities\RefineRTDCRunTimes.py" --tripid 150-21 --locoid 4001 --swversion DE.1.0.9.0 --startMP 204:233002 --initTime 2017-04-21T10:35:26 --startdatetime 2017-04-21T10:41:19 --delay 1 --endMP 204:149 --enddatetime 2017-04-21T11:21:11 --enforcementcount 1 &gt;&gt;C:\Users\stu\Documents\GitHub\eaglep3-reporting\EC\2017-04-21-refined-times.txt</v>
      </c>
      <c r="AI6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ID","value":"150-21"},{"id":16,"name":"Locomotive ID","value":"4001"},{"id":130,"name":"Impact","value":""},{"id":150,"name":"Time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47" t="str">
        <f t="shared" si="19"/>
        <v>start /low /b %USERPROFILE%\Documents\GitHub\eaglep3\Utilities\DownloadLogsFromS3.py --loco 4001 --day 2017-04-21</v>
      </c>
      <c r="AN6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694</v>
      </c>
      <c r="B66" s="7">
        <v>4046</v>
      </c>
      <c r="C66" s="21" t="s">
        <v>212</v>
      </c>
      <c r="D66" s="21" t="s">
        <v>869</v>
      </c>
      <c r="E66" s="13">
        <v>42846.411273148151</v>
      </c>
      <c r="F66" s="13">
        <v>42846.417974537035</v>
      </c>
      <c r="G66" s="7">
        <v>1</v>
      </c>
      <c r="H66" s="21" t="s">
        <v>553</v>
      </c>
      <c r="I66" s="13">
        <v>42846.442129629628</v>
      </c>
      <c r="J66" s="7">
        <v>1</v>
      </c>
      <c r="K66" s="97" t="str">
        <f t="shared" si="0"/>
        <v>4045/4046</v>
      </c>
      <c r="L66" s="21" t="str">
        <f>VLOOKUP(A66,'Trips&amp;Operators'!$C$1:$G$99999,5,FALSE)</f>
        <v>ACKERMAN JARED</v>
      </c>
      <c r="M66" s="6">
        <f t="shared" si="1"/>
        <v>2.4155092592991423E-2</v>
      </c>
      <c r="N66" s="7">
        <f t="shared" si="26"/>
        <v>34.783333333907649</v>
      </c>
      <c r="O66" s="7"/>
      <c r="P66" s="7"/>
      <c r="Q66" s="22"/>
      <c r="R66" s="22"/>
      <c r="S66" s="31">
        <f t="shared" si="25"/>
        <v>1</v>
      </c>
      <c r="T66" s="46" t="str">
        <f t="shared" si="2"/>
        <v>NorthBound</v>
      </c>
      <c r="U66" s="19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2" t="str">
        <f t="shared" si="3"/>
        <v>https://d0f6bd738d7f1b3e5a7ca70fe4ff75f0.us-east-1.aws.found.io/app/kibana#/discover/Steve-Slow-Train-Analysis-(2080s-and-2083s)?_g=(refreshInterval:(display:Off,pause:!f,section:0,value:0),time:(from:'2017-04-21T08:52:14-0600',mode:absolute,to:'2017-04-21T11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6" s="193" t="str">
        <f t="shared" si="4"/>
        <v>N</v>
      </c>
      <c r="X66" s="193">
        <f t="shared" si="27"/>
        <v>1</v>
      </c>
      <c r="Y66" s="193">
        <f t="shared" si="6"/>
        <v>0.1479</v>
      </c>
      <c r="Z66" s="62">
        <f t="shared" si="7"/>
        <v>23.331399999999999</v>
      </c>
      <c r="AA66" s="62">
        <f t="shared" si="8"/>
        <v>23.183499999999999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0151-21</v>
      </c>
      <c r="AE66" s="85" t="str">
        <f t="shared" si="10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66" s="82" t="str">
        <f t="shared" si="11"/>
        <v>"C:\Program Files (x86)\AstroGrep\AstroGrep.exe" /e /r /s /spath="%USERPROFILE%\AppData\Local\Temp\OnboardLogs" /stypes="app*4046*20170421*" /stext=" 16:.+((SYSTEM_STATE.+slice.+state.+changed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7"/>
        <v>"%USERPROFILE%\Documents\GitHub\eaglep3\Utilities\RefineRTDCRunTimes.py" --tripid 151-21 --locoid 4046 --swversion DE.1.0.9.0 --startMP 204:1479 --initTime 2017-04-21T09:52:14 --startdatetime 2017-04-21T10:01:53 --delay 1 --endMP 204:233314 --enddatetime 2017-04-21T10:36:40 --enforcementcount 1 &gt;&gt;C:\Users\stu\Documents\GitHub\eaglep3-reporting\EC\2017-04-21-refined-times.txt</v>
      </c>
      <c r="AI66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{"issue":{"subject":"","project_id":79,"tracker_id":40,"status_id":1,"priority_id":2,"assigned_to_id":23,"start_date":"2017-04-21","description":"","custom_fields":[{"id":1,"name":"Subdivision","value":"EC"},{"id":4,"name":"Milepost","value":"23.3314"},{"id":17,"name":"Train ID","value":"151-21"},{"id":16,"name":"Locomotive ID","value":"4046"},{"id":130,"name":"Impact","value":""},{"id":150,"name":"Time of Event (Mountain Time)","value":"10:36:40"},{"id":151,"name":"Denver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47" t="str">
        <f t="shared" si="19"/>
        <v>start /low /b %USERPROFILE%\Documents\GitHub\eaglep3\Utilities\DownloadLogsFromS3.py --loco 4046 --day 2017-04-21</v>
      </c>
      <c r="AN66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709</v>
      </c>
      <c r="B67" s="7">
        <v>4045</v>
      </c>
      <c r="C67" s="21" t="s">
        <v>212</v>
      </c>
      <c r="D67" s="21" t="s">
        <v>870</v>
      </c>
      <c r="E67" s="13">
        <v>42846.451273148145</v>
      </c>
      <c r="F67" s="13">
        <v>42846.455763888887</v>
      </c>
      <c r="G67" s="7">
        <v>1</v>
      </c>
      <c r="H67" s="21" t="s">
        <v>436</v>
      </c>
      <c r="I67" s="13">
        <v>42846.482893518521</v>
      </c>
      <c r="J67" s="7">
        <v>1</v>
      </c>
      <c r="K67" s="97" t="str">
        <f t="shared" si="0"/>
        <v>4045/4046</v>
      </c>
      <c r="L67" s="21" t="str">
        <f>VLOOKUP(A67,'Trips&amp;Operators'!$C$1:$G$99999,5,FALSE)</f>
        <v>ACKERMAN JARED</v>
      </c>
      <c r="M67" s="6">
        <f t="shared" si="1"/>
        <v>2.7129629634146113E-2</v>
      </c>
      <c r="N67" s="7">
        <f t="shared" si="26"/>
        <v>39.066666673170403</v>
      </c>
      <c r="O67" s="7"/>
      <c r="P67" s="7"/>
      <c r="Q67" s="22"/>
      <c r="R67" s="22"/>
      <c r="S67" s="31">
        <f t="shared" si="25"/>
        <v>1</v>
      </c>
      <c r="T67" s="46" t="str">
        <f t="shared" si="2"/>
        <v>Southbound</v>
      </c>
      <c r="U67" s="19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2" t="str">
        <f t="shared" si="3"/>
        <v>https://d0f6bd738d7f1b3e5a7ca70fe4ff75f0.us-east-1.aws.found.io/app/kibana#/discover/Steve-Slow-Train-Analysis-(2080s-and-2083s)?_g=(refreshInterval:(display:Off,pause:!f,section:0,value:0),time:(from:'2017-04-21T09:49:50-0600',mode:absolute,to:'2017-04-21T12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7" s="193" t="str">
        <f t="shared" si="4"/>
        <v>N</v>
      </c>
      <c r="X67" s="193">
        <f t="shared" si="27"/>
        <v>1</v>
      </c>
      <c r="Y67" s="193">
        <f t="shared" si="6"/>
        <v>23.3001</v>
      </c>
      <c r="Z67" s="62">
        <f t="shared" si="7"/>
        <v>1.61E-2</v>
      </c>
      <c r="AA67" s="62">
        <f t="shared" si="8"/>
        <v>23.283999999999999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0152-21</v>
      </c>
      <c r="AE67" s="85" t="str">
        <f t="shared" si="10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67" s="82" t="str">
        <f t="shared" si="11"/>
        <v>"C:\Program Files (x86)\AstroGrep\AstroGrep.exe" /e /r /s /spath="%USERPROFILE%\AppData\Local\Temp\OnboardLogs" /stypes="app*4045*20170421*" /stext=" 17:.+((SYSTEM_STATE.+slice.+state.+changed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7"/>
        <v>"%USERPROFILE%\Documents\GitHub\eaglep3\Utilities\RefineRTDCRunTimes.py" --tripid 152-21 --locoid 4045 --swversion DE.1.0.9.0 --startMP 204:233001 --initTime 2017-04-21T10:49:50 --startdatetime 2017-04-21T10:56:18 --delay 1 --endMP 204:161 --enddatetime 2017-04-21T11:35:22 --enforcementcount 1 &gt;&gt;C:\Users\stu\Documents\GitHub\eaglep3-reporting\EC\2017-04-21-refined-times.txt</v>
      </c>
      <c r="AI67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{"issue":{"subject":"","project_id":79,"tracker_id":40,"status_id":1,"priority_id":2,"assigned_to_id":23,"start_date":"2017-04-21","description":"","custom_fields":[{"id":1,"name":"Subdivision","value":"EC"},{"id":4,"name":"Milepost","value":"0.0161"},{"id":17,"name":"Train ID","value":"152-21"},{"id":16,"name":"Locomotive ID","value":"4045"},{"id":130,"name":"Impact","value":""},{"id":150,"name":"Time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47" t="str">
        <f t="shared" si="19"/>
        <v>start /low /b %USERPROFILE%\Documents\GitHub\eaglep3\Utilities\DownloadLogsFromS3.py --loco 4045 --day 2017-04-21</v>
      </c>
      <c r="AN67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698</v>
      </c>
      <c r="B68" s="7">
        <v>4024</v>
      </c>
      <c r="C68" s="21" t="s">
        <v>212</v>
      </c>
      <c r="D68" s="21" t="s">
        <v>392</v>
      </c>
      <c r="E68" s="13">
        <v>42846.424722222226</v>
      </c>
      <c r="F68" s="13">
        <v>42846.427372685182</v>
      </c>
      <c r="G68" s="7">
        <v>1</v>
      </c>
      <c r="H68" s="21" t="s">
        <v>562</v>
      </c>
      <c r="I68" s="13">
        <v>42846.452361111114</v>
      </c>
      <c r="J68" s="7">
        <v>1</v>
      </c>
      <c r="K68" s="97" t="str">
        <f t="shared" si="0"/>
        <v>4023/4024</v>
      </c>
      <c r="L68" s="21" t="str">
        <f>VLOOKUP(A68,'Trips&amp;Operators'!$C$1:$G$99999,5,FALSE)</f>
        <v>BEAM ROSS</v>
      </c>
      <c r="M68" s="6">
        <f t="shared" si="1"/>
        <v>2.4988425931951497E-2</v>
      </c>
      <c r="N68" s="7">
        <f t="shared" si="26"/>
        <v>35.983333342010155</v>
      </c>
      <c r="O68" s="7"/>
      <c r="P68" s="7"/>
      <c r="Q68" s="22"/>
      <c r="R68" s="22"/>
      <c r="S68" s="31">
        <f t="shared" si="25"/>
        <v>1</v>
      </c>
      <c r="T68" s="46" t="str">
        <f t="shared" si="2"/>
        <v>NorthBound</v>
      </c>
      <c r="U68" s="19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2" t="str">
        <f t="shared" si="3"/>
        <v>https://d0f6bd738d7f1b3e5a7ca70fe4ff75f0.us-east-1.aws.found.io/app/kibana#/discover/Steve-Slow-Train-Analysis-(2080s-and-2083s)?_g=(refreshInterval:(display:Off,pause:!f,section:0,value:0),time:(from:'2017-04-21T09:11:36-0600',mode:absolute,to:'2017-04-21T11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93" t="str">
        <f t="shared" si="4"/>
        <v>N</v>
      </c>
      <c r="X68" s="193">
        <f t="shared" si="27"/>
        <v>1</v>
      </c>
      <c r="Y68" s="193">
        <f t="shared" si="6"/>
        <v>4.58E-2</v>
      </c>
      <c r="Z68" s="62">
        <f t="shared" si="7"/>
        <v>23.331</v>
      </c>
      <c r="AA68" s="62">
        <f t="shared" si="8"/>
        <v>23.2852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0153-21</v>
      </c>
      <c r="AE68" s="85" t="str">
        <f t="shared" si="10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68" s="82" t="str">
        <f t="shared" si="11"/>
        <v>"C:\Program Files (x86)\AstroGrep\AstroGrep.exe" /e /r /s /spath="%USERPROFILE%\AppData\Local\Temp\OnboardLogs" /stypes="app*4024*20170421*" /stext=" 16:.+((SYSTEM_STATE.+slice.+state.+changed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7"/>
        <v>"%USERPROFILE%\Documents\GitHub\eaglep3\Utilities\RefineRTDCRunTimes.py" --tripid 153-21 --locoid 4024 --swversion DE.1.0.9.0 --startMP 204:458 --initTime 2017-04-21T10:11:36 --startdatetime 2017-04-21T10:15:25 --delay 1 --endMP 204:233310 --enddatetime 2017-04-21T10:51:24 --enforcementcount 1 &gt;&gt;C:\Users\stu\Documents\GitHub\eaglep3-reporting\EC\2017-04-21-refined-times.txt</v>
      </c>
      <c r="AI68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{"issue":{"subject":"","project_id":79,"tracker_id":40,"status_id":1,"priority_id":2,"assigned_to_id":23,"start_date":"2017-04-21","description":"","custom_fields":[{"id":1,"name":"Subdivision","value":"EC"},{"id":4,"name":"Milepost","value":"23.331"},{"id":17,"name":"Train ID","value":"153-21"},{"id":16,"name":"Locomotive ID","value":"4024"},{"id":130,"name":"Impact","value":""},{"id":150,"name":"Time of Event (Mountain Time)","value":"10:51:24"},{"id":151,"name":"Denver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47" t="str">
        <f t="shared" si="19"/>
        <v>start /low /b %USERPROFILE%\Documents\GitHub\eaglep3\Utilities\DownloadLogsFromS3.py --loco 4024 --day 2017-04-21</v>
      </c>
      <c r="AN68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711</v>
      </c>
      <c r="B69" s="7">
        <v>4023</v>
      </c>
      <c r="C69" s="21" t="s">
        <v>212</v>
      </c>
      <c r="D69" s="21" t="s">
        <v>384</v>
      </c>
      <c r="E69" s="13">
        <v>42846.460520833331</v>
      </c>
      <c r="F69" s="13">
        <v>42846.466180555559</v>
      </c>
      <c r="G69" s="7">
        <v>1</v>
      </c>
      <c r="H69" s="21" t="s">
        <v>421</v>
      </c>
      <c r="I69" s="13">
        <v>42846.492442129631</v>
      </c>
      <c r="J69" s="7">
        <v>1</v>
      </c>
      <c r="K69" s="97" t="str">
        <f t="shared" si="0"/>
        <v>4023/4024</v>
      </c>
      <c r="L69" s="21" t="str">
        <f>VLOOKUP(A69,'Trips&amp;Operators'!$C$1:$G$99999,5,FALSE)</f>
        <v>BEAM ROSS</v>
      </c>
      <c r="M69" s="6">
        <f t="shared" si="1"/>
        <v>2.626157407212304E-2</v>
      </c>
      <c r="N69" s="7">
        <f t="shared" si="26"/>
        <v>37.816666663857177</v>
      </c>
      <c r="O69" s="7"/>
      <c r="P69" s="7"/>
      <c r="Q69" s="22"/>
      <c r="R69" s="22"/>
      <c r="S69" s="31">
        <f t="shared" si="25"/>
        <v>1</v>
      </c>
      <c r="T69" s="46" t="str">
        <f t="shared" si="2"/>
        <v>Southbound</v>
      </c>
      <c r="U69" s="19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2" t="str">
        <f t="shared" si="3"/>
        <v>https://d0f6bd738d7f1b3e5a7ca70fe4ff75f0.us-east-1.aws.found.io/app/kibana#/discover/Steve-Slow-Train-Analysis-(2080s-and-2083s)?_g=(refreshInterval:(display:Off,pause:!f,section:0,value:0),time:(from:'2017-04-21T10:03:09-0600',mode:absolute,to:'2017-04-21T12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93" t="str">
        <f t="shared" si="4"/>
        <v>N</v>
      </c>
      <c r="X69" s="193">
        <f t="shared" si="27"/>
        <v>1</v>
      </c>
      <c r="Y69" s="193">
        <f t="shared" si="6"/>
        <v>23.2989</v>
      </c>
      <c r="Z69" s="62">
        <f t="shared" si="7"/>
        <v>1.43E-2</v>
      </c>
      <c r="AA69" s="62">
        <f t="shared" si="8"/>
        <v>23.284600000000001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0154-21</v>
      </c>
      <c r="AE69" s="85" t="str">
        <f t="shared" si="10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69" s="82" t="str">
        <f t="shared" si="11"/>
        <v>"C:\Program Files (x86)\AstroGrep\AstroGrep.exe" /e /r /s /spath="%USERPROFILE%\AppData\Local\Temp\OnboardLogs" /stypes="app*4023*20170421*" /stext=" 17:.+((SYSTEM_STATE.+slice.+state.+changed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7"/>
        <v>"%USERPROFILE%\Documents\GitHub\eaglep3\Utilities\RefineRTDCRunTimes.py" --tripid 154-21 --locoid 4023 --swversion DE.1.0.9.0 --startMP 204:232989 --initTime 2017-04-21T11:03:09 --startdatetime 2017-04-21T11:11:18 --delay 1 --endMP 204:143 --enddatetime 2017-04-21T11:49:07 --enforcementcount 1 &gt;&gt;C:\Users\stu\Documents\GitHub\eaglep3-reporting\EC\2017-04-21-refined-times.txt</v>
      </c>
      <c r="AI69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ID","value":"154-21"},{"id":16,"name":"Locomotive ID","value":"4023"},{"id":130,"name":"Impact","value":""},{"id":150,"name":"Time of Event (Mountain Time)","value":"11:49:07"},{"id":151,"name":"Denver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47" t="str">
        <f t="shared" si="19"/>
        <v>start /low /b %USERPROFILE%\Documents\GitHub\eaglep3\Utilities\DownloadLogsFromS3.py --loco 4023 --day 2017-04-21</v>
      </c>
      <c r="AN69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703</v>
      </c>
      <c r="B70" s="7">
        <v>4016</v>
      </c>
      <c r="C70" s="21" t="s">
        <v>212</v>
      </c>
      <c r="D70" s="21" t="s">
        <v>204</v>
      </c>
      <c r="E70" s="13">
        <v>42846.435439814813</v>
      </c>
      <c r="F70" s="13">
        <v>42846.437673611108</v>
      </c>
      <c r="G70" s="7">
        <v>1</v>
      </c>
      <c r="H70" s="21" t="s">
        <v>460</v>
      </c>
      <c r="I70" s="13">
        <v>42846.463020833333</v>
      </c>
      <c r="J70" s="7">
        <v>1</v>
      </c>
      <c r="K70" s="97" t="str">
        <f t="shared" si="0"/>
        <v>4015/4016</v>
      </c>
      <c r="L70" s="21" t="str">
        <f>VLOOKUP(A70,'Trips&amp;Operators'!$C$1:$G$99999,5,FALSE)</f>
        <v>ZEWDU DEREJE</v>
      </c>
      <c r="M70" s="6">
        <f t="shared" si="1"/>
        <v>2.5347222224809229E-2</v>
      </c>
      <c r="N70" s="7">
        <f t="shared" si="26"/>
        <v>36.50000000372529</v>
      </c>
      <c r="O70" s="7"/>
      <c r="P70" s="7"/>
      <c r="Q70" s="22"/>
      <c r="R70" s="22"/>
      <c r="S70" s="31">
        <f t="shared" si="25"/>
        <v>1</v>
      </c>
      <c r="T70" s="46" t="str">
        <f t="shared" si="2"/>
        <v>NorthBound</v>
      </c>
      <c r="U70" s="19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2" t="str">
        <f t="shared" si="3"/>
        <v>https://d0f6bd738d7f1b3e5a7ca70fe4ff75f0.us-east-1.aws.found.io/app/kibana#/discover/Steve-Slow-Train-Analysis-(2080s-and-2083s)?_g=(refreshInterval:(display:Off,pause:!f,section:0,value:0),time:(from:'2017-04-21T09:27:02-0600',mode:absolute,to:'2017-04-21T12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193" t="str">
        <f t="shared" si="4"/>
        <v>N</v>
      </c>
      <c r="X70" s="193">
        <f t="shared" si="27"/>
        <v>1</v>
      </c>
      <c r="Y70" s="193">
        <f t="shared" si="6"/>
        <v>4.5999999999999999E-2</v>
      </c>
      <c r="Z70" s="62">
        <f t="shared" si="7"/>
        <v>23.331099999999999</v>
      </c>
      <c r="AA70" s="62">
        <f t="shared" si="8"/>
        <v>23.2851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0155-21</v>
      </c>
      <c r="AE70" s="85" t="str">
        <f t="shared" si="10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70" s="82" t="str">
        <f t="shared" si="11"/>
        <v>"C:\Program Files (x86)\AstroGrep\AstroGrep.exe" /e /r /s /spath="%USERPROFILE%\AppData\Local\Temp\OnboardLogs" /stypes="app*4016*20170421*" /stext=" 17:.+((SYSTEM_STATE.+slice.+state.+changed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7"/>
        <v>"%USERPROFILE%\Documents\GitHub\eaglep3\Utilities\RefineRTDCRunTimes.py" --tripid 155-21 --locoid 4016 --swversion DE.1.0.9.0 --startMP 204:460 --initTime 2017-04-21T10:27:02 --startdatetime 2017-04-21T10:30:15 --delay 1 --endMP 204:233311 --enddatetime 2017-04-21T11:06:45 --enforcementcount 1 &gt;&gt;C:\Users\stu\Documents\GitHub\eaglep3-reporting\EC\2017-04-21-refined-times.txt</v>
      </c>
      <c r="AI70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{"issue":{"subject":"","project_id":79,"tracker_id":40,"status_id":1,"priority_id":2,"assigned_to_id":23,"start_date":"2017-04-21","description":"","custom_fields":[{"id":1,"name":"Subdivision","value":"EC"},{"id":4,"name":"Milepost","value":"23.3311"},{"id":17,"name":"Train ID","value":"155-21"},{"id":16,"name":"Locomotive ID","value":"4016"},{"id":130,"name":"Impact","value":""},{"id":150,"name":"Time of Event (Mountain Time)","value":"11:06:45"},{"id":151,"name":"Denver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47" t="str">
        <f t="shared" si="19"/>
        <v>start /low /b %USERPROFILE%\Documents\GitHub\eaglep3\Utilities\DownloadLogsFromS3.py --loco 4016 --day 2017-04-21</v>
      </c>
      <c r="AN70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712</v>
      </c>
      <c r="B71" s="7">
        <v>4015</v>
      </c>
      <c r="C71" s="21" t="s">
        <v>212</v>
      </c>
      <c r="D71" s="21" t="s">
        <v>857</v>
      </c>
      <c r="E71" s="13">
        <v>42846.465833333335</v>
      </c>
      <c r="F71" s="13">
        <v>42846.476597222223</v>
      </c>
      <c r="G71" s="7">
        <v>2</v>
      </c>
      <c r="H71" s="21" t="s">
        <v>425</v>
      </c>
      <c r="I71" s="13">
        <v>42846.504641203705</v>
      </c>
      <c r="J71" s="7">
        <v>1</v>
      </c>
      <c r="K71" s="97" t="str">
        <f t="shared" si="0"/>
        <v>4015/4016</v>
      </c>
      <c r="L71" s="21" t="str">
        <f>VLOOKUP(A71,'Trips&amp;Operators'!$C$1:$G$99999,5,FALSE)</f>
        <v>ZEWDU DEREJE</v>
      </c>
      <c r="M71" s="6">
        <f t="shared" si="1"/>
        <v>2.8043981481459923E-2</v>
      </c>
      <c r="N71" s="7">
        <f t="shared" si="26"/>
        <v>40.383333333302289</v>
      </c>
      <c r="O71" s="7"/>
      <c r="P71" s="7"/>
      <c r="Q71" s="22"/>
      <c r="R71" s="22"/>
      <c r="S71" s="31">
        <f t="shared" si="25"/>
        <v>1</v>
      </c>
      <c r="T71" s="46" t="str">
        <f t="shared" si="2"/>
        <v>Southbound</v>
      </c>
      <c r="U71" s="19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2" t="str">
        <f t="shared" si="3"/>
        <v>https://d0f6bd738d7f1b3e5a7ca70fe4ff75f0.us-east-1.aws.found.io/app/kibana#/discover/Steve-Slow-Train-Analysis-(2080s-and-2083s)?_g=(refreshInterval:(display:Off,pause:!f,section:0,value:0),time:(from:'2017-04-21T10:10:48-0600',mode:absolute,to:'2017-04-21T13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193" t="str">
        <f t="shared" si="4"/>
        <v>N</v>
      </c>
      <c r="X71" s="193">
        <f t="shared" si="27"/>
        <v>1</v>
      </c>
      <c r="Y71" s="193">
        <f t="shared" si="6"/>
        <v>23.298999999999999</v>
      </c>
      <c r="Z71" s="62">
        <f t="shared" si="7"/>
        <v>1.3899999999999999E-2</v>
      </c>
      <c r="AA71" s="62">
        <f t="shared" si="8"/>
        <v>23.2851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0156-21</v>
      </c>
      <c r="AE71" s="85" t="str">
        <f t="shared" si="10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71" s="82" t="str">
        <f t="shared" si="11"/>
        <v>"C:\Program Files (x86)\AstroGrep\AstroGrep.exe" /e /r /s /spath="%USERPROFILE%\AppData\Local\Temp\OnboardLogs" /stypes="app*4015*20170421*" /stext=" 18:.+((SYSTEM_STATE.+slice.+state.+changed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7"/>
        <v>"%USERPROFILE%\Documents\GitHub\eaglep3\Utilities\RefineRTDCRunTimes.py" --tripid 156-21 --locoid 4015 --swversion DE.1.0.9.0 --startMP 204:232990 --initTime 2017-04-21T11:10:48 --startdatetime 2017-04-21T11:26:18 --delay 2 --endMP 204:139 --enddatetime 2017-04-21T12:06:41 --enforcementcount 1 &gt;&gt;C:\Users\stu\Documents\GitHub\eaglep3-reporting\EC\2017-04-21-refined-times.txt</v>
      </c>
      <c r="AI71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{"issue":{"subject":"","project_id":79,"tracker_id":40,"status_id":1,"priority_id":2,"assigned_to_id":23,"start_date":"2017-04-21","description":"","custom_fields":[{"id":1,"name":"Subdivision","value":"EC"},{"id":4,"name":"Milepost","value":"0.0139"},{"id":17,"name":"Train ID","value":"156-21"},{"id":16,"name":"Locomotive ID","value":"4015"},{"id":130,"name":"Impact","value":""},{"id":150,"name":"Time of Event (Mountain Time)","value":"12:06:41"},{"id":151,"name":"Denver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47" t="str">
        <f t="shared" si="19"/>
        <v>start /low /b %USERPROFILE%\Documents\GitHub\eaglep3\Utilities\DownloadLogsFromS3.py --loco 4015 --day 2017-04-21</v>
      </c>
      <c r="AN71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705</v>
      </c>
      <c r="B72" s="7">
        <v>4044</v>
      </c>
      <c r="C72" s="21" t="s">
        <v>212</v>
      </c>
      <c r="D72" s="21" t="s">
        <v>207</v>
      </c>
      <c r="E72" s="13">
        <v>42846.44363425926</v>
      </c>
      <c r="F72" s="13">
        <v>42846.44809027778</v>
      </c>
      <c r="G72" s="7">
        <v>1</v>
      </c>
      <c r="H72" s="21" t="s">
        <v>570</v>
      </c>
      <c r="I72" s="13">
        <v>42846.473113425927</v>
      </c>
      <c r="J72" s="7">
        <v>1</v>
      </c>
      <c r="K72" s="97" t="str">
        <f t="shared" si="0"/>
        <v>4043/4044</v>
      </c>
      <c r="L72" s="21" t="str">
        <f>VLOOKUP(A72,'Trips&amp;Operators'!$C$1:$G$99999,5,FALSE)</f>
        <v>ROCHA YAOTL</v>
      </c>
      <c r="M72" s="6">
        <f t="shared" si="1"/>
        <v>2.5023148147738539E-2</v>
      </c>
      <c r="N72" s="7">
        <f t="shared" si="26"/>
        <v>36.033333332743496</v>
      </c>
      <c r="O72" s="7"/>
      <c r="P72" s="7"/>
      <c r="Q72" s="22"/>
      <c r="R72" s="22"/>
      <c r="S72" s="31">
        <f t="shared" si="25"/>
        <v>1</v>
      </c>
      <c r="T72" s="46" t="str">
        <f t="shared" si="2"/>
        <v>NorthBound</v>
      </c>
      <c r="U72" s="19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2" t="str">
        <f t="shared" si="3"/>
        <v>https://d0f6bd738d7f1b3e5a7ca70fe4ff75f0.us-east-1.aws.found.io/app/kibana#/discover/Steve-Slow-Train-Analysis-(2080s-and-2083s)?_g=(refreshInterval:(display:Off,pause:!f,section:0,value:0),time:(from:'2017-04-21T09:38:50-0600',mode:absolute,to:'2017-04-21T12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193" t="str">
        <f t="shared" si="4"/>
        <v>N</v>
      </c>
      <c r="X72" s="193">
        <f t="shared" si="27"/>
        <v>1</v>
      </c>
      <c r="Y72" s="193">
        <f t="shared" si="6"/>
        <v>4.53E-2</v>
      </c>
      <c r="Z72" s="62">
        <f t="shared" si="7"/>
        <v>23.331900000000001</v>
      </c>
      <c r="AA72" s="62">
        <f t="shared" si="8"/>
        <v>23.2866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0157-21</v>
      </c>
      <c r="AE72" s="85" t="str">
        <f t="shared" si="10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72" s="82" t="str">
        <f t="shared" si="11"/>
        <v>"C:\Program Files (x86)\AstroGrep\AstroGrep.exe" /e /r /s /spath="%USERPROFILE%\AppData\Local\Temp\OnboardLogs" /stypes="app*4044*20170421*" /stext=" 17:.+((SYSTEM_STATE.+slice.+state.+changed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7"/>
        <v>"%USERPROFILE%\Documents\GitHub\eaglep3\Utilities\RefineRTDCRunTimes.py" --tripid 157-21 --locoid 4044 --swversion DE.1.0.9.0 --startMP 204:453 --initTime 2017-04-21T10:38:50 --startdatetime 2017-04-21T10:45:15 --delay 1 --endMP 204:233319 --enddatetime 2017-04-21T11:21:17 --enforcementcount 1 &gt;&gt;C:\Users\stu\Documents\GitHub\eaglep3-reporting\EC\2017-04-21-refined-times.txt</v>
      </c>
      <c r="AI72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{"issue":{"subject":"","project_id":79,"tracker_id":40,"status_id":1,"priority_id":2,"assigned_to_id":23,"start_date":"2017-04-21","description":"","custom_fields":[{"id":1,"name":"Subdivision","value":"EC"},{"id":4,"name":"Milepost","value":"23.3319"},{"id":17,"name":"Train ID","value":"157-21"},{"id":16,"name":"Locomotive ID","value":"4044"},{"id":130,"name":"Impact","value":""},{"id":150,"name":"Time of Event (Mountain Time)","value":"11:21:17"},{"id":151,"name":"Denver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47" t="str">
        <f t="shared" si="19"/>
        <v>start /low /b %USERPROFILE%\Documents\GitHub\eaglep3\Utilities\DownloadLogsFromS3.py --loco 4044 --day 2017-04-21</v>
      </c>
      <c r="AN72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717</v>
      </c>
      <c r="B73" s="7">
        <v>4043</v>
      </c>
      <c r="C73" s="21" t="s">
        <v>212</v>
      </c>
      <c r="D73" s="21" t="s">
        <v>420</v>
      </c>
      <c r="E73" s="13">
        <v>42846.47483796296</v>
      </c>
      <c r="F73" s="13">
        <v>42846.486990740741</v>
      </c>
      <c r="G73" s="7">
        <v>0</v>
      </c>
      <c r="H73" s="21" t="s">
        <v>209</v>
      </c>
      <c r="I73" s="13">
        <v>42846.512719907405</v>
      </c>
      <c r="J73" s="7">
        <v>1</v>
      </c>
      <c r="K73" s="97" t="str">
        <f t="shared" si="0"/>
        <v>4043/4044</v>
      </c>
      <c r="L73" s="21" t="str">
        <f>VLOOKUP(A73,'Trips&amp;Operators'!$C$1:$G$99999,5,FALSE)</f>
        <v>ROCHA YAOTL</v>
      </c>
      <c r="M73" s="6">
        <f t="shared" si="1"/>
        <v>2.5729166663950309E-2</v>
      </c>
      <c r="N73" s="7">
        <f t="shared" si="26"/>
        <v>37.049999996088445</v>
      </c>
      <c r="O73" s="7"/>
      <c r="P73" s="7"/>
      <c r="Q73" s="22"/>
      <c r="R73" s="22"/>
      <c r="S73" s="31">
        <f t="shared" si="25"/>
        <v>1</v>
      </c>
      <c r="T73" s="46" t="str">
        <f t="shared" si="2"/>
        <v>Southbound</v>
      </c>
      <c r="U73" s="19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2" t="str">
        <f t="shared" si="3"/>
        <v>https://d0f6bd738d7f1b3e5a7ca70fe4ff75f0.us-east-1.aws.found.io/app/kibana#/discover/Steve-Slow-Train-Analysis-(2080s-and-2083s)?_g=(refreshInterval:(display:Off,pause:!f,section:0,value:0),time:(from:'2017-04-21T10:23:46-0600',mode:absolute,to:'2017-04-21T13:18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193" t="str">
        <f t="shared" si="4"/>
        <v>N</v>
      </c>
      <c r="X73" s="193">
        <f t="shared" si="27"/>
        <v>1</v>
      </c>
      <c r="Y73" s="193">
        <f t="shared" si="6"/>
        <v>23.299800000000001</v>
      </c>
      <c r="Z73" s="62">
        <f t="shared" si="7"/>
        <v>1.47E-2</v>
      </c>
      <c r="AA73" s="62">
        <f t="shared" si="8"/>
        <v>23.2851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0158-21</v>
      </c>
      <c r="AE73" s="85" t="str">
        <f t="shared" si="10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73" s="82" t="str">
        <f t="shared" si="11"/>
        <v>"C:\Program Files (x86)\AstroGrep\AstroGrep.exe" /e /r /s /spath="%USERPROFILE%\AppData\Local\Temp\OnboardLogs" /stypes="app*4043*20170421*" /stext=" 18:.+((SYSTEM_STATE.+slice.+state.+changed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7"/>
        <v>"%USERPROFILE%\Documents\GitHub\eaglep3\Utilities\RefineRTDCRunTimes.py" --tripid 158-21 --locoid 4043 --swversion DE.1.0.9.0 --startMP 204:232998 --initTime 2017-04-21T11:23:46 --startdatetime 2017-04-21T11:41:16 --delay 0 --endMP 204:147 --enddatetime 2017-04-21T12:18:19 --enforcementcount 1 &gt;&gt;C:\Users\stu\Documents\GitHub\eaglep3-reporting\EC\2017-04-21-refined-times.txt</v>
      </c>
      <c r="AI73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{"issue":{"subject":"","project_id":79,"tracker_id":40,"status_id":1,"priority_id":2,"assigned_to_id":23,"start_date":"2017-04-21","description":"","custom_fields":[{"id":1,"name":"Subdivision","value":"EC"},{"id":4,"name":"Milepost","value":"0.0147"},{"id":17,"name":"Train ID","value":"158-21"},{"id":16,"name":"Locomotive ID","value":"4043"},{"id":130,"name":"Impact","value":""},{"id":150,"name":"Time of Event (Mountain Time)","value":"12:18:19"},{"id":151,"name":"Denver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47" t="str">
        <f t="shared" si="19"/>
        <v>start /low /b %USERPROFILE%\Documents\GitHub\eaglep3\Utilities\DownloadLogsFromS3.py --loco 4043 --day 2017-04-21</v>
      </c>
      <c r="AN73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18:18:19"},{"id":29,"name":"Sharepoint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710</v>
      </c>
      <c r="B74" s="7">
        <v>4040</v>
      </c>
      <c r="C74" s="21" t="s">
        <v>212</v>
      </c>
      <c r="D74" s="21" t="s">
        <v>208</v>
      </c>
      <c r="E74" s="13">
        <v>42846.45553240741</v>
      </c>
      <c r="F74" s="13">
        <v>42846.458611111113</v>
      </c>
      <c r="G74" s="7">
        <v>2</v>
      </c>
      <c r="H74" s="21" t="s">
        <v>871</v>
      </c>
      <c r="I74" s="13">
        <v>42846.483749999999</v>
      </c>
      <c r="J74" s="7">
        <v>1</v>
      </c>
      <c r="K74" s="97" t="str">
        <f t="shared" si="0"/>
        <v>4039/4040</v>
      </c>
      <c r="L74" s="21" t="str">
        <f>VLOOKUP(A74,'Trips&amp;Operators'!$C$1:$G$99999,5,FALSE)</f>
        <v>STEWART MICHAEL</v>
      </c>
      <c r="M74" s="6">
        <f t="shared" si="1"/>
        <v>2.5138888886431232E-2</v>
      </c>
      <c r="N74" s="7">
        <f t="shared" si="26"/>
        <v>36.199999996460974</v>
      </c>
      <c r="O74" s="7"/>
      <c r="P74" s="7"/>
      <c r="Q74" s="22"/>
      <c r="R74" s="22"/>
      <c r="S74" s="31">
        <f t="shared" si="25"/>
        <v>1</v>
      </c>
      <c r="T74" s="46" t="str">
        <f t="shared" si="2"/>
        <v>NorthBound</v>
      </c>
      <c r="U74" s="19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2" t="str">
        <f t="shared" si="3"/>
        <v>https://d0f6bd738d7f1b3e5a7ca70fe4ff75f0.us-east-1.aws.found.io/app/kibana#/discover/Steve-Slow-Train-Analysis-(2080s-and-2083s)?_g=(refreshInterval:(display:Off,pause:!f,section:0,value:0),time:(from:'2017-04-21T09:55:58-0600',mode:absolute,to:'2017-04-21T12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93" t="str">
        <f t="shared" si="4"/>
        <v>N</v>
      </c>
      <c r="X74" s="193">
        <f t="shared" si="27"/>
        <v>1</v>
      </c>
      <c r="Y74" s="193">
        <f t="shared" si="6"/>
        <v>4.5499999999999999E-2</v>
      </c>
      <c r="Z74" s="62">
        <f t="shared" si="7"/>
        <v>23.327200000000001</v>
      </c>
      <c r="AA74" s="62">
        <f t="shared" si="8"/>
        <v>23.281700000000001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0159-21</v>
      </c>
      <c r="AE74" s="85" t="str">
        <f t="shared" si="10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74" s="82" t="str">
        <f t="shared" si="11"/>
        <v>"C:\Program Files (x86)\AstroGrep\AstroGrep.exe" /e /r /s /spath="%USERPROFILE%\AppData\Local\Temp\OnboardLogs" /stypes="app*4040*20170421*" /stext=" 17:.+((SYSTEM_STATE.+slice.+state.+changed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7"/>
        <v>"%USERPROFILE%\Documents\GitHub\eaglep3\Utilities\RefineRTDCRunTimes.py" --tripid 159-21 --locoid 4040 --swversion DE.1.0.9.0 --startMP 204:455 --initTime 2017-04-21T10:55:58 --startdatetime 2017-04-21T11:00:24 --delay 2 --endMP 204:233272 --enddatetime 2017-04-21T11:36:36 --enforcementcount 1 &gt;&gt;C:\Users\stu\Documents\GitHub\eaglep3-reporting\EC\2017-04-21-refined-times.txt</v>
      </c>
      <c r="AI74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{"issue":{"subject":"","project_id":79,"tracker_id":40,"status_id":1,"priority_id":2,"assigned_to_id":23,"start_date":"2017-04-21","description":"","custom_fields":[{"id":1,"name":"Subdivision","value":"EC"},{"id":4,"name":"Milepost","value":"23.3272"},{"id":17,"name":"Train ID","value":"159-21"},{"id":16,"name":"Locomotive ID","value":"4040"},{"id":130,"name":"Impact","value":""},{"id":150,"name":"Time of Event (Mountain Time)","value":"11:36:36"},{"id":151,"name":"Denver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4" s="48"/>
      <c r="AL74" s="48"/>
      <c r="AM74" s="147" t="str">
        <f t="shared" si="19"/>
        <v>start /low /b %USERPROFILE%\Documents\GitHub\eaglep3\Utilities\DownloadLogsFromS3.py --loco 4040 --day 2017-04-21</v>
      </c>
      <c r="AN74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721</v>
      </c>
      <c r="B75" s="7">
        <v>4039</v>
      </c>
      <c r="C75" s="21" t="s">
        <v>212</v>
      </c>
      <c r="D75" s="21" t="s">
        <v>373</v>
      </c>
      <c r="E75" s="13">
        <v>42846.492569444446</v>
      </c>
      <c r="F75" s="13">
        <v>42846.497430555559</v>
      </c>
      <c r="G75" s="7">
        <v>1</v>
      </c>
      <c r="H75" s="21" t="s">
        <v>462</v>
      </c>
      <c r="I75" s="13">
        <v>42846.527962962966</v>
      </c>
      <c r="J75" s="7">
        <v>1</v>
      </c>
      <c r="K75" s="97" t="str">
        <f t="shared" si="0"/>
        <v>4039/4040</v>
      </c>
      <c r="L75" s="21" t="str">
        <f>VLOOKUP(A75,'Trips&amp;Operators'!$C$1:$G$99999,5,FALSE)</f>
        <v>STEWART MICHAEL</v>
      </c>
      <c r="M75" s="6">
        <f t="shared" si="1"/>
        <v>3.0532407407008577E-2</v>
      </c>
      <c r="N75" s="7">
        <f t="shared" si="26"/>
        <v>43.966666666092351</v>
      </c>
      <c r="O75" s="7"/>
      <c r="P75" s="7"/>
      <c r="Q75" s="22"/>
      <c r="R75" s="22"/>
      <c r="S75" s="31">
        <f t="shared" si="25"/>
        <v>1</v>
      </c>
      <c r="T75" s="46" t="str">
        <f t="shared" si="2"/>
        <v>Southbound</v>
      </c>
      <c r="U75" s="19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2" t="str">
        <f t="shared" si="3"/>
        <v>https://d0f6bd738d7f1b3e5a7ca70fe4ff75f0.us-east-1.aws.found.io/app/kibana#/discover/Steve-Slow-Train-Analysis-(2080s-and-2083s)?_g=(refreshInterval:(display:Off,pause:!f,section:0,value:0),time:(from:'2017-04-21T10:49:18-0600',mode:absolute,to:'2017-04-21T13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93" t="str">
        <f t="shared" si="4"/>
        <v>N</v>
      </c>
      <c r="X75" s="193">
        <f t="shared" si="27"/>
        <v>1</v>
      </c>
      <c r="Y75" s="193">
        <f t="shared" si="6"/>
        <v>23.297699999999999</v>
      </c>
      <c r="Z75" s="62">
        <f t="shared" si="7"/>
        <v>1.6500000000000001E-2</v>
      </c>
      <c r="AA75" s="62">
        <f t="shared" si="8"/>
        <v>23.281199999999998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0160-21</v>
      </c>
      <c r="AE75" s="85" t="str">
        <f t="shared" si="10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75" s="82" t="str">
        <f t="shared" si="11"/>
        <v>"C:\Program Files (x86)\AstroGrep\AstroGrep.exe" /e /r /s /spath="%USERPROFILE%\AppData\Local\Temp\OnboardLogs" /stypes="app*4039*20170421*" /stext=" 18:.+((SYSTEM_STATE.+slice.+state.+changed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7"/>
        <v>"%USERPROFILE%\Documents\GitHub\eaglep3\Utilities\RefineRTDCRunTimes.py" --tripid 160-21 --locoid 4039 --swversion DE.1.0.9.0 --startMP 204:232977 --initTime 2017-04-21T11:49:18 --startdatetime 2017-04-21T11:56:18 --delay 1 --endMP 204:165 --enddatetime 2017-04-21T12:40:16 --enforcementcount 1 &gt;&gt;C:\Users\stu\Documents\GitHub\eaglep3-reporting\EC\2017-04-21-refined-times.txt</v>
      </c>
      <c r="AI75" s="104" t="str">
        <f t="shared" si="18"/>
        <v>echo {"issue":{"subject":"","project_id":79,"tracker_id":40,"status_id":1,"priority_id":2,"assigned_to_id":23,"start_date":"2017-04-21","description":"","custom_fields":[{"id":1,"name":"Subdivision","value":"EC"},{"id":4,"name":"Milepost","value":"0.0165"},{"id":17,"name":"Train ID","value":"160-21"},{"id":16,"name":"Locomotive ID","value":"4039"},{"id":130,"name":"Impact","value":""},{"id":150,"name":"Time of Event (Mountain Time)","value":"12:40:16"},{"id":151,"name":"Denver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5" s="48"/>
      <c r="AL75" s="48"/>
      <c r="AM75" s="147" t="str">
        <f t="shared" si="19"/>
        <v>start /low /b %USERPROFILE%\Documents\GitHub\eaglep3\Utilities\DownloadLogsFromS3.py --loco 4039 --day 2017-04-21</v>
      </c>
      <c r="AN75" s="156" t="str">
        <f t="shared" si="2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713</v>
      </c>
      <c r="B76" s="7">
        <v>4004</v>
      </c>
      <c r="C76" s="21" t="s">
        <v>212</v>
      </c>
      <c r="D76" s="21" t="s">
        <v>410</v>
      </c>
      <c r="E76" s="13">
        <v>42846.466412037036</v>
      </c>
      <c r="F76" s="13">
        <v>42846.468993055554</v>
      </c>
      <c r="G76" s="7">
        <v>2</v>
      </c>
      <c r="H76" s="21" t="s">
        <v>872</v>
      </c>
      <c r="I76" s="13">
        <v>42846.493425925924</v>
      </c>
      <c r="J76" s="7">
        <v>1</v>
      </c>
      <c r="K76" s="97" t="str">
        <f t="shared" si="0"/>
        <v>4003/4004</v>
      </c>
      <c r="L76" s="21" t="str">
        <f>VLOOKUP(A76,'Trips&amp;Operators'!$C$1:$G$99999,5,FALSE)</f>
        <v>ROMERO CHAD</v>
      </c>
      <c r="M76" s="6">
        <f t="shared" si="1"/>
        <v>2.4432870370219462E-2</v>
      </c>
      <c r="N76" s="7">
        <f t="shared" si="26"/>
        <v>35.183333333116025</v>
      </c>
      <c r="O76" s="7"/>
      <c r="P76" s="7"/>
      <c r="Q76" s="22"/>
      <c r="R76" s="22"/>
      <c r="S76" s="31">
        <f t="shared" si="25"/>
        <v>1</v>
      </c>
      <c r="T76" s="46" t="str">
        <f t="shared" si="2"/>
        <v>NorthBound</v>
      </c>
      <c r="U76" s="19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2" t="str">
        <f t="shared" si="3"/>
        <v>https://d0f6bd738d7f1b3e5a7ca70fe4ff75f0.us-east-1.aws.found.io/app/kibana#/discover/Steve-Slow-Train-Analysis-(2080s-and-2083s)?_g=(refreshInterval:(display:Off,pause:!f,section:0,value:0),time:(from:'2017-04-21T10:11:38-0600',mode:absolute,to:'2017-04-21T12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193" t="str">
        <f t="shared" si="4"/>
        <v>N</v>
      </c>
      <c r="X76" s="193">
        <f t="shared" si="27"/>
        <v>1</v>
      </c>
      <c r="Y76" s="193">
        <f t="shared" si="6"/>
        <v>4.6699999999999998E-2</v>
      </c>
      <c r="Z76" s="62">
        <f t="shared" si="7"/>
        <v>23.3385</v>
      </c>
      <c r="AA76" s="62">
        <f t="shared" si="8"/>
        <v>23.291799999999999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0161-21</v>
      </c>
      <c r="AE76" s="85" t="str">
        <f t="shared" si="10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76" s="82" t="str">
        <f t="shared" si="11"/>
        <v>"C:\Program Files (x86)\AstroGrep\AstroGrep.exe" /e /r /s /spath="%USERPROFILE%\AppData\Local\Temp\OnboardLogs" /stypes="app*4004*20170421*" /stext=" 17:.+((SYSTEM_STATE.+slice.+state.+changed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ref="AH76:AH140" si="28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161-21 --locoid 4004 --swversion DE.1.0.9.0 --startMP 204:467 --initTime 2017-04-21T11:11:38 --startdatetime 2017-04-21T11:15:21 --delay 2 --endMP 204:233385 --enddatetime 2017-04-21T11:50:32 --enforcementcount 1 &gt;&gt;C:\Users\stu\Documents\GitHub\eaglep3-reporting\EC\2017-04-21-refined-times.txt</v>
      </c>
      <c r="AI76" s="104" t="str">
        <f t="shared" ref="AI76:AI140" si="29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{"issue":{"subject":"","project_id":79,"tracker_id":40,"status_id":1,"priority_id":2,"assigned_to_id":23,"start_date":"2017-04-21","description":"","custom_fields":[{"id":1,"name":"Subdivision","value":"EC"},{"id":4,"name":"Milepost","value":"23.3385"},{"id":17,"name":"Train ID","value":"161-21"},{"id":16,"name":"Locomotive ID","value":"4004"},{"id":130,"name":"Impact","value":""},{"id":150,"name":"Time of Event (Mountain Time)","value":"11:50:32"},{"id":151,"name":"Denver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47" t="str">
        <f t="shared" ref="AM76:AM140" si="30">"start /low /b "&amp;dls3logs&amp;" --loco "&amp;B76&amp;" --day "&amp;TEXT(F76,"YYYY-MM-DD")</f>
        <v>start /low /b %USERPROFILE%\Documents\GitHub\eaglep3\Utilities\DownloadLogsFromS3.py --loco 4004 --day 2017-04-21</v>
      </c>
      <c r="AN76" s="156" t="str">
        <f t="shared" ref="AN76:AN140" si="31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7" spans="1:91" s="20" customFormat="1" x14ac:dyDescent="0.25">
      <c r="A77" s="33" t="s">
        <v>725</v>
      </c>
      <c r="B77" s="7">
        <v>4003</v>
      </c>
      <c r="C77" s="21" t="s">
        <v>212</v>
      </c>
      <c r="D77" s="21" t="s">
        <v>873</v>
      </c>
      <c r="E77" s="13">
        <v>42846.501226851855</v>
      </c>
      <c r="F77" s="13">
        <v>42846.507986111108</v>
      </c>
      <c r="G77" s="7">
        <v>1</v>
      </c>
      <c r="H77" s="21" t="s">
        <v>388</v>
      </c>
      <c r="I77" s="13">
        <v>42846.535243055558</v>
      </c>
      <c r="J77" s="7">
        <v>1</v>
      </c>
      <c r="K77" s="97" t="str">
        <f t="shared" ref="K77:K140" si="32">IF(ISEVEN(B77),(B77-1)&amp;"/"&amp;B77,B77&amp;"/"&amp;(B77+1))</f>
        <v>4003/4004</v>
      </c>
      <c r="L77" s="21" t="str">
        <f>VLOOKUP(A77,'Trips&amp;Operators'!$C$1:$G$99999,5,FALSE)</f>
        <v>ROMERO CHAD</v>
      </c>
      <c r="M77" s="6">
        <f t="shared" ref="M77:M140" si="33">I77-F77</f>
        <v>2.7256944449618459E-2</v>
      </c>
      <c r="N77" s="7">
        <f t="shared" si="26"/>
        <v>39.250000007450581</v>
      </c>
      <c r="O77" s="7"/>
      <c r="P77" s="7"/>
      <c r="Q77" s="22"/>
      <c r="R77" s="22"/>
      <c r="S77" s="31">
        <f t="shared" si="25"/>
        <v>1</v>
      </c>
      <c r="T77" s="46" t="str">
        <f t="shared" ref="T77:T140" si="34">IF(ISEVEN(LEFT(AD77,4)),"Southbound","NorthBound")</f>
        <v>Southbound</v>
      </c>
      <c r="U77" s="19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2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-21T11:01:46-0600',mode:absolute,to:'2017-04-21T13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193" t="str">
        <f t="shared" ref="W77:W140" si="36">IF(AA77&lt;IF(AG77="EC",23,5.65),"Y","N")</f>
        <v>N</v>
      </c>
      <c r="X77" s="193">
        <f t="shared" si="27"/>
        <v>1</v>
      </c>
      <c r="Y77" s="193">
        <f t="shared" ref="Y77:Y140" si="37">RIGHT(D77,LEN(D77)-4)/10000</f>
        <v>23.3017</v>
      </c>
      <c r="Z77" s="62">
        <f t="shared" ref="Z77:Z140" si="38">RIGHT(H77,LEN(H77)-4)/10000</f>
        <v>1.4500000000000001E-2</v>
      </c>
      <c r="AA77" s="62">
        <f t="shared" ref="AA77:AA140" si="39">ABS(Z77-Y77)</f>
        <v>23.287199999999999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40">IF(LEN(A77)=6,"0"&amp;A77,A77)</f>
        <v>0162-21</v>
      </c>
      <c r="AE77" s="85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77" s="82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/stypes="app*4003*20170421*" /stext=" 18:.+((SYSTEM_STATE.+slice.+state.+changed )|(ment ac)|(multiple cpu faults)|(system.+state.+changed )|(\[timeout)|(PRM\|1\|D)|(kpr)|(kdp)|(\|lc)|(penalty))"</v>
      </c>
      <c r="AG77" s="1" t="str">
        <f t="shared" ref="AG77:AG140" si="43">IFERROR(IF(VALUE(LEFT(AD77,2))&lt;=2,"EC",IF(OR(VALUE(LEFT(AD77,2))=8,VALUE(LEFT(AD77,2))=18),"NW","Other")),"Other")</f>
        <v>EC</v>
      </c>
      <c r="AH77" s="86" t="str">
        <f t="shared" si="28"/>
        <v>"%USERPROFILE%\Documents\GitHub\eaglep3\Utilities\RefineRTDCRunTimes.py" --tripid 162-21 --locoid 4003 --swversion DE.1.0.9.0 --startMP 204:233017 --initTime 2017-04-21T12:01:46 --startdatetime 2017-04-21T12:11:30 --delay 1 --endMP 204:145 --enddatetime 2017-04-21T12:50:45 --enforcementcount 1 &gt;&gt;C:\Users\stu\Documents\GitHub\eaglep3-reporting\EC\2017-04-21-refined-times.txt</v>
      </c>
      <c r="AI7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{"issue":{"subject":"","project_id":79,"tracker_id":40,"status_id":1,"priority_id":2,"assigned_to_id":23,"start_date":"2017-04-21","description":"","custom_fields":[{"id":1,"name":"Subdivision","value":"EC"},{"id":4,"name":"Milepost","value":"0.0145"},{"id":17,"name":"Train ID","value":"162-21"},{"id":16,"name":"Locomotive ID","value":"4003"},{"id":130,"name":"Impact","value":""},{"id":150,"name":"Time of Event (Mountain Time)","value":"12:50:45"},{"id":151,"name":"Denver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7" s="48"/>
      <c r="AL77" s="48"/>
      <c r="AM77" s="147" t="str">
        <f t="shared" si="30"/>
        <v>start /low /b %USERPROFILE%\Documents\GitHub\eaglep3\Utilities\DownloadLogsFromS3.py --loco 4003 --day 2017-04-21</v>
      </c>
      <c r="AN77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718</v>
      </c>
      <c r="B78" s="7">
        <v>4002</v>
      </c>
      <c r="C78" s="21" t="s">
        <v>212</v>
      </c>
      <c r="D78" s="21" t="s">
        <v>204</v>
      </c>
      <c r="E78" s="13">
        <v>42846.475138888891</v>
      </c>
      <c r="F78" s="13">
        <v>42846.479317129626</v>
      </c>
      <c r="G78" s="7">
        <v>1</v>
      </c>
      <c r="H78" s="21" t="s">
        <v>556</v>
      </c>
      <c r="I78" s="13">
        <v>42846.505300925928</v>
      </c>
      <c r="J78" s="7">
        <v>1</v>
      </c>
      <c r="K78" s="97" t="str">
        <f t="shared" si="32"/>
        <v>4001/4002</v>
      </c>
      <c r="L78" s="21" t="str">
        <f>VLOOKUP(A78,'Trips&amp;Operators'!$C$1:$G$99999,5,FALSE)</f>
        <v>CLARK KATHLEEN</v>
      </c>
      <c r="M78" s="6">
        <f t="shared" si="33"/>
        <v>2.5983796302170958E-2</v>
      </c>
      <c r="N78" s="7">
        <f t="shared" si="26"/>
        <v>37.41666667512618</v>
      </c>
      <c r="O78" s="7"/>
      <c r="P78" s="7"/>
      <c r="Q78" s="22"/>
      <c r="R78" s="22"/>
      <c r="S78" s="31">
        <f t="shared" si="25"/>
        <v>1</v>
      </c>
      <c r="T78" s="46" t="str">
        <f t="shared" si="34"/>
        <v>NorthBound</v>
      </c>
      <c r="U78" s="19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2" t="str">
        <f t="shared" si="35"/>
        <v>https://d0f6bd738d7f1b3e5a7ca70fe4ff75f0.us-east-1.aws.found.io/app/kibana#/discover/Steve-Slow-Train-Analysis-(2080s-and-2083s)?_g=(refreshInterval:(display:Off,pause:!f,section:0,value:0),time:(from:'2017-04-21T10:24:12-0600',mode:absolute,to:'2017-04-21T13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3" t="str">
        <f t="shared" si="36"/>
        <v>N</v>
      </c>
      <c r="X78" s="193">
        <f t="shared" si="27"/>
        <v>1</v>
      </c>
      <c r="Y78" s="193">
        <f t="shared" si="37"/>
        <v>4.5999999999999999E-2</v>
      </c>
      <c r="Z78" s="62">
        <f t="shared" si="38"/>
        <v>23.327400000000001</v>
      </c>
      <c r="AA78" s="62">
        <f t="shared" si="39"/>
        <v>23.281400000000001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0"/>
        <v>0163-21</v>
      </c>
      <c r="AE78" s="85" t="str">
        <f t="shared" si="41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78" s="82" t="str">
        <f t="shared" si="42"/>
        <v>"C:\Program Files (x86)\AstroGrep\AstroGrep.exe" /e /r /s /spath="%USERPROFILE%\AppData\Local\Temp\OnboardLogs" /stypes="app*4002*20170421*" /stext=" 18:.+((SYSTEM_STATE.+slice.+state.+changed )|(ment ac)|(multiple cpu faults)|(system.+state.+changed )|(\[timeout)|(PRM\|1\|D)|(kpr)|(kdp)|(\|lc)|(penalty))"</v>
      </c>
      <c r="AG78" s="1" t="str">
        <f t="shared" si="43"/>
        <v>EC</v>
      </c>
      <c r="AH78" s="86" t="str">
        <f t="shared" si="28"/>
        <v>"%USERPROFILE%\Documents\GitHub\eaglep3\Utilities\RefineRTDCRunTimes.py" --tripid 163-21 --locoid 4002 --swversion DE.1.0.9.0 --startMP 204:460 --initTime 2017-04-21T11:24:12 --startdatetime 2017-04-21T11:30:13 --delay 1 --endMP 204:233274 --enddatetime 2017-04-21T12:07:38 --enforcementcount 1 &gt;&gt;C:\Users\stu\Documents\GitHub\eaglep3-reporting\EC\2017-04-21-refined-times.txt</v>
      </c>
      <c r="AI7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{"issue":{"subject":"","project_id":79,"tracker_id":40,"status_id":1,"priority_id":2,"assigned_to_id":23,"start_date":"2017-04-21","description":"","custom_fields":[{"id":1,"name":"Subdivision","value":"EC"},{"id":4,"name":"Milepost","value":"23.3274"},{"id":17,"name":"Train ID","value":"163-21"},{"id":16,"name":"Locomotive ID","value":"4002"},{"id":130,"name":"Impact","value":""},{"id":150,"name":"Time of Event (Mountain Time)","value":"12:07:38"},{"id":151,"name":"Denver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47" t="str">
        <f t="shared" si="30"/>
        <v>start /low /b %USERPROFILE%\Documents\GitHub\eaglep3\Utilities\DownloadLogsFromS3.py --loco 4002 --day 2017-04-21</v>
      </c>
      <c r="AN78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607</v>
      </c>
      <c r="B79" s="7">
        <v>4001</v>
      </c>
      <c r="C79" s="21" t="s">
        <v>212</v>
      </c>
      <c r="D79" s="21" t="s">
        <v>874</v>
      </c>
      <c r="E79" s="13">
        <v>42846.512650462966</v>
      </c>
      <c r="F79" s="13">
        <v>42846.518229166664</v>
      </c>
      <c r="G79" s="7">
        <v>1</v>
      </c>
      <c r="H79" s="21" t="s">
        <v>875</v>
      </c>
      <c r="I79" s="13">
        <v>42846.546550925923</v>
      </c>
      <c r="J79" s="7">
        <v>1</v>
      </c>
      <c r="K79" s="97" t="str">
        <f t="shared" si="32"/>
        <v>4001/4002</v>
      </c>
      <c r="L79" s="21" t="str">
        <f>VLOOKUP(A79,'Trips&amp;Operators'!$C$1:$G$99999,5,FALSE)</f>
        <v>CLARK KATHLEEN</v>
      </c>
      <c r="M79" s="6">
        <f t="shared" si="33"/>
        <v>2.8321759258687962E-2</v>
      </c>
      <c r="N79" s="7">
        <f t="shared" si="26"/>
        <v>40.783333332510665</v>
      </c>
      <c r="O79" s="7"/>
      <c r="P79" s="7"/>
      <c r="Q79" s="22"/>
      <c r="R79" s="22"/>
      <c r="S79" s="31">
        <f t="shared" si="25"/>
        <v>1</v>
      </c>
      <c r="T79" s="46" t="str">
        <f t="shared" si="34"/>
        <v>Southbound</v>
      </c>
      <c r="U79" s="19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2" t="str">
        <f t="shared" si="35"/>
        <v>https://d0f6bd738d7f1b3e5a7ca70fe4ff75f0.us-east-1.aws.found.io/app/kibana#/discover/Steve-Slow-Train-Analysis-(2080s-and-2083s)?_g=(refreshInterval:(display:Off,pause:!f,section:0,value:0),time:(from:'2017-04-21T11:18:13-0600',mode:absolute,to:'2017-04-21T14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3" t="str">
        <f t="shared" si="36"/>
        <v>N</v>
      </c>
      <c r="X79" s="193">
        <f t="shared" si="27"/>
        <v>1</v>
      </c>
      <c r="Y79" s="193">
        <f t="shared" si="37"/>
        <v>23.294599999999999</v>
      </c>
      <c r="Z79" s="62">
        <f t="shared" si="38"/>
        <v>2.29E-2</v>
      </c>
      <c r="AA79" s="62">
        <f t="shared" si="39"/>
        <v>23.271699999999999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0"/>
        <v>0164-21</v>
      </c>
      <c r="AE79" s="85" t="str">
        <f t="shared" si="41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79" s="82" t="str">
        <f t="shared" si="42"/>
        <v>"C:\Program Files (x86)\AstroGrep\AstroGrep.exe" /e /r /s /spath="%USERPROFILE%\AppData\Local\Temp\OnboardLogs" /stypes="app*4001*20170421*" /stext=" 19:.+((SYSTEM_STATE.+slice.+state.+changed )|(ment ac)|(multiple cpu faults)|(system.+state.+changed )|(\[timeout)|(PRM\|1\|D)|(kpr)|(kdp)|(\|lc)|(penalty))"</v>
      </c>
      <c r="AG79" s="1" t="str">
        <f t="shared" si="43"/>
        <v>EC</v>
      </c>
      <c r="AH79" s="86" t="str">
        <f t="shared" si="28"/>
        <v>"%USERPROFILE%\Documents\GitHub\eaglep3\Utilities\RefineRTDCRunTimes.py" --tripid 164-21 --locoid 4001 --swversion DE.1.0.9.0 --startMP 204:232946 --initTime 2017-04-21T12:18:13 --startdatetime 2017-04-21T12:26:15 --delay 1 --endMP 204:229 --enddatetime 2017-04-21T13:07:02 --enforcementcount 1 &gt;&gt;C:\Users\stu\Documents\GitHub\eaglep3-reporting\EC\2017-04-21-refined-times.txt</v>
      </c>
      <c r="AI7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{"issue":{"subject":"","project_id":79,"tracker_id":40,"status_id":1,"priority_id":2,"assigned_to_id":23,"start_date":"2017-04-21","description":"","custom_fields":[{"id":1,"name":"Subdivision","value":"EC"},{"id":4,"name":"Milepost","value":"0.0229"},{"id":17,"name":"Train ID","value":"164-21"},{"id":16,"name":"Locomotive ID","value":"4001"},{"id":130,"name":"Impact","value":""},{"id":150,"name":"Time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47" t="str">
        <f t="shared" si="30"/>
        <v>start /low /b %USERPROFILE%\Documents\GitHub\eaglep3\Utilities\DownloadLogsFromS3.py --loco 4001 --day 2017-04-21</v>
      </c>
      <c r="AN79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720</v>
      </c>
      <c r="B80" s="7">
        <v>4046</v>
      </c>
      <c r="C80" s="21" t="s">
        <v>212</v>
      </c>
      <c r="D80" s="21" t="s">
        <v>383</v>
      </c>
      <c r="E80" s="13">
        <v>42846.486192129632</v>
      </c>
      <c r="F80" s="13">
        <v>42846.489768518521</v>
      </c>
      <c r="G80" s="7">
        <v>1</v>
      </c>
      <c r="H80" s="21" t="s">
        <v>876</v>
      </c>
      <c r="I80" s="13">
        <v>42846.514606481483</v>
      </c>
      <c r="J80" s="7">
        <v>1</v>
      </c>
      <c r="K80" s="97" t="str">
        <f t="shared" si="32"/>
        <v>4045/4046</v>
      </c>
      <c r="L80" s="21" t="str">
        <f>VLOOKUP(A80,'Trips&amp;Operators'!$C$1:$G$99999,5,FALSE)</f>
        <v>BRUDER RICHARD</v>
      </c>
      <c r="M80" s="6">
        <f t="shared" si="33"/>
        <v>2.4837962962919846E-2</v>
      </c>
      <c r="N80" s="7">
        <f t="shared" si="26"/>
        <v>35.766666666604578</v>
      </c>
      <c r="O80" s="7"/>
      <c r="P80" s="7"/>
      <c r="Q80" s="22"/>
      <c r="R80" s="22"/>
      <c r="S80" s="31">
        <f t="shared" si="25"/>
        <v>1</v>
      </c>
      <c r="T80" s="46" t="str">
        <f t="shared" si="34"/>
        <v>NorthBound</v>
      </c>
      <c r="U80" s="19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2" t="str">
        <f t="shared" si="35"/>
        <v>https://d0f6bd738d7f1b3e5a7ca70fe4ff75f0.us-east-1.aws.found.io/app/kibana#/discover/Steve-Slow-Train-Analysis-(2080s-and-2083s)?_g=(refreshInterval:(display:Off,pause:!f,section:0,value:0),time:(from:'2017-04-21T10:40:07-0600',mode:absolute,to:'2017-04-21T13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0" s="193" t="str">
        <f t="shared" si="36"/>
        <v>N</v>
      </c>
      <c r="X80" s="193">
        <f t="shared" si="27"/>
        <v>1</v>
      </c>
      <c r="Y80" s="193">
        <f t="shared" si="37"/>
        <v>4.6199999999999998E-2</v>
      </c>
      <c r="Z80" s="62">
        <f t="shared" si="38"/>
        <v>23.335899999999999</v>
      </c>
      <c r="AA80" s="62">
        <f t="shared" si="39"/>
        <v>23.2897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0"/>
        <v>0165-21</v>
      </c>
      <c r="AE80" s="85" t="str">
        <f t="shared" si="41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80" s="82" t="str">
        <f t="shared" si="42"/>
        <v>"C:\Program Files (x86)\AstroGrep\AstroGrep.exe" /e /r /s /spath="%USERPROFILE%\AppData\Local\Temp\OnboardLogs" /stypes="app*4046*20170421*" /stext=" 18:.+((SYSTEM_STATE.+slice.+state.+changed )|(ment ac)|(multiple cpu faults)|(system.+state.+changed )|(\[timeout)|(PRM\|1\|D)|(kpr)|(kdp)|(\|lc)|(penalty))"</v>
      </c>
      <c r="AG80" s="1" t="str">
        <f t="shared" si="43"/>
        <v>EC</v>
      </c>
      <c r="AH80" s="86" t="str">
        <f t="shared" si="28"/>
        <v>"%USERPROFILE%\Documents\GitHub\eaglep3\Utilities\RefineRTDCRunTimes.py" --tripid 165-21 --locoid 4046 --swversion DE.1.0.9.0 --startMP 204:462 --initTime 2017-04-21T11:40:07 --startdatetime 2017-04-21T11:45:16 --delay 1 --endMP 204:233359 --enddatetime 2017-04-21T12:21:02 --enforcementcount 1 &gt;&gt;C:\Users\stu\Documents\GitHub\eaglep3-reporting\EC\2017-04-21-refined-times.txt</v>
      </c>
      <c r="AI8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{"issue":{"subject":"","project_id":79,"tracker_id":40,"status_id":1,"priority_id":2,"assigned_to_id":23,"start_date":"2017-04-21","description":"","custom_fields":[{"id":1,"name":"Subdivision","value":"EC"},{"id":4,"name":"Milepost","value":"23.3359"},{"id":17,"name":"Train ID","value":"165-21"},{"id":16,"name":"Locomotive ID","value":"4046"},{"id":130,"name":"Impact","value":""},{"id":150,"name":"Time of Event (Mountain Time)","value":"12:21:02"},{"id":151,"name":"Denver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47" t="str">
        <f t="shared" si="30"/>
        <v>start /low /b %USERPROFILE%\Documents\GitHub\eaglep3\Utilities\DownloadLogsFromS3.py --loco 4046 --day 2017-04-21</v>
      </c>
      <c r="AN80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608</v>
      </c>
      <c r="B81" s="7">
        <v>4045</v>
      </c>
      <c r="C81" s="21" t="s">
        <v>212</v>
      </c>
      <c r="D81" s="21" t="s">
        <v>477</v>
      </c>
      <c r="E81" s="13">
        <v>42846.524722222224</v>
      </c>
      <c r="F81" s="13">
        <v>42846.528668981482</v>
      </c>
      <c r="G81" s="7">
        <v>2</v>
      </c>
      <c r="H81" s="21" t="s">
        <v>414</v>
      </c>
      <c r="I81" s="13">
        <v>42846.556527777779</v>
      </c>
      <c r="J81" s="7">
        <v>1</v>
      </c>
      <c r="K81" s="97" t="str">
        <f t="shared" si="32"/>
        <v>4045/4046</v>
      </c>
      <c r="L81" s="21" t="str">
        <f>VLOOKUP(A81,'Trips&amp;Operators'!$C$1:$G$99999,5,FALSE)</f>
        <v>BRUDER RICHARD</v>
      </c>
      <c r="M81" s="6">
        <f t="shared" si="33"/>
        <v>2.7858796296641231E-2</v>
      </c>
      <c r="N81" s="7">
        <f t="shared" si="26"/>
        <v>40.116666667163372</v>
      </c>
      <c r="O81" s="7"/>
      <c r="P81" s="7"/>
      <c r="Q81" s="22"/>
      <c r="R81" s="22"/>
      <c r="S81" s="31">
        <f t="shared" si="25"/>
        <v>1</v>
      </c>
      <c r="T81" s="46" t="str">
        <f t="shared" si="34"/>
        <v>Southbound</v>
      </c>
      <c r="U81" s="19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2" t="str">
        <f t="shared" si="35"/>
        <v>https://d0f6bd738d7f1b3e5a7ca70fe4ff75f0.us-east-1.aws.found.io/app/kibana#/discover/Steve-Slow-Train-Analysis-(2080s-and-2083s)?_g=(refreshInterval:(display:Off,pause:!f,section:0,value:0),time:(from:'2017-04-21T11:35:36-0600',mode:absolute,to:'2017-04-21T14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1" s="193" t="str">
        <f t="shared" si="36"/>
        <v>N</v>
      </c>
      <c r="X81" s="193">
        <f t="shared" si="27"/>
        <v>1</v>
      </c>
      <c r="Y81" s="193">
        <f t="shared" si="37"/>
        <v>23.299399999999999</v>
      </c>
      <c r="Z81" s="62">
        <f t="shared" si="38"/>
        <v>1.4999999999999999E-2</v>
      </c>
      <c r="AA81" s="62">
        <f t="shared" si="39"/>
        <v>23.284399999999998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0"/>
        <v>0166-21</v>
      </c>
      <c r="AE81" s="85" t="str">
        <f t="shared" si="41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81" s="82" t="str">
        <f t="shared" si="42"/>
        <v>"C:\Program Files (x86)\AstroGrep\AstroGrep.exe" /e /r /s /spath="%USERPROFILE%\AppData\Local\Temp\OnboardLogs" /stypes="app*4045*20170421*" /stext=" 19:.+((SYSTEM_STATE.+slice.+state.+changed )|(ment ac)|(multiple cpu faults)|(system.+state.+changed )|(\[timeout)|(PRM\|1\|D)|(kpr)|(kdp)|(\|lc)|(penalty))"</v>
      </c>
      <c r="AG81" s="1" t="str">
        <f t="shared" si="43"/>
        <v>EC</v>
      </c>
      <c r="AH81" s="86" t="str">
        <f t="shared" si="28"/>
        <v>"%USERPROFILE%\Documents\GitHub\eaglep3\Utilities\RefineRTDCRunTimes.py" --tripid 166-21 --locoid 4045 --swversion DE.1.0.9.0 --startMP 204:232994 --initTime 2017-04-21T12:35:36 --startdatetime 2017-04-21T12:41:17 --delay 2 --endMP 204:150 --enddatetime 2017-04-21T13:21:24 --enforcementcount 1 &gt;&gt;C:\Users\stu\Documents\GitHub\eaglep3-reporting\EC\2017-04-21-refined-times.txt</v>
      </c>
      <c r="AI81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{"issue":{"subject":"","project_id":79,"tracker_id":40,"status_id":1,"priority_id":2,"assigned_to_id":23,"start_date":"2017-04-21","description":"","custom_fields":[{"id":1,"name":"Subdivision","value":"EC"},{"id":4,"name":"Milepost","value":"0.015"},{"id":17,"name":"Train ID","value":"166-21"},{"id":16,"name":"Locomotive ID","value":"4045"},{"id":130,"name":"Impact","value":""},{"id":150,"name":"Time of Event (Mountain Time)","value":"13:21:24"},{"id":151,"name":"Denver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47" t="str">
        <f t="shared" si="30"/>
        <v>start /low /b %USERPROFILE%\Documents\GitHub\eaglep3\Utilities\DownloadLogsFromS3.py --loco 4045 --day 2017-04-21</v>
      </c>
      <c r="AN81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1" customFormat="1" x14ac:dyDescent="0.25">
      <c r="A82" s="33" t="s">
        <v>722</v>
      </c>
      <c r="B82" s="7">
        <v>4024</v>
      </c>
      <c r="C82" s="21" t="s">
        <v>212</v>
      </c>
      <c r="D82" s="21" t="s">
        <v>204</v>
      </c>
      <c r="E82" s="13">
        <v>42846.495416666665</v>
      </c>
      <c r="F82" s="13">
        <v>42846.500289351854</v>
      </c>
      <c r="G82" s="7">
        <v>1</v>
      </c>
      <c r="H82" s="21" t="s">
        <v>513</v>
      </c>
      <c r="I82" s="13">
        <v>42846.525138888886</v>
      </c>
      <c r="J82" s="7">
        <v>1</v>
      </c>
      <c r="K82" s="97" t="str">
        <f t="shared" si="32"/>
        <v>4023/4024</v>
      </c>
      <c r="L82" s="21" t="str">
        <f>VLOOKUP(A82,'Trips&amp;Operators'!$C$1:$G$99999,5,FALSE)</f>
        <v>LAMAR NEKESHA</v>
      </c>
      <c r="M82" s="6">
        <f t="shared" si="33"/>
        <v>2.4849537032423541E-2</v>
      </c>
      <c r="N82" s="7">
        <f t="shared" si="26"/>
        <v>35.783333326689899</v>
      </c>
      <c r="O82" s="7"/>
      <c r="P82" s="7"/>
      <c r="Q82" s="22"/>
      <c r="R82" s="22"/>
      <c r="S82" s="31">
        <f t="shared" si="25"/>
        <v>1</v>
      </c>
      <c r="T82" s="46" t="str">
        <f t="shared" si="34"/>
        <v>NorthBound</v>
      </c>
      <c r="U82" s="19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2" t="str">
        <f t="shared" si="35"/>
        <v>https://d0f6bd738d7f1b3e5a7ca70fe4ff75f0.us-east-1.aws.found.io/app/kibana#/discover/Steve-Slow-Train-Analysis-(2080s-and-2083s)?_g=(refreshInterval:(display:Off,pause:!f,section:0,value:0),time:(from:'2017-04-21T10:53:24-0600',mode:absolute,to:'2017-04-21T13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93" t="str">
        <f t="shared" si="36"/>
        <v>N</v>
      </c>
      <c r="X82" s="193">
        <f t="shared" si="27"/>
        <v>1</v>
      </c>
      <c r="Y82" s="193">
        <f t="shared" si="37"/>
        <v>4.5999999999999999E-2</v>
      </c>
      <c r="Z82" s="62">
        <f t="shared" si="38"/>
        <v>23.328199999999999</v>
      </c>
      <c r="AA82" s="62">
        <f t="shared" si="39"/>
        <v>23.2822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0"/>
        <v>0167-21</v>
      </c>
      <c r="AE82" s="85" t="str">
        <f t="shared" si="41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82" s="82" t="str">
        <f t="shared" si="42"/>
        <v>"C:\Program Files (x86)\AstroGrep\AstroGrep.exe" /e /r /s /spath="%USERPROFILE%\AppData\Local\Temp\OnboardLogs" /stypes="app*4024*20170421*" /stext=" 18:.+((SYSTEM_STATE.+slice.+state.+changed )|(ment ac)|(multiple cpu faults)|(system.+state.+changed )|(\[timeout)|(PRM\|1\|D)|(kpr)|(kdp)|(\|lc)|(penalty))"</v>
      </c>
      <c r="AG82" s="1" t="str">
        <f t="shared" si="43"/>
        <v>EC</v>
      </c>
      <c r="AH82" s="86" t="str">
        <f t="shared" si="28"/>
        <v>"%USERPROFILE%\Documents\GitHub\eaglep3\Utilities\RefineRTDCRunTimes.py" --tripid 167-21 --locoid 4024 --swversion DE.1.0.9.0 --startMP 204:460 --initTime 2017-04-21T11:53:24 --startdatetime 2017-04-21T12:00:25 --delay 1 --endMP 204:233282 --enddatetime 2017-04-21T12:36:12 --enforcementcount 1 &gt;&gt;C:\Users\stu\Documents\GitHub\eaglep3-reporting\EC\2017-04-21-refined-times.txt</v>
      </c>
      <c r="AI82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{"issue":{"subject":"","project_id":79,"tracker_id":40,"status_id":1,"priority_id":2,"assigned_to_id":23,"start_date":"2017-04-21","description":"","custom_fields":[{"id":1,"name":"Subdivision","value":"EC"},{"id":4,"name":"Milepost","value":"23.3282"},{"id":17,"name":"Train ID","value":"167-21"},{"id":16,"name":"Locomotive ID","value":"4024"},{"id":130,"name":"Impact","value":""},{"id":150,"name":"Time of Event (Mountain Time)","value":"12:36:12"},{"id":151,"name":"Denver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47" t="str">
        <f t="shared" si="30"/>
        <v>start /low /b %USERPROFILE%\Documents\GitHub\eaglep3\Utilities\DownloadLogsFromS3.py --loco 4024 --day 2017-04-21</v>
      </c>
      <c r="AN82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732</v>
      </c>
      <c r="B83" s="7">
        <v>4023</v>
      </c>
      <c r="C83" s="21" t="s">
        <v>212</v>
      </c>
      <c r="D83" s="21" t="s">
        <v>507</v>
      </c>
      <c r="E83" s="13">
        <v>42846.53634259259</v>
      </c>
      <c r="F83" s="13">
        <v>42846.539270833331</v>
      </c>
      <c r="G83" s="7">
        <v>1</v>
      </c>
      <c r="H83" s="21" t="s">
        <v>389</v>
      </c>
      <c r="I83" s="13">
        <v>42846.567280092589</v>
      </c>
      <c r="J83" s="7">
        <v>1</v>
      </c>
      <c r="K83" s="97" t="str">
        <f t="shared" si="32"/>
        <v>4023/4024</v>
      </c>
      <c r="L83" s="21" t="str">
        <f>VLOOKUP(A83,'Trips&amp;Operators'!$C$1:$G$99999,5,FALSE)</f>
        <v>LAMAR NEKESHA</v>
      </c>
      <c r="M83" s="6">
        <f t="shared" si="33"/>
        <v>2.8009259258396924E-2</v>
      </c>
      <c r="N83" s="7">
        <f t="shared" si="26"/>
        <v>40.33333333209157</v>
      </c>
      <c r="O83" s="7"/>
      <c r="P83" s="7"/>
      <c r="Q83" s="22"/>
      <c r="R83" s="22"/>
      <c r="S83" s="31">
        <f t="shared" si="25"/>
        <v>1</v>
      </c>
      <c r="T83" s="46" t="str">
        <f t="shared" si="34"/>
        <v>Southbound</v>
      </c>
      <c r="U83" s="19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2" t="str">
        <f t="shared" si="35"/>
        <v>https://d0f6bd738d7f1b3e5a7ca70fe4ff75f0.us-east-1.aws.found.io/app/kibana#/discover/Steve-Slow-Train-Analysis-(2080s-and-2083s)?_g=(refreshInterval:(display:Off,pause:!f,section:0,value:0),time:(from:'2017-04-21T11:52:20-0600',mode:absolute,to:'2017-04-21T14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93" t="str">
        <f t="shared" si="36"/>
        <v>N</v>
      </c>
      <c r="X83" s="193">
        <f t="shared" si="27"/>
        <v>1</v>
      </c>
      <c r="Y83" s="193">
        <f t="shared" si="37"/>
        <v>23.298200000000001</v>
      </c>
      <c r="Z83" s="62">
        <f t="shared" si="38"/>
        <v>1.6E-2</v>
      </c>
      <c r="AA83" s="62">
        <f t="shared" si="39"/>
        <v>23.282200000000003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0"/>
        <v>0168-21</v>
      </c>
      <c r="AE83" s="85" t="str">
        <f t="shared" si="41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83" s="82" t="str">
        <f t="shared" si="42"/>
        <v>"C:\Program Files (x86)\AstroGrep\AstroGrep.exe" /e /r /s /spath="%USERPROFILE%\AppData\Local\Temp\OnboardLogs" /stypes="app*4023*20170421*" /stext=" 19:.+((SYSTEM_STATE.+slice.+state.+changed )|(ment ac)|(multiple cpu faults)|(system.+state.+changed )|(\[timeout)|(PRM\|1\|D)|(kpr)|(kdp)|(\|lc)|(penalty))"</v>
      </c>
      <c r="AG83" s="1" t="str">
        <f t="shared" si="43"/>
        <v>EC</v>
      </c>
      <c r="AH83" s="86" t="str">
        <f t="shared" si="28"/>
        <v>"%USERPROFILE%\Documents\GitHub\eaglep3\Utilities\RefineRTDCRunTimes.py" --tripid 168-21 --locoid 4023 --swversion DE.1.0.9.0 --startMP 204:232982 --initTime 2017-04-21T12:52:20 --startdatetime 2017-04-21T12:56:33 --delay 1 --endMP 204:160 --enddatetime 2017-04-21T13:36:53 --enforcementcount 1 &gt;&gt;C:\Users\stu\Documents\GitHub\eaglep3-reporting\EC\2017-04-21-refined-times.txt</v>
      </c>
      <c r="AI83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{"issue":{"subject":"","project_id":79,"tracker_id":40,"status_id":1,"priority_id":2,"assigned_to_id":23,"start_date":"2017-04-21","description":"","custom_fields":[{"id":1,"name":"Subdivision","value":"EC"},{"id":4,"name":"Milepost","value":"0.016"},{"id":17,"name":"Train ID","value":"168-21"},{"id":16,"name":"Locomotive ID","value":"4023"},{"id":130,"name":"Impact","value":""},{"id":150,"name":"Time of Event (Mountain Time)","value":"13:36:53"},{"id":151,"name":"Denver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47" t="str">
        <f t="shared" si="30"/>
        <v>start /low /b %USERPROFILE%\Documents\GitHub\eaglep3\Utilities\DownloadLogsFromS3.py --loco 4023 --day 2017-04-21</v>
      </c>
      <c r="AN83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726</v>
      </c>
      <c r="B84" s="7">
        <v>4016</v>
      </c>
      <c r="C84" s="21" t="s">
        <v>212</v>
      </c>
      <c r="D84" s="21" t="s">
        <v>850</v>
      </c>
      <c r="E84" s="13">
        <v>42846.50577546296</v>
      </c>
      <c r="F84" s="13">
        <v>42846.510613425926</v>
      </c>
      <c r="G84" s="7">
        <v>1</v>
      </c>
      <c r="H84" s="21" t="s">
        <v>877</v>
      </c>
      <c r="I84" s="13">
        <v>42846.537453703706</v>
      </c>
      <c r="J84" s="7">
        <v>1</v>
      </c>
      <c r="K84" s="97" t="str">
        <f t="shared" si="32"/>
        <v>4015/4016</v>
      </c>
      <c r="L84" s="21" t="str">
        <f>VLOOKUP(A84,'Trips&amp;Operators'!$C$1:$G$99999,5,FALSE)</f>
        <v>DELGADO DIANAH</v>
      </c>
      <c r="M84" s="6">
        <f t="shared" si="33"/>
        <v>2.6840277780138422E-2</v>
      </c>
      <c r="N84" s="7">
        <f t="shared" si="26"/>
        <v>38.650000003399327</v>
      </c>
      <c r="O84" s="7"/>
      <c r="P84" s="7"/>
      <c r="Q84" s="22"/>
      <c r="R84" s="22"/>
      <c r="S84" s="31">
        <f t="shared" si="25"/>
        <v>1</v>
      </c>
      <c r="T84" s="46" t="str">
        <f t="shared" si="34"/>
        <v>NorthBound</v>
      </c>
      <c r="U84" s="19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2" t="str">
        <f t="shared" si="35"/>
        <v>https://d0f6bd738d7f1b3e5a7ca70fe4ff75f0.us-east-1.aws.found.io/app/kibana#/discover/Steve-Slow-Train-Analysis-(2080s-and-2083s)?_g=(refreshInterval:(display:Off,pause:!f,section:0,value:0),time:(from:'2017-04-21T11:08:19-0600',mode:absolute,to:'2017-04-21T13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93" t="str">
        <f t="shared" si="36"/>
        <v>N</v>
      </c>
      <c r="X84" s="193">
        <f t="shared" si="27"/>
        <v>1</v>
      </c>
      <c r="Y84" s="193">
        <f t="shared" si="37"/>
        <v>4.3299999999999998E-2</v>
      </c>
      <c r="Z84" s="62">
        <f t="shared" si="38"/>
        <v>23.3355</v>
      </c>
      <c r="AA84" s="62">
        <f t="shared" si="39"/>
        <v>23.292200000000001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0"/>
        <v>0169-21</v>
      </c>
      <c r="AE84" s="85" t="str">
        <f t="shared" si="41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84" s="82" t="str">
        <f t="shared" si="42"/>
        <v>"C:\Program Files (x86)\AstroGrep\AstroGrep.exe" /e /r /s /spath="%USERPROFILE%\AppData\Local\Temp\OnboardLogs" /stypes="app*4016*20170421*" /stext=" 18:.+((SYSTEM_STATE.+slice.+state.+changed )|(ment ac)|(multiple cpu faults)|(system.+state.+changed )|(\[timeout)|(PRM\|1\|D)|(kpr)|(kdp)|(\|lc)|(penalty))"</v>
      </c>
      <c r="AG84" s="1" t="str">
        <f t="shared" si="43"/>
        <v>EC</v>
      </c>
      <c r="AH84" s="86" t="str">
        <f t="shared" si="28"/>
        <v>"%USERPROFILE%\Documents\GitHub\eaglep3\Utilities\RefineRTDCRunTimes.py" --tripid 169-21 --locoid 4016 --swversion DE.1.0.9.0 --startMP 204:433 --initTime 2017-04-21T12:08:19 --startdatetime 2017-04-21T12:15:17 --delay 1 --endMP 204:233355 --enddatetime 2017-04-21T12:53:56 --enforcementcount 1 &gt;&gt;C:\Users\stu\Documents\GitHub\eaglep3-reporting\EC\2017-04-21-refined-times.txt</v>
      </c>
      <c r="AI84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{"issue":{"subject":"","project_id":79,"tracker_id":40,"status_id":1,"priority_id":2,"assigned_to_id":23,"start_date":"2017-04-21","description":"","custom_fields":[{"id":1,"name":"Subdivision","value":"EC"},{"id":4,"name":"Milepost","value":"23.3355"},{"id":17,"name":"Train ID","value":"169-21"},{"id":16,"name":"Locomotive ID","value":"4016"},{"id":130,"name":"Impact","value":""},{"id":150,"name":"Time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47" t="str">
        <f t="shared" si="30"/>
        <v>start /low /b %USERPROFILE%\Documents\GitHub\eaglep3\Utilities\DownloadLogsFromS3.py --loco 4016 --day 2017-04-21</v>
      </c>
      <c r="AN84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610</v>
      </c>
      <c r="B85" s="7">
        <v>4015</v>
      </c>
      <c r="C85" s="21" t="s">
        <v>212</v>
      </c>
      <c r="D85" s="21" t="s">
        <v>878</v>
      </c>
      <c r="E85" s="13">
        <v>42846.543553240743</v>
      </c>
      <c r="F85" s="13">
        <v>42846.549479166664</v>
      </c>
      <c r="G85" s="7">
        <v>1</v>
      </c>
      <c r="H85" s="21" t="s">
        <v>388</v>
      </c>
      <c r="I85" s="13">
        <v>42846.578125</v>
      </c>
      <c r="J85" s="7">
        <v>1</v>
      </c>
      <c r="K85" s="97" t="str">
        <f t="shared" si="32"/>
        <v>4015/4016</v>
      </c>
      <c r="L85" s="21" t="str">
        <f>VLOOKUP(A85,'Trips&amp;Operators'!$C$1:$G$99999,5,FALSE)</f>
        <v>DELGADO DIANAH</v>
      </c>
      <c r="M85" s="6">
        <f t="shared" si="33"/>
        <v>2.8645833335758653E-2</v>
      </c>
      <c r="N85" s="7">
        <f t="shared" si="26"/>
        <v>41.25000000349246</v>
      </c>
      <c r="O85" s="7"/>
      <c r="P85" s="7"/>
      <c r="Q85" s="22"/>
      <c r="R85" s="22"/>
      <c r="S85" s="31">
        <f t="shared" si="25"/>
        <v>1</v>
      </c>
      <c r="T85" s="46" t="str">
        <f t="shared" si="34"/>
        <v>Southbound</v>
      </c>
      <c r="U85" s="19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2" t="str">
        <f t="shared" si="35"/>
        <v>https://d0f6bd738d7f1b3e5a7ca70fe4ff75f0.us-east-1.aws.found.io/app/kibana#/discover/Steve-Slow-Train-Analysis-(2080s-and-2083s)?_g=(refreshInterval:(display:Off,pause:!f,section:0,value:0),time:(from:'2017-04-21T12:02:43-0600',mode:absolute,to:'2017-04-21T14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93" t="str">
        <f t="shared" si="36"/>
        <v>N</v>
      </c>
      <c r="X85" s="193">
        <f t="shared" si="27"/>
        <v>1</v>
      </c>
      <c r="Y85" s="193">
        <f t="shared" si="37"/>
        <v>23.303000000000001</v>
      </c>
      <c r="Z85" s="62">
        <f t="shared" si="38"/>
        <v>1.4500000000000001E-2</v>
      </c>
      <c r="AA85" s="62">
        <f t="shared" si="39"/>
        <v>23.288499999999999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0"/>
        <v>0170-21</v>
      </c>
      <c r="AE85" s="85" t="str">
        <f t="shared" si="41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85" s="82" t="str">
        <f t="shared" si="42"/>
        <v>"C:\Program Files (x86)\AstroGrep\AstroGrep.exe" /e /r /s /spath="%USERPROFILE%\AppData\Local\Temp\OnboardLogs" /stypes="app*4015*20170421*" /stext=" 19:.+((SYSTEM_STATE.+slice.+state.+changed )|(ment ac)|(multiple cpu faults)|(system.+state.+changed )|(\[timeout)|(PRM\|1\|D)|(kpr)|(kdp)|(\|lc)|(penalty))"</v>
      </c>
      <c r="AG85" s="1" t="str">
        <f t="shared" si="43"/>
        <v>EC</v>
      </c>
      <c r="AH85" s="86" t="str">
        <f t="shared" si="28"/>
        <v>"%USERPROFILE%\Documents\GitHub\eaglep3\Utilities\RefineRTDCRunTimes.py" --tripid 170-21 --locoid 4015 --swversion DE.1.0.9.0 --startMP 204:233030 --initTime 2017-04-21T13:02:43 --startdatetime 2017-04-21T13:11:15 --delay 1 --endMP 204:145 --enddatetime 2017-04-21T13:52:30 --enforcementcount 1 &gt;&gt;C:\Users\stu\Documents\GitHub\eaglep3-reporting\EC\2017-04-21-refined-times.txt</v>
      </c>
      <c r="AI85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{"issue":{"subject":"","project_id":79,"tracker_id":40,"status_id":1,"priority_id":2,"assigned_to_id":23,"start_date":"2017-04-21","description":"","custom_fields":[{"id":1,"name":"Subdivision","value":"EC"},{"id":4,"name":"Milepost","value":"0.0145"},{"id":17,"name":"Train ID","value":"170-21"},{"id":16,"name":"Locomotive ID","value":"4015"},{"id":130,"name":"Impact","value":""},{"id":150,"name":"Time of Event (Mountain Time)","value":"13:52:30"},{"id":151,"name":"Denver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47" t="str">
        <f t="shared" si="30"/>
        <v>start /low /b %USERPROFILE%\Documents\GitHub\eaglep3\Utilities\DownloadLogsFromS3.py --loco 4015 --day 2017-04-21</v>
      </c>
      <c r="AN85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605</v>
      </c>
      <c r="B86" s="7">
        <v>4044</v>
      </c>
      <c r="C86" s="21" t="s">
        <v>212</v>
      </c>
      <c r="D86" s="21" t="s">
        <v>434</v>
      </c>
      <c r="E86" s="13">
        <v>42846.515416666669</v>
      </c>
      <c r="F86" s="13">
        <v>42846.521018518521</v>
      </c>
      <c r="G86" s="7">
        <v>1</v>
      </c>
      <c r="H86" s="21" t="s">
        <v>522</v>
      </c>
      <c r="I86" s="13">
        <v>42846.547337962962</v>
      </c>
      <c r="J86" s="7">
        <v>1</v>
      </c>
      <c r="K86" s="97" t="str">
        <f t="shared" si="32"/>
        <v>4043/4044</v>
      </c>
      <c r="L86" s="21" t="str">
        <f>VLOOKUP(A86,'Trips&amp;Operators'!$C$1:$G$99999,5,FALSE)</f>
        <v>GRASTON MATHEU</v>
      </c>
      <c r="M86" s="6">
        <f t="shared" si="33"/>
        <v>2.6319444441469386E-2</v>
      </c>
      <c r="N86" s="7">
        <f t="shared" si="26"/>
        <v>37.899999995715916</v>
      </c>
      <c r="O86" s="7"/>
      <c r="P86" s="7"/>
      <c r="Q86" s="22"/>
      <c r="R86" s="22"/>
      <c r="S86" s="31">
        <f t="shared" si="25"/>
        <v>1</v>
      </c>
      <c r="T86" s="46" t="str">
        <f t="shared" si="34"/>
        <v>NorthBound</v>
      </c>
      <c r="U86" s="19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2" t="str">
        <f t="shared" si="35"/>
        <v>https://d0f6bd738d7f1b3e5a7ca70fe4ff75f0.us-east-1.aws.found.io/app/kibana#/discover/Steve-Slow-Train-Analysis-(2080s-and-2083s)?_g=(refreshInterval:(display:Off,pause:!f,section:0,value:0),time:(from:'2017-04-21T11:22:12-0600',mode:absolute,to:'2017-04-21T14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193" t="str">
        <f t="shared" si="36"/>
        <v>N</v>
      </c>
      <c r="X86" s="193">
        <f t="shared" si="27"/>
        <v>1</v>
      </c>
      <c r="Y86" s="193">
        <f t="shared" si="37"/>
        <v>4.4400000000000002E-2</v>
      </c>
      <c r="Z86" s="62">
        <f t="shared" si="38"/>
        <v>23.334700000000002</v>
      </c>
      <c r="AA86" s="62">
        <f t="shared" si="39"/>
        <v>23.290300000000002</v>
      </c>
      <c r="AB86" s="59" t="str">
        <f>VLOOKUP(A86,Enforcements!$C$7:$K$13,8,0)</f>
        <v>Bulletin (2)</v>
      </c>
      <c r="AC86" s="55" t="str">
        <f>VLOOKUP(A86,Enforcements!$C$7:$E$13,3,0)</f>
        <v>GRADE CROSSING</v>
      </c>
      <c r="AD86" s="56" t="str">
        <f t="shared" si="40"/>
        <v>0171-21</v>
      </c>
      <c r="AE86" s="85" t="str">
        <f t="shared" si="41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86" s="82" t="str">
        <f t="shared" si="42"/>
        <v>"C:\Program Files (x86)\AstroGrep\AstroGrep.exe" /e /r /s /spath="%USERPROFILE%\AppData\Local\Temp\OnboardLogs" /stypes="app*4044*20170421*" /stext=" 19:.+((SYSTEM_STATE.+slice.+state.+changed )|(ment ac)|(multiple cpu faults)|(system.+state.+changed )|(\[timeout)|(PRM\|1\|D)|(kpr)|(kdp)|(\|lc)|(penalty))"</v>
      </c>
      <c r="AG86" s="1" t="str">
        <f t="shared" si="43"/>
        <v>EC</v>
      </c>
      <c r="AH86" s="86" t="str">
        <f t="shared" si="28"/>
        <v>"%USERPROFILE%\Documents\GitHub\eaglep3\Utilities\RefineRTDCRunTimes.py" --tripid 171-21 --locoid 4044 --swversion DE.1.0.9.0 --startMP 204:444 --initTime 2017-04-21T12:22:12 --startdatetime 2017-04-21T12:30:16 --delay 1 --endMP 204:233347 --enddatetime 2017-04-21T13:08:10 --enforcementcount 1 &gt;&gt;C:\Users\stu\Documents\GitHub\eaglep3-reporting\EC\2017-04-21-refined-times.txt</v>
      </c>
      <c r="AI86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{"issue":{"subject":"","project_id":79,"tracker_id":40,"status_id":1,"priority_id":2,"assigned_to_id":23,"start_date":"2017-04-21","description":"","custom_fields":[{"id":1,"name":"Subdivision","value":"EC"},{"id":4,"name":"Milepost","value":"23.3347"},{"id":17,"name":"Train ID","value":"171-21"},{"id":16,"name":"Locomotive ID","value":"4044"},{"id":130,"name":"Impact","value":""},{"id":150,"name":"Time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47" t="str">
        <f t="shared" si="30"/>
        <v>start /low /b %USERPROFILE%\Documents\GitHub\eaglep3\Utilities\DownloadLogsFromS3.py --loco 4044 --day 2017-04-21</v>
      </c>
      <c r="AN86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735</v>
      </c>
      <c r="B87" s="7">
        <v>4043</v>
      </c>
      <c r="C87" s="21" t="s">
        <v>212</v>
      </c>
      <c r="D87" s="21" t="s">
        <v>879</v>
      </c>
      <c r="E87" s="13">
        <v>42846.549097222225</v>
      </c>
      <c r="F87" s="13">
        <v>42846.559999999998</v>
      </c>
      <c r="G87" s="7">
        <v>1</v>
      </c>
      <c r="H87" s="21" t="s">
        <v>209</v>
      </c>
      <c r="I87" s="13">
        <v>42846.586655092593</v>
      </c>
      <c r="J87" s="7">
        <v>1</v>
      </c>
      <c r="K87" s="97" t="str">
        <f t="shared" si="32"/>
        <v>4043/4044</v>
      </c>
      <c r="L87" s="21" t="str">
        <f>VLOOKUP(A87,'Trips&amp;Operators'!$C$1:$G$99999,5,FALSE)</f>
        <v>GRASTON MATHEU</v>
      </c>
      <c r="M87" s="6">
        <f t="shared" si="33"/>
        <v>2.6655092595319729E-2</v>
      </c>
      <c r="N87" s="7">
        <f t="shared" si="26"/>
        <v>38.38333333726041</v>
      </c>
      <c r="O87" s="7"/>
      <c r="P87" s="7"/>
      <c r="Q87" s="22"/>
      <c r="R87" s="22"/>
      <c r="S87" s="31">
        <f t="shared" si="25"/>
        <v>1</v>
      </c>
      <c r="T87" s="46" t="str">
        <f t="shared" si="34"/>
        <v>Southbound</v>
      </c>
      <c r="U87" s="19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2" t="str">
        <f t="shared" si="35"/>
        <v>https://d0f6bd738d7f1b3e5a7ca70fe4ff75f0.us-east-1.aws.found.io/app/kibana#/discover/Steve-Slow-Train-Analysis-(2080s-and-2083s)?_g=(refreshInterval:(display:Off,pause:!f,section:0,value:0),time:(from:'2017-04-21T12:10:42-0600',mode:absolute,to:'2017-04-21T15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7" s="193" t="str">
        <f t="shared" si="36"/>
        <v>N</v>
      </c>
      <c r="X87" s="193">
        <f t="shared" si="27"/>
        <v>1</v>
      </c>
      <c r="Y87" s="193">
        <f t="shared" si="37"/>
        <v>23.303599999999999</v>
      </c>
      <c r="Z87" s="62">
        <f t="shared" si="38"/>
        <v>1.47E-2</v>
      </c>
      <c r="AA87" s="62">
        <f t="shared" si="39"/>
        <v>23.288899999999998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0"/>
        <v>0172-21</v>
      </c>
      <c r="AE87" s="85" t="str">
        <f t="shared" si="41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87" s="82" t="str">
        <f t="shared" si="42"/>
        <v>"C:\Program Files (x86)\AstroGrep\AstroGrep.exe" /e /r /s /spath="%USERPROFILE%\AppData\Local\Temp\OnboardLogs" /stypes="app*4043*20170421*" /stext=" 20:.+((SYSTEM_STATE.+slice.+state.+changed )|(ment ac)|(multiple cpu faults)|(system.+state.+changed )|(\[timeout)|(PRM\|1\|D)|(kpr)|(kdp)|(\|lc)|(penalty))"</v>
      </c>
      <c r="AG87" s="1" t="str">
        <f t="shared" si="43"/>
        <v>EC</v>
      </c>
      <c r="AH87" s="86" t="str">
        <f t="shared" si="28"/>
        <v>"%USERPROFILE%\Documents\GitHub\eaglep3\Utilities\RefineRTDCRunTimes.py" --tripid 172-21 --locoid 4043 --swversion DE.1.0.9.0 --startMP 204:233036 --initTime 2017-04-21T13:10:42 --startdatetime 2017-04-21T13:26:24 --delay 1 --endMP 204:147 --enddatetime 2017-04-21T14:04:47 --enforcementcount 1 &gt;&gt;C:\Users\stu\Documents\GitHub\eaglep3-reporting\EC\2017-04-21-refined-times.txt</v>
      </c>
      <c r="AI8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{"issue":{"subject":"","project_id":79,"tracker_id":40,"status_id":1,"priority_id":2,"assigned_to_id":23,"start_date":"2017-04-21","description":"","custom_fields":[{"id":1,"name":"Subdivision","value":"EC"},{"id":4,"name":"Milepost","value":"0.0147"},{"id":17,"name":"Train ID","value":"172-21"},{"id":16,"name":"Locomotive ID","value":"4043"},{"id":130,"name":"Impact","value":""},{"id":150,"name":"Time of Event (Mountain Time)","value":"14:04:47"},{"id":151,"name":"Denver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47" t="str">
        <f t="shared" si="30"/>
        <v>start /low /b %USERPROFILE%\Documents\GitHub\eaglep3\Utilities\DownloadLogsFromS3.py --loco 4043 --day 2017-04-21</v>
      </c>
      <c r="AN87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730</v>
      </c>
      <c r="B88" s="7">
        <v>4040</v>
      </c>
      <c r="C88" s="21" t="s">
        <v>212</v>
      </c>
      <c r="D88" s="21" t="s">
        <v>203</v>
      </c>
      <c r="E88" s="13">
        <v>42846.529710648145</v>
      </c>
      <c r="F88" s="13">
        <v>42846.531736111108</v>
      </c>
      <c r="G88" s="7">
        <v>1</v>
      </c>
      <c r="H88" s="21" t="s">
        <v>880</v>
      </c>
      <c r="I88" s="13">
        <v>42846.559502314813</v>
      </c>
      <c r="J88" s="7">
        <v>1</v>
      </c>
      <c r="K88" s="97" t="str">
        <f t="shared" si="32"/>
        <v>4039/4040</v>
      </c>
      <c r="L88" s="21" t="str">
        <f>VLOOKUP(A88,'Trips&amp;Operators'!$C$1:$G$99999,5,FALSE)</f>
        <v>STEWART MICHAEL</v>
      </c>
      <c r="M88" s="6">
        <f t="shared" si="33"/>
        <v>2.7766203704231884E-2</v>
      </c>
      <c r="N88" s="7">
        <f t="shared" si="26"/>
        <v>39.983333334093913</v>
      </c>
      <c r="O88" s="7"/>
      <c r="P88" s="7"/>
      <c r="Q88" s="22"/>
      <c r="R88" s="22"/>
      <c r="S88" s="31">
        <f t="shared" ref="S88:S119" si="44">SUM(U88:U88)/IF(AG88="EC",12,1)</f>
        <v>1</v>
      </c>
      <c r="T88" s="46" t="str">
        <f t="shared" si="34"/>
        <v>NorthBound</v>
      </c>
      <c r="U88" s="19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2" t="str">
        <f t="shared" si="35"/>
        <v>https://d0f6bd738d7f1b3e5a7ca70fe4ff75f0.us-east-1.aws.found.io/app/kibana#/discover/Steve-Slow-Train-Analysis-(2080s-and-2083s)?_g=(refreshInterval:(display:Off,pause:!f,section:0,value:0),time:(from:'2017-04-21T11:42:47-0600',mode:absolute,to:'2017-04-21T14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193" t="str">
        <f t="shared" si="36"/>
        <v>N</v>
      </c>
      <c r="X88" s="193">
        <f t="shared" si="27"/>
        <v>1</v>
      </c>
      <c r="Y88" s="193">
        <f t="shared" si="37"/>
        <v>4.5699999999999998E-2</v>
      </c>
      <c r="Z88" s="62">
        <f t="shared" si="38"/>
        <v>23.326599999999999</v>
      </c>
      <c r="AA88" s="62">
        <f t="shared" si="39"/>
        <v>23.280899999999999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0"/>
        <v>0173-21</v>
      </c>
      <c r="AE88" s="85" t="str">
        <f t="shared" si="41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88" s="82" t="str">
        <f t="shared" si="42"/>
        <v>"C:\Program Files (x86)\AstroGrep\AstroGrep.exe" /e /r /s /spath="%USERPROFILE%\AppData\Local\Temp\OnboardLogs" /stypes="app*4040*20170421*" /stext=" 19:.+((SYSTEM_STATE.+slice.+state.+changed )|(ment ac)|(multiple cpu faults)|(system.+state.+changed )|(\[timeout)|(PRM\|1\|D)|(kpr)|(kdp)|(\|lc)|(penalty))"</v>
      </c>
      <c r="AG88" s="1" t="str">
        <f t="shared" si="43"/>
        <v>EC</v>
      </c>
      <c r="AH88" s="86" t="str">
        <f t="shared" si="28"/>
        <v>"%USERPROFILE%\Documents\GitHub\eaglep3\Utilities\RefineRTDCRunTimes.py" --tripid 173-21 --locoid 4040 --swversion DE.1.0.9.0 --startMP 204:457 --initTime 2017-04-21T12:42:47 --startdatetime 2017-04-21T12:45:42 --delay 1 --endMP 204:233266 --enddatetime 2017-04-21T13:25:41 --enforcementcount 1 &gt;&gt;C:\Users\stu\Documents\GitHub\eaglep3-reporting\EC\2017-04-21-refined-times.txt</v>
      </c>
      <c r="AI8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{"issue":{"subject":"","project_id":79,"tracker_id":40,"status_id":1,"priority_id":2,"assigned_to_id":23,"start_date":"2017-04-21","description":"","custom_fields":[{"id":1,"name":"Subdivision","value":"EC"},{"id":4,"name":"Milepost","value":"23.3266"},{"id":17,"name":"Train ID","value":"173-21"},{"id":16,"name":"Locomotive ID","value":"4040"},{"id":130,"name":"Impact","value":""},{"id":150,"name":"Time of Event (Mountain Time)","value":"13:25:41"},{"id":151,"name":"Denver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47" t="str">
        <f t="shared" si="30"/>
        <v>start /low /b %USERPROFILE%\Documents\GitHub\eaglep3\Utilities\DownloadLogsFromS3.py --loco 4040 --day 2017-04-21</v>
      </c>
      <c r="AN88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3" t="s">
        <v>738</v>
      </c>
      <c r="B89" s="7">
        <v>4039</v>
      </c>
      <c r="C89" s="21" t="s">
        <v>212</v>
      </c>
      <c r="D89" s="21" t="s">
        <v>881</v>
      </c>
      <c r="E89" s="13">
        <v>42846.568842592591</v>
      </c>
      <c r="F89" s="13">
        <v>42846.570868055554</v>
      </c>
      <c r="G89" s="7">
        <v>1</v>
      </c>
      <c r="H89" s="21" t="s">
        <v>414</v>
      </c>
      <c r="I89" s="13">
        <v>42846.598252314812</v>
      </c>
      <c r="J89" s="7">
        <v>1</v>
      </c>
      <c r="K89" s="97" t="str">
        <f t="shared" si="32"/>
        <v>4039/4040</v>
      </c>
      <c r="L89" s="21" t="str">
        <f>VLOOKUP(A89,'Trips&amp;Operators'!$C$1:$G$99999,5,FALSE)</f>
        <v>STEWART MICHAEL</v>
      </c>
      <c r="M89" s="6">
        <f t="shared" si="33"/>
        <v>2.7384259257814847E-2</v>
      </c>
      <c r="N89" s="7">
        <f t="shared" ref="N89:N111" si="45">24*60*SUM($M89:$M89)</f>
        <v>39.43333333125338</v>
      </c>
      <c r="O89" s="7"/>
      <c r="P89" s="7"/>
      <c r="Q89" s="22"/>
      <c r="R89" s="22"/>
      <c r="S89" s="31">
        <f t="shared" si="44"/>
        <v>1</v>
      </c>
      <c r="T89" s="46" t="str">
        <f t="shared" si="34"/>
        <v>Southbound</v>
      </c>
      <c r="U89" s="19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2" t="str">
        <f t="shared" si="35"/>
        <v>https://d0f6bd738d7f1b3e5a7ca70fe4ff75f0.us-east-1.aws.found.io/app/kibana#/discover/Steve-Slow-Train-Analysis-(2080s-and-2083s)?_g=(refreshInterval:(display:Off,pause:!f,section:0,value:0),time:(from:'2017-04-21T12:39:08-0600',mode:absolute,to:'2017-04-21T15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193" t="str">
        <f t="shared" si="36"/>
        <v>N</v>
      </c>
      <c r="X89" s="193">
        <f t="shared" si="27"/>
        <v>1</v>
      </c>
      <c r="Y89" s="193">
        <f t="shared" si="37"/>
        <v>23.2926</v>
      </c>
      <c r="Z89" s="62">
        <f t="shared" si="38"/>
        <v>1.4999999999999999E-2</v>
      </c>
      <c r="AA89" s="62">
        <f t="shared" si="39"/>
        <v>23.2776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0"/>
        <v>0174-21</v>
      </c>
      <c r="AE89" s="85" t="str">
        <f t="shared" si="41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89" s="82" t="str">
        <f t="shared" si="42"/>
        <v>"C:\Program Files (x86)\AstroGrep\AstroGrep.exe" /e /r /s /spath="%USERPROFILE%\AppData\Local\Temp\OnboardLogs" /stypes="app*4039*20170421*" /stext=" 20:.+((SYSTEM_STATE.+slice.+state.+changed )|(ment ac)|(multiple cpu faults)|(system.+state.+changed )|(\[timeout)|(PRM\|1\|D)|(kpr)|(kdp)|(\|lc)|(penalty))"</v>
      </c>
      <c r="AG89" s="1" t="str">
        <f t="shared" si="43"/>
        <v>EC</v>
      </c>
      <c r="AH89" s="86" t="str">
        <f t="shared" si="28"/>
        <v>"%USERPROFILE%\Documents\GitHub\eaglep3\Utilities\RefineRTDCRunTimes.py" --tripid 174-21 --locoid 4039 --swversion DE.1.0.9.0 --startMP 204:232926 --initTime 2017-04-21T13:39:08 --startdatetime 2017-04-21T13:42:03 --delay 1 --endMP 204:150 --enddatetime 2017-04-21T14:21:29 --enforcementcount 1 &gt;&gt;C:\Users\stu\Documents\GitHub\eaglep3-reporting\EC\2017-04-21-refined-times.txt</v>
      </c>
      <c r="AI8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{"issue":{"subject":"","project_id":79,"tracker_id":40,"status_id":1,"priority_id":2,"assigned_to_id":23,"start_date":"2017-04-21","description":"","custom_fields":[{"id":1,"name":"Subdivision","value":"EC"},{"id":4,"name":"Milepost","value":"0.015"},{"id":17,"name":"Train ID","value":"174-21"},{"id":16,"name":"Locomotive ID","value":"4039"},{"id":130,"name":"Impact","value":""},{"id":150,"name":"Time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47" t="str">
        <f t="shared" si="30"/>
        <v>start /low /b %USERPROFILE%\Documents\GitHub\eaglep3\Utilities\DownloadLogsFromS3.py --loco 4039 --day 2017-04-21</v>
      </c>
      <c r="AN89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733</v>
      </c>
      <c r="B90" s="7">
        <v>4004</v>
      </c>
      <c r="C90" s="21" t="s">
        <v>212</v>
      </c>
      <c r="D90" s="21" t="s">
        <v>478</v>
      </c>
      <c r="E90" s="13">
        <v>42846.537326388891</v>
      </c>
      <c r="F90" s="13">
        <v>42846.541828703703</v>
      </c>
      <c r="G90" s="7">
        <v>2</v>
      </c>
      <c r="H90" s="21" t="s">
        <v>872</v>
      </c>
      <c r="I90" s="13">
        <v>42846.566388888888</v>
      </c>
      <c r="J90" s="7">
        <v>1</v>
      </c>
      <c r="K90" s="97" t="str">
        <f t="shared" si="32"/>
        <v>4003/4004</v>
      </c>
      <c r="L90" s="21" t="str">
        <f>VLOOKUP(A90,'Trips&amp;Operators'!$C$1:$G$99999,5,FALSE)</f>
        <v>ROMERO CHAD</v>
      </c>
      <c r="M90" s="6">
        <f t="shared" si="33"/>
        <v>2.4560185185691807E-2</v>
      </c>
      <c r="N90" s="7">
        <f t="shared" si="45"/>
        <v>35.366666667396203</v>
      </c>
      <c r="O90" s="7"/>
      <c r="P90" s="7"/>
      <c r="Q90" s="22"/>
      <c r="R90" s="22"/>
      <c r="S90" s="31">
        <f t="shared" si="44"/>
        <v>1</v>
      </c>
      <c r="T90" s="46" t="str">
        <f t="shared" si="34"/>
        <v>NorthBound</v>
      </c>
      <c r="U90" s="19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2" t="str">
        <f t="shared" si="35"/>
        <v>https://d0f6bd738d7f1b3e5a7ca70fe4ff75f0.us-east-1.aws.found.io/app/kibana#/discover/Steve-Slow-Train-Analysis-(2080s-and-2083s)?_g=(refreshInterval:(display:Off,pause:!f,section:0,value:0),time:(from:'2017-04-21T11:53:45-0600',mode:absolute,to:'2017-04-21T14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93" t="str">
        <f t="shared" si="36"/>
        <v>N</v>
      </c>
      <c r="X90" s="193">
        <f t="shared" si="27"/>
        <v>1</v>
      </c>
      <c r="Y90" s="193">
        <f t="shared" si="37"/>
        <v>4.5100000000000001E-2</v>
      </c>
      <c r="Z90" s="62">
        <f t="shared" si="38"/>
        <v>23.3385</v>
      </c>
      <c r="AA90" s="62">
        <f t="shared" si="39"/>
        <v>23.293399999999998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0"/>
        <v>0175-21</v>
      </c>
      <c r="AE90" s="85" t="str">
        <f t="shared" si="41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90" s="82" t="str">
        <f t="shared" si="42"/>
        <v>"C:\Program Files (x86)\AstroGrep\AstroGrep.exe" /e /r /s /spath="%USERPROFILE%\AppData\Local\Temp\OnboardLogs" /stypes="app*4004*20170421*" /stext=" 19:.+((SYSTEM_STATE.+slice.+state.+changed )|(ment ac)|(multiple cpu faults)|(system.+state.+changed )|(\[timeout)|(PRM\|1\|D)|(kpr)|(kdp)|(\|lc)|(penalty))"</v>
      </c>
      <c r="AG90" s="1" t="str">
        <f t="shared" si="43"/>
        <v>EC</v>
      </c>
      <c r="AH90" s="86" t="str">
        <f t="shared" si="28"/>
        <v>"%USERPROFILE%\Documents\GitHub\eaglep3\Utilities\RefineRTDCRunTimes.py" --tripid 175-21 --locoid 4004 --swversion DE.1.0.9.0 --startMP 204:451 --initTime 2017-04-21T12:53:45 --startdatetime 2017-04-21T13:00:14 --delay 2 --endMP 204:233385 --enddatetime 2017-04-21T13:35:36 --enforcementcount 1 &gt;&gt;C:\Users\stu\Documents\GitHub\eaglep3-reporting\EC\2017-04-21-refined-times.txt</v>
      </c>
      <c r="AI9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{"issue":{"subject":"","project_id":79,"tracker_id":40,"status_id":1,"priority_id":2,"assigned_to_id":23,"start_date":"2017-04-21","description":"","custom_fields":[{"id":1,"name":"Subdivision","value":"EC"},{"id":4,"name":"Milepost","value":"23.3385"},{"id":17,"name":"Train ID","value":"175-21"},{"id":16,"name":"Locomotive ID","value":"4004"},{"id":130,"name":"Impact","value":""},{"id":150,"name":"Time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47" t="str">
        <f t="shared" si="30"/>
        <v>start /low /b %USERPROFILE%\Documents\GitHub\eaglep3\Utilities\DownloadLogsFromS3.py --loco 4004 --day 2017-04-21</v>
      </c>
      <c r="AN90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611</v>
      </c>
      <c r="B91" s="7">
        <v>4003</v>
      </c>
      <c r="C91" s="21" t="s">
        <v>212</v>
      </c>
      <c r="D91" s="21" t="s">
        <v>882</v>
      </c>
      <c r="E91" s="13">
        <v>42846.568888888891</v>
      </c>
      <c r="F91" s="13">
        <v>42846.580879629626</v>
      </c>
      <c r="G91" s="7">
        <v>1</v>
      </c>
      <c r="H91" s="21" t="s">
        <v>378</v>
      </c>
      <c r="I91" s="13">
        <v>42846.609976851854</v>
      </c>
      <c r="J91" s="7">
        <v>1</v>
      </c>
      <c r="K91" s="97" t="str">
        <f t="shared" si="32"/>
        <v>4003/4004</v>
      </c>
      <c r="L91" s="21" t="str">
        <f>VLOOKUP(A91,'Trips&amp;Operators'!$C$1:$G$99999,5,FALSE)</f>
        <v>ROMERO CHAD</v>
      </c>
      <c r="M91" s="6">
        <f t="shared" si="33"/>
        <v>2.9097222228301689E-2</v>
      </c>
      <c r="N91" s="7">
        <f t="shared" si="45"/>
        <v>41.900000008754432</v>
      </c>
      <c r="O91" s="7"/>
      <c r="P91" s="7"/>
      <c r="Q91" s="22"/>
      <c r="R91" s="22"/>
      <c r="S91" s="31">
        <f t="shared" si="44"/>
        <v>1</v>
      </c>
      <c r="T91" s="46" t="str">
        <f t="shared" si="34"/>
        <v>Southbound</v>
      </c>
      <c r="U91" s="19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2" t="str">
        <f t="shared" si="35"/>
        <v>https://d0f6bd738d7f1b3e5a7ca70fe4ff75f0.us-east-1.aws.found.io/app/kibana#/discover/Steve-Slow-Train-Analysis-(2080s-and-2083s)?_g=(refreshInterval:(display:Off,pause:!f,section:0,value:0),time:(from:'2017-04-21T12:39:12-0600',mode:absolute,to:'2017-04-21T15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1" s="193" t="str">
        <f t="shared" si="36"/>
        <v>N</v>
      </c>
      <c r="X91" s="193">
        <f t="shared" si="27"/>
        <v>1</v>
      </c>
      <c r="Y91" s="193">
        <f t="shared" si="37"/>
        <v>23.307200000000002</v>
      </c>
      <c r="Z91" s="62">
        <f t="shared" si="38"/>
        <v>1.41E-2</v>
      </c>
      <c r="AA91" s="62">
        <f t="shared" si="39"/>
        <v>23.293100000000003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0"/>
        <v>0176-21</v>
      </c>
      <c r="AE91" s="85" t="str">
        <f t="shared" si="41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91" s="82" t="str">
        <f t="shared" si="42"/>
        <v>"C:\Program Files (x86)\AstroGrep\AstroGrep.exe" /e /r /s /spath="%USERPROFILE%\AppData\Local\Temp\OnboardLogs" /stypes="app*4003*20170421*" /stext=" 20:.+((SYSTEM_STATE.+slice.+state.+changed )|(ment ac)|(multiple cpu faults)|(system.+state.+changed )|(\[timeout)|(PRM\|1\|D)|(kpr)|(kdp)|(\|lc)|(penalty))"</v>
      </c>
      <c r="AG91" s="1" t="str">
        <f t="shared" si="43"/>
        <v>EC</v>
      </c>
      <c r="AH91" s="86" t="str">
        <f t="shared" si="28"/>
        <v>"%USERPROFILE%\Documents\GitHub\eaglep3\Utilities\RefineRTDCRunTimes.py" --tripid 176-21 --locoid 4003 --swversion DE.1.0.9.0 --startMP 204:233072 --initTime 2017-04-21T13:39:12 --startdatetime 2017-04-21T13:56:28 --delay 1 --endMP 204:141 --enddatetime 2017-04-21T14:38:22 --enforcementcount 1 &gt;&gt;C:\Users\stu\Documents\GitHub\eaglep3-reporting\EC\2017-04-21-refined-times.txt</v>
      </c>
      <c r="AI91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{"issue":{"subject":"","project_id":79,"tracker_id":40,"status_id":1,"priority_id":2,"assigned_to_id":23,"start_date":"2017-04-21","description":"","custom_fields":[{"id":1,"name":"Subdivision","value":"EC"},{"id":4,"name":"Milepost","value":"0.0141"},{"id":17,"name":"Train ID","value":"176-21"},{"id":16,"name":"Locomotive ID","value":"4003"},{"id":130,"name":"Impact","value":""},{"id":150,"name":"Time of Event (Mountain Time)","value":"14:38:22"},{"id":151,"name":"Denver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47" t="str">
        <f t="shared" si="30"/>
        <v>start /low /b %USERPROFILE%\Documents\GitHub\eaglep3\Utilities\DownloadLogsFromS3.py --loco 4003 --day 2017-04-21</v>
      </c>
      <c r="AN91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734</v>
      </c>
      <c r="B92" s="7">
        <v>4002</v>
      </c>
      <c r="C92" s="21" t="s">
        <v>212</v>
      </c>
      <c r="D92" s="21" t="s">
        <v>883</v>
      </c>
      <c r="E92" s="13">
        <v>42846.548402777778</v>
      </c>
      <c r="F92" s="13">
        <v>42846.552245370367</v>
      </c>
      <c r="G92" s="7">
        <v>1</v>
      </c>
      <c r="H92" s="21" t="s">
        <v>376</v>
      </c>
      <c r="I92" s="13">
        <v>42846.578344907408</v>
      </c>
      <c r="J92" s="7">
        <v>1</v>
      </c>
      <c r="K92" s="97" t="str">
        <f t="shared" si="32"/>
        <v>4001/4002</v>
      </c>
      <c r="L92" s="21" t="str">
        <f>VLOOKUP(A92,'Trips&amp;Operators'!$C$1:$G$99999,5,FALSE)</f>
        <v>CLARK KATHLEEN</v>
      </c>
      <c r="M92" s="6">
        <f t="shared" si="33"/>
        <v>2.6099537040863652E-2</v>
      </c>
      <c r="N92" s="7">
        <f t="shared" si="45"/>
        <v>37.583333338843659</v>
      </c>
      <c r="O92" s="7"/>
      <c r="P92" s="7"/>
      <c r="Q92" s="22"/>
      <c r="R92" s="22"/>
      <c r="S92" s="31">
        <f t="shared" si="44"/>
        <v>1</v>
      </c>
      <c r="T92" s="46" t="str">
        <f t="shared" si="34"/>
        <v>NorthBound</v>
      </c>
      <c r="U92" s="19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2" t="str">
        <f t="shared" si="35"/>
        <v>https://d0f6bd738d7f1b3e5a7ca70fe4ff75f0.us-east-1.aws.found.io/app/kibana#/discover/Steve-Slow-Train-Analysis-(2080s-and-2083s)?_g=(refreshInterval:(display:Off,pause:!f,section:0,value:0),time:(from:'2017-04-21T12:09:42-0600',mode:absolute,to:'2017-04-21T14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193" t="str">
        <f t="shared" si="36"/>
        <v>N</v>
      </c>
      <c r="X92" s="193">
        <f t="shared" si="27"/>
        <v>1</v>
      </c>
      <c r="Y92" s="193">
        <f t="shared" si="37"/>
        <v>5.1499999999999997E-2</v>
      </c>
      <c r="Z92" s="62">
        <f t="shared" si="38"/>
        <v>23.329499999999999</v>
      </c>
      <c r="AA92" s="62">
        <f t="shared" si="39"/>
        <v>23.277999999999999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0"/>
        <v>0177-21</v>
      </c>
      <c r="AE92" s="85" t="str">
        <f t="shared" si="41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92" s="82" t="str">
        <f t="shared" si="42"/>
        <v>"C:\Program Files (x86)\AstroGrep\AstroGrep.exe" /e /r /s /spath="%USERPROFILE%\AppData\Local\Temp\OnboardLogs" /stypes="app*4002*20170421*" /stext=" 19:.+((SYSTEM_STATE.+slice.+state.+changed )|(ment ac)|(multiple cpu faults)|(system.+state.+changed )|(\[timeout)|(PRM\|1\|D)|(kpr)|(kdp)|(\|lc)|(penalty))"</v>
      </c>
      <c r="AG92" s="1" t="str">
        <f t="shared" si="43"/>
        <v>EC</v>
      </c>
      <c r="AH92" s="86" t="str">
        <f t="shared" si="28"/>
        <v>"%USERPROFILE%\Documents\GitHub\eaglep3\Utilities\RefineRTDCRunTimes.py" --tripid 177-21 --locoid 4002 --swversion DE.1.0.9.0 --startMP 204:515 --initTime 2017-04-21T13:09:42 --startdatetime 2017-04-21T13:15:14 --delay 1 --endMP 204:233295 --enddatetime 2017-04-21T13:52:49 --enforcementcount 1 &gt;&gt;C:\Users\stu\Documents\GitHub\eaglep3-reporting\EC\2017-04-21-refined-times.txt</v>
      </c>
      <c r="AI92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ID","value":"177-21"},{"id":16,"name":"Locomotive ID","value":"4002"},{"id":130,"name":"Impact","value":""},{"id":150,"name":"Time of Event (Mountain Time)","value":"13:52:49"},{"id":151,"name":"Denver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47" t="str">
        <f t="shared" si="30"/>
        <v>start /low /b %USERPROFILE%\Documents\GitHub\eaglep3\Utilities\DownloadLogsFromS3.py --loco 4002 --day 2017-04-21</v>
      </c>
      <c r="AN92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741</v>
      </c>
      <c r="B93" s="7">
        <v>4001</v>
      </c>
      <c r="C93" s="21" t="s">
        <v>212</v>
      </c>
      <c r="D93" s="21" t="s">
        <v>461</v>
      </c>
      <c r="E93" s="13">
        <v>42846.587141203701</v>
      </c>
      <c r="F93" s="13">
        <v>42846.591157407405</v>
      </c>
      <c r="G93" s="7">
        <v>1</v>
      </c>
      <c r="H93" s="21" t="s">
        <v>563</v>
      </c>
      <c r="I93" s="13">
        <v>42846.621319444443</v>
      </c>
      <c r="J93" s="7">
        <v>1</v>
      </c>
      <c r="K93" s="97" t="str">
        <f t="shared" si="32"/>
        <v>4001/4002</v>
      </c>
      <c r="L93" s="21" t="str">
        <f>VLOOKUP(A93,'Trips&amp;Operators'!$C$1:$G$99999,5,FALSE)</f>
        <v>CLARK KATHLEEN</v>
      </c>
      <c r="M93" s="6">
        <f t="shared" si="33"/>
        <v>3.0162037037371192E-2</v>
      </c>
      <c r="N93" s="7">
        <f t="shared" si="45"/>
        <v>43.433333333814517</v>
      </c>
      <c r="O93" s="7"/>
      <c r="P93" s="7"/>
      <c r="Q93" s="22"/>
      <c r="R93" s="22"/>
      <c r="S93" s="31">
        <f t="shared" si="44"/>
        <v>1</v>
      </c>
      <c r="T93" s="46" t="str">
        <f t="shared" si="34"/>
        <v>Southbound</v>
      </c>
      <c r="U93" s="19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2" t="str">
        <f t="shared" si="35"/>
        <v>https://d0f6bd738d7f1b3e5a7ca70fe4ff75f0.us-east-1.aws.found.io/app/kibana#/discover/Steve-Slow-Train-Analysis-(2080s-and-2083s)?_g=(refreshInterval:(display:Off,pause:!f,section:0,value:0),time:(from:'2017-04-21T13:05:29-0600',mode:absolute,to:'2017-04-21T15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3" s="193" t="str">
        <f t="shared" si="36"/>
        <v>N</v>
      </c>
      <c r="X93" s="193">
        <f t="shared" si="27"/>
        <v>1</v>
      </c>
      <c r="Y93" s="193">
        <f t="shared" si="37"/>
        <v>23.298100000000002</v>
      </c>
      <c r="Z93" s="62">
        <f t="shared" si="38"/>
        <v>1.7399999999999999E-2</v>
      </c>
      <c r="AA93" s="62">
        <f t="shared" si="39"/>
        <v>23.280700000000003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0"/>
        <v>0178-21</v>
      </c>
      <c r="AE93" s="85" t="str">
        <f t="shared" si="41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93" s="82" t="str">
        <f t="shared" si="42"/>
        <v>"C:\Program Files (x86)\AstroGrep\AstroGrep.exe" /e /r /s /spath="%USERPROFILE%\AppData\Local\Temp\OnboardLogs" /stypes="app*4001*20170421*" /stext=" 20:.+((SYSTEM_STATE.+slice.+state.+changed )|(ment ac)|(multiple cpu faults)|(system.+state.+changed )|(\[timeout)|(PRM\|1\|D)|(kpr)|(kdp)|(\|lc)|(penalty))"</v>
      </c>
      <c r="AG93" s="1" t="str">
        <f t="shared" si="43"/>
        <v>EC</v>
      </c>
      <c r="AH93" s="86" t="str">
        <f t="shared" si="28"/>
        <v>"%USERPROFILE%\Documents\GitHub\eaglep3\Utilities\RefineRTDCRunTimes.py" --tripid 178-21 --locoid 4001 --swversion DE.1.0.9.0 --startMP 204:232981 --initTime 2017-04-21T14:05:29 --startdatetime 2017-04-21T14:11:16 --delay 1 --endMP 204:174 --enddatetime 2017-04-21T14:54:42 --enforcementcount 1 &gt;&gt;C:\Users\stu\Documents\GitHub\eaglep3-reporting\EC\2017-04-21-refined-times.txt</v>
      </c>
      <c r="AI93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{"issue":{"subject":"","project_id":79,"tracker_id":40,"status_id":1,"priority_id":2,"assigned_to_id":23,"start_date":"2017-04-21","description":"","custom_fields":[{"id":1,"name":"Subdivision","value":"EC"},{"id":4,"name":"Milepost","value":"0.0174"},{"id":17,"name":"Train ID","value":"178-21"},{"id":16,"name":"Locomotive ID","value":"4001"},{"id":130,"name":"Impact","value":""},{"id":150,"name":"Time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47" t="str">
        <f t="shared" si="30"/>
        <v>start /low /b %USERPROFILE%\Documents\GitHub\eaglep3\Utilities\DownloadLogsFromS3.py --loco 4001 --day 2017-04-21</v>
      </c>
      <c r="AN93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736</v>
      </c>
      <c r="B94" s="7">
        <v>4046</v>
      </c>
      <c r="C94" s="21" t="s">
        <v>212</v>
      </c>
      <c r="D94" s="21" t="s">
        <v>204</v>
      </c>
      <c r="E94" s="13">
        <v>42846.557962962965</v>
      </c>
      <c r="F94" s="13">
        <v>42846.562673611108</v>
      </c>
      <c r="G94" s="7">
        <v>1</v>
      </c>
      <c r="H94" s="21" t="s">
        <v>509</v>
      </c>
      <c r="I94" s="13">
        <v>42846.586967592593</v>
      </c>
      <c r="J94" s="7">
        <v>1</v>
      </c>
      <c r="K94" s="97" t="str">
        <f t="shared" si="32"/>
        <v>4045/4046</v>
      </c>
      <c r="L94" s="21" t="str">
        <f>VLOOKUP(A94,'Trips&amp;Operators'!$C$1:$G$99999,5,FALSE)</f>
        <v>BRUDER RICHARD</v>
      </c>
      <c r="M94" s="6">
        <f t="shared" si="33"/>
        <v>2.4293981485243421E-2</v>
      </c>
      <c r="N94" s="7">
        <f t="shared" si="45"/>
        <v>34.983333338750526</v>
      </c>
      <c r="O94" s="7"/>
      <c r="P94" s="7"/>
      <c r="Q94" s="22"/>
      <c r="R94" s="22"/>
      <c r="S94" s="31">
        <f t="shared" si="44"/>
        <v>1</v>
      </c>
      <c r="T94" s="46" t="str">
        <f t="shared" si="34"/>
        <v>NorthBound</v>
      </c>
      <c r="U94" s="19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2" t="str">
        <f t="shared" si="35"/>
        <v>https://d0f6bd738d7f1b3e5a7ca70fe4ff75f0.us-east-1.aws.found.io/app/kibana#/discover/Steve-Slow-Train-Analysis-(2080s-and-2083s)?_g=(refreshInterval:(display:Off,pause:!f,section:0,value:0),time:(from:'2017-04-21T12:23:28-0600',mode:absolute,to:'2017-04-21T15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4" s="193" t="str">
        <f t="shared" si="36"/>
        <v>N</v>
      </c>
      <c r="X94" s="193">
        <f t="shared" si="27"/>
        <v>1</v>
      </c>
      <c r="Y94" s="193">
        <f t="shared" si="37"/>
        <v>4.5999999999999999E-2</v>
      </c>
      <c r="Z94" s="62">
        <f t="shared" si="38"/>
        <v>23.329699999999999</v>
      </c>
      <c r="AA94" s="62">
        <f t="shared" si="39"/>
        <v>23.2837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0"/>
        <v>0179-21</v>
      </c>
      <c r="AE94" s="85" t="str">
        <f t="shared" si="41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94" s="82" t="str">
        <f t="shared" si="42"/>
        <v>"C:\Program Files (x86)\AstroGrep\AstroGrep.exe" /e /r /s /spath="%USERPROFILE%\AppData\Local\Temp\OnboardLogs" /stypes="app*4046*20170421*" /stext=" 20:.+((SYSTEM_STATE.+slice.+state.+changed )|(ment ac)|(multiple cpu faults)|(system.+state.+changed )|(\[timeout)|(PRM\|1\|D)|(kpr)|(kdp)|(\|lc)|(penalty))"</v>
      </c>
      <c r="AG94" s="1" t="str">
        <f t="shared" si="43"/>
        <v>EC</v>
      </c>
      <c r="AH94" s="86" t="str">
        <f t="shared" si="28"/>
        <v>"%USERPROFILE%\Documents\GitHub\eaglep3\Utilities\RefineRTDCRunTimes.py" --tripid 179-21 --locoid 4046 --swversion DE.1.0.9.0 --startMP 204:460 --initTime 2017-04-21T13:23:28 --startdatetime 2017-04-21T13:30:15 --delay 1 --endMP 204:233297 --enddatetime 2017-04-21T14:05:14 --enforcementcount 1 &gt;&gt;C:\Users\stu\Documents\GitHub\eaglep3-reporting\EC\2017-04-21-refined-times.txt</v>
      </c>
      <c r="AI94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{"issue":{"subject":"","project_id":79,"tracker_id":40,"status_id":1,"priority_id":2,"assigned_to_id":23,"start_date":"2017-04-21","description":"","custom_fields":[{"id":1,"name":"Subdivision","value":"EC"},{"id":4,"name":"Milepost","value":"23.3297"},{"id":17,"name":"Train ID","value":"179-21"},{"id":16,"name":"Locomotive ID","value":"4046"},{"id":130,"name":"Impact","value":""},{"id":150,"name":"Time of Event (Mountain Time)","value":"14:05:14"},{"id":151,"name":"Denver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47" t="str">
        <f t="shared" si="30"/>
        <v>start /low /b %USERPROFILE%\Documents\GitHub\eaglep3\Utilities\DownloadLogsFromS3.py --loco 4046 --day 2017-04-21</v>
      </c>
      <c r="AN94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743</v>
      </c>
      <c r="B95" s="7">
        <v>4045</v>
      </c>
      <c r="C95" s="21" t="s">
        <v>212</v>
      </c>
      <c r="D95" s="21" t="s">
        <v>851</v>
      </c>
      <c r="E95" s="13">
        <v>42846.593506944446</v>
      </c>
      <c r="F95" s="13">
        <v>42846.6015625</v>
      </c>
      <c r="G95" s="7">
        <v>2</v>
      </c>
      <c r="H95" s="21" t="s">
        <v>555</v>
      </c>
      <c r="I95" s="13">
        <v>42846.629641203705</v>
      </c>
      <c r="J95" s="7">
        <v>1</v>
      </c>
      <c r="K95" s="97" t="str">
        <f t="shared" si="32"/>
        <v>4045/4046</v>
      </c>
      <c r="L95" s="21" t="str">
        <f>VLOOKUP(A95,'Trips&amp;Operators'!$C$1:$G$99999,5,FALSE)</f>
        <v>BRUDER RICHARD</v>
      </c>
      <c r="M95" s="6">
        <f t="shared" si="33"/>
        <v>2.8078703704522923E-2</v>
      </c>
      <c r="N95" s="7">
        <f t="shared" si="45"/>
        <v>40.433333334513009</v>
      </c>
      <c r="O95" s="7"/>
      <c r="P95" s="7"/>
      <c r="Q95" s="22"/>
      <c r="R95" s="22"/>
      <c r="S95" s="31">
        <f t="shared" si="44"/>
        <v>1</v>
      </c>
      <c r="T95" s="46" t="str">
        <f t="shared" si="34"/>
        <v>Southbound</v>
      </c>
      <c r="U95" s="19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2" t="str">
        <f t="shared" si="35"/>
        <v>https://d0f6bd738d7f1b3e5a7ca70fe4ff75f0.us-east-1.aws.found.io/app/kibana#/discover/Steve-Slow-Train-Analysis-(2080s-and-2083s)?_g=(refreshInterval:(display:Off,pause:!f,section:0,value:0),time:(from:'2017-04-21T13:14:39-0600',mode:absolute,to:'2017-04-21T16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5" s="193" t="str">
        <f t="shared" si="36"/>
        <v>N</v>
      </c>
      <c r="X95" s="193">
        <f t="shared" si="27"/>
        <v>1</v>
      </c>
      <c r="Y95" s="193">
        <f t="shared" si="37"/>
        <v>23.299600000000002</v>
      </c>
      <c r="Z95" s="62">
        <f t="shared" si="38"/>
        <v>1.67E-2</v>
      </c>
      <c r="AA95" s="62">
        <f t="shared" si="39"/>
        <v>23.282900000000001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0"/>
        <v>0180-21</v>
      </c>
      <c r="AE95" s="85" t="str">
        <f t="shared" si="41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95" s="82" t="str">
        <f t="shared" si="42"/>
        <v>"C:\Program Files (x86)\AstroGrep\AstroGrep.exe" /e /r /s /spath="%USERPROFILE%\AppData\Local\Temp\OnboardLogs" /stypes="app*4045*20170421*" /stext=" 21:.+((SYSTEM_STATE.+slice.+state.+changed )|(ment ac)|(multiple cpu faults)|(system.+state.+changed )|(\[timeout)|(PRM\|1\|D)|(kpr)|(kdp)|(\|lc)|(penalty))"</v>
      </c>
      <c r="AG95" s="1" t="str">
        <f t="shared" si="43"/>
        <v>EC</v>
      </c>
      <c r="AH95" s="86" t="str">
        <f t="shared" si="28"/>
        <v>"%USERPROFILE%\Documents\GitHub\eaglep3\Utilities\RefineRTDCRunTimes.py" --tripid 180-21 --locoid 4045 --swversion DE.1.0.9.0 --startMP 204:232996 --initTime 2017-04-21T14:14:39 --startdatetime 2017-04-21T14:26:15 --delay 2 --endMP 204:167 --enddatetime 2017-04-21T15:06:41 --enforcementcount 1 &gt;&gt;C:\Users\stu\Documents\GitHub\eaglep3-reporting\EC\2017-04-21-refined-times.txt</v>
      </c>
      <c r="AI95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{"issue":{"subject":"","project_id":79,"tracker_id":40,"status_id":1,"priority_id":2,"assigned_to_id":23,"start_date":"2017-04-21","description":"","custom_fields":[{"id":1,"name":"Subdivision","value":"EC"},{"id":4,"name":"Milepost","value":"0.0167"},{"id":17,"name":"Train ID","value":"180-21"},{"id":16,"name":"Locomotive ID","value":"4045"},{"id":130,"name":"Impact","value":""},{"id":150,"name":"Time of Event (Mountain Time)","value":"15:06:41"},{"id":151,"name":"Denver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47" t="str">
        <f t="shared" si="30"/>
        <v>start /low /b %USERPROFILE%\Documents\GitHub\eaglep3\Utilities\DownloadLogsFromS3.py --loco 4045 --day 2017-04-21</v>
      </c>
      <c r="AN95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731</v>
      </c>
      <c r="B96" s="7">
        <v>4024</v>
      </c>
      <c r="C96" s="21" t="s">
        <v>212</v>
      </c>
      <c r="D96" s="21" t="s">
        <v>204</v>
      </c>
      <c r="E96" s="13">
        <v>42846.568703703706</v>
      </c>
      <c r="F96" s="13">
        <v>42846.573391203703</v>
      </c>
      <c r="G96" s="7">
        <v>2</v>
      </c>
      <c r="H96" s="21" t="s">
        <v>884</v>
      </c>
      <c r="I96" s="13">
        <v>42846.599085648151</v>
      </c>
      <c r="J96" s="7">
        <v>1</v>
      </c>
      <c r="K96" s="97" t="str">
        <f t="shared" si="32"/>
        <v>4023/4024</v>
      </c>
      <c r="L96" s="21" t="str">
        <f>VLOOKUP(A96,'Trips&amp;Operators'!$C$1:$G$99999,5,FALSE)</f>
        <v>LAMAR NEKESHA</v>
      </c>
      <c r="M96" s="6">
        <f t="shared" si="33"/>
        <v>2.5694444448163267E-2</v>
      </c>
      <c r="N96" s="7">
        <f t="shared" si="45"/>
        <v>37.000000005355105</v>
      </c>
      <c r="O96" s="7"/>
      <c r="P96" s="7"/>
      <c r="Q96" s="22"/>
      <c r="R96" s="22"/>
      <c r="S96" s="31">
        <f t="shared" si="44"/>
        <v>1</v>
      </c>
      <c r="T96" s="46" t="str">
        <f t="shared" si="34"/>
        <v>NorthBound</v>
      </c>
      <c r="U96" s="19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2" t="str">
        <f t="shared" si="35"/>
        <v>https://d0f6bd738d7f1b3e5a7ca70fe4ff75f0.us-east-1.aws.found.io/app/kibana#/discover/Steve-Slow-Train-Analysis-(2080s-and-2083s)?_g=(refreshInterval:(display:Off,pause:!f,section:0,value:0),time:(from:'2017-04-21T12:38:56-0600',mode:absolute,to:'2017-04-21T15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93" t="str">
        <f t="shared" si="36"/>
        <v>N</v>
      </c>
      <c r="X96" s="193">
        <f t="shared" ref="X96:X127" si="46">VALUE(LEFT(AD96,4))-VALUE(LEFT(AD95,4))</f>
        <v>1</v>
      </c>
      <c r="Y96" s="193">
        <f t="shared" si="37"/>
        <v>4.5999999999999999E-2</v>
      </c>
      <c r="Z96" s="62">
        <f t="shared" si="38"/>
        <v>23.33</v>
      </c>
      <c r="AA96" s="62">
        <f t="shared" si="39"/>
        <v>23.283999999999999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0"/>
        <v>0181-21</v>
      </c>
      <c r="AE96" s="85" t="str">
        <f t="shared" si="41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96" s="82" t="str">
        <f t="shared" si="42"/>
        <v>"C:\Program Files (x86)\AstroGrep\AstroGrep.exe" /e /r /s /spath="%USERPROFILE%\AppData\Local\Temp\OnboardLogs" /stypes="app*4024*20170421*" /stext=" 20:.+((SYSTEM_STATE.+slice.+state.+changed )|(ment ac)|(multiple cpu faults)|(system.+state.+changed )|(\[timeout)|(PRM\|1\|D)|(kpr)|(kdp)|(\|lc)|(penalty))"</v>
      </c>
      <c r="AG96" s="1" t="str">
        <f t="shared" si="43"/>
        <v>EC</v>
      </c>
      <c r="AH96" s="86" t="str">
        <f t="shared" si="28"/>
        <v>"%USERPROFILE%\Documents\GitHub\eaglep3\Utilities\RefineRTDCRunTimes.py" --tripid 181-21 --locoid 4024 --swversion DE.1.0.9.0 --startMP 204:460 --initTime 2017-04-21T13:38:56 --startdatetime 2017-04-21T13:45:41 --delay 2 --endMP 204:233300 --enddatetime 2017-04-21T14:22:41 --enforcementcount 1 &gt;&gt;C:\Users\stu\Documents\GitHub\eaglep3-reporting\EC\2017-04-21-refined-times.txt</v>
      </c>
      <c r="AI96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{"issue":{"subject":"","project_id":79,"tracker_id":40,"status_id":1,"priority_id":2,"assigned_to_id":23,"start_date":"2017-04-21","description":"","custom_fields":[{"id":1,"name":"Subdivision","value":"EC"},{"id":4,"name":"Milepost","value":"23.33"},{"id":17,"name":"Train ID","value":"181-21"},{"id":16,"name":"Locomotive ID","value":"4024"},{"id":130,"name":"Impact","value":""},{"id":150,"name":"Time of Event (Mountain Time)","value":"14:22:41"},{"id":151,"name":"Denver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47" t="str">
        <f t="shared" si="30"/>
        <v>start /low /b %USERPROFILE%\Documents\GitHub\eaglep3\Utilities\DownloadLogsFromS3.py --loco 4024 --day 2017-04-21</v>
      </c>
      <c r="AN96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745</v>
      </c>
      <c r="B97" s="7">
        <v>4023</v>
      </c>
      <c r="C97" s="21" t="s">
        <v>212</v>
      </c>
      <c r="D97" s="21" t="s">
        <v>373</v>
      </c>
      <c r="E97" s="13">
        <v>42846.607928240737</v>
      </c>
      <c r="F97" s="13">
        <v>42846.611967592595</v>
      </c>
      <c r="G97" s="7">
        <v>1</v>
      </c>
      <c r="H97" s="21" t="s">
        <v>438</v>
      </c>
      <c r="I97" s="13">
        <v>42846.640208333331</v>
      </c>
      <c r="J97" s="7">
        <v>1</v>
      </c>
      <c r="K97" s="97" t="str">
        <f t="shared" si="32"/>
        <v>4023/4024</v>
      </c>
      <c r="L97" s="21" t="str">
        <f>VLOOKUP(A97,'Trips&amp;Operators'!$C$1:$G$99999,5,FALSE)</f>
        <v>LAMAR NEKESHA</v>
      </c>
      <c r="M97" s="6">
        <f t="shared" si="33"/>
        <v>2.824074073578231E-2</v>
      </c>
      <c r="N97" s="7">
        <f t="shared" si="45"/>
        <v>40.666666659526527</v>
      </c>
      <c r="O97" s="7"/>
      <c r="P97" s="7"/>
      <c r="Q97" s="22"/>
      <c r="R97" s="22"/>
      <c r="S97" s="31">
        <f t="shared" si="44"/>
        <v>1</v>
      </c>
      <c r="T97" s="46" t="str">
        <f t="shared" si="34"/>
        <v>Southbound</v>
      </c>
      <c r="U97" s="19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2" t="str">
        <f t="shared" si="35"/>
        <v>https://d0f6bd738d7f1b3e5a7ca70fe4ff75f0.us-east-1.aws.found.io/app/kibana#/discover/Steve-Slow-Train-Analysis-(2080s-and-2083s)?_g=(refreshInterval:(display:Off,pause:!f,section:0,value:0),time:(from:'2017-04-21T13:35:25-0600',mode:absolute,to:'2017-04-21T16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93" t="str">
        <f t="shared" si="36"/>
        <v>N</v>
      </c>
      <c r="X97" s="193">
        <f t="shared" si="46"/>
        <v>1</v>
      </c>
      <c r="Y97" s="193">
        <f t="shared" si="37"/>
        <v>23.297699999999999</v>
      </c>
      <c r="Z97" s="62">
        <f t="shared" si="38"/>
        <v>1.6899999999999998E-2</v>
      </c>
      <c r="AA97" s="62">
        <f t="shared" si="39"/>
        <v>23.280799999999999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0"/>
        <v>0182-21</v>
      </c>
      <c r="AE97" s="85" t="str">
        <f t="shared" si="41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97" s="82" t="str">
        <f t="shared" si="42"/>
        <v>"C:\Program Files (x86)\AstroGrep\AstroGrep.exe" /e /r /s /spath="%USERPROFILE%\AppData\Local\Temp\OnboardLogs" /stypes="app*4023*20170421*" /stext=" 21:.+((SYSTEM_STATE.+slice.+state.+changed )|(ment ac)|(multiple cpu faults)|(system.+state.+changed )|(\[timeout)|(PRM\|1\|D)|(kpr)|(kdp)|(\|lc)|(penalty))"</v>
      </c>
      <c r="AG97" s="1" t="str">
        <f t="shared" si="43"/>
        <v>EC</v>
      </c>
      <c r="AH97" s="86" t="str">
        <f t="shared" si="28"/>
        <v>"%USERPROFILE%\Documents\GitHub\eaglep3\Utilities\RefineRTDCRunTimes.py" --tripid 182-21 --locoid 4023 --swversion DE.1.0.9.0 --startMP 204:232977 --initTime 2017-04-21T14:35:25 --startdatetime 2017-04-21T14:41:14 --delay 1 --endMP 204:169 --enddatetime 2017-04-21T15:21:54 --enforcementcount 1 &gt;&gt;C:\Users\stu\Documents\GitHub\eaglep3-reporting\EC\2017-04-21-refined-times.txt</v>
      </c>
      <c r="AI9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{"issue":{"subject":"","project_id":79,"tracker_id":40,"status_id":1,"priority_id":2,"assigned_to_id":23,"start_date":"2017-04-21","description":"","custom_fields":[{"id":1,"name":"Subdivision","value":"EC"},{"id":4,"name":"Milepost","value":"0.0169"},{"id":17,"name":"Train ID","value":"182-21"},{"id":16,"name":"Locomotive ID","value":"4023"},{"id":130,"name":"Impact","value":""},{"id":150,"name":"Time of Event (Mountain Time)","value":"15:21:54"},{"id":151,"name":"Denver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47" t="str">
        <f t="shared" si="30"/>
        <v>start /low /b %USERPROFILE%\Documents\GitHub\eaglep3\Utilities\DownloadLogsFromS3.py --loco 4023 --day 2017-04-21</v>
      </c>
      <c r="AN97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739</v>
      </c>
      <c r="B98" s="7">
        <v>4016</v>
      </c>
      <c r="C98" s="21" t="s">
        <v>212</v>
      </c>
      <c r="D98" s="21" t="s">
        <v>434</v>
      </c>
      <c r="E98" s="13">
        <v>42846.579780092594</v>
      </c>
      <c r="F98" s="13">
        <v>42846.583495370367</v>
      </c>
      <c r="G98" s="7">
        <v>1</v>
      </c>
      <c r="H98" s="21" t="s">
        <v>376</v>
      </c>
      <c r="I98" s="13">
        <v>42846.610451388886</v>
      </c>
      <c r="J98" s="7">
        <v>1</v>
      </c>
      <c r="K98" s="97" t="str">
        <f t="shared" si="32"/>
        <v>4015/4016</v>
      </c>
      <c r="L98" s="21" t="str">
        <f>VLOOKUP(A98,'Trips&amp;Operators'!$C$1:$G$99999,5,FALSE)</f>
        <v>LOPES KIMBERLY</v>
      </c>
      <c r="M98" s="6">
        <f t="shared" si="33"/>
        <v>2.6956018518831115E-2</v>
      </c>
      <c r="N98" s="7">
        <f t="shared" si="45"/>
        <v>38.816666667116806</v>
      </c>
      <c r="O98" s="7"/>
      <c r="P98" s="7"/>
      <c r="Q98" s="22"/>
      <c r="R98" s="22"/>
      <c r="S98" s="31">
        <f t="shared" si="44"/>
        <v>1</v>
      </c>
      <c r="T98" s="46" t="str">
        <f t="shared" si="34"/>
        <v>NorthBound</v>
      </c>
      <c r="U98" s="19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2" t="str">
        <f t="shared" si="35"/>
        <v>https://d0f6bd738d7f1b3e5a7ca70fe4ff75f0.us-east-1.aws.found.io/app/kibana#/discover/Steve-Slow-Train-Analysis-(2080s-and-2083s)?_g=(refreshInterval:(display:Off,pause:!f,section:0,value:0),time:(from:'2017-04-21T12:54:53-0600',mode:absolute,to:'2017-04-21T15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193" t="str">
        <f t="shared" si="36"/>
        <v>N</v>
      </c>
      <c r="X98" s="193">
        <f t="shared" si="46"/>
        <v>1</v>
      </c>
      <c r="Y98" s="193">
        <f t="shared" si="37"/>
        <v>4.4400000000000002E-2</v>
      </c>
      <c r="Z98" s="62">
        <f t="shared" si="38"/>
        <v>23.329499999999999</v>
      </c>
      <c r="AA98" s="62">
        <f t="shared" si="39"/>
        <v>23.2851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0"/>
        <v>0183-21</v>
      </c>
      <c r="AE98" s="85" t="str">
        <f t="shared" si="41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98" s="82" t="str">
        <f t="shared" si="42"/>
        <v>"C:\Program Files (x86)\AstroGrep\AstroGrep.exe" /e /r /s /spath="%USERPROFILE%\AppData\Local\Temp\OnboardLogs" /stypes="app*4016*20170421*" /stext=" 20:.+((SYSTEM_STATE.+slice.+state.+changed )|(ment ac)|(multiple cpu faults)|(system.+state.+changed )|(\[timeout)|(PRM\|1\|D)|(kpr)|(kdp)|(\|lc)|(penalty))"</v>
      </c>
      <c r="AG98" s="1" t="str">
        <f t="shared" si="43"/>
        <v>EC</v>
      </c>
      <c r="AH98" s="86" t="str">
        <f t="shared" si="28"/>
        <v>"%USERPROFILE%\Documents\GitHub\eaglep3\Utilities\RefineRTDCRunTimes.py" --tripid 183-21 --locoid 4016 --swversion DE.1.0.9.0 --startMP 204:444 --initTime 2017-04-21T13:54:53 --startdatetime 2017-04-21T14:00:14 --delay 1 --endMP 204:233295 --enddatetime 2017-04-21T14:39:03 --enforcementcount 1 &gt;&gt;C:\Users\stu\Documents\GitHub\eaglep3-reporting\EC\2017-04-21-refined-times.txt</v>
      </c>
      <c r="AI9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ID","value":"183-21"},{"id":16,"name":"Locomotive ID","value":"4016"},{"id":130,"name":"Impact","value":""},{"id":150,"name":"Time of Event (Mountain Time)","value":"14:39:03"},{"id":151,"name":"Denver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47" t="str">
        <f t="shared" si="30"/>
        <v>start /low /b %USERPROFILE%\Documents\GitHub\eaglep3\Utilities\DownloadLogsFromS3.py --loco 4016 --day 2017-04-21</v>
      </c>
      <c r="AN98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746</v>
      </c>
      <c r="B99" s="7">
        <v>4015</v>
      </c>
      <c r="C99" s="21" t="s">
        <v>212</v>
      </c>
      <c r="D99" s="21" t="s">
        <v>445</v>
      </c>
      <c r="E99" s="13">
        <v>42846.617523148147</v>
      </c>
      <c r="F99" s="13">
        <v>42846.622361111113</v>
      </c>
      <c r="G99" s="7">
        <v>2</v>
      </c>
      <c r="H99" s="21" t="s">
        <v>433</v>
      </c>
      <c r="I99" s="13">
        <v>42846.650937500002</v>
      </c>
      <c r="J99" s="7">
        <v>1</v>
      </c>
      <c r="K99" s="97" t="str">
        <f t="shared" si="32"/>
        <v>4015/4016</v>
      </c>
      <c r="L99" s="21" t="str">
        <f>VLOOKUP(A99,'Trips&amp;Operators'!$C$1:$G$99999,5,FALSE)</f>
        <v>LOPES KIMBERLY</v>
      </c>
      <c r="M99" s="6">
        <f t="shared" si="33"/>
        <v>2.8576388889632653E-2</v>
      </c>
      <c r="N99" s="7">
        <f t="shared" si="45"/>
        <v>41.150000001071021</v>
      </c>
      <c r="O99" s="7"/>
      <c r="P99" s="7"/>
      <c r="Q99" s="22"/>
      <c r="R99" s="22"/>
      <c r="S99" s="31">
        <f t="shared" si="44"/>
        <v>1</v>
      </c>
      <c r="T99" s="46" t="str">
        <f t="shared" si="34"/>
        <v>Southbound</v>
      </c>
      <c r="U99" s="19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2" t="str">
        <f t="shared" si="35"/>
        <v>https://d0f6bd738d7f1b3e5a7ca70fe4ff75f0.us-east-1.aws.found.io/app/kibana#/discover/Steve-Slow-Train-Analysis-(2080s-and-2083s)?_g=(refreshInterval:(display:Off,pause:!f,section:0,value:0),time:(from:'2017-04-21T13:49:14-0600',mode:absolute,to:'2017-04-21T16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193" t="str">
        <f t="shared" si="36"/>
        <v>N</v>
      </c>
      <c r="X99" s="193">
        <f t="shared" si="46"/>
        <v>1</v>
      </c>
      <c r="Y99" s="193">
        <f t="shared" si="37"/>
        <v>23.298400000000001</v>
      </c>
      <c r="Z99" s="62">
        <f t="shared" si="38"/>
        <v>1.5599999999999999E-2</v>
      </c>
      <c r="AA99" s="62">
        <f t="shared" si="39"/>
        <v>23.282800000000002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0"/>
        <v>0184-21</v>
      </c>
      <c r="AE99" s="85" t="str">
        <f t="shared" si="41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99" s="82" t="str">
        <f t="shared" si="42"/>
        <v>"C:\Program Files (x86)\AstroGrep\AstroGrep.exe" /e /r /s /spath="%USERPROFILE%\AppData\Local\Temp\OnboardLogs" /stypes="app*4015*20170421*" /stext=" 21:.+((SYSTEM_STATE.+slice.+state.+changed )|(ment ac)|(multiple cpu faults)|(system.+state.+changed )|(\[timeout)|(PRM\|1\|D)|(kpr)|(kdp)|(\|lc)|(penalty))"</v>
      </c>
      <c r="AG99" s="1" t="str">
        <f t="shared" si="43"/>
        <v>EC</v>
      </c>
      <c r="AH99" s="86" t="str">
        <f t="shared" si="28"/>
        <v>"%USERPROFILE%\Documents\GitHub\eaglep3\Utilities\RefineRTDCRunTimes.py" --tripid 184-21 --locoid 4015 --swversion DE.1.0.9.0 --startMP 204:232984 --initTime 2017-04-21T14:49:14 --startdatetime 2017-04-21T14:56:12 --delay 2 --endMP 204:156 --enddatetime 2017-04-21T15:37:21 --enforcementcount 1 &gt;&gt;C:\Users\stu\Documents\GitHub\eaglep3-reporting\EC\2017-04-21-refined-times.txt</v>
      </c>
      <c r="AI9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{"issue":{"subject":"","project_id":79,"tracker_id":40,"status_id":1,"priority_id":2,"assigned_to_id":23,"start_date":"2017-04-21","description":"","custom_fields":[{"id":1,"name":"Subdivision","value":"EC"},{"id":4,"name":"Milepost","value":"0.0156"},{"id":17,"name":"Train ID","value":"184-21"},{"id":16,"name":"Locomotive ID","value":"4015"},{"id":130,"name":"Impact","value":""},{"id":150,"name":"Time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47" t="str">
        <f t="shared" si="30"/>
        <v>start /low /b %USERPROFILE%\Documents\GitHub\eaglep3\Utilities\DownloadLogsFromS3.py --loco 4015 --day 2017-04-21</v>
      </c>
      <c r="AN99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742</v>
      </c>
      <c r="B100" s="7">
        <v>4044</v>
      </c>
      <c r="C100" s="21" t="s">
        <v>212</v>
      </c>
      <c r="D100" s="21" t="s">
        <v>204</v>
      </c>
      <c r="E100" s="13">
        <v>42846.590763888889</v>
      </c>
      <c r="F100" s="13">
        <v>42846.594027777777</v>
      </c>
      <c r="G100" s="7">
        <v>2</v>
      </c>
      <c r="H100" s="21" t="s">
        <v>557</v>
      </c>
      <c r="I100" s="13">
        <v>42846.619270833333</v>
      </c>
      <c r="J100" s="7">
        <v>1</v>
      </c>
      <c r="K100" s="97" t="str">
        <f t="shared" si="32"/>
        <v>4043/4044</v>
      </c>
      <c r="L100" s="21" t="str">
        <f>VLOOKUP(A100,'Trips&amp;Operators'!$C$1:$G$99999,5,FALSE)</f>
        <v>GRASTON MATHEU</v>
      </c>
      <c r="M100" s="6">
        <f t="shared" si="33"/>
        <v>2.5243055555620231E-2</v>
      </c>
      <c r="N100" s="7">
        <f t="shared" si="45"/>
        <v>36.350000000093132</v>
      </c>
      <c r="O100" s="7"/>
      <c r="P100" s="7"/>
      <c r="Q100" s="22"/>
      <c r="R100" s="22"/>
      <c r="S100" s="31">
        <f t="shared" si="44"/>
        <v>1</v>
      </c>
      <c r="T100" s="46" t="str">
        <f t="shared" si="34"/>
        <v>NorthBound</v>
      </c>
      <c r="U100" s="19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2" t="str">
        <f t="shared" si="35"/>
        <v>https://d0f6bd738d7f1b3e5a7ca70fe4ff75f0.us-east-1.aws.found.io/app/kibana#/discover/Steve-Slow-Train-Analysis-(2080s-and-2083s)?_g=(refreshInterval:(display:Off,pause:!f,section:0,value:0),time:(from:'2017-04-21T13:10:42-0600',mode:absolute,to:'2017-04-21T15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193" t="str">
        <f t="shared" si="36"/>
        <v>N</v>
      </c>
      <c r="X100" s="193">
        <f t="shared" si="46"/>
        <v>1</v>
      </c>
      <c r="Y100" s="193">
        <f t="shared" si="37"/>
        <v>4.5999999999999999E-2</v>
      </c>
      <c r="Z100" s="62">
        <f t="shared" si="38"/>
        <v>23.330400000000001</v>
      </c>
      <c r="AA100" s="62">
        <f t="shared" si="39"/>
        <v>23.284400000000002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40"/>
        <v>0185-21</v>
      </c>
      <c r="AE100" s="85" t="str">
        <f t="shared" si="41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00" s="82" t="str">
        <f t="shared" si="42"/>
        <v>"C:\Program Files (x86)\AstroGrep\AstroGrep.exe" /e /r /s /spath="%USERPROFILE%\AppData\Local\Temp\OnboardLogs" /stypes="app*4044*20170421*" /stext=" 20:.+((SYSTEM_STATE.+slice.+state.+changed )|(ment ac)|(multiple cpu faults)|(system.+state.+changed )|(\[timeout)|(PRM\|1\|D)|(kpr)|(kdp)|(\|lc)|(penalty))"</v>
      </c>
      <c r="AG100" s="1" t="str">
        <f t="shared" si="43"/>
        <v>EC</v>
      </c>
      <c r="AH100" s="86" t="str">
        <f t="shared" si="28"/>
        <v>"%USERPROFILE%\Documents\GitHub\eaglep3\Utilities\RefineRTDCRunTimes.py" --tripid 185-21 --locoid 4044 --swversion DE.1.0.9.0 --startMP 204:460 --initTime 2017-04-21T14:10:42 --startdatetime 2017-04-21T14:15:24 --delay 2 --endMP 204:233304 --enddatetime 2017-04-21T14:51:45 --enforcementcount 1 &gt;&gt;C:\Users\stu\Documents\GitHub\eaglep3-reporting\EC\2017-04-21-refined-times.txt</v>
      </c>
      <c r="AI10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{"issue":{"subject":"","project_id":79,"tracker_id":40,"status_id":1,"priority_id":2,"assigned_to_id":23,"start_date":"2017-04-21","description":"","custom_fields":[{"id":1,"name":"Subdivision","value":"EC"},{"id":4,"name":"Milepost","value":"23.3304"},{"id":17,"name":"Train ID","value":"185-21"},{"id":16,"name":"Locomotive ID","value":"4044"},{"id":130,"name":"Impact","value":""},{"id":150,"name":"Time of Event (Mountain Time)","value":"14:51:45"},{"id":151,"name":"Denver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47" t="str">
        <f t="shared" si="30"/>
        <v>start /low /b %USERPROFILE%\Documents\GitHub\eaglep3\Utilities\DownloadLogsFromS3.py --loco 4044 --day 2017-04-21</v>
      </c>
      <c r="AN100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747</v>
      </c>
      <c r="B101" s="7">
        <v>4043</v>
      </c>
      <c r="C101" s="21" t="s">
        <v>212</v>
      </c>
      <c r="D101" s="21" t="s">
        <v>477</v>
      </c>
      <c r="E101" s="13">
        <v>42846.621481481481</v>
      </c>
      <c r="F101" s="13">
        <v>42846.632847222223</v>
      </c>
      <c r="G101" s="7">
        <v>1</v>
      </c>
      <c r="H101" s="21" t="s">
        <v>202</v>
      </c>
      <c r="I101" s="13">
        <v>42846.659317129626</v>
      </c>
      <c r="J101" s="7">
        <v>1</v>
      </c>
      <c r="K101" s="97" t="str">
        <f t="shared" si="32"/>
        <v>4043/4044</v>
      </c>
      <c r="L101" s="21" t="str">
        <f>VLOOKUP(A101,'Trips&amp;Operators'!$C$1:$G$99999,5,FALSE)</f>
        <v>GRASTON MATHEU</v>
      </c>
      <c r="M101" s="6">
        <f t="shared" si="33"/>
        <v>2.6469907403225079E-2</v>
      </c>
      <c r="N101" s="7">
        <f t="shared" si="45"/>
        <v>38.116666660644114</v>
      </c>
      <c r="O101" s="7"/>
      <c r="P101" s="7"/>
      <c r="Q101" s="22"/>
      <c r="R101" s="22"/>
      <c r="S101" s="31">
        <f t="shared" si="44"/>
        <v>1</v>
      </c>
      <c r="T101" s="46" t="str">
        <f t="shared" si="34"/>
        <v>Southbound</v>
      </c>
      <c r="U101" s="19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2" t="str">
        <f t="shared" si="35"/>
        <v>https://d0f6bd738d7f1b3e5a7ca70fe4ff75f0.us-east-1.aws.found.io/app/kibana#/discover/Steve-Slow-Train-Analysis-(2080s-and-2083s)?_g=(refreshInterval:(display:Off,pause:!f,section:0,value:0),time:(from:'2017-04-21T13:54:56-0600',mode:absolute,to:'2017-04-21T16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193" t="str">
        <f t="shared" si="36"/>
        <v>N</v>
      </c>
      <c r="X101" s="193">
        <f t="shared" si="46"/>
        <v>1</v>
      </c>
      <c r="Y101" s="193">
        <f t="shared" si="37"/>
        <v>23.299399999999999</v>
      </c>
      <c r="Z101" s="62">
        <f t="shared" si="38"/>
        <v>1.54E-2</v>
      </c>
      <c r="AA101" s="62">
        <f t="shared" si="39"/>
        <v>23.283999999999999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40"/>
        <v>0186-21</v>
      </c>
      <c r="AE101" s="85" t="str">
        <f t="shared" si="41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101" s="82" t="str">
        <f t="shared" si="42"/>
        <v>"C:\Program Files (x86)\AstroGrep\AstroGrep.exe" /e /r /s /spath="%USERPROFILE%\AppData\Local\Temp\OnboardLogs" /stypes="app*4043*20170421*" /stext=" 21:.+((SYSTEM_STATE.+slice.+state.+changed )|(ment ac)|(multiple cpu faults)|(system.+state.+changed )|(\[timeout)|(PRM\|1\|D)|(kpr)|(kdp)|(\|lc)|(penalty))"</v>
      </c>
      <c r="AG101" s="1" t="str">
        <f t="shared" si="43"/>
        <v>EC</v>
      </c>
      <c r="AH101" s="86" t="str">
        <f t="shared" si="28"/>
        <v>"%USERPROFILE%\Documents\GitHub\eaglep3\Utilities\RefineRTDCRunTimes.py" --tripid 186-21 --locoid 4043 --swversion DE.1.0.9.0 --startMP 204:232994 --initTime 2017-04-21T14:54:56 --startdatetime 2017-04-21T15:11:18 --delay 1 --endMP 204:154 --enddatetime 2017-04-21T15:49:25 --enforcementcount 1 &gt;&gt;C:\Users\stu\Documents\GitHub\eaglep3-reporting\EC\2017-04-21-refined-times.txt</v>
      </c>
      <c r="AI101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{"issue":{"subject":"","project_id":79,"tracker_id":40,"status_id":1,"priority_id":2,"assigned_to_id":23,"start_date":"2017-04-21","description":"","custom_fields":[{"id":1,"name":"Subdivision","value":"EC"},{"id":4,"name":"Milepost","value":"0.0154"},{"id":17,"name":"Train ID","value":"186-21"},{"id":16,"name":"Locomotive ID","value":"4043"},{"id":130,"name":"Impact","value":""},{"id":150,"name":"Time of Event (Mountain Time)","value":"15:49:25"},{"id":151,"name":"Denver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47" t="str">
        <f t="shared" si="30"/>
        <v>start /low /b %USERPROFILE%\Documents\GitHub\eaglep3\Utilities\DownloadLogsFromS3.py --loco 4043 --day 2017-04-21</v>
      </c>
      <c r="AN101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744</v>
      </c>
      <c r="B102" s="7">
        <v>4040</v>
      </c>
      <c r="C102" s="21" t="s">
        <v>212</v>
      </c>
      <c r="D102" s="21" t="s">
        <v>410</v>
      </c>
      <c r="E102" s="13">
        <v>42846.600578703707</v>
      </c>
      <c r="F102" s="13">
        <v>42846.604351851849</v>
      </c>
      <c r="G102" s="7">
        <v>2</v>
      </c>
      <c r="H102" s="21" t="s">
        <v>885</v>
      </c>
      <c r="I102" s="13">
        <v>42846.63071759259</v>
      </c>
      <c r="J102" s="7">
        <v>1</v>
      </c>
      <c r="K102" s="97" t="str">
        <f t="shared" si="32"/>
        <v>4039/4040</v>
      </c>
      <c r="L102" s="21" t="str">
        <f>VLOOKUP(A102,'Trips&amp;Operators'!$C$1:$G$99999,5,FALSE)</f>
        <v>STEWART MICHAEL</v>
      </c>
      <c r="M102" s="6">
        <f t="shared" si="33"/>
        <v>2.6365740741312038E-2</v>
      </c>
      <c r="N102" s="7">
        <f t="shared" si="45"/>
        <v>37.966666667489335</v>
      </c>
      <c r="O102" s="7"/>
      <c r="P102" s="7"/>
      <c r="Q102" s="22"/>
      <c r="R102" s="22"/>
      <c r="S102" s="31">
        <f t="shared" si="44"/>
        <v>1</v>
      </c>
      <c r="T102" s="46" t="str">
        <f t="shared" si="34"/>
        <v>NorthBound</v>
      </c>
      <c r="U102" s="19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2" t="str">
        <f t="shared" si="35"/>
        <v>https://d0f6bd738d7f1b3e5a7ca70fe4ff75f0.us-east-1.aws.found.io/app/kibana#/discover/Steve-Slow-Train-Analysis-(2080s-and-2083s)?_g=(refreshInterval:(display:Off,pause:!f,section:0,value:0),time:(from:'2017-04-21T13:24:50-0600',mode:absolute,to:'2017-04-21T16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2" s="193" t="str">
        <f t="shared" si="36"/>
        <v>N</v>
      </c>
      <c r="X102" s="193">
        <f t="shared" si="46"/>
        <v>1</v>
      </c>
      <c r="Y102" s="193">
        <f t="shared" si="37"/>
        <v>4.6699999999999998E-2</v>
      </c>
      <c r="Z102" s="62">
        <f t="shared" si="38"/>
        <v>23.328800000000001</v>
      </c>
      <c r="AA102" s="62">
        <f t="shared" si="39"/>
        <v>23.2821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0"/>
        <v>0187-21</v>
      </c>
      <c r="AE102" s="85" t="str">
        <f t="shared" si="41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102" s="82" t="str">
        <f t="shared" si="42"/>
        <v>"C:\Program Files (x86)\AstroGrep\AstroGrep.exe" /e /r /s /spath="%USERPROFILE%\AppData\Local\Temp\OnboardLogs" /stypes="app*4040*20170421*" /stext=" 21:.+((SYSTEM_STATE.+slice.+state.+changed )|(ment ac)|(multiple cpu faults)|(system.+state.+changed )|(\[timeout)|(PRM\|1\|D)|(kpr)|(kdp)|(\|lc)|(penalty))"</v>
      </c>
      <c r="AG102" s="1" t="str">
        <f t="shared" si="43"/>
        <v>EC</v>
      </c>
      <c r="AH102" s="86" t="str">
        <f t="shared" si="28"/>
        <v>"%USERPROFILE%\Documents\GitHub\eaglep3\Utilities\RefineRTDCRunTimes.py" --tripid 187-21 --locoid 4040 --swversion DE.1.0.9.0 --startMP 204:467 --initTime 2017-04-21T14:24:50 --startdatetime 2017-04-21T14:30:16 --delay 2 --endMP 204:233288 --enddatetime 2017-04-21T15:08:14 --enforcementcount 1 &gt;&gt;C:\Users\stu\Documents\GitHub\eaglep3-reporting\EC\2017-04-21-refined-times.txt</v>
      </c>
      <c r="AI102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{"issue":{"subject":"","project_id":79,"tracker_id":40,"status_id":1,"priority_id":2,"assigned_to_id":23,"start_date":"2017-04-21","description":"","custom_fields":[{"id":1,"name":"Subdivision","value":"EC"},{"id":4,"name":"Milepost","value":"23.3288"},{"id":17,"name":"Train ID","value":"187-21"},{"id":16,"name":"Locomotive ID","value":"4040"},{"id":130,"name":"Impact","value":""},{"id":150,"name":"Time of Event (Mountain Time)","value":"15:08:14"},{"id":151,"name":"Denver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47" t="str">
        <f t="shared" si="30"/>
        <v>start /low /b %USERPROFILE%\Documents\GitHub\eaglep3\Utilities\DownloadLogsFromS3.py --loco 4040 --day 2017-04-21</v>
      </c>
      <c r="AN102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617</v>
      </c>
      <c r="B103" s="7">
        <v>4039</v>
      </c>
      <c r="C103" s="21" t="s">
        <v>212</v>
      </c>
      <c r="D103" s="21" t="s">
        <v>481</v>
      </c>
      <c r="E103" s="13">
        <v>42846.637604166666</v>
      </c>
      <c r="F103" s="13">
        <v>42846.64329861111</v>
      </c>
      <c r="G103" s="7">
        <v>1</v>
      </c>
      <c r="H103" s="21" t="s">
        <v>414</v>
      </c>
      <c r="I103" s="13">
        <v>42846.672986111109</v>
      </c>
      <c r="J103" s="7">
        <v>1</v>
      </c>
      <c r="K103" s="97" t="str">
        <f t="shared" si="32"/>
        <v>4039/4040</v>
      </c>
      <c r="L103" s="21" t="str">
        <f>VLOOKUP(A103,'Trips&amp;Operators'!$C$1:$G$99999,5,FALSE)</f>
        <v>STEWART MICHAEL</v>
      </c>
      <c r="M103" s="6">
        <f t="shared" si="33"/>
        <v>2.9687499998544808E-2</v>
      </c>
      <c r="N103" s="7">
        <f t="shared" si="45"/>
        <v>42.749999997904524</v>
      </c>
      <c r="O103" s="7"/>
      <c r="P103" s="7"/>
      <c r="Q103" s="22"/>
      <c r="R103" s="22"/>
      <c r="S103" s="31">
        <f t="shared" si="44"/>
        <v>1</v>
      </c>
      <c r="T103" s="46" t="str">
        <f t="shared" si="34"/>
        <v>Southbound</v>
      </c>
      <c r="U103" s="19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2" t="str">
        <f t="shared" si="35"/>
        <v>https://d0f6bd738d7f1b3e5a7ca70fe4ff75f0.us-east-1.aws.found.io/app/kibana#/discover/Steve-Slow-Train-Analysis-(2080s-and-2083s)?_g=(refreshInterval:(display:Off,pause:!f,section:0,value:0),time:(from:'2017-04-21T14:18:09-0600',mode:absolute,to:'2017-04-21T17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3" s="193" t="str">
        <f t="shared" si="36"/>
        <v>N</v>
      </c>
      <c r="X103" s="193">
        <f t="shared" si="46"/>
        <v>1</v>
      </c>
      <c r="Y103" s="193">
        <f t="shared" si="37"/>
        <v>23.2971</v>
      </c>
      <c r="Z103" s="62">
        <f t="shared" si="38"/>
        <v>1.4999999999999999E-2</v>
      </c>
      <c r="AA103" s="62">
        <f t="shared" si="39"/>
        <v>23.2821</v>
      </c>
      <c r="AB103" s="59" t="str">
        <f>VLOOKUP(A103,Enforcements!$C$7:$K$13,8,0)</f>
        <v>Bulletin (2)</v>
      </c>
      <c r="AC103" s="55" t="str">
        <f>VLOOKUP(A103,Enforcements!$C$7:$E$13,3,0)</f>
        <v>GRADE CROSSING</v>
      </c>
      <c r="AD103" s="56" t="str">
        <f t="shared" si="40"/>
        <v>0188-21</v>
      </c>
      <c r="AE103" s="85" t="str">
        <f t="shared" si="41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103" s="82" t="str">
        <f t="shared" si="42"/>
        <v>"C:\Program Files (x86)\AstroGrep\AstroGrep.exe" /e /r /s /spath="%USERPROFILE%\AppData\Local\Temp\OnboardLogs" /stypes="app*4039*20170421*" /stext=" 22:.+((SYSTEM_STATE.+slice.+state.+changed )|(ment ac)|(multiple cpu faults)|(system.+state.+changed )|(\[timeout)|(PRM\|1\|D)|(kpr)|(kdp)|(\|lc)|(penalty))"</v>
      </c>
      <c r="AG103" s="1" t="str">
        <f t="shared" si="43"/>
        <v>EC</v>
      </c>
      <c r="AH103" s="86" t="str">
        <f t="shared" si="28"/>
        <v>"%USERPROFILE%\Documents\GitHub\eaglep3\Utilities\RefineRTDCRunTimes.py" --tripid 188-21 --locoid 4039 --swversion DE.1.0.9.0 --startMP 204:232971 --initTime 2017-04-21T15:18:09 --startdatetime 2017-04-21T15:26:21 --delay 1 --endMP 204:150 --enddatetime 2017-04-21T16:09:06 --enforcementcount 1 &gt;&gt;C:\Users\stu\Documents\GitHub\eaglep3-reporting\EC\2017-04-21-refined-times.txt</v>
      </c>
      <c r="AI103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{"issue":{"subject":"","project_id":79,"tracker_id":40,"status_id":1,"priority_id":2,"assigned_to_id":23,"start_date":"2017-04-21","description":"","custom_fields":[{"id":1,"name":"Subdivision","value":"EC"},{"id":4,"name":"Milepost","value":"0.015"},{"id":17,"name":"Train ID","value":"188-21"},{"id":16,"name":"Locomotive ID","value":"4039"},{"id":130,"name":"Impact","value":""},{"id":150,"name":"Time of Event (Mountain Time)","value":"16:09:06"},{"id":151,"name":"Denver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47" t="str">
        <f t="shared" si="30"/>
        <v>start /low /b %USERPROFILE%\Documents\GitHub\eaglep3\Utilities\DownloadLogsFromS3.py --loco 4039 --day 2017-04-21</v>
      </c>
      <c r="AN103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613</v>
      </c>
      <c r="B104" s="7">
        <v>4004</v>
      </c>
      <c r="C104" s="21" t="s">
        <v>212</v>
      </c>
      <c r="D104" s="21" t="s">
        <v>423</v>
      </c>
      <c r="E104" s="13">
        <v>42846.612476851849</v>
      </c>
      <c r="F104" s="13">
        <v>42846.614768518521</v>
      </c>
      <c r="G104" s="7">
        <v>1</v>
      </c>
      <c r="H104" s="21" t="s">
        <v>886</v>
      </c>
      <c r="I104" s="13">
        <v>42846.64025462963</v>
      </c>
      <c r="J104" s="7">
        <v>1</v>
      </c>
      <c r="K104" s="97" t="str">
        <f t="shared" si="32"/>
        <v>4003/4004</v>
      </c>
      <c r="L104" s="21" t="str">
        <f>VLOOKUP(A104,'Trips&amp;Operators'!$C$1:$G$99999,5,FALSE)</f>
        <v>ROMERO CHAD</v>
      </c>
      <c r="M104" s="6">
        <f t="shared" si="33"/>
        <v>2.548611110978527E-2</v>
      </c>
      <c r="N104" s="7">
        <f t="shared" si="45"/>
        <v>36.699999998090789</v>
      </c>
      <c r="O104" s="7"/>
      <c r="P104" s="7"/>
      <c r="Q104" s="22"/>
      <c r="R104" s="22"/>
      <c r="S104" s="31">
        <f t="shared" si="44"/>
        <v>1</v>
      </c>
      <c r="T104" s="46" t="str">
        <f t="shared" si="34"/>
        <v>NorthBound</v>
      </c>
      <c r="U104" s="19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2" t="str">
        <f t="shared" si="35"/>
        <v>https://d0f6bd738d7f1b3e5a7ca70fe4ff75f0.us-east-1.aws.found.io/app/kibana#/discover/Steve-Slow-Train-Analysis-(2080s-and-2083s)?_g=(refreshInterval:(display:Off,pause:!f,section:0,value:0),time:(from:'2017-04-21T13:41:58-0600',mode:absolute,to:'2017-04-21T16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93" t="str">
        <f t="shared" si="36"/>
        <v>N</v>
      </c>
      <c r="X104" s="193">
        <f t="shared" si="46"/>
        <v>1</v>
      </c>
      <c r="Y104" s="193">
        <f t="shared" si="37"/>
        <v>4.4200000000000003E-2</v>
      </c>
      <c r="Z104" s="62">
        <f t="shared" si="38"/>
        <v>23.336400000000001</v>
      </c>
      <c r="AA104" s="62">
        <f t="shared" si="39"/>
        <v>23.292200000000001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0"/>
        <v>0189-21</v>
      </c>
      <c r="AE104" s="85" t="str">
        <f t="shared" si="41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104" s="82" t="str">
        <f t="shared" si="42"/>
        <v>"C:\Program Files (x86)\AstroGrep\AstroGrep.exe" /e /r /s /spath="%USERPROFILE%\AppData\Local\Temp\OnboardLogs" /stypes="app*4004*20170421*" /stext=" 21:.+((SYSTEM_STATE.+slice.+state.+changed )|(ment ac)|(multiple cpu faults)|(system.+state.+changed )|(\[timeout)|(PRM\|1\|D)|(kpr)|(kdp)|(\|lc)|(penalty))"</v>
      </c>
      <c r="AG104" s="1" t="str">
        <f t="shared" si="43"/>
        <v>EC</v>
      </c>
      <c r="AH104" s="86" t="str">
        <f t="shared" si="28"/>
        <v>"%USERPROFILE%\Documents\GitHub\eaglep3\Utilities\RefineRTDCRunTimes.py" --tripid 189-21 --locoid 4004 --swversion DE.1.0.9.0 --startMP 204:442 --initTime 2017-04-21T14:41:58 --startdatetime 2017-04-21T14:45:16 --delay 1 --endMP 204:233364 --enddatetime 2017-04-21T15:21:58 --enforcementcount 1 &gt;&gt;C:\Users\stu\Documents\GitHub\eaglep3-reporting\EC\2017-04-21-refined-times.txt</v>
      </c>
      <c r="AI104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{"issue":{"subject":"","project_id":79,"tracker_id":40,"status_id":1,"priority_id":2,"assigned_to_id":23,"start_date":"2017-04-21","description":"","custom_fields":[{"id":1,"name":"Subdivision","value":"EC"},{"id":4,"name":"Milepost","value":"23.3364"},{"id":17,"name":"Train ID","value":"189-21"},{"id":16,"name":"Locomotive ID","value":"4004"},{"id":130,"name":"Impact","value":""},{"id":150,"name":"Time of Event (Mountain Time)","value":"15:21:58"},{"id":151,"name":"Denver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47" t="str">
        <f t="shared" si="30"/>
        <v>start /low /b %USERPROFILE%\Documents\GitHub\eaglep3\Utilities\DownloadLogsFromS3.py --loco 4004 --day 2017-04-21</v>
      </c>
      <c r="AN104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751</v>
      </c>
      <c r="B105" s="7">
        <v>4003</v>
      </c>
      <c r="C105" s="21" t="s">
        <v>212</v>
      </c>
      <c r="D105" s="21" t="s">
        <v>887</v>
      </c>
      <c r="E105" s="13">
        <v>42846.641458333332</v>
      </c>
      <c r="F105" s="13">
        <v>42846.653865740744</v>
      </c>
      <c r="G105" s="7">
        <v>1</v>
      </c>
      <c r="H105" s="21" t="s">
        <v>508</v>
      </c>
      <c r="I105" s="13">
        <v>42846.681076388886</v>
      </c>
      <c r="J105" s="7">
        <v>1</v>
      </c>
      <c r="K105" s="97" t="str">
        <f t="shared" si="32"/>
        <v>4003/4004</v>
      </c>
      <c r="L105" s="21" t="str">
        <f>VLOOKUP(A105,'Trips&amp;Operators'!$C$1:$G$99999,5,FALSE)</f>
        <v>ROMERO CHAD</v>
      </c>
      <c r="M105" s="6">
        <f t="shared" si="33"/>
        <v>2.7210648142499849E-2</v>
      </c>
      <c r="N105" s="7">
        <f t="shared" si="45"/>
        <v>39.183333325199783</v>
      </c>
      <c r="O105" s="7"/>
      <c r="P105" s="7"/>
      <c r="Q105" s="22"/>
      <c r="R105" s="22"/>
      <c r="S105" s="31">
        <f t="shared" si="44"/>
        <v>1</v>
      </c>
      <c r="T105" s="46" t="str">
        <f t="shared" si="34"/>
        <v>Southbound</v>
      </c>
      <c r="U105" s="19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2" t="str">
        <f t="shared" si="35"/>
        <v>https://d0f6bd738d7f1b3e5a7ca70fe4ff75f0.us-east-1.aws.found.io/app/kibana#/discover/Steve-Slow-Train-Analysis-(2080s-and-2083s)?_g=(refreshInterval:(display:Off,pause:!f,section:0,value:0),time:(from:'2017-04-21T14:23:42-0600',mode:absolute,to:'2017-04-21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5" s="193" t="str">
        <f t="shared" si="36"/>
        <v>N</v>
      </c>
      <c r="X105" s="193">
        <f t="shared" si="46"/>
        <v>1</v>
      </c>
      <c r="Y105" s="193">
        <f t="shared" si="37"/>
        <v>23.305700000000002</v>
      </c>
      <c r="Z105" s="62">
        <f t="shared" si="38"/>
        <v>1.2699999999999999E-2</v>
      </c>
      <c r="AA105" s="62">
        <f t="shared" si="39"/>
        <v>23.293000000000003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0"/>
        <v>0190-21</v>
      </c>
      <c r="AE105" s="85" t="str">
        <f t="shared" si="41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105" s="82" t="str">
        <f t="shared" si="42"/>
        <v>"C:\Program Files (x86)\AstroGrep\AstroGrep.exe" /e /r /s /spath="%USERPROFILE%\AppData\Local\Temp\OnboardLogs" /stypes="app*4003*20170421*" /stext=" 22:.+((SYSTEM_STATE.+slice.+state.+changed )|(ment ac)|(multiple cpu faults)|(system.+state.+changed )|(\[timeout)|(PRM\|1\|D)|(kpr)|(kdp)|(\|lc)|(penalty))"</v>
      </c>
      <c r="AG105" s="1" t="str">
        <f t="shared" si="43"/>
        <v>EC</v>
      </c>
      <c r="AH105" s="86" t="str">
        <f t="shared" si="28"/>
        <v>"%USERPROFILE%\Documents\GitHub\eaglep3\Utilities\RefineRTDCRunTimes.py" --tripid 190-21 --locoid 4003 --swversion DE.1.0.9.0 --startMP 204:233057 --initTime 2017-04-21T15:23:42 --startdatetime 2017-04-21T15:41:34 --delay 1 --endMP 204:127 --enddatetime 2017-04-21T16:20:45 --enforcementcount 1 &gt;&gt;C:\Users\stu\Documents\GitHub\eaglep3-reporting\EC\2017-04-21-refined-times.txt</v>
      </c>
      <c r="AI105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{"issue":{"subject":"","project_id":79,"tracker_id":40,"status_id":1,"priority_id":2,"assigned_to_id":23,"start_date":"2017-04-21","description":"","custom_fields":[{"id":1,"name":"Subdivision","value":"EC"},{"id":4,"name":"Milepost","value":"0.0127"},{"id":17,"name":"Train ID","value":"190-21"},{"id":16,"name":"Locomotive ID","value":"4003"},{"id":130,"name":"Impact","value":""},{"id":150,"name":"Time of Event (Mountain Time)","value":"16:20:45"},{"id":151,"name":"Denver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47" t="str">
        <f t="shared" si="30"/>
        <v>start /low /b %USERPROFILE%\Documents\GitHub\eaglep3\Utilities\DownloadLogsFromS3.py --loco 4003 --day 2017-04-21</v>
      </c>
      <c r="AN105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3" t="s">
        <v>748</v>
      </c>
      <c r="B106" s="7">
        <v>4002</v>
      </c>
      <c r="C106" s="21" t="s">
        <v>212</v>
      </c>
      <c r="D106" s="21" t="s">
        <v>888</v>
      </c>
      <c r="E106" s="13">
        <v>42846.623333333337</v>
      </c>
      <c r="F106" s="13">
        <v>42846.625358796293</v>
      </c>
      <c r="G106" s="7">
        <v>1</v>
      </c>
      <c r="H106" s="21" t="s">
        <v>484</v>
      </c>
      <c r="I106" s="13">
        <v>42846.651782407411</v>
      </c>
      <c r="J106" s="7">
        <v>1</v>
      </c>
      <c r="K106" s="97" t="str">
        <f t="shared" si="32"/>
        <v>4001/4002</v>
      </c>
      <c r="L106" s="21" t="str">
        <f>VLOOKUP(A106,'Trips&amp;Operators'!$C$1:$G$99999,5,FALSE)</f>
        <v>CLARK KATHLEEN</v>
      </c>
      <c r="M106" s="6">
        <f t="shared" si="33"/>
        <v>2.6423611117934342E-2</v>
      </c>
      <c r="N106" s="7">
        <f t="shared" si="45"/>
        <v>38.050000009825453</v>
      </c>
      <c r="O106" s="7"/>
      <c r="P106" s="7"/>
      <c r="Q106" s="22"/>
      <c r="R106" s="22"/>
      <c r="S106" s="31">
        <f t="shared" si="44"/>
        <v>1</v>
      </c>
      <c r="T106" s="46" t="str">
        <f t="shared" si="34"/>
        <v>NorthBound</v>
      </c>
      <c r="U106" s="19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2" t="str">
        <f t="shared" si="35"/>
        <v>https://d0f6bd738d7f1b3e5a7ca70fe4ff75f0.us-east-1.aws.found.io/app/kibana#/discover/Steve-Slow-Train-Analysis-(2080s-and-2083s)?_g=(refreshInterval:(display:Off,pause:!f,section:0,value:0),time:(from:'2017-04-21T13:57:36-0600',mode:absolute,to:'2017-04-21T16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6" s="193" t="str">
        <f t="shared" si="36"/>
        <v>N</v>
      </c>
      <c r="X106" s="193">
        <f t="shared" si="46"/>
        <v>1</v>
      </c>
      <c r="Y106" s="193">
        <f t="shared" si="37"/>
        <v>4.7100000000000003E-2</v>
      </c>
      <c r="Z106" s="62">
        <f t="shared" si="38"/>
        <v>23.328399999999998</v>
      </c>
      <c r="AA106" s="62">
        <f t="shared" si="39"/>
        <v>23.281299999999998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0"/>
        <v>0191-21</v>
      </c>
      <c r="AE106" s="85" t="str">
        <f t="shared" si="41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106" s="82" t="str">
        <f t="shared" si="42"/>
        <v>"C:\Program Files (x86)\AstroGrep\AstroGrep.exe" /e /r /s /spath="%USERPROFILE%\AppData\Local\Temp\OnboardLogs" /stypes="app*4002*20170421*" /stext=" 21:.+((SYSTEM_STATE.+slice.+state.+changed )|(ment ac)|(multiple cpu faults)|(system.+state.+changed )|(\[timeout)|(PRM\|1\|D)|(kpr)|(kdp)|(\|lc)|(penalty))"</v>
      </c>
      <c r="AG106" s="1" t="str">
        <f t="shared" si="43"/>
        <v>EC</v>
      </c>
      <c r="AH106" s="86" t="str">
        <f t="shared" si="28"/>
        <v>"%USERPROFILE%\Documents\GitHub\eaglep3\Utilities\RefineRTDCRunTimes.py" --tripid 191-21 --locoid 4002 --swversion DE.1.0.9.0 --startMP 204:471 --initTime 2017-04-21T14:57:36 --startdatetime 2017-04-21T15:00:31 --delay 1 --endMP 204:233284 --enddatetime 2017-04-21T15:38:34 --enforcementcount 1 &gt;&gt;C:\Users\stu\Documents\GitHub\eaglep3-reporting\EC\2017-04-21-refined-times.txt</v>
      </c>
      <c r="AI106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{"issue":{"subject":"","project_id":79,"tracker_id":40,"status_id":1,"priority_id":2,"assigned_to_id":23,"start_date":"2017-04-21","description":"","custom_fields":[{"id":1,"name":"Subdivision","value":"EC"},{"id":4,"name":"Milepost","value":"23.3284"},{"id":17,"name":"Train ID","value":"191-21"},{"id":16,"name":"Locomotive ID","value":"4002"},{"id":130,"name":"Impact","value":""},{"id":150,"name":"Time of Event (Mountain Time)","value":"15:38:34"},{"id":151,"name":"Denver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8"/>
      <c r="AL106" s="48"/>
      <c r="AM106" s="147" t="str">
        <f t="shared" si="30"/>
        <v>start /low /b %USERPROFILE%\Documents\GitHub\eaglep3\Utilities\DownloadLogsFromS3.py --loco 4002 --day 2017-04-21</v>
      </c>
      <c r="AN106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3" t="s">
        <v>755</v>
      </c>
      <c r="B107" s="7">
        <v>4001</v>
      </c>
      <c r="C107" s="21" t="s">
        <v>212</v>
      </c>
      <c r="D107" s="21" t="s">
        <v>482</v>
      </c>
      <c r="E107" s="13">
        <v>42846.659571759257</v>
      </c>
      <c r="F107" s="13">
        <v>42846.6640625</v>
      </c>
      <c r="G107" s="7">
        <v>0</v>
      </c>
      <c r="H107" s="21" t="s">
        <v>889</v>
      </c>
      <c r="I107" s="13">
        <v>42846.695694444446</v>
      </c>
      <c r="J107" s="7">
        <v>1</v>
      </c>
      <c r="K107" s="97" t="str">
        <f t="shared" si="32"/>
        <v>4001/4002</v>
      </c>
      <c r="L107" s="21" t="str">
        <f>VLOOKUP(A107,'Trips&amp;Operators'!$C$1:$G$99999,5,FALSE)</f>
        <v>CLARK KATHLEEN</v>
      </c>
      <c r="M107" s="6">
        <f t="shared" si="33"/>
        <v>3.1631944446417037E-2</v>
      </c>
      <c r="N107" s="7">
        <f t="shared" si="45"/>
        <v>45.550000002840534</v>
      </c>
      <c r="O107" s="7"/>
      <c r="P107" s="7"/>
      <c r="Q107" s="22"/>
      <c r="R107" s="22"/>
      <c r="S107" s="31">
        <f t="shared" si="44"/>
        <v>1</v>
      </c>
      <c r="T107" s="46" t="str">
        <f t="shared" si="34"/>
        <v>Southbound</v>
      </c>
      <c r="U107" s="19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2" t="str">
        <f t="shared" si="35"/>
        <v>https://d0f6bd738d7f1b3e5a7ca70fe4ff75f0.us-east-1.aws.found.io/app/kibana#/discover/Steve-Slow-Train-Analysis-(2080s-and-2083s)?_g=(refreshInterval:(display:Off,pause:!f,section:0,value:0),time:(from:'2017-04-21T14:49:47-0600',mode:absolute,to:'2017-04-21T17:41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193" t="str">
        <f t="shared" si="36"/>
        <v>N</v>
      </c>
      <c r="X107" s="193">
        <f t="shared" si="46"/>
        <v>1</v>
      </c>
      <c r="Y107" s="193">
        <f t="shared" si="37"/>
        <v>23.2959</v>
      </c>
      <c r="Z107" s="62">
        <f t="shared" si="38"/>
        <v>1.7999999999999999E-2</v>
      </c>
      <c r="AA107" s="62">
        <f t="shared" si="39"/>
        <v>23.277899999999999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0"/>
        <v>0192-21</v>
      </c>
      <c r="AE107" s="85" t="str">
        <f t="shared" si="41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107" s="82" t="str">
        <f t="shared" si="42"/>
        <v>"C:\Program Files (x86)\AstroGrep\AstroGrep.exe" /e /r /s /spath="%USERPROFILE%\AppData\Local\Temp\OnboardLogs" /stypes="app*4001*20170421*" /stext=" 22:.+((SYSTEM_STATE.+slice.+state.+changed )|(ment ac)|(multiple cpu faults)|(system.+state.+changed )|(\[timeout)|(PRM\|1\|D)|(kpr)|(kdp)|(\|lc)|(penalty))"</v>
      </c>
      <c r="AG107" s="1" t="str">
        <f t="shared" si="43"/>
        <v>EC</v>
      </c>
      <c r="AH107" s="86" t="str">
        <f t="shared" si="28"/>
        <v>"%USERPROFILE%\Documents\GitHub\eaglep3\Utilities\RefineRTDCRunTimes.py" --tripid 192-21 --locoid 4001 --swversion DE.1.0.9.0 --startMP 204:232959 --initTime 2017-04-21T15:49:47 --startdatetime 2017-04-21T15:56:15 --delay 0 --endMP 204:180 --enddatetime 2017-04-21T16:41:48 --enforcementcount 1 &gt;&gt;C:\Users\stu\Documents\GitHub\eaglep3-reporting\EC\2017-04-21-refined-times.txt</v>
      </c>
      <c r="AI10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{"issue":{"subject":"","project_id":79,"tracker_id":40,"status_id":1,"priority_id":2,"assigned_to_id":23,"start_date":"2017-04-21","description":"","custom_fields":[{"id":1,"name":"Subdivision","value":"EC"},{"id":4,"name":"Milepost","value":"0.018"},{"id":17,"name":"Train ID","value":"192-21"},{"id":16,"name":"Locomotive ID","value":"4001"},{"id":130,"name":"Impact","value":""},{"id":150,"name":"Time of Event (Mountain Time)","value":"16:41:48"},{"id":151,"name":"Denver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47" t="str">
        <f t="shared" si="30"/>
        <v>start /low /b %USERPROFILE%\Documents\GitHub\eaglep3\Utilities\DownloadLogsFromS3.py --loco 4001 --day 2017-04-21</v>
      </c>
      <c r="AN107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22:41:48"},{"id":29,"name":"Sharepoint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749</v>
      </c>
      <c r="B108" s="7">
        <v>4046</v>
      </c>
      <c r="C108" s="21" t="s">
        <v>212</v>
      </c>
      <c r="D108" s="21" t="s">
        <v>203</v>
      </c>
      <c r="E108" s="13">
        <v>42846.631354166668</v>
      </c>
      <c r="F108" s="13">
        <v>42846.63559027778</v>
      </c>
      <c r="G108" s="7">
        <v>1</v>
      </c>
      <c r="H108" s="21" t="s">
        <v>859</v>
      </c>
      <c r="I108" s="13">
        <v>42846.660428240742</v>
      </c>
      <c r="J108" s="7">
        <v>1</v>
      </c>
      <c r="K108" s="97" t="str">
        <f t="shared" si="32"/>
        <v>4045/4046</v>
      </c>
      <c r="L108" s="21" t="str">
        <f>VLOOKUP(A108,'Trips&amp;Operators'!$C$1:$G$99999,5,FALSE)</f>
        <v>BRUDER RICHARD</v>
      </c>
      <c r="M108" s="6">
        <f t="shared" si="33"/>
        <v>2.4837962962919846E-2</v>
      </c>
      <c r="N108" s="7">
        <f t="shared" si="45"/>
        <v>35.766666666604578</v>
      </c>
      <c r="O108" s="7"/>
      <c r="P108" s="7"/>
      <c r="Q108" s="22"/>
      <c r="R108" s="22"/>
      <c r="S108" s="31">
        <f t="shared" si="44"/>
        <v>1</v>
      </c>
      <c r="T108" s="46" t="str">
        <f t="shared" si="34"/>
        <v>NorthBound</v>
      </c>
      <c r="U108" s="19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2" t="str">
        <f t="shared" si="35"/>
        <v>https://d0f6bd738d7f1b3e5a7ca70fe4ff75f0.us-east-1.aws.found.io/app/kibana#/discover/Steve-Slow-Train-Analysis-(2080s-and-2083s)?_g=(refreshInterval:(display:Off,pause:!f,section:0,value:0),time:(from:'2017-04-21T14:09:09-0600',mode:absolute,to:'2017-04-21T16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8" s="193" t="str">
        <f t="shared" si="36"/>
        <v>N</v>
      </c>
      <c r="X108" s="193">
        <f t="shared" si="46"/>
        <v>1</v>
      </c>
      <c r="Y108" s="193">
        <f t="shared" si="37"/>
        <v>4.5699999999999998E-2</v>
      </c>
      <c r="Z108" s="62">
        <f t="shared" si="38"/>
        <v>23.332100000000001</v>
      </c>
      <c r="AA108" s="62">
        <f t="shared" si="39"/>
        <v>23.2864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0"/>
        <v>0193-21</v>
      </c>
      <c r="AE108" s="85" t="str">
        <f t="shared" si="41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108" s="82" t="str">
        <f t="shared" si="42"/>
        <v>"C:\Program Files (x86)\AstroGrep\AstroGrep.exe" /e /r /s /spath="%USERPROFILE%\AppData\Local\Temp\OnboardLogs" /stypes="app*4046*20170421*" /stext=" 21:.+((SYSTEM_STATE.+slice.+state.+changed )|(ment ac)|(multiple cpu faults)|(system.+state.+changed )|(\[timeout)|(PRM\|1\|D)|(kpr)|(kdp)|(\|lc)|(penalty))"</v>
      </c>
      <c r="AG108" s="1" t="str">
        <f t="shared" si="43"/>
        <v>EC</v>
      </c>
      <c r="AH108" s="86" t="str">
        <f t="shared" si="28"/>
        <v>"%USERPROFILE%\Documents\GitHub\eaglep3\Utilities\RefineRTDCRunTimes.py" --tripid 193-21 --locoid 4046 --swversion DE.1.0.9.0 --startMP 204:457 --initTime 2017-04-21T15:09:09 --startdatetime 2017-04-21T15:15:15 --delay 1 --endMP 204:233321 --enddatetime 2017-04-21T15:51:01 --enforcementcount 1 &gt;&gt;C:\Users\stu\Documents\GitHub\eaglep3-reporting\EC\2017-04-21-refined-times.txt</v>
      </c>
      <c r="AI10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{"issue":{"subject":"","project_id":79,"tracker_id":40,"status_id":1,"priority_id":2,"assigned_to_id":23,"start_date":"2017-04-21","description":"","custom_fields":[{"id":1,"name":"Subdivision","value":"EC"},{"id":4,"name":"Milepost","value":"23.3321"},{"id":17,"name":"Train ID","value":"193-21"},{"id":16,"name":"Locomotive ID","value":"4046"},{"id":130,"name":"Impact","value":""},{"id":150,"name":"Time of Event (Mountain Time)","value":"15:51:01"},{"id":151,"name":"Denver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47" t="str">
        <f t="shared" si="30"/>
        <v>start /low /b %USERPROFILE%\Documents\GitHub\eaglep3\Utilities\DownloadLogsFromS3.py --loco 4046 --day 2017-04-21</v>
      </c>
      <c r="AN108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757</v>
      </c>
      <c r="B109" s="7">
        <v>4045</v>
      </c>
      <c r="C109" s="21" t="s">
        <v>212</v>
      </c>
      <c r="D109" s="21" t="s">
        <v>890</v>
      </c>
      <c r="E109" s="13">
        <v>42846.667708333334</v>
      </c>
      <c r="F109" s="13">
        <v>42846.674583333333</v>
      </c>
      <c r="G109" s="7">
        <v>1</v>
      </c>
      <c r="H109" s="21" t="s">
        <v>202</v>
      </c>
      <c r="I109" s="13">
        <v>42846.701273148145</v>
      </c>
      <c r="J109" s="7">
        <v>1</v>
      </c>
      <c r="K109" s="97" t="str">
        <f t="shared" si="32"/>
        <v>4045/4046</v>
      </c>
      <c r="L109" s="21" t="str">
        <f>VLOOKUP(A109,'Trips&amp;Operators'!$C$1:$G$99999,5,FALSE)</f>
        <v>BRUDER RICHARD</v>
      </c>
      <c r="M109" s="6">
        <f t="shared" si="33"/>
        <v>2.6689814811106771E-2</v>
      </c>
      <c r="N109" s="7">
        <f t="shared" si="45"/>
        <v>38.433333327993751</v>
      </c>
      <c r="O109" s="7"/>
      <c r="P109" s="7"/>
      <c r="Q109" s="22"/>
      <c r="R109" s="22"/>
      <c r="S109" s="31">
        <f t="shared" si="44"/>
        <v>1</v>
      </c>
      <c r="T109" s="46" t="str">
        <f t="shared" si="34"/>
        <v>Southbound</v>
      </c>
      <c r="U109" s="19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2" t="str">
        <f t="shared" si="35"/>
        <v>https://d0f6bd738d7f1b3e5a7ca70fe4ff75f0.us-east-1.aws.found.io/app/kibana#/discover/Steve-Slow-Train-Analysis-(2080s-and-2083s)?_g=(refreshInterval:(display:Off,pause:!f,section:0,value:0),time:(from:'2017-04-21T15:01:30-0600',mode:absolute,to:'2017-04-21T17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9" s="193" t="str">
        <f t="shared" si="36"/>
        <v>N</v>
      </c>
      <c r="X109" s="193">
        <f t="shared" si="46"/>
        <v>1</v>
      </c>
      <c r="Y109" s="193">
        <f t="shared" si="37"/>
        <v>23.299099999999999</v>
      </c>
      <c r="Z109" s="62">
        <f t="shared" si="38"/>
        <v>1.54E-2</v>
      </c>
      <c r="AA109" s="62">
        <f t="shared" si="39"/>
        <v>23.2837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40"/>
        <v>0194-21</v>
      </c>
      <c r="AE109" s="85" t="str">
        <f t="shared" si="41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109" s="82" t="str">
        <f t="shared" si="42"/>
        <v>"C:\Program Files (x86)\AstroGrep\AstroGrep.exe" /e /r /s /spath="%USERPROFILE%\AppData\Local\Temp\OnboardLogs" /stypes="app*4045*20170421*" /stext=" 22:.+((SYSTEM_STATE.+slice.+state.+changed )|(ment ac)|(multiple cpu faults)|(system.+state.+changed )|(\[timeout)|(PRM\|1\|D)|(kpr)|(kdp)|(\|lc)|(penalty))"</v>
      </c>
      <c r="AG109" s="1" t="str">
        <f t="shared" si="43"/>
        <v>EC</v>
      </c>
      <c r="AH109" s="86" t="str">
        <f t="shared" si="28"/>
        <v>"%USERPROFILE%\Documents\GitHub\eaglep3\Utilities\RefineRTDCRunTimes.py" --tripid 194-21 --locoid 4045 --swversion DE.1.0.9.0 --startMP 204:232991 --initTime 2017-04-21T16:01:30 --startdatetime 2017-04-21T16:11:24 --delay 1 --endMP 204:154 --enddatetime 2017-04-21T16:49:50 --enforcementcount 1 &gt;&gt;C:\Users\stu\Documents\GitHub\eaglep3-reporting\EC\2017-04-21-refined-times.txt</v>
      </c>
      <c r="AI10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{"issue":{"subject":"","project_id":79,"tracker_id":40,"status_id":1,"priority_id":2,"assigned_to_id":23,"start_date":"2017-04-21","description":"","custom_fields":[{"id":1,"name":"Subdivision","value":"EC"},{"id":4,"name":"Milepost","value":"0.0154"},{"id":17,"name":"Train ID","value":"194-21"},{"id":16,"name":"Locomotive ID","value":"4045"},{"id":130,"name":"Impact","value":""},{"id":150,"name":"Time of Event (Mountain Time)","value":"16:49:50"},{"id":151,"name":"Denver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47" t="str">
        <f t="shared" si="30"/>
        <v>start /low /b %USERPROFILE%\Documents\GitHub\eaglep3\Utilities\DownloadLogsFromS3.py --loco 4045 --day 2017-04-21</v>
      </c>
      <c r="AN109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616</v>
      </c>
      <c r="B110" s="7">
        <v>4024</v>
      </c>
      <c r="C110" s="21" t="s">
        <v>212</v>
      </c>
      <c r="D110" s="21" t="s">
        <v>888</v>
      </c>
      <c r="E110" s="13">
        <v>42846.642511574071</v>
      </c>
      <c r="F110" s="13">
        <v>42846.646539351852</v>
      </c>
      <c r="G110" s="7">
        <v>2</v>
      </c>
      <c r="H110" s="21" t="s">
        <v>891</v>
      </c>
      <c r="I110" s="13">
        <v>42846.673298611109</v>
      </c>
      <c r="J110" s="7">
        <v>1</v>
      </c>
      <c r="K110" s="97" t="str">
        <f t="shared" si="32"/>
        <v>4023/4024</v>
      </c>
      <c r="L110" s="21" t="str">
        <f>VLOOKUP(A110,'Trips&amp;Operators'!$C$1:$G$99999,5,FALSE)</f>
        <v>LAMAR NEKESHA</v>
      </c>
      <c r="M110" s="6">
        <f t="shared" si="33"/>
        <v>2.675925925723277E-2</v>
      </c>
      <c r="N110" s="7">
        <f t="shared" si="45"/>
        <v>38.533333330415189</v>
      </c>
      <c r="O110" s="7"/>
      <c r="P110" s="7"/>
      <c r="Q110" s="22"/>
      <c r="R110" s="22"/>
      <c r="S110" s="31">
        <f t="shared" si="44"/>
        <v>1</v>
      </c>
      <c r="T110" s="46" t="str">
        <f t="shared" si="34"/>
        <v>NorthBound</v>
      </c>
      <c r="U110" s="19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2" t="str">
        <f t="shared" si="35"/>
        <v>https://d0f6bd738d7f1b3e5a7ca70fe4ff75f0.us-east-1.aws.found.io/app/kibana#/discover/Steve-Slow-Train-Analysis-(2080s-and-2083s)?_g=(refreshInterval:(display:Off,pause:!f,section:0,value:0),time:(from:'2017-04-21T14:25:13-0600',mode:absolute,to:'2017-04-21T17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193" t="str">
        <f t="shared" si="36"/>
        <v>N</v>
      </c>
      <c r="X110" s="193">
        <f t="shared" si="46"/>
        <v>1</v>
      </c>
      <c r="Y110" s="193">
        <f t="shared" si="37"/>
        <v>4.7100000000000003E-2</v>
      </c>
      <c r="Z110" s="62">
        <f t="shared" si="38"/>
        <v>23.3276</v>
      </c>
      <c r="AA110" s="62">
        <f t="shared" si="39"/>
        <v>23.2805</v>
      </c>
      <c r="AB110" s="59" t="str">
        <f>VLOOKUP(A110,Enforcements!$C$7:$K$13,8,0)</f>
        <v>Speed (6)</v>
      </c>
      <c r="AC110" s="55" t="str">
        <f>VLOOKUP(A110,Enforcements!$C$7:$E$13,3,0)</f>
        <v>PERMANENT SPEED RESTRICTION</v>
      </c>
      <c r="AD110" s="56" t="str">
        <f t="shared" si="40"/>
        <v>0195-21</v>
      </c>
      <c r="AE110" s="85" t="str">
        <f t="shared" si="41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110" s="82" t="str">
        <f t="shared" si="42"/>
        <v>"C:\Program Files (x86)\AstroGrep\AstroGrep.exe" /e /r /s /spath="%USERPROFILE%\AppData\Local\Temp\OnboardLogs" /stypes="app*4024*20170421*" /stext=" 22:.+((SYSTEM_STATE.+slice.+state.+changed )|(ment ac)|(multiple cpu faults)|(system.+state.+changed )|(\[timeout)|(PRM\|1\|D)|(kpr)|(kdp)|(\|lc)|(penalty))"</v>
      </c>
      <c r="AG110" s="1" t="str">
        <f t="shared" si="43"/>
        <v>EC</v>
      </c>
      <c r="AH110" s="86" t="str">
        <f t="shared" si="28"/>
        <v>"%USERPROFILE%\Documents\GitHub\eaglep3\Utilities\RefineRTDCRunTimes.py" --tripid 195-21 --locoid 4024 --swversion DE.1.0.9.0 --startMP 204:471 --initTime 2017-04-21T15:25:13 --startdatetime 2017-04-21T15:31:01 --delay 2 --endMP 204:233276 --enddatetime 2017-04-21T16:09:33 --enforcementcount 1 &gt;&gt;C:\Users\stu\Documents\GitHub\eaglep3-reporting\EC\2017-04-21-refined-times.txt</v>
      </c>
      <c r="AI11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{"issue":{"subject":"","project_id":79,"tracker_id":40,"status_id":1,"priority_id":2,"assigned_to_id":23,"start_date":"2017-04-21","description":"","custom_fields":[{"id":1,"name":"Subdivision","value":"EC"},{"id":4,"name":"Milepost","value":"23.3276"},{"id":17,"name":"Train ID","value":"195-21"},{"id":16,"name":"Locomotive ID","value":"4024"},{"id":130,"name":"Impact","value":""},{"id":150,"name":"Time of Event (Mountain Time)","value":"16:09:33"},{"id":151,"name":"Denver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47" t="str">
        <f t="shared" si="30"/>
        <v>start /low /b %USERPROFILE%\Documents\GitHub\eaglep3\Utilities\DownloadLogsFromS3.py --loco 4024 --day 2017-04-21</v>
      </c>
      <c r="AN110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761</v>
      </c>
      <c r="B111" s="7">
        <v>4023</v>
      </c>
      <c r="C111" s="21" t="s">
        <v>212</v>
      </c>
      <c r="D111" s="21" t="s">
        <v>564</v>
      </c>
      <c r="E111" s="13">
        <v>42846.679895833331</v>
      </c>
      <c r="F111" s="13">
        <v>42846.685069444444</v>
      </c>
      <c r="G111" s="7">
        <v>1</v>
      </c>
      <c r="H111" s="21" t="s">
        <v>555</v>
      </c>
      <c r="I111" s="13">
        <v>42846.712546296294</v>
      </c>
      <c r="J111" s="7">
        <v>1</v>
      </c>
      <c r="K111" s="97" t="str">
        <f t="shared" si="32"/>
        <v>4023/4024</v>
      </c>
      <c r="L111" s="21" t="str">
        <f>VLOOKUP(A111,'Trips&amp;Operators'!$C$1:$G$99999,5,FALSE)</f>
        <v>LAMAR NEKESHA</v>
      </c>
      <c r="M111" s="6">
        <f t="shared" si="33"/>
        <v>2.7476851850224193E-2</v>
      </c>
      <c r="N111" s="7">
        <f t="shared" si="45"/>
        <v>39.566666664322838</v>
      </c>
      <c r="O111" s="7"/>
      <c r="P111" s="7"/>
      <c r="Q111" s="22"/>
      <c r="R111" s="22"/>
      <c r="S111" s="31">
        <f t="shared" si="44"/>
        <v>1</v>
      </c>
      <c r="T111" s="46" t="str">
        <f t="shared" si="34"/>
        <v>Southbound</v>
      </c>
      <c r="U111" s="19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2" t="str">
        <f t="shared" si="35"/>
        <v>https://d0f6bd738d7f1b3e5a7ca70fe4ff75f0.us-east-1.aws.found.io/app/kibana#/discover/Steve-Slow-Train-Analysis-(2080s-and-2083s)?_g=(refreshInterval:(display:Off,pause:!f,section:0,value:0),time:(from:'2017-04-21T15:19:03-0600',mode:absolute,to:'2017-04-21T18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193" t="str">
        <f t="shared" si="36"/>
        <v>N</v>
      </c>
      <c r="X111" s="193">
        <f t="shared" si="46"/>
        <v>1</v>
      </c>
      <c r="Y111" s="193">
        <f t="shared" si="37"/>
        <v>23.295500000000001</v>
      </c>
      <c r="Z111" s="62">
        <f t="shared" si="38"/>
        <v>1.67E-2</v>
      </c>
      <c r="AA111" s="62">
        <f t="shared" si="39"/>
        <v>23.2788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0"/>
        <v>0196-21</v>
      </c>
      <c r="AE111" s="85" t="str">
        <f t="shared" si="41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111" s="82" t="str">
        <f t="shared" si="42"/>
        <v>"C:\Program Files (x86)\AstroGrep\AstroGrep.exe" /e /r /s /spath="%USERPROFILE%\AppData\Local\Temp\OnboardLogs" /stypes="app*4023*20170421*" /stext=" 23:.+((SYSTEM_STATE.+slice.+state.+changed )|(ment ac)|(multiple cpu faults)|(system.+state.+changed )|(\[timeout)|(PRM\|1\|D)|(kpr)|(kdp)|(\|lc)|(penalty))"</v>
      </c>
      <c r="AG111" s="1" t="str">
        <f t="shared" si="43"/>
        <v>EC</v>
      </c>
      <c r="AH111" s="86" t="str">
        <f t="shared" si="28"/>
        <v>"%USERPROFILE%\Documents\GitHub\eaglep3\Utilities\RefineRTDCRunTimes.py" --tripid 196-21 --locoid 4023 --swversion DE.1.0.9.0 --startMP 204:232955 --initTime 2017-04-21T16:19:03 --startdatetime 2017-04-21T16:26:30 --delay 1 --endMP 204:167 --enddatetime 2017-04-21T17:06:04 --enforcementcount 1 &gt;&gt;C:\Users\stu\Documents\GitHub\eaglep3-reporting\EC\2017-04-21-refined-times.txt</v>
      </c>
      <c r="AI111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{"issue":{"subject":"","project_id":79,"tracker_id":40,"status_id":1,"priority_id":2,"assigned_to_id":23,"start_date":"2017-04-21","description":"","custom_fields":[{"id":1,"name":"Subdivision","value":"EC"},{"id":4,"name":"Milepost","value":"0.0167"},{"id":17,"name":"Train ID","value":"196-21"},{"id":16,"name":"Locomotive ID","value":"4023"},{"id":130,"name":"Impact","value":""},{"id":150,"name":"Time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47" t="str">
        <f t="shared" si="30"/>
        <v>start /low /b %USERPROFILE%\Documents\GitHub\eaglep3\Utilities\DownloadLogsFromS3.py --loco 4023 --day 2017-04-21</v>
      </c>
      <c r="AN111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753</v>
      </c>
      <c r="B112" s="7">
        <v>4016</v>
      </c>
      <c r="C112" s="21" t="s">
        <v>212</v>
      </c>
      <c r="D112" s="21" t="s">
        <v>564</v>
      </c>
      <c r="E112" s="13">
        <v>42846.679895833331</v>
      </c>
      <c r="F112" s="13">
        <v>42846.65289351852</v>
      </c>
      <c r="G112" s="7">
        <v>1</v>
      </c>
      <c r="H112" s="21" t="s">
        <v>555</v>
      </c>
      <c r="I112" s="13">
        <v>42846.653460648151</v>
      </c>
      <c r="J112" s="7">
        <v>1</v>
      </c>
      <c r="K112" s="97" t="str">
        <f t="shared" si="32"/>
        <v>4015/4016</v>
      </c>
      <c r="L112" s="21" t="str">
        <f>VLOOKUP(A112,'Trips&amp;Operators'!$C$1:$G$99999,5,FALSE)</f>
        <v>LOPES KIMBERLY</v>
      </c>
      <c r="M112" s="6">
        <f t="shared" si="33"/>
        <v>5.671296312357299E-4</v>
      </c>
      <c r="N112" s="7"/>
      <c r="O112" s="7"/>
      <c r="P112" s="7">
        <f>24*60*SUM($M112:$M112)</f>
        <v>0.81666666897945106</v>
      </c>
      <c r="Q112" s="22"/>
      <c r="R112" s="22" t="s">
        <v>1034</v>
      </c>
      <c r="S112" s="31">
        <f t="shared" si="44"/>
        <v>0</v>
      </c>
      <c r="T112" s="46" t="str">
        <f t="shared" si="34"/>
        <v>NorthBound</v>
      </c>
      <c r="U112" s="19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92" t="str">
        <f t="shared" si="35"/>
        <v>https://d0f6bd738d7f1b3e5a7ca70fe4ff75f0.us-east-1.aws.found.io/app/kibana#/discover/Steve-Slow-Train-Analysis-(2080s-and-2083s)?_g=(refreshInterval:(display:Off,pause:!f,section:0,value:0),time:(from:'2017-04-21T15:19:03-0600',mode:absolute,to:'2017-04-21T16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193" t="str">
        <f t="shared" si="36"/>
        <v>N</v>
      </c>
      <c r="X112" s="193">
        <f t="shared" si="46"/>
        <v>1</v>
      </c>
      <c r="Y112" s="193">
        <f t="shared" si="37"/>
        <v>23.295500000000001</v>
      </c>
      <c r="Z112" s="62">
        <f t="shared" si="38"/>
        <v>1.67E-2</v>
      </c>
      <c r="AA112" s="62">
        <f t="shared" si="39"/>
        <v>23.2788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0"/>
        <v>0197-21</v>
      </c>
      <c r="AE112" s="85" t="str">
        <f t="shared" si="41"/>
        <v>aws s3 cp s3://rtdc.mdm.uploadarchive.raw/RTDC4016/ "%USERPROFILE%\AppData\Local\Temp\OnboardLogs"\RTDC4016\2017-04-21 --exclude "*" --recursive --include "*20170421*" &amp; "%USERPROFILE%\Documents\GitHub\mrs-test-scripts\Headless Mode &amp; Sideloading\WalkAndUnGZ.bat" "%USERPROFILE%\AppData\Local\Temp\OnboardLogs"\RTDC4016\2017-04-21 &amp; 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</v>
      </c>
      <c r="AF112" s="82" t="str">
        <f t="shared" si="42"/>
        <v>"C:\Program Files (x86)\AstroGrep\AstroGrep.exe" /e /r /s /spath="%USERPROFILE%\AppData\Local\Temp\OnboardLogs" /stypes="app*4016*20170421*" /stext=" 21:.+((SYSTEM_STATE.+slice.+state.+changed )|(ment ac)|(multiple cpu faults)|(system.+state.+changed )|(\[timeout)|(PRM\|1\|D)|(kpr)|(kdp)|(\|lc)|(penalty))"</v>
      </c>
      <c r="AG112" s="1" t="str">
        <f t="shared" si="43"/>
        <v>EC</v>
      </c>
      <c r="AH112" s="86" t="str">
        <f t="shared" ref="AH112" si="47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197-21 --locoid 4016 --swversion DE.1.0.9.0 --startMP 204:232955 --initTime 2017-04-21T16:19:03 --startdatetime 2017-04-21T15:40:10 --delay 1 --endMP 204:167 --enddatetime 2017-04-21T15:40:59 --enforcementcount 1 &gt;&gt;C:\Users\stu\Documents\GitHub\eaglep3-reporting\EC\2017-04-21-refined-times.txt</v>
      </c>
      <c r="AI112" s="104" t="str">
        <f t="shared" ref="AI112" si="48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failure","project_id":79,"tracker_id":40,"status_id":1,"priority_id":2,"assigned_to_id":23,"start_date":"2017-04-21","description":"","custom_fields":[{"id":1,"name":"Subdivision","value":"EC"},{"id":4,"name":"Milepost","value":"0.0167"},{"id":17,"name":"Train ID","value":"197-21"},{"id":16,"name":"Locomotive ID","value":"4016"},{"id":130,"name":"Impact","value":""},{"id":150,"name":"Time of Event (Mountain Time)","value":"15:40:59"},{"id":151,"name":"Denver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47" t="str">
        <f t="shared" ref="AM112" si="49">"start /low /b "&amp;dls3logs&amp;" --loco "&amp;B112&amp;" --day "&amp;TEXT(F112,"YYYY-MM-DD")</f>
        <v>start /low /b %USERPROFILE%\Documents\GitHub\eaglep3\Utilities\DownloadLogsFromS3.py --loco 4016 --day 2017-04-21</v>
      </c>
      <c r="AN112" s="156" t="str">
        <f t="shared" ref="AN112" si="50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3" spans="1:91" s="20" customFormat="1" x14ac:dyDescent="0.25">
      <c r="A113" s="33" t="s">
        <v>619</v>
      </c>
      <c r="B113" s="7">
        <v>4015</v>
      </c>
      <c r="C113" s="21" t="s">
        <v>212</v>
      </c>
      <c r="D113" s="21" t="s">
        <v>868</v>
      </c>
      <c r="E113" s="13">
        <v>42846.690787037034</v>
      </c>
      <c r="F113" s="13">
        <v>42846.695300925923</v>
      </c>
      <c r="G113" s="7">
        <v>1</v>
      </c>
      <c r="H113" s="21" t="s">
        <v>892</v>
      </c>
      <c r="I113" s="13">
        <v>42846.720752314817</v>
      </c>
      <c r="J113" s="7">
        <v>1</v>
      </c>
      <c r="K113" s="97" t="str">
        <f t="shared" si="32"/>
        <v>4015/4016</v>
      </c>
      <c r="L113" s="21" t="str">
        <f>VLOOKUP(A113,'Trips&amp;Operators'!$C$1:$G$99999,5,FALSE)</f>
        <v>LOPES KIMBERLY</v>
      </c>
      <c r="M113" s="6">
        <f t="shared" si="33"/>
        <v>2.5451388893998228E-2</v>
      </c>
      <c r="N113" s="7"/>
      <c r="O113" s="7"/>
      <c r="P113" s="7">
        <f>24*60*SUM($M113:$M113)</f>
        <v>36.650000007357448</v>
      </c>
      <c r="Q113" s="22"/>
      <c r="R113" s="22" t="s">
        <v>529</v>
      </c>
      <c r="S113" s="31">
        <f t="shared" si="44"/>
        <v>1</v>
      </c>
      <c r="T113" s="46" t="str">
        <f t="shared" si="34"/>
        <v>Southbound</v>
      </c>
      <c r="U113" s="19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2" t="str">
        <f t="shared" si="35"/>
        <v>https://d0f6bd738d7f1b3e5a7ca70fe4ff75f0.us-east-1.aws.found.io/app/kibana#/discover/Steve-Slow-Train-Analysis-(2080s-and-2083s)?_g=(refreshInterval:(display:Off,pause:!f,section:0,value:0),time:(from:'2017-04-21T15:34:44-0600',mode:absolute,to:'2017-04-21T18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193" t="str">
        <f t="shared" si="36"/>
        <v>Y</v>
      </c>
      <c r="X113" s="193">
        <f t="shared" si="46"/>
        <v>1</v>
      </c>
      <c r="Y113" s="193">
        <f t="shared" si="37"/>
        <v>23.3004</v>
      </c>
      <c r="Z113" s="62">
        <f t="shared" si="38"/>
        <v>0.44879999999999998</v>
      </c>
      <c r="AA113" s="62">
        <f t="shared" si="39"/>
        <v>22.851600000000001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0"/>
        <v>0198-21</v>
      </c>
      <c r="AE113" s="85" t="str">
        <f t="shared" si="41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113" s="82" t="str">
        <f t="shared" si="42"/>
        <v>"C:\Program Files (x86)\AstroGrep\AstroGrep.exe" /e /r /s /spath="%USERPROFILE%\AppData\Local\Temp\OnboardLogs" /stypes="app*4015*20170421*" /stext=" 23:.+((SYSTEM_STATE.+slice.+state.+changed )|(ment ac)|(multiple cpu faults)|(system.+state.+changed )|(\[timeout)|(PRM\|1\|D)|(kpr)|(kdp)|(\|lc)|(penalty))"</v>
      </c>
      <c r="AG113" s="1" t="str">
        <f t="shared" si="43"/>
        <v>EC</v>
      </c>
      <c r="AH113" s="86" t="str">
        <f t="shared" si="28"/>
        <v>"%USERPROFILE%\Documents\GitHub\eaglep3\Utilities\RefineRTDCRunTimes.py" --tripid 198-21 --locoid 4015 --swversion DE.1.0.9.0 --startMP 204:233004 --initTime 2017-04-21T16:34:44 --startdatetime 2017-04-21T16:41:14 --delay 1 --endMP 204:4488 --enddatetime 2017-04-21T17:17:53 --enforcementcount 1 &gt;&gt;C:\Users\stu\Documents\GitHub\eaglep3-reporting\EC\2017-04-21-refined-times.txt</v>
      </c>
      <c r="AI113" s="104" t="str">
        <f t="shared" si="29"/>
        <v>echo {"issue":{"subject":"Wi-MAX data drop","project_id":79,"tracker_id":40,"status_id":1,"priority_id":2,"assigned_to_id":23,"start_date":"2017-04-21","description":"","custom_fields":[{"id":1,"name":"Subdivision","value":"EC"},{"id":4,"name":"Milepost","value":"0.4488"},{"id":17,"name":"Train ID","value":"198-21"},{"id":16,"name":"Locomotive ID","value":"4015"},{"id":130,"name":"Impact","value":""},{"id":150,"name":"Time of Event (Mountain Time)","value":"17:17:53"},{"id":151,"name":"Denver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47" t="str">
        <f t="shared" si="30"/>
        <v>start /low /b %USERPROFILE%\Documents\GitHub\eaglep3\Utilities\DownloadLogsFromS3.py --loco 4015 --day 2017-04-21</v>
      </c>
      <c r="AN113" s="156" t="str">
        <f t="shared" si="31"/>
        <v>echo {"issue":{"subject":"Wi-MAX data drop","project_id":30,"tracker_id":4,"status_id":1,"priority_id":1,"assigned_to_id":10,"start_date":"2017-04-21","description":"","custom_fields":[{"id":30,"name":"Category","value":"Issue"},{"id":3,"name":"Functional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756</v>
      </c>
      <c r="B114" s="7">
        <v>4044</v>
      </c>
      <c r="C114" s="21" t="s">
        <v>212</v>
      </c>
      <c r="D114" s="21" t="s">
        <v>207</v>
      </c>
      <c r="E114" s="13">
        <v>42846.662997685184</v>
      </c>
      <c r="F114" s="13">
        <v>42846.666886574072</v>
      </c>
      <c r="G114" s="7">
        <v>1</v>
      </c>
      <c r="H114" s="21" t="s">
        <v>567</v>
      </c>
      <c r="I114" s="13">
        <v>42846.692962962959</v>
      </c>
      <c r="J114" s="7">
        <v>1</v>
      </c>
      <c r="K114" s="97" t="str">
        <f t="shared" si="32"/>
        <v>4043/4044</v>
      </c>
      <c r="L114" s="21" t="str">
        <f>VLOOKUP(A114,'Trips&amp;Operators'!$C$1:$G$99999,5,FALSE)</f>
        <v>WHITED DUSTIN</v>
      </c>
      <c r="M114" s="6">
        <f t="shared" si="33"/>
        <v>2.6076388887304347E-2</v>
      </c>
      <c r="N114" s="7">
        <f t="shared" ref="N114:N141" si="51">24*60*SUM($M114:$M114)</f>
        <v>37.54999999771826</v>
      </c>
      <c r="O114" s="7"/>
      <c r="P114" s="7"/>
      <c r="Q114" s="22"/>
      <c r="R114" s="22"/>
      <c r="S114" s="31">
        <f t="shared" si="44"/>
        <v>1</v>
      </c>
      <c r="T114" s="46" t="str">
        <f t="shared" si="34"/>
        <v>NorthBound</v>
      </c>
      <c r="U114" s="19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2" t="str">
        <f t="shared" si="35"/>
        <v>https://d0f6bd738d7f1b3e5a7ca70fe4ff75f0.us-east-1.aws.found.io/app/kibana#/discover/Steve-Slow-Train-Analysis-(2080s-and-2083s)?_g=(refreshInterval:(display:Off,pause:!f,section:0,value:0),time:(from:'2017-04-21T14:54:43-0600',mode:absolute,to:'2017-04-21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193" t="str">
        <f t="shared" si="36"/>
        <v>N</v>
      </c>
      <c r="X114" s="193">
        <f t="shared" si="46"/>
        <v>1</v>
      </c>
      <c r="Y114" s="193">
        <f t="shared" si="37"/>
        <v>4.53E-2</v>
      </c>
      <c r="Z114" s="62">
        <f t="shared" si="38"/>
        <v>23.332799999999999</v>
      </c>
      <c r="AA114" s="62">
        <f t="shared" si="39"/>
        <v>23.287499999999998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0"/>
        <v>0199-21</v>
      </c>
      <c r="AE114" s="85" t="str">
        <f t="shared" si="41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14" s="82" t="str">
        <f t="shared" si="42"/>
        <v>"C:\Program Files (x86)\AstroGrep\AstroGrep.exe" /e /r /s /spath="%USERPROFILE%\AppData\Local\Temp\OnboardLogs" /stypes="app*4044*20170421*" /stext=" 22:.+((SYSTEM_STATE.+slice.+state.+changed )|(ment ac)|(multiple cpu faults)|(system.+state.+changed )|(\[timeout)|(PRM\|1\|D)|(kpr)|(kdp)|(\|lc)|(penalty))"</v>
      </c>
      <c r="AG114" s="1" t="str">
        <f t="shared" si="43"/>
        <v>EC</v>
      </c>
      <c r="AH114" s="86" t="str">
        <f t="shared" si="28"/>
        <v>"%USERPROFILE%\Documents\GitHub\eaglep3\Utilities\RefineRTDCRunTimes.py" --tripid 199-21 --locoid 4044 --swversion DE.1.0.9.0 --startMP 204:453 --initTime 2017-04-21T15:54:43 --startdatetime 2017-04-21T16:00:19 --delay 1 --endMP 204:233328 --enddatetime 2017-04-21T16:37:52 --enforcementcount 1 &gt;&gt;C:\Users\stu\Documents\GitHub\eaglep3-reporting\EC\2017-04-21-refined-times.txt</v>
      </c>
      <c r="AI114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{"issue":{"subject":"","project_id":79,"tracker_id":40,"status_id":1,"priority_id":2,"assigned_to_id":23,"start_date":"2017-04-21","description":"","custom_fields":[{"id":1,"name":"Subdivision","value":"EC"},{"id":4,"name":"Milepost","value":"23.3328"},{"id":17,"name":"Train ID","value":"199-21"},{"id":16,"name":"Locomotive ID","value":"4044"},{"id":130,"name":"Impact","value":""},{"id":150,"name":"Time of Event (Mountain Time)","value":"16:37:52"},{"id":151,"name":"Denver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47" t="str">
        <f t="shared" si="30"/>
        <v>start /low /b %USERPROFILE%\Documents\GitHub\eaglep3\Utilities\DownloadLogsFromS3.py --loco 4044 --day 2017-04-21</v>
      </c>
      <c r="AN114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765</v>
      </c>
      <c r="B115" s="7">
        <v>4043</v>
      </c>
      <c r="C115" s="21" t="s">
        <v>212</v>
      </c>
      <c r="D115" s="21" t="s">
        <v>561</v>
      </c>
      <c r="E115" s="13">
        <v>42846.700324074074</v>
      </c>
      <c r="F115" s="13">
        <v>42846.705740740741</v>
      </c>
      <c r="G115" s="7">
        <v>1</v>
      </c>
      <c r="H115" s="21" t="s">
        <v>421</v>
      </c>
      <c r="I115" s="13">
        <v>42846.732210648152</v>
      </c>
      <c r="J115" s="7">
        <v>1</v>
      </c>
      <c r="K115" s="97" t="str">
        <f t="shared" si="32"/>
        <v>4043/4044</v>
      </c>
      <c r="L115" s="21" t="str">
        <f>VLOOKUP(A115,'Trips&amp;Operators'!$C$1:$G$99999,5,FALSE)</f>
        <v>WHITED DUSTIN</v>
      </c>
      <c r="M115" s="6">
        <f t="shared" si="33"/>
        <v>2.6469907410501037E-2</v>
      </c>
      <c r="N115" s="7">
        <f t="shared" si="51"/>
        <v>38.116666671121493</v>
      </c>
      <c r="O115" s="7"/>
      <c r="P115" s="7"/>
      <c r="Q115" s="22"/>
      <c r="R115" s="22"/>
      <c r="S115" s="31">
        <f t="shared" si="44"/>
        <v>1</v>
      </c>
      <c r="T115" s="46" t="str">
        <f t="shared" si="34"/>
        <v>Southbound</v>
      </c>
      <c r="U115" s="19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2" t="str">
        <f t="shared" si="35"/>
        <v>https://d0f6bd738d7f1b3e5a7ca70fe4ff75f0.us-east-1.aws.found.io/app/kibana#/discover/Steve-Slow-Train-Analysis-(2080s-and-2083s)?_g=(refreshInterval:(display:Off,pause:!f,section:0,value:0),time:(from:'2017-04-21T15:48:28-0600',mode:absolute,to:'2017-04-21T18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193" t="str">
        <f t="shared" si="36"/>
        <v>N</v>
      </c>
      <c r="X115" s="193">
        <f t="shared" si="46"/>
        <v>1</v>
      </c>
      <c r="Y115" s="193">
        <f t="shared" si="37"/>
        <v>23.3003</v>
      </c>
      <c r="Z115" s="62">
        <f t="shared" si="38"/>
        <v>1.43E-2</v>
      </c>
      <c r="AA115" s="62">
        <f t="shared" si="39"/>
        <v>23.286000000000001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40"/>
        <v>0200-21</v>
      </c>
      <c r="AE115" s="85" t="str">
        <f t="shared" si="41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115" s="82" t="str">
        <f t="shared" si="42"/>
        <v>"C:\Program Files (x86)\AstroGrep\AstroGrep.exe" /e /r /s /spath="%USERPROFILE%\AppData\Local\Temp\OnboardLogs" /stypes="app*4043*20170421*" /stext=" 23:.+((SYSTEM_STATE.+slice.+state.+changed )|(ment ac)|(multiple cpu faults)|(system.+state.+changed )|(\[timeout)|(PRM\|1\|D)|(kpr)|(kdp)|(\|lc)|(penalty))"</v>
      </c>
      <c r="AG115" s="1" t="str">
        <f t="shared" si="43"/>
        <v>EC</v>
      </c>
      <c r="AH115" s="86" t="str">
        <f t="shared" si="28"/>
        <v>"%USERPROFILE%\Documents\GitHub\eaglep3\Utilities\RefineRTDCRunTimes.py" --tripid 200-21 --locoid 4043 --swversion DE.1.0.9.0 --startMP 204:233003 --initTime 2017-04-21T16:48:28 --startdatetime 2017-04-21T16:56:16 --delay 1 --endMP 204:143 --enddatetime 2017-04-21T17:34:23 --enforcementcount 1 &gt;&gt;C:\Users\stu\Documents\GitHub\eaglep3-reporting\EC\2017-04-21-refined-times.txt</v>
      </c>
      <c r="AI115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ID","value":"200-21"},{"id":16,"name":"Locomotive ID","value":"4043"},{"id":130,"name":"Impact","value":""},{"id":150,"name":"Time of Event (Mountain Time)","value":"17:34:23"},{"id":151,"name":"Denver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47" t="str">
        <f t="shared" si="30"/>
        <v>start /low /b %USERPROFILE%\Documents\GitHub\eaglep3\Utilities\DownloadLogsFromS3.py --loco 4043 --day 2017-04-21</v>
      </c>
      <c r="AN115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760</v>
      </c>
      <c r="B116" s="7">
        <v>4040</v>
      </c>
      <c r="C116" s="21" t="s">
        <v>212</v>
      </c>
      <c r="D116" s="21" t="s">
        <v>893</v>
      </c>
      <c r="E116" s="13">
        <v>42846.675335648149</v>
      </c>
      <c r="F116" s="13">
        <v>42846.677268518521</v>
      </c>
      <c r="G116" s="7">
        <v>2</v>
      </c>
      <c r="H116" s="21" t="s">
        <v>886</v>
      </c>
      <c r="I116" s="13">
        <v>42846.702361111114</v>
      </c>
      <c r="J116" s="7">
        <v>1</v>
      </c>
      <c r="K116" s="97" t="str">
        <f t="shared" si="32"/>
        <v>4039/4040</v>
      </c>
      <c r="L116" s="21" t="str">
        <f>VLOOKUP(A116,'Trips&amp;Operators'!$C$1:$G$99999,5,FALSE)</f>
        <v>STEWART MICHAEL</v>
      </c>
      <c r="M116" s="6">
        <f t="shared" si="33"/>
        <v>2.5092592593864538E-2</v>
      </c>
      <c r="N116" s="7">
        <f t="shared" si="51"/>
        <v>36.133333335164934</v>
      </c>
      <c r="O116" s="7"/>
      <c r="P116" s="7"/>
      <c r="Q116" s="22"/>
      <c r="R116" s="22"/>
      <c r="S116" s="31">
        <f t="shared" si="44"/>
        <v>1</v>
      </c>
      <c r="T116" s="46" t="str">
        <f t="shared" si="34"/>
        <v>NorthBound</v>
      </c>
      <c r="U116" s="19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2" t="str">
        <f t="shared" si="35"/>
        <v>https://d0f6bd738d7f1b3e5a7ca70fe4ff75f0.us-east-1.aws.found.io/app/kibana#/discover/Steve-Slow-Train-Analysis-(2080s-and-2083s)?_g=(refreshInterval:(display:Off,pause:!f,section:0,value:0),time:(from:'2017-04-21T15:12:29-0600',mode:absolute,to:'2017-04-21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6" s="193" t="str">
        <f t="shared" si="36"/>
        <v>N</v>
      </c>
      <c r="X116" s="193">
        <f t="shared" si="46"/>
        <v>1</v>
      </c>
      <c r="Y116" s="193">
        <f t="shared" si="37"/>
        <v>4.2900000000000001E-2</v>
      </c>
      <c r="Z116" s="62">
        <f t="shared" si="38"/>
        <v>23.336400000000001</v>
      </c>
      <c r="AA116" s="62">
        <f t="shared" si="39"/>
        <v>23.293500000000002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0"/>
        <v>0201-21</v>
      </c>
      <c r="AE116" s="85" t="str">
        <f t="shared" si="41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116" s="82" t="str">
        <f t="shared" si="42"/>
        <v>"C:\Program Files (x86)\AstroGrep\AstroGrep.exe" /e /r /s /spath="%USERPROFILE%\AppData\Local\Temp\OnboardLogs" /stypes="app*4040*20170421*" /stext=" 22:.+((SYSTEM_STATE.+slice.+state.+changed )|(ment ac)|(multiple cpu faults)|(system.+state.+changed )|(\[timeout)|(PRM\|1\|D)|(kpr)|(kdp)|(\|lc)|(penalty))"</v>
      </c>
      <c r="AG116" s="1" t="str">
        <f t="shared" si="43"/>
        <v>EC</v>
      </c>
      <c r="AH116" s="86" t="str">
        <f t="shared" si="28"/>
        <v>"%USERPROFILE%\Documents\GitHub\eaglep3\Utilities\RefineRTDCRunTimes.py" --tripid 201-21 --locoid 4040 --swversion DE.1.0.9.0 --startMP 204:429 --initTime 2017-04-21T16:12:29 --startdatetime 2017-04-21T16:15:16 --delay 2 --endMP 204:233364 --enddatetime 2017-04-21T16:51:24 --enforcementcount 1 &gt;&gt;C:\Users\stu\Documents\GitHub\eaglep3-reporting\EC\2017-04-21-refined-times.txt</v>
      </c>
      <c r="AI116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{"issue":{"subject":"","project_id":79,"tracker_id":40,"status_id":1,"priority_id":2,"assigned_to_id":23,"start_date":"2017-04-21","description":"","custom_fields":[{"id":1,"name":"Subdivision","value":"EC"},{"id":4,"name":"Milepost","value":"23.3364"},{"id":17,"name":"Train ID","value":"201-21"},{"id":16,"name":"Locomotive ID","value":"4040"},{"id":130,"name":"Impact","value":""},{"id":150,"name":"Time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47" t="str">
        <f t="shared" si="30"/>
        <v>start /low /b %USERPROFILE%\Documents\GitHub\eaglep3\Utilities\DownloadLogsFromS3.py --loco 4040 --day 2017-04-21</v>
      </c>
      <c r="AN116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768</v>
      </c>
      <c r="B117" s="7">
        <v>4039</v>
      </c>
      <c r="C117" s="21" t="s">
        <v>212</v>
      </c>
      <c r="D117" s="21" t="s">
        <v>894</v>
      </c>
      <c r="E117" s="13">
        <v>42846.710925925923</v>
      </c>
      <c r="F117" s="13">
        <v>42846.716192129628</v>
      </c>
      <c r="G117" s="7">
        <v>1</v>
      </c>
      <c r="H117" s="21" t="s">
        <v>389</v>
      </c>
      <c r="I117" s="13">
        <v>42846.744340277779</v>
      </c>
      <c r="J117" s="7">
        <v>1</v>
      </c>
      <c r="K117" s="97" t="str">
        <f t="shared" si="32"/>
        <v>4039/4040</v>
      </c>
      <c r="L117" s="21" t="str">
        <f>VLOOKUP(A117,'Trips&amp;Operators'!$C$1:$G$99999,5,FALSE)</f>
        <v>STEWART MICHAEL</v>
      </c>
      <c r="M117" s="6">
        <f t="shared" si="33"/>
        <v>2.8148148150648922E-2</v>
      </c>
      <c r="N117" s="7">
        <f t="shared" si="51"/>
        <v>40.533333336934447</v>
      </c>
      <c r="O117" s="7"/>
      <c r="P117" s="7"/>
      <c r="Q117" s="22"/>
      <c r="R117" s="22"/>
      <c r="S117" s="31">
        <f t="shared" si="44"/>
        <v>1</v>
      </c>
      <c r="T117" s="46" t="str">
        <f t="shared" si="34"/>
        <v>Southbound</v>
      </c>
      <c r="U117" s="19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2" t="str">
        <f t="shared" si="35"/>
        <v>https://d0f6bd738d7f1b3e5a7ca70fe4ff75f0.us-east-1.aws.found.io/app/kibana#/discover/Steve-Slow-Train-Analysis-(2080s-and-2083s)?_g=(refreshInterval:(display:Off,pause:!f,section:0,value:0),time:(from:'2017-04-21T16:03:44-0600',mode:absolute,to:'2017-04-21T18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7" s="193" t="str">
        <f t="shared" si="36"/>
        <v>N</v>
      </c>
      <c r="X117" s="193">
        <f t="shared" si="46"/>
        <v>1</v>
      </c>
      <c r="Y117" s="193">
        <f t="shared" si="37"/>
        <v>23.307700000000001</v>
      </c>
      <c r="Z117" s="62">
        <f t="shared" si="38"/>
        <v>1.6E-2</v>
      </c>
      <c r="AA117" s="62">
        <f t="shared" si="39"/>
        <v>23.291700000000002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0"/>
        <v>0202-21</v>
      </c>
      <c r="AE117" s="85" t="str">
        <f t="shared" si="41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117" s="82" t="str">
        <f t="shared" si="42"/>
        <v>"C:\Program Files (x86)\AstroGrep\AstroGrep.exe" /e /r /s /spath="%USERPROFILE%\AppData\Local\Temp\OnboardLogs" /stypes="app*4039*20170421*" /stext=" 23:.+((SYSTEM_STATE.+slice.+state.+changed )|(ment ac)|(multiple cpu faults)|(system.+state.+changed )|(\[timeout)|(PRM\|1\|D)|(kpr)|(kdp)|(\|lc)|(penalty))"</v>
      </c>
      <c r="AG117" s="1" t="str">
        <f t="shared" si="43"/>
        <v>EC</v>
      </c>
      <c r="AH117" s="86" t="str">
        <f t="shared" si="28"/>
        <v>"%USERPROFILE%\Documents\GitHub\eaglep3\Utilities\RefineRTDCRunTimes.py" --tripid 202-21 --locoid 4039 --swversion DE.1.0.9.0 --startMP 204:233077 --initTime 2017-04-21T17:03:44 --startdatetime 2017-04-21T17:11:19 --delay 1 --endMP 204:160 --enddatetime 2017-04-21T17:51:51 --enforcementcount 1 &gt;&gt;C:\Users\stu\Documents\GitHub\eaglep3-reporting\EC\2017-04-21-refined-times.txt</v>
      </c>
      <c r="AI11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{"issue":{"subject":"","project_id":79,"tracker_id":40,"status_id":1,"priority_id":2,"assigned_to_id":23,"start_date":"2017-04-21","description":"","custom_fields":[{"id":1,"name":"Subdivision","value":"EC"},{"id":4,"name":"Milepost","value":"0.016"},{"id":17,"name":"Train ID","value":"202-21"},{"id":16,"name":"Locomotive ID","value":"4039"},{"id":130,"name":"Impact","value":""},{"id":150,"name":"Time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47" t="str">
        <f t="shared" si="30"/>
        <v>start /low /b %USERPROFILE%\Documents\GitHub\eaglep3\Utilities\DownloadLogsFromS3.py --loco 4039 --day 2017-04-21</v>
      </c>
      <c r="AN117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618</v>
      </c>
      <c r="B118" s="7">
        <v>4004</v>
      </c>
      <c r="C118" s="21" t="s">
        <v>212</v>
      </c>
      <c r="D118" s="21" t="s">
        <v>434</v>
      </c>
      <c r="E118" s="13">
        <v>42846.682719907411</v>
      </c>
      <c r="F118" s="13">
        <v>42846.687800925924</v>
      </c>
      <c r="G118" s="7">
        <v>1</v>
      </c>
      <c r="H118" s="21" t="s">
        <v>895</v>
      </c>
      <c r="I118" s="13">
        <v>42846.712962962964</v>
      </c>
      <c r="J118" s="7">
        <v>1</v>
      </c>
      <c r="K118" s="97" t="str">
        <f t="shared" si="32"/>
        <v>4003/4004</v>
      </c>
      <c r="L118" s="21" t="str">
        <f>VLOOKUP(A118,'Trips&amp;Operators'!$C$1:$G$99999,5,FALSE)</f>
        <v>ROMERO CHAD</v>
      </c>
      <c r="M118" s="6">
        <f t="shared" si="33"/>
        <v>2.5162037039990537E-2</v>
      </c>
      <c r="N118" s="7">
        <f t="shared" si="51"/>
        <v>36.233333337586373</v>
      </c>
      <c r="O118" s="7"/>
      <c r="P118" s="7"/>
      <c r="Q118" s="22"/>
      <c r="R118" s="22"/>
      <c r="S118" s="31">
        <f t="shared" si="44"/>
        <v>1</v>
      </c>
      <c r="T118" s="46" t="str">
        <f t="shared" si="34"/>
        <v>NorthBound</v>
      </c>
      <c r="U118" s="19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2" t="str">
        <f t="shared" si="35"/>
        <v>https://d0f6bd738d7f1b3e5a7ca70fe4ff75f0.us-east-1.aws.found.io/app/kibana#/discover/Steve-Slow-Train-Analysis-(2080s-and-2083s)?_g=(refreshInterval:(display:Off,pause:!f,section:0,value:0),time:(from:'2017-04-21T15:23:07-0600',mode:absolute,to:'2017-04-21T18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93" t="str">
        <f t="shared" si="36"/>
        <v>N</v>
      </c>
      <c r="X118" s="193">
        <f t="shared" si="46"/>
        <v>1</v>
      </c>
      <c r="Y118" s="193">
        <f t="shared" si="37"/>
        <v>4.4400000000000002E-2</v>
      </c>
      <c r="Z118" s="62">
        <f t="shared" si="38"/>
        <v>23.338200000000001</v>
      </c>
      <c r="AA118" s="62">
        <f t="shared" si="39"/>
        <v>23.293800000000001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0"/>
        <v>0203-21</v>
      </c>
      <c r="AE118" s="85" t="str">
        <f t="shared" si="41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118" s="82" t="str">
        <f t="shared" si="42"/>
        <v>"C:\Program Files (x86)\AstroGrep\AstroGrep.exe" /e /r /s /spath="%USERPROFILE%\AppData\Local\Temp\OnboardLogs" /stypes="app*4004*20170421*" /stext=" 23:.+((SYSTEM_STATE.+slice.+state.+changed )|(ment ac)|(multiple cpu faults)|(system.+state.+changed )|(\[timeout)|(PRM\|1\|D)|(kpr)|(kdp)|(\|lc)|(penalty))"</v>
      </c>
      <c r="AG118" s="1" t="str">
        <f t="shared" si="43"/>
        <v>EC</v>
      </c>
      <c r="AH118" s="86" t="str">
        <f t="shared" si="28"/>
        <v>"%USERPROFILE%\Documents\GitHub\eaglep3\Utilities\RefineRTDCRunTimes.py" --tripid 203-21 --locoid 4004 --swversion DE.1.0.9.0 --startMP 204:444 --initTime 2017-04-21T16:23:07 --startdatetime 2017-04-21T16:30:26 --delay 1 --endMP 204:233382 --enddatetime 2017-04-21T17:06:40 --enforcementcount 1 &gt;&gt;C:\Users\stu\Documents\GitHub\eaglep3-reporting\EC\2017-04-21-refined-times.txt</v>
      </c>
      <c r="AI11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{"issue":{"subject":"","project_id":79,"tracker_id":40,"status_id":1,"priority_id":2,"assigned_to_id":23,"start_date":"2017-04-21","description":"","custom_fields":[{"id":1,"name":"Subdivision","value":"EC"},{"id":4,"name":"Milepost","value":"23.3382"},{"id":17,"name":"Train ID","value":"203-21"},{"id":16,"name":"Locomotive ID","value":"4004"},{"id":130,"name":"Impact","value":""},{"id":150,"name":"Time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47" t="str">
        <f t="shared" si="30"/>
        <v>start /low /b %USERPROFILE%\Documents\GitHub\eaglep3\Utilities\DownloadLogsFromS3.py --loco 4004 --day 2017-04-21</v>
      </c>
      <c r="AN118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771</v>
      </c>
      <c r="B119" s="7">
        <v>4003</v>
      </c>
      <c r="C119" s="21" t="s">
        <v>212</v>
      </c>
      <c r="D119" s="21" t="s">
        <v>896</v>
      </c>
      <c r="E119" s="13">
        <v>42846.71607638889</v>
      </c>
      <c r="F119" s="13">
        <v>42846.726724537039</v>
      </c>
      <c r="G119" s="7">
        <v>1</v>
      </c>
      <c r="H119" s="21" t="s">
        <v>202</v>
      </c>
      <c r="I119" s="13">
        <v>42846.752453703702</v>
      </c>
      <c r="J119" s="7">
        <v>1</v>
      </c>
      <c r="K119" s="97" t="str">
        <f t="shared" si="32"/>
        <v>4003/4004</v>
      </c>
      <c r="L119" s="21" t="str">
        <f>VLOOKUP(A119,'Trips&amp;Operators'!$C$1:$G$99999,5,FALSE)</f>
        <v>ROMERO CHAD</v>
      </c>
      <c r="M119" s="6">
        <f t="shared" si="33"/>
        <v>2.5729166663950309E-2</v>
      </c>
      <c r="N119" s="7">
        <f t="shared" si="51"/>
        <v>37.049999996088445</v>
      </c>
      <c r="O119" s="7"/>
      <c r="P119" s="7"/>
      <c r="Q119" s="22"/>
      <c r="R119" s="22"/>
      <c r="S119" s="31">
        <f t="shared" si="44"/>
        <v>1</v>
      </c>
      <c r="T119" s="46" t="str">
        <f t="shared" si="34"/>
        <v>Southbound</v>
      </c>
      <c r="U119" s="19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2" t="str">
        <f t="shared" si="35"/>
        <v>https://d0f6bd738d7f1b3e5a7ca70fe4ff75f0.us-east-1.aws.found.io/app/kibana#/discover/Steve-Slow-Train-Analysis-(2080s-and-2083s)?_g=(refreshInterval:(display:Off,pause:!f,section:0,value:0),time:(from:'2017-04-21T16:11:09-0600',mode:absolute,to:'2017-04-21T19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9" s="193" t="str">
        <f t="shared" si="36"/>
        <v>N</v>
      </c>
      <c r="X119" s="193">
        <f t="shared" si="46"/>
        <v>1</v>
      </c>
      <c r="Y119" s="193">
        <f t="shared" si="37"/>
        <v>23.305499999999999</v>
      </c>
      <c r="Z119" s="62">
        <f t="shared" si="38"/>
        <v>1.54E-2</v>
      </c>
      <c r="AA119" s="62">
        <f t="shared" si="39"/>
        <v>23.290099999999999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0"/>
        <v>0204-21</v>
      </c>
      <c r="AE119" s="85" t="str">
        <f t="shared" si="41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119" s="82" t="str">
        <f t="shared" si="42"/>
        <v>"C:\Program Files (x86)\AstroGrep\AstroGrep.exe" /e /r /s /spath="%USERPROFILE%\AppData\Local\Temp\OnboardLogs" /stypes="app*4003*20170422*" /stext=" 00:.+((SYSTEM_STATE.+slice.+state.+changed )|(ment ac)|(multiple cpu faults)|(system.+state.+changed )|(\[timeout)|(PRM\|1\|D)|(kpr)|(kdp)|(\|lc)|(penalty))"</v>
      </c>
      <c r="AG119" s="1" t="str">
        <f t="shared" si="43"/>
        <v>EC</v>
      </c>
      <c r="AH119" s="86" t="str">
        <f t="shared" si="28"/>
        <v>"%USERPROFILE%\Documents\GitHub\eaglep3\Utilities\RefineRTDCRunTimes.py" --tripid 204-21 --locoid 4003 --swversion DE.1.0.9.0 --startMP 204:233055 --initTime 2017-04-21T17:11:09 --startdatetime 2017-04-21T17:26:29 --delay 1 --endMP 204:154 --enddatetime 2017-04-21T18:03:32 --enforcementcount 1 &gt;&gt;C:\Users\stu\Documents\GitHub\eaglep3-reporting\EC\2017-04-21-refined-times.txt</v>
      </c>
      <c r="AI11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{"issue":{"subject":"","project_id":79,"tracker_id":40,"status_id":1,"priority_id":2,"assigned_to_id":23,"start_date":"2017-04-21","description":"","custom_fields":[{"id":1,"name":"Subdivision","value":"EC"},{"id":4,"name":"Milepost","value":"0.0154"},{"id":17,"name":"Train ID","value":"204-21"},{"id":16,"name":"Locomotive ID","value":"4003"},{"id":130,"name":"Impact","value":""},{"id":150,"name":"Time of Event (Mountain Time)","value":"18:03:32"},{"id":151,"name":"Denver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47" t="str">
        <f t="shared" si="30"/>
        <v>start /low /b %USERPROFILE%\Documents\GitHub\eaglep3\Utilities\DownloadLogsFromS3.py --loco 4003 --day 2017-04-21</v>
      </c>
      <c r="AN119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764</v>
      </c>
      <c r="B120" s="7">
        <v>4002</v>
      </c>
      <c r="C120" s="21" t="s">
        <v>212</v>
      </c>
      <c r="D120" s="21" t="s">
        <v>897</v>
      </c>
      <c r="E120" s="13">
        <v>42846.697106481479</v>
      </c>
      <c r="F120" s="13">
        <v>42846.69872685185</v>
      </c>
      <c r="G120" s="7">
        <v>0</v>
      </c>
      <c r="H120" s="21" t="s">
        <v>376</v>
      </c>
      <c r="I120" s="13">
        <v>42846.724965277775</v>
      </c>
      <c r="J120" s="7">
        <v>1</v>
      </c>
      <c r="K120" s="97" t="str">
        <f t="shared" si="32"/>
        <v>4001/4002</v>
      </c>
      <c r="L120" s="21" t="str">
        <f>VLOOKUP(A120,'Trips&amp;Operators'!$C$1:$G$99999,5,FALSE)</f>
        <v>CLARK KATHLEEN</v>
      </c>
      <c r="M120" s="6">
        <f t="shared" si="33"/>
        <v>2.6238425925839692E-2</v>
      </c>
      <c r="N120" s="7">
        <f t="shared" si="51"/>
        <v>37.783333333209157</v>
      </c>
      <c r="O120" s="7"/>
      <c r="P120" s="7"/>
      <c r="Q120" s="22"/>
      <c r="R120" s="22"/>
      <c r="S120" s="31">
        <f t="shared" ref="S120:S142" si="52">SUM(U120:U120)/IF(AG120="EC",12,1)</f>
        <v>1</v>
      </c>
      <c r="T120" s="46" t="str">
        <f t="shared" si="34"/>
        <v>NorthBound</v>
      </c>
      <c r="U120" s="19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2" t="str">
        <f t="shared" si="35"/>
        <v>https://d0f6bd738d7f1b3e5a7ca70fe4ff75f0.us-east-1.aws.found.io/app/kibana#/discover/Steve-Slow-Train-Analysis-(2080s-and-2083s)?_g=(refreshInterval:(display:Off,pause:!f,section:0,value:0),time:(from:'2017-04-21T15:43:50-0600',mode:absolute,to:'2017-04-21T18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193" t="str">
        <f t="shared" si="36"/>
        <v>N</v>
      </c>
      <c r="X120" s="193">
        <f t="shared" si="46"/>
        <v>1</v>
      </c>
      <c r="Y120" s="193">
        <f t="shared" si="37"/>
        <v>4.8899999999999999E-2</v>
      </c>
      <c r="Z120" s="62">
        <f t="shared" si="38"/>
        <v>23.329499999999999</v>
      </c>
      <c r="AA120" s="62">
        <f t="shared" si="39"/>
        <v>23.2806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0"/>
        <v>0205-21</v>
      </c>
      <c r="AE120" s="85" t="str">
        <f t="shared" si="41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120" s="82" t="str">
        <f t="shared" si="42"/>
        <v>"C:\Program Files (x86)\AstroGrep\AstroGrep.exe" /e /r /s /spath="%USERPROFILE%\AppData\Local\Temp\OnboardLogs" /stypes="app*4002*20170421*" /stext=" 23:.+((SYSTEM_STATE.+slice.+state.+changed )|(ment ac)|(multiple cpu faults)|(system.+state.+changed )|(\[timeout)|(PRM\|1\|D)|(kpr)|(kdp)|(\|lc)|(penalty))"</v>
      </c>
      <c r="AG120" s="1" t="str">
        <f t="shared" si="43"/>
        <v>EC</v>
      </c>
      <c r="AH120" s="86" t="str">
        <f t="shared" si="28"/>
        <v>"%USERPROFILE%\Documents\GitHub\eaglep3\Utilities\RefineRTDCRunTimes.py" --tripid 205-21 --locoid 4002 --swversion DE.1.0.9.0 --startMP 204:489 --initTime 2017-04-21T16:43:50 --startdatetime 2017-04-21T16:46:10 --delay 0 --endMP 204:233295 --enddatetime 2017-04-21T17:23:57 --enforcementcount 1 &gt;&gt;C:\Users\stu\Documents\GitHub\eaglep3-reporting\EC\2017-04-21-refined-times.txt</v>
      </c>
      <c r="AI12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ID","value":"205-21"},{"id":16,"name":"Locomotive ID","value":"4002"},{"id":130,"name":"Impact","value":""},{"id":150,"name":"Time of Event (Mountain Time)","value":"17:23:57"},{"id":151,"name":"Denver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47" t="str">
        <f t="shared" si="30"/>
        <v>start /low /b %USERPROFILE%\Documents\GitHub\eaglep3\Utilities\DownloadLogsFromS3.py --loco 4002 --day 2017-04-21</v>
      </c>
      <c r="AN120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777</v>
      </c>
      <c r="B121" s="7">
        <v>4001</v>
      </c>
      <c r="C121" s="21" t="s">
        <v>212</v>
      </c>
      <c r="D121" s="21" t="s">
        <v>373</v>
      </c>
      <c r="E121" s="13">
        <v>42846.73332175926</v>
      </c>
      <c r="F121" s="13">
        <v>42846.736979166664</v>
      </c>
      <c r="G121" s="7">
        <v>1</v>
      </c>
      <c r="H121" s="21" t="s">
        <v>898</v>
      </c>
      <c r="I121" s="13">
        <v>42846.764652777776</v>
      </c>
      <c r="J121" s="7">
        <v>1</v>
      </c>
      <c r="K121" s="97" t="str">
        <f t="shared" si="32"/>
        <v>4001/4002</v>
      </c>
      <c r="L121" s="21" t="str">
        <f>VLOOKUP(A121,'Trips&amp;Operators'!$C$1:$G$99999,5,FALSE)</f>
        <v>CLARK KATHLEEN</v>
      </c>
      <c r="M121" s="6">
        <f t="shared" si="33"/>
        <v>2.7673611111822538E-2</v>
      </c>
      <c r="N121" s="7">
        <f t="shared" si="51"/>
        <v>39.850000001024455</v>
      </c>
      <c r="O121" s="7"/>
      <c r="P121" s="7"/>
      <c r="Q121" s="22"/>
      <c r="R121" s="22"/>
      <c r="S121" s="31">
        <f t="shared" si="52"/>
        <v>1</v>
      </c>
      <c r="T121" s="46" t="str">
        <f t="shared" si="34"/>
        <v>Southbound</v>
      </c>
      <c r="U121" s="19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2" t="str">
        <f t="shared" si="35"/>
        <v>https://d0f6bd738d7f1b3e5a7ca70fe4ff75f0.us-east-1.aws.found.io/app/kibana#/discover/Steve-Slow-Train-Analysis-(2080s-and-2083s)?_g=(refreshInterval:(display:Off,pause:!f,section:0,value:0),time:(from:'2017-04-21T16:35:59-0600',mode:absolute,to:'2017-04-21T19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193" t="str">
        <f t="shared" si="36"/>
        <v>N</v>
      </c>
      <c r="X121" s="193">
        <f t="shared" si="46"/>
        <v>1</v>
      </c>
      <c r="Y121" s="193">
        <f t="shared" si="37"/>
        <v>23.297699999999999</v>
      </c>
      <c r="Z121" s="62">
        <f t="shared" si="38"/>
        <v>1.7600000000000001E-2</v>
      </c>
      <c r="AA121" s="62">
        <f t="shared" si="39"/>
        <v>23.280099999999997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0"/>
        <v>0206-21</v>
      </c>
      <c r="AE121" s="85" t="str">
        <f t="shared" si="41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121" s="82" t="str">
        <f t="shared" si="42"/>
        <v>"C:\Program Files (x86)\AstroGrep\AstroGrep.exe" /e /r /s /spath="%USERPROFILE%\AppData\Local\Temp\OnboardLogs" /stypes="app*4001*20170422*" /stext=" 00:.+((SYSTEM_STATE.+slice.+state.+changed )|(ment ac)|(multiple cpu faults)|(system.+state.+changed )|(\[timeout)|(PRM\|1\|D)|(kpr)|(kdp)|(\|lc)|(penalty))"</v>
      </c>
      <c r="AG121" s="1" t="str">
        <f t="shared" si="43"/>
        <v>EC</v>
      </c>
      <c r="AH121" s="86" t="str">
        <f t="shared" si="28"/>
        <v>"%USERPROFILE%\Documents\GitHub\eaglep3\Utilities\RefineRTDCRunTimes.py" --tripid 206-21 --locoid 4001 --swversion DE.1.0.9.0 --startMP 204:232977 --initTime 2017-04-21T17:35:59 --startdatetime 2017-04-21T17:41:15 --delay 1 --endMP 204:176 --enddatetime 2017-04-21T18:21:06 --enforcementcount 1 &gt;&gt;C:\Users\stu\Documents\GitHub\eaglep3-reporting\EC\2017-04-21-refined-times.txt</v>
      </c>
      <c r="AI121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{"issue":{"subject":"","project_id":79,"tracker_id":40,"status_id":1,"priority_id":2,"assigned_to_id":23,"start_date":"2017-04-21","description":"","custom_fields":[{"id":1,"name":"Subdivision","value":"EC"},{"id":4,"name":"Milepost","value":"0.0176"},{"id":17,"name":"Train ID","value":"206-21"},{"id":16,"name":"Locomotive ID","value":"4001"},{"id":130,"name":"Impact","value":""},{"id":150,"name":"Time of Event (Mountain Time)","value":"18:21:06"},{"id":151,"name":"Denver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47" t="str">
        <f t="shared" si="30"/>
        <v>start /low /b %USERPROFILE%\Documents\GitHub\eaglep3\Utilities\DownloadLogsFromS3.py --loco 4001 --day 2017-04-21</v>
      </c>
      <c r="AN121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767</v>
      </c>
      <c r="B122" s="7">
        <v>4046</v>
      </c>
      <c r="C122" s="21" t="s">
        <v>212</v>
      </c>
      <c r="D122" s="21" t="s">
        <v>203</v>
      </c>
      <c r="E122" s="13">
        <v>42846.704340277778</v>
      </c>
      <c r="F122" s="13">
        <v>42846.708506944444</v>
      </c>
      <c r="G122" s="7">
        <v>1</v>
      </c>
      <c r="H122" s="21" t="s">
        <v>566</v>
      </c>
      <c r="I122" s="13">
        <v>42846.733738425923</v>
      </c>
      <c r="J122" s="7">
        <v>1</v>
      </c>
      <c r="K122" s="97" t="str">
        <f t="shared" si="32"/>
        <v>4045/4046</v>
      </c>
      <c r="L122" s="21" t="str">
        <f>VLOOKUP(A122,'Trips&amp;Operators'!$C$1:$G$99999,5,FALSE)</f>
        <v>BRUDER RICHARD</v>
      </c>
      <c r="M122" s="6">
        <f t="shared" si="33"/>
        <v>2.5231481478840578E-2</v>
      </c>
      <c r="N122" s="7">
        <f t="shared" si="51"/>
        <v>36.333333329530433</v>
      </c>
      <c r="O122" s="7"/>
      <c r="P122" s="7"/>
      <c r="Q122" s="22"/>
      <c r="R122" s="22"/>
      <c r="S122" s="31">
        <f t="shared" si="52"/>
        <v>1</v>
      </c>
      <c r="T122" s="46" t="str">
        <f t="shared" si="34"/>
        <v>NorthBound</v>
      </c>
      <c r="U122" s="19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2" t="str">
        <f t="shared" si="35"/>
        <v>https://d0f6bd738d7f1b3e5a7ca70fe4ff75f0.us-east-1.aws.found.io/app/kibana#/discover/Steve-Slow-Train-Analysis-(2080s-and-2083s)?_g=(refreshInterval:(display:Off,pause:!f,section:0,value:0),time:(from:'2017-04-21T15:54:15-0600',mode:absolute,to:'2017-04-21T18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2" s="193" t="str">
        <f t="shared" si="36"/>
        <v>N</v>
      </c>
      <c r="X122" s="193">
        <f t="shared" si="46"/>
        <v>1</v>
      </c>
      <c r="Y122" s="193">
        <f t="shared" si="37"/>
        <v>4.5699999999999998E-2</v>
      </c>
      <c r="Z122" s="62">
        <f t="shared" si="38"/>
        <v>23.327999999999999</v>
      </c>
      <c r="AA122" s="62">
        <f t="shared" si="39"/>
        <v>23.282299999999999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0"/>
        <v>0207-21</v>
      </c>
      <c r="AE122" s="85" t="str">
        <f t="shared" si="41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122" s="82" t="str">
        <f t="shared" si="42"/>
        <v>"C:\Program Files (x86)\AstroGrep\AstroGrep.exe" /e /r /s /spath="%USERPROFILE%\AppData\Local\Temp\OnboardLogs" /stypes="app*4046*20170421*" /stext=" 23:.+((SYSTEM_STATE.+slice.+state.+changed )|(ment ac)|(multiple cpu faults)|(system.+state.+changed )|(\[timeout)|(PRM\|1\|D)|(kpr)|(kdp)|(\|lc)|(penalty))"</v>
      </c>
      <c r="AG122" s="1" t="str">
        <f t="shared" si="43"/>
        <v>EC</v>
      </c>
      <c r="AH122" s="86" t="str">
        <f t="shared" si="28"/>
        <v>"%USERPROFILE%\Documents\GitHub\eaglep3\Utilities\RefineRTDCRunTimes.py" --tripid 207-21 --locoid 4046 --swversion DE.1.0.9.0 --startMP 204:457 --initTime 2017-04-21T16:54:15 --startdatetime 2017-04-21T17:00:15 --delay 1 --endMP 204:233280 --enddatetime 2017-04-21T17:36:35 --enforcementcount 1 &gt;&gt;C:\Users\stu\Documents\GitHub\eaglep3-reporting\EC\2017-04-21-refined-times.txt</v>
      </c>
      <c r="AI122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{"issue":{"subject":"","project_id":79,"tracker_id":40,"status_id":1,"priority_id":2,"assigned_to_id":23,"start_date":"2017-04-21","description":"","custom_fields":[{"id":1,"name":"Subdivision","value":"EC"},{"id":4,"name":"Milepost","value":"23.328"},{"id":17,"name":"Train ID","value":"207-21"},{"id":16,"name":"Locomotive ID","value":"4046"},{"id":130,"name":"Impact","value":""},{"id":150,"name":"Time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47" t="str">
        <f t="shared" si="30"/>
        <v>start /low /b %USERPROFILE%\Documents\GitHub\eaglep3\Utilities\DownloadLogsFromS3.py --loco 4046 --day 2017-04-21</v>
      </c>
      <c r="AN122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786</v>
      </c>
      <c r="B123" s="7">
        <v>4045</v>
      </c>
      <c r="C123" s="21" t="s">
        <v>212</v>
      </c>
      <c r="D123" s="21" t="s">
        <v>511</v>
      </c>
      <c r="E123" s="13">
        <v>42846.742488425924</v>
      </c>
      <c r="F123" s="13">
        <v>42846.747442129628</v>
      </c>
      <c r="G123" s="7">
        <v>1</v>
      </c>
      <c r="H123" s="21" t="s">
        <v>555</v>
      </c>
      <c r="I123" s="13">
        <v>42846.774351851855</v>
      </c>
      <c r="J123" s="7">
        <v>1</v>
      </c>
      <c r="K123" s="97" t="str">
        <f t="shared" si="32"/>
        <v>4045/4046</v>
      </c>
      <c r="L123" s="21" t="str">
        <f>VLOOKUP(A123,'Trips&amp;Operators'!$C$1:$G$99999,5,FALSE)</f>
        <v>BRUDER RICHARD</v>
      </c>
      <c r="M123" s="6">
        <f t="shared" si="33"/>
        <v>2.6909722226264421E-2</v>
      </c>
      <c r="N123" s="7">
        <f t="shared" si="51"/>
        <v>38.750000005820766</v>
      </c>
      <c r="O123" s="7"/>
      <c r="P123" s="7"/>
      <c r="Q123" s="22"/>
      <c r="R123" s="22"/>
      <c r="S123" s="31">
        <f t="shared" si="52"/>
        <v>1</v>
      </c>
      <c r="T123" s="46" t="str">
        <f t="shared" si="34"/>
        <v>Southbound</v>
      </c>
      <c r="U123" s="19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2" t="str">
        <f t="shared" si="35"/>
        <v>https://d0f6bd738d7f1b3e5a7ca70fe4ff75f0.us-east-1.aws.found.io/app/kibana#/discover/Steve-Slow-Train-Analysis-(2080s-and-2083s)?_g=(refreshInterval:(display:Off,pause:!f,section:0,value:0),time:(from:'2017-04-21T16:49:11-0600',mode:absolute,to:'2017-04-21T19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3" s="193" t="str">
        <f t="shared" si="36"/>
        <v>N</v>
      </c>
      <c r="X123" s="193">
        <f t="shared" si="46"/>
        <v>1</v>
      </c>
      <c r="Y123" s="193">
        <f t="shared" si="37"/>
        <v>23.2973</v>
      </c>
      <c r="Z123" s="62">
        <f t="shared" si="38"/>
        <v>1.67E-2</v>
      </c>
      <c r="AA123" s="62">
        <f t="shared" si="39"/>
        <v>23.2806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0"/>
        <v>0208-21</v>
      </c>
      <c r="AE123" s="85" t="str">
        <f t="shared" si="41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123" s="82" t="str">
        <f t="shared" si="42"/>
        <v>"C:\Program Files (x86)\AstroGrep\AstroGrep.exe" /e /r /s /spath="%USERPROFILE%\AppData\Local\Temp\OnboardLogs" /stypes="app*4045*20170422*" /stext=" 00:.+((SYSTEM_STATE.+slice.+state.+changed )|(ment ac)|(multiple cpu faults)|(system.+state.+changed )|(\[timeout)|(PRM\|1\|D)|(kpr)|(kdp)|(\|lc)|(penalty))"</v>
      </c>
      <c r="AG123" s="1" t="str">
        <f t="shared" si="43"/>
        <v>EC</v>
      </c>
      <c r="AH123" s="86" t="str">
        <f t="shared" si="28"/>
        <v>"%USERPROFILE%\Documents\GitHub\eaglep3\Utilities\RefineRTDCRunTimes.py" --tripid 208-21 --locoid 4045 --swversion DE.1.0.9.0 --startMP 204:232973 --initTime 2017-04-21T17:49:11 --startdatetime 2017-04-21T17:56:19 --delay 1 --endMP 204:167 --enddatetime 2017-04-21T18:35:04 --enforcementcount 1 &gt;&gt;C:\Users\stu\Documents\GitHub\eaglep3-reporting\EC\2017-04-21-refined-times.txt</v>
      </c>
      <c r="AI123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{"issue":{"subject":"","project_id":79,"tracker_id":40,"status_id":1,"priority_id":2,"assigned_to_id":23,"start_date":"2017-04-21","description":"","custom_fields":[{"id":1,"name":"Subdivision","value":"EC"},{"id":4,"name":"Milepost","value":"0.0167"},{"id":17,"name":"Train ID","value":"208-21"},{"id":16,"name":"Locomotive ID","value":"4045"},{"id":130,"name":"Impact","value":""},{"id":150,"name":"Time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47" t="str">
        <f t="shared" si="30"/>
        <v>start /low /b %USERPROFILE%\Documents\GitHub\eaglep3\Utilities\DownloadLogsFromS3.py --loco 4045 --day 2017-04-21</v>
      </c>
      <c r="AN123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770</v>
      </c>
      <c r="B124" s="7">
        <v>4024</v>
      </c>
      <c r="C124" s="21" t="s">
        <v>212</v>
      </c>
      <c r="D124" s="21" t="s">
        <v>385</v>
      </c>
      <c r="E124" s="13">
        <v>42846.714629629627</v>
      </c>
      <c r="F124" s="13">
        <v>42846.718958333331</v>
      </c>
      <c r="G124" s="7">
        <v>4</v>
      </c>
      <c r="H124" s="21" t="s">
        <v>553</v>
      </c>
      <c r="I124" s="13">
        <v>42846.743784722225</v>
      </c>
      <c r="J124" s="7">
        <v>1</v>
      </c>
      <c r="K124" s="97" t="str">
        <f t="shared" si="32"/>
        <v>4023/4024</v>
      </c>
      <c r="L124" s="21" t="str">
        <f>VLOOKUP(A124,'Trips&amp;Operators'!$C$1:$G$99999,5,FALSE)</f>
        <v>LAMAR NEKESHA</v>
      </c>
      <c r="M124" s="6">
        <f t="shared" si="33"/>
        <v>2.4826388893416151E-2</v>
      </c>
      <c r="N124" s="7">
        <f t="shared" si="51"/>
        <v>35.750000006519258</v>
      </c>
      <c r="O124" s="7"/>
      <c r="P124" s="7"/>
      <c r="Q124" s="22"/>
      <c r="R124" s="22"/>
      <c r="S124" s="31">
        <f t="shared" si="52"/>
        <v>1</v>
      </c>
      <c r="T124" s="46" t="str">
        <f t="shared" si="34"/>
        <v>NorthBound</v>
      </c>
      <c r="U124" s="19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2" t="str">
        <f t="shared" si="35"/>
        <v>https://d0f6bd738d7f1b3e5a7ca70fe4ff75f0.us-east-1.aws.found.io/app/kibana#/discover/Steve-Slow-Train-Analysis-(2080s-and-2083s)?_g=(refreshInterval:(display:Off,pause:!f,section:0,value:0),time:(from:'2017-04-21T16:09:04-0600',mode:absolute,to:'2017-04-21T18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3" t="str">
        <f t="shared" si="36"/>
        <v>N</v>
      </c>
      <c r="X124" s="193">
        <f t="shared" si="46"/>
        <v>1</v>
      </c>
      <c r="Y124" s="193">
        <f t="shared" si="37"/>
        <v>4.4600000000000001E-2</v>
      </c>
      <c r="Z124" s="62">
        <f t="shared" si="38"/>
        <v>23.331399999999999</v>
      </c>
      <c r="AA124" s="62">
        <f t="shared" si="39"/>
        <v>23.286799999999999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0"/>
        <v>0209-21</v>
      </c>
      <c r="AE124" s="85" t="str">
        <f t="shared" si="41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124" s="82" t="str">
        <f t="shared" si="42"/>
        <v>"C:\Program Files (x86)\AstroGrep\AstroGrep.exe" /e /r /s /spath="%USERPROFILE%\AppData\Local\Temp\OnboardLogs" /stypes="app*4024*20170421*" /stext=" 23:.+((SYSTEM_STATE.+slice.+state.+changed )|(ment ac)|(multiple cpu faults)|(system.+state.+changed )|(\[timeout)|(PRM\|1\|D)|(kpr)|(kdp)|(\|lc)|(penalty))"</v>
      </c>
      <c r="AG124" s="1" t="str">
        <f t="shared" si="43"/>
        <v>EC</v>
      </c>
      <c r="AH124" s="86" t="str">
        <f t="shared" si="28"/>
        <v>"%USERPROFILE%\Documents\GitHub\eaglep3\Utilities\RefineRTDCRunTimes.py" --tripid 209-21 --locoid 4024 --swversion DE.1.0.9.0 --startMP 204:446 --initTime 2017-04-21T17:09:04 --startdatetime 2017-04-21T17:15:18 --delay 4 --endMP 204:233314 --enddatetime 2017-04-21T17:51:03 --enforcementcount 1 &gt;&gt;C:\Users\stu\Documents\GitHub\eaglep3-reporting\EC\2017-04-21-refined-times.txt</v>
      </c>
      <c r="AI124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{"issue":{"subject":"","project_id":79,"tracker_id":40,"status_id":1,"priority_id":2,"assigned_to_id":23,"start_date":"2017-04-21","description":"","custom_fields":[{"id":1,"name":"Subdivision","value":"EC"},{"id":4,"name":"Milepost","value":"23.3314"},{"id":17,"name":"Train ID","value":"209-21"},{"id":16,"name":"Locomotive ID","value":"4024"},{"id":130,"name":"Impact","value":""},{"id":150,"name":"Time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47" t="str">
        <f t="shared" si="30"/>
        <v>start /low /b %USERPROFILE%\Documents\GitHub\eaglep3\Utilities\DownloadLogsFromS3.py --loco 4024 --day 2017-04-21</v>
      </c>
      <c r="AN124" s="156" t="str">
        <f t="shared" si="31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788</v>
      </c>
      <c r="B125" s="7">
        <v>4023</v>
      </c>
      <c r="C125" s="21" t="s">
        <v>212</v>
      </c>
      <c r="D125" s="21" t="s">
        <v>890</v>
      </c>
      <c r="E125" s="13">
        <v>42846.75403935185</v>
      </c>
      <c r="F125" s="13">
        <v>42846.757986111108</v>
      </c>
      <c r="G125" s="7">
        <v>2</v>
      </c>
      <c r="H125" s="21" t="s">
        <v>433</v>
      </c>
      <c r="I125" s="13">
        <v>42846.783680555556</v>
      </c>
      <c r="J125" s="7">
        <v>1</v>
      </c>
      <c r="K125" s="97" t="str">
        <f t="shared" si="32"/>
        <v>4023/4024</v>
      </c>
      <c r="L125" s="21" t="str">
        <f>VLOOKUP(A125,'Trips&amp;Operators'!$C$1:$G$99999,5,FALSE)</f>
        <v>LAMAR NEKESHA</v>
      </c>
      <c r="M125" s="6">
        <f t="shared" si="33"/>
        <v>2.5694444448163267E-2</v>
      </c>
      <c r="N125" s="7">
        <f t="shared" si="51"/>
        <v>37.000000005355105</v>
      </c>
      <c r="O125" s="7"/>
      <c r="P125" s="7"/>
      <c r="Q125" s="22"/>
      <c r="R125" s="22"/>
      <c r="S125" s="31">
        <f t="shared" si="52"/>
        <v>1</v>
      </c>
      <c r="T125" s="46" t="str">
        <f t="shared" si="34"/>
        <v>Southbound</v>
      </c>
      <c r="U125" s="19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2" t="str">
        <f t="shared" si="35"/>
        <v>https://d0f6bd738d7f1b3e5a7ca70fe4ff75f0.us-east-1.aws.found.io/app/kibana#/discover/Steve-Slow-Train-Analysis-(2080s-and-2083s)?_g=(refreshInterval:(display:Off,pause:!f,section:0,value:0),time:(from:'2017-04-21T17:05:49-0600',mode:absolute,to:'2017-04-21T19:48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3" t="str">
        <f t="shared" si="36"/>
        <v>N</v>
      </c>
      <c r="X125" s="193">
        <f t="shared" si="46"/>
        <v>1</v>
      </c>
      <c r="Y125" s="193">
        <f t="shared" si="37"/>
        <v>23.299099999999999</v>
      </c>
      <c r="Z125" s="62">
        <f t="shared" si="38"/>
        <v>1.5599999999999999E-2</v>
      </c>
      <c r="AA125" s="62">
        <f t="shared" si="39"/>
        <v>23.2835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40"/>
        <v>0210-21</v>
      </c>
      <c r="AE125" s="85" t="str">
        <f t="shared" si="41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125" s="82" t="str">
        <f t="shared" si="42"/>
        <v>"C:\Program Files (x86)\AstroGrep\AstroGrep.exe" /e /r /s /spath="%USERPROFILE%\AppData\Local\Temp\OnboardLogs" /stypes="app*4023*20170422*" /stext=" 00:.+((SYSTEM_STATE.+slice.+state.+changed )|(ment ac)|(multiple cpu faults)|(system.+state.+changed )|(\[timeout)|(PRM\|1\|D)|(kpr)|(kdp)|(\|lc)|(penalty))"</v>
      </c>
      <c r="AG125" s="1" t="str">
        <f t="shared" si="43"/>
        <v>EC</v>
      </c>
      <c r="AH125" s="86" t="str">
        <f t="shared" si="28"/>
        <v>"%USERPROFILE%\Documents\GitHub\eaglep3\Utilities\RefineRTDCRunTimes.py" --tripid 210-21 --locoid 4023 --swversion DE.1.0.9.0 --startMP 204:232991 --initTime 2017-04-21T18:05:49 --startdatetime 2017-04-21T18:11:30 --delay 2 --endMP 204:156 --enddatetime 2017-04-21T18:48:30 --enforcementcount 1 &gt;&gt;C:\Users\stu\Documents\GitHub\eaglep3-reporting\EC\2017-04-21-refined-times.txt</v>
      </c>
      <c r="AI125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{"issue":{"subject":"","project_id":79,"tracker_id":40,"status_id":1,"priority_id":2,"assigned_to_id":23,"start_date":"2017-04-21","description":"","custom_fields":[{"id":1,"name":"Subdivision","value":"EC"},{"id":4,"name":"Milepost","value":"0.0156"},{"id":17,"name":"Train ID","value":"210-21"},{"id":16,"name":"Locomotive ID","value":"4023"},{"id":130,"name":"Impact","value":""},{"id":150,"name":"Time of Event (Mountain Time)","value":"18:48:30"},{"id":151,"name":"Denver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47" t="str">
        <f t="shared" si="30"/>
        <v>start /low /b %USERPROFILE%\Documents\GitHub\eaglep3\Utilities\DownloadLogsFromS3.py --loco 4023 --day 2017-04-21</v>
      </c>
      <c r="AN125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773</v>
      </c>
      <c r="B126" s="7">
        <v>4032</v>
      </c>
      <c r="C126" s="21" t="s">
        <v>212</v>
      </c>
      <c r="D126" s="21" t="s">
        <v>383</v>
      </c>
      <c r="E126" s="13">
        <v>42846.720833333333</v>
      </c>
      <c r="F126" s="13">
        <v>42846.729305555556</v>
      </c>
      <c r="G126" s="7">
        <v>1</v>
      </c>
      <c r="H126" s="21" t="s">
        <v>553</v>
      </c>
      <c r="I126" s="13">
        <v>42846.755219907405</v>
      </c>
      <c r="J126" s="7">
        <v>1</v>
      </c>
      <c r="K126" s="97" t="str">
        <f t="shared" si="32"/>
        <v>4031/4032</v>
      </c>
      <c r="L126" s="21" t="str">
        <f>VLOOKUP(A126,'Trips&amp;Operators'!$C$1:$G$99999,5,FALSE)</f>
        <v>LOPES KIMBERLY</v>
      </c>
      <c r="M126" s="6">
        <f t="shared" si="33"/>
        <v>2.5914351848769002E-2</v>
      </c>
      <c r="N126" s="7">
        <f t="shared" si="51"/>
        <v>37.316666662227362</v>
      </c>
      <c r="O126" s="7"/>
      <c r="P126" s="7"/>
      <c r="Q126" s="22"/>
      <c r="R126" s="22"/>
      <c r="S126" s="31">
        <f t="shared" si="52"/>
        <v>1</v>
      </c>
      <c r="T126" s="46" t="str">
        <f t="shared" si="34"/>
        <v>NorthBound</v>
      </c>
      <c r="U126" s="19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2" t="str">
        <f t="shared" si="35"/>
        <v>https://d0f6bd738d7f1b3e5a7ca70fe4ff75f0.us-east-1.aws.found.io/app/kibana#/discover/Steve-Slow-Train-Analysis-(2080s-and-2083s)?_g=(refreshInterval:(display:Off,pause:!f,section:0,value:0),time:(from:'2017-04-21T16:18:00-0600',mode:absolute,to:'2017-04-21T19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93" t="str">
        <f t="shared" si="36"/>
        <v>N</v>
      </c>
      <c r="X126" s="193">
        <f t="shared" si="46"/>
        <v>1</v>
      </c>
      <c r="Y126" s="193">
        <f t="shared" si="37"/>
        <v>4.6199999999999998E-2</v>
      </c>
      <c r="Z126" s="62">
        <f t="shared" si="38"/>
        <v>23.331399999999999</v>
      </c>
      <c r="AA126" s="62">
        <f t="shared" si="39"/>
        <v>23.2852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0"/>
        <v>0211-21</v>
      </c>
      <c r="AE126" s="85" t="str">
        <f t="shared" si="41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126" s="82" t="str">
        <f t="shared" si="42"/>
        <v>"C:\Program Files (x86)\AstroGrep\AstroGrep.exe" /e /r /s /spath="%USERPROFILE%\AppData\Local\Temp\OnboardLogs" /stypes="app*4032*20170422*" /stext=" 00:.+((SYSTEM_STATE.+slice.+state.+changed )|(ment ac)|(multiple cpu faults)|(system.+state.+changed )|(\[timeout)|(PRM\|1\|D)|(kpr)|(kdp)|(\|lc)|(penalty))"</v>
      </c>
      <c r="AG126" s="1" t="str">
        <f t="shared" si="43"/>
        <v>EC</v>
      </c>
      <c r="AH126" s="86" t="str">
        <f t="shared" si="28"/>
        <v>"%USERPROFILE%\Documents\GitHub\eaglep3\Utilities\RefineRTDCRunTimes.py" --tripid 211-21 --locoid 4032 --swversion DE.1.0.9.0 --startMP 204:462 --initTime 2017-04-21T17:18:00 --startdatetime 2017-04-21T17:30:12 --delay 1 --endMP 204:233314 --enddatetime 2017-04-21T18:07:31 --enforcementcount 1 &gt;&gt;C:\Users\stu\Documents\GitHub\eaglep3-reporting\EC\2017-04-21-refined-times.txt</v>
      </c>
      <c r="AI126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{"issue":{"subject":"","project_id":79,"tracker_id":40,"status_id":1,"priority_id":2,"assigned_to_id":23,"start_date":"2017-04-21","description":"","custom_fields":[{"id":1,"name":"Subdivision","value":"EC"},{"id":4,"name":"Milepost","value":"23.3314"},{"id":17,"name":"Train ID","value":"211-21"},{"id":16,"name":"Locomotive ID","value":"4032"},{"id":130,"name":"Impact","value":""},{"id":150,"name":"Time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47" t="str">
        <f t="shared" si="30"/>
        <v>start /low /b %USERPROFILE%\Documents\GitHub\eaglep3\Utilities\DownloadLogsFromS3.py --loco 4032 --day 2017-04-21</v>
      </c>
      <c r="AN126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791</v>
      </c>
      <c r="B127" s="7">
        <v>4031</v>
      </c>
      <c r="C127" s="21" t="s">
        <v>212</v>
      </c>
      <c r="D127" s="21" t="s">
        <v>851</v>
      </c>
      <c r="E127" s="13">
        <v>42846.764872685184</v>
      </c>
      <c r="F127" s="13">
        <v>42846.768217592595</v>
      </c>
      <c r="G127" s="7">
        <v>1</v>
      </c>
      <c r="H127" s="21" t="s">
        <v>426</v>
      </c>
      <c r="I127" s="13">
        <v>42846.794999999998</v>
      </c>
      <c r="J127" s="7">
        <v>1</v>
      </c>
      <c r="K127" s="97" t="str">
        <f t="shared" si="32"/>
        <v>4031/4032</v>
      </c>
      <c r="L127" s="21" t="str">
        <f>VLOOKUP(A127,'Trips&amp;Operators'!$C$1:$G$99999,5,FALSE)</f>
        <v>LOPES KIMBERLY</v>
      </c>
      <c r="M127" s="6">
        <f t="shared" si="33"/>
        <v>2.6782407403516117E-2</v>
      </c>
      <c r="N127" s="7">
        <f t="shared" si="51"/>
        <v>38.566666661063209</v>
      </c>
      <c r="O127" s="7"/>
      <c r="P127" s="7"/>
      <c r="Q127" s="22"/>
      <c r="R127" s="22"/>
      <c r="S127" s="31">
        <f t="shared" si="52"/>
        <v>1</v>
      </c>
      <c r="T127" s="46" t="str">
        <f t="shared" si="34"/>
        <v>Southbound</v>
      </c>
      <c r="U127" s="19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2" t="str">
        <f t="shared" si="35"/>
        <v>https://d0f6bd738d7f1b3e5a7ca70fe4ff75f0.us-east-1.aws.found.io/app/kibana#/discover/Steve-Slow-Train-Analysis-(2080s-and-2083s)?_g=(refreshInterval:(display:Off,pause:!f,section:0,value:0),time:(from:'2017-04-21T17:21:25-0600',mode:absolute,to:'2017-04-21T20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193" t="str">
        <f t="shared" si="36"/>
        <v>N</v>
      </c>
      <c r="X127" s="193">
        <f t="shared" si="46"/>
        <v>1</v>
      </c>
      <c r="Y127" s="193">
        <f t="shared" si="37"/>
        <v>23.299600000000002</v>
      </c>
      <c r="Z127" s="62">
        <f t="shared" si="38"/>
        <v>1.6299999999999999E-2</v>
      </c>
      <c r="AA127" s="62">
        <f t="shared" si="39"/>
        <v>23.283300000000001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0"/>
        <v>0212-21</v>
      </c>
      <c r="AE127" s="85" t="str">
        <f t="shared" si="41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127" s="82" t="str">
        <f t="shared" si="42"/>
        <v>"C:\Program Files (x86)\AstroGrep\AstroGrep.exe" /e /r /s /spath="%USERPROFILE%\AppData\Local\Temp\OnboardLogs" /stypes="app*4031*20170422*" /stext=" 01:.+((SYSTEM_STATE.+slice.+state.+changed )|(ment ac)|(multiple cpu faults)|(system.+state.+changed )|(\[timeout)|(PRM\|1\|D)|(kpr)|(kdp)|(\|lc)|(penalty))"</v>
      </c>
      <c r="AG127" s="1" t="str">
        <f t="shared" si="43"/>
        <v>EC</v>
      </c>
      <c r="AH127" s="86" t="str">
        <f t="shared" si="28"/>
        <v>"%USERPROFILE%\Documents\GitHub\eaglep3\Utilities\RefineRTDCRunTimes.py" --tripid 212-21 --locoid 4031 --swversion DE.1.0.9.0 --startMP 204:232996 --initTime 2017-04-21T18:21:25 --startdatetime 2017-04-21T18:26:14 --delay 1 --endMP 204:163 --enddatetime 2017-04-21T19:04:48 --enforcementcount 1 &gt;&gt;C:\Users\stu\Documents\GitHub\eaglep3-reporting\EC\2017-04-21-refined-times.txt</v>
      </c>
      <c r="AI12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{"issue":{"subject":"","project_id":79,"tracker_id":40,"status_id":1,"priority_id":2,"assigned_to_id":23,"start_date":"2017-04-21","description":"","custom_fields":[{"id":1,"name":"Subdivision","value":"EC"},{"id":4,"name":"Milepost","value":"0.0163"},{"id":17,"name":"Train ID","value":"212-21"},{"id":16,"name":"Locomotive ID","value":"4031"},{"id":130,"name":"Impact","value":""},{"id":150,"name":"Time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47" t="str">
        <f t="shared" si="30"/>
        <v>start /low /b %USERPROFILE%\Documents\GitHub\eaglep3\Utilities\DownloadLogsFromS3.py --loco 4031 --day 2017-04-21</v>
      </c>
      <c r="AN127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779</v>
      </c>
      <c r="B128" s="7">
        <v>4044</v>
      </c>
      <c r="C128" s="21" t="s">
        <v>212</v>
      </c>
      <c r="D128" s="21" t="s">
        <v>415</v>
      </c>
      <c r="E128" s="13">
        <v>42846.735046296293</v>
      </c>
      <c r="F128" s="13">
        <v>42846.739814814813</v>
      </c>
      <c r="G128" s="7">
        <v>1</v>
      </c>
      <c r="H128" s="21" t="s">
        <v>899</v>
      </c>
      <c r="I128" s="13">
        <v>42846.764699074076</v>
      </c>
      <c r="J128" s="7">
        <v>1</v>
      </c>
      <c r="K128" s="97" t="str">
        <f t="shared" si="32"/>
        <v>4043/4044</v>
      </c>
      <c r="L128" s="21" t="str">
        <f>VLOOKUP(A128,'Trips&amp;Operators'!$C$1:$G$99999,5,FALSE)</f>
        <v>STORY SAMANTHA</v>
      </c>
      <c r="M128" s="6">
        <f t="shared" si="33"/>
        <v>2.4884259262762498E-2</v>
      </c>
      <c r="N128" s="7">
        <f t="shared" si="51"/>
        <v>35.833333338377997</v>
      </c>
      <c r="O128" s="7"/>
      <c r="P128" s="7"/>
      <c r="Q128" s="22"/>
      <c r="R128" s="22"/>
      <c r="S128" s="31">
        <f t="shared" si="52"/>
        <v>1</v>
      </c>
      <c r="T128" s="46" t="str">
        <f t="shared" si="34"/>
        <v>NorthBound</v>
      </c>
      <c r="U128" s="19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2" t="str">
        <f t="shared" si="35"/>
        <v>https://d0f6bd738d7f1b3e5a7ca70fe4ff75f0.us-east-1.aws.found.io/app/kibana#/discover/Steve-Slow-Train-Analysis-(2080s-and-2083s)?_g=(refreshInterval:(display:Off,pause:!f,section:0,value:0),time:(from:'2017-04-21T16:38:28-0600',mode:absolute,to:'2017-04-21T19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193" t="str">
        <f t="shared" si="36"/>
        <v>N</v>
      </c>
      <c r="X128" s="193">
        <f t="shared" ref="X128:X139" si="53">VALUE(LEFT(AD128,4))-VALUE(LEFT(AD127,4))</f>
        <v>1</v>
      </c>
      <c r="Y128" s="193">
        <f t="shared" si="37"/>
        <v>4.4699999999999997E-2</v>
      </c>
      <c r="Z128" s="62">
        <f t="shared" si="38"/>
        <v>23.338000000000001</v>
      </c>
      <c r="AA128" s="62">
        <f t="shared" si="39"/>
        <v>23.293300000000002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0"/>
        <v>0213-21</v>
      </c>
      <c r="AE128" s="85" t="str">
        <f t="shared" si="41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28" s="82" t="str">
        <f t="shared" si="42"/>
        <v>"C:\Program Files (x86)\AstroGrep\AstroGrep.exe" /e /r /s /spath="%USERPROFILE%\AppData\Local\Temp\OnboardLogs" /stypes="app*4044*20170422*" /stext=" 00:.+((SYSTEM_STATE.+slice.+state.+changed )|(ment ac)|(multiple cpu faults)|(system.+state.+changed )|(\[timeout)|(PRM\|1\|D)|(kpr)|(kdp)|(\|lc)|(penalty))"</v>
      </c>
      <c r="AG128" s="1" t="str">
        <f t="shared" si="43"/>
        <v>EC</v>
      </c>
      <c r="AH128" s="86" t="str">
        <f t="shared" si="28"/>
        <v>"%USERPROFILE%\Documents\GitHub\eaglep3\Utilities\RefineRTDCRunTimes.py" --tripid 213-21 --locoid 4044 --swversion DE.1.0.9.0 --startMP 204:447 --initTime 2017-04-21T17:38:28 --startdatetime 2017-04-21T17:45:20 --delay 1 --endMP 204:233380 --enddatetime 2017-04-21T18:21:10 --enforcementcount 1 &gt;&gt;C:\Users\stu\Documents\GitHub\eaglep3-reporting\EC\2017-04-21-refined-times.txt</v>
      </c>
      <c r="AI12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{"issue":{"subject":"","project_id":79,"tracker_id":40,"status_id":1,"priority_id":2,"assigned_to_id":23,"start_date":"2017-04-21","description":"","custom_fields":[{"id":1,"name":"Subdivision","value":"EC"},{"id":4,"name":"Milepost","value":"23.338"},{"id":17,"name":"Train ID","value":"213-21"},{"id":16,"name":"Locomotive ID","value":"4044"},{"id":130,"name":"Impact","value":""},{"id":150,"name":"Time of Event (Mountain Time)","value":"18:21:10"},{"id":151,"name":"Denver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47" t="str">
        <f t="shared" si="30"/>
        <v>start /low /b %USERPROFILE%\Documents\GitHub\eaglep3\Utilities\DownloadLogsFromS3.py --loco 4044 --day 2017-04-21</v>
      </c>
      <c r="AN128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795</v>
      </c>
      <c r="B129" s="7">
        <v>4043</v>
      </c>
      <c r="C129" s="21" t="s">
        <v>212</v>
      </c>
      <c r="D129" s="21" t="s">
        <v>900</v>
      </c>
      <c r="E129" s="13">
        <v>42846.77416666667</v>
      </c>
      <c r="F129" s="13">
        <v>42846.778703703705</v>
      </c>
      <c r="G129" s="7">
        <v>1</v>
      </c>
      <c r="H129" s="21" t="s">
        <v>414</v>
      </c>
      <c r="I129" s="13">
        <v>42846.805763888886</v>
      </c>
      <c r="J129" s="7">
        <v>1</v>
      </c>
      <c r="K129" s="97" t="str">
        <f t="shared" si="32"/>
        <v>4043/4044</v>
      </c>
      <c r="L129" s="21" t="str">
        <f>VLOOKUP(A129,'Trips&amp;Operators'!$C$1:$G$99999,5,FALSE)</f>
        <v>STORY SAMANTHA</v>
      </c>
      <c r="M129" s="6">
        <f t="shared" si="33"/>
        <v>2.7060185180744156E-2</v>
      </c>
      <c r="N129" s="7">
        <f t="shared" si="51"/>
        <v>38.966666660271585</v>
      </c>
      <c r="O129" s="7"/>
      <c r="P129" s="7"/>
      <c r="Q129" s="22"/>
      <c r="R129" s="22"/>
      <c r="S129" s="31">
        <f t="shared" si="52"/>
        <v>1</v>
      </c>
      <c r="T129" s="46" t="str">
        <f t="shared" si="34"/>
        <v>Southbound</v>
      </c>
      <c r="U129" s="19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2" t="str">
        <f t="shared" si="35"/>
        <v>https://d0f6bd738d7f1b3e5a7ca70fe4ff75f0.us-east-1.aws.found.io/app/kibana#/discover/Steve-Slow-Train-Analysis-(2080s-and-2083s)?_g=(refreshInterval:(display:Off,pause:!f,section:0,value:0),time:(from:'2017-04-21T17:34:48-0600',mode:absolute,to:'2017-04-21T20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193" t="str">
        <f t="shared" si="36"/>
        <v>N</v>
      </c>
      <c r="X129" s="193">
        <f t="shared" si="53"/>
        <v>1</v>
      </c>
      <c r="Y129" s="193">
        <f t="shared" si="37"/>
        <v>23.306799999999999</v>
      </c>
      <c r="Z129" s="62">
        <f t="shared" si="38"/>
        <v>1.4999999999999999E-2</v>
      </c>
      <c r="AA129" s="62">
        <f t="shared" si="39"/>
        <v>23.291799999999999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0"/>
        <v>0214-21</v>
      </c>
      <c r="AE129" s="85" t="str">
        <f t="shared" si="41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129" s="82" t="str">
        <f t="shared" si="42"/>
        <v>"C:\Program Files (x86)\AstroGrep\AstroGrep.exe" /e /r /s /spath="%USERPROFILE%\AppData\Local\Temp\OnboardLogs" /stypes="app*4043*20170422*" /stext=" 01:.+((SYSTEM_STATE.+slice.+state.+changed )|(ment ac)|(multiple cpu faults)|(system.+state.+changed )|(\[timeout)|(PRM\|1\|D)|(kpr)|(kdp)|(\|lc)|(penalty))"</v>
      </c>
      <c r="AG129" s="1" t="str">
        <f t="shared" si="43"/>
        <v>EC</v>
      </c>
      <c r="AH129" s="86" t="str">
        <f t="shared" si="28"/>
        <v>"%USERPROFILE%\Documents\GitHub\eaglep3\Utilities\RefineRTDCRunTimes.py" --tripid 214-21 --locoid 4043 --swversion DE.1.0.9.0 --startMP 204:233068 --initTime 2017-04-21T18:34:48 --startdatetime 2017-04-21T18:41:20 --delay 1 --endMP 204:150 --enddatetime 2017-04-21T19:20:18 --enforcementcount 1 &gt;&gt;C:\Users\stu\Documents\GitHub\eaglep3-reporting\EC\2017-04-21-refined-times.txt</v>
      </c>
      <c r="AI12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{"issue":{"subject":"","project_id":79,"tracker_id":40,"status_id":1,"priority_id":2,"assigned_to_id":23,"start_date":"2017-04-21","description":"","custom_fields":[{"id":1,"name":"Subdivision","value":"EC"},{"id":4,"name":"Milepost","value":"0.015"},{"id":17,"name":"Train ID","value":"214-21"},{"id":16,"name":"Locomotive ID","value":"4043"},{"id":130,"name":"Impact","value":""},{"id":150,"name":"Time of Event (Mountain Time)","value":"19:20:18"},{"id":151,"name":"Denver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47" t="str">
        <f t="shared" si="30"/>
        <v>start /low /b %USERPROFILE%\Documents\GitHub\eaglep3\Utilities\DownloadLogsFromS3.py --loco 4043 --day 2017-04-21</v>
      </c>
      <c r="AN129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787</v>
      </c>
      <c r="B130" s="7">
        <v>4040</v>
      </c>
      <c r="C130" s="21" t="s">
        <v>212</v>
      </c>
      <c r="D130" s="21" t="s">
        <v>901</v>
      </c>
      <c r="E130" s="13">
        <v>42846.746018518519</v>
      </c>
      <c r="F130" s="13">
        <v>42846.750208333331</v>
      </c>
      <c r="G130" s="7">
        <v>1</v>
      </c>
      <c r="H130" s="21" t="s">
        <v>886</v>
      </c>
      <c r="I130" s="13">
        <v>42846.77542824074</v>
      </c>
      <c r="J130" s="7">
        <v>1</v>
      </c>
      <c r="K130" s="97" t="str">
        <f t="shared" si="32"/>
        <v>4039/4040</v>
      </c>
      <c r="L130" s="21" t="str">
        <f>VLOOKUP(A130,'Trips&amp;Operators'!$C$1:$G$99999,5,FALSE)</f>
        <v>WHITED DUSTIN</v>
      </c>
      <c r="M130" s="6">
        <f t="shared" si="33"/>
        <v>2.5219907409336884E-2</v>
      </c>
      <c r="N130" s="7">
        <f t="shared" si="51"/>
        <v>36.316666669445112</v>
      </c>
      <c r="O130" s="7"/>
      <c r="P130" s="7"/>
      <c r="Q130" s="22"/>
      <c r="R130" s="22"/>
      <c r="S130" s="31">
        <f t="shared" si="52"/>
        <v>1</v>
      </c>
      <c r="T130" s="46" t="str">
        <f t="shared" si="34"/>
        <v>NorthBound</v>
      </c>
      <c r="U130" s="19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2" t="str">
        <f t="shared" si="35"/>
        <v>https://d0f6bd738d7f1b3e5a7ca70fe4ff75f0.us-east-1.aws.found.io/app/kibana#/discover/Steve-Slow-Train-Analysis-(2080s-and-2083s)?_g=(refreshInterval:(display:Off,pause:!f,section:0,value:0),time:(from:'2017-04-21T16:54:16-0600',mode:absolute,to:'2017-04-21T19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0" s="193" t="str">
        <f t="shared" si="36"/>
        <v>N</v>
      </c>
      <c r="X130" s="193">
        <f t="shared" si="53"/>
        <v>1</v>
      </c>
      <c r="Y130" s="193">
        <f t="shared" si="37"/>
        <v>4.3099999999999999E-2</v>
      </c>
      <c r="Z130" s="62">
        <f t="shared" si="38"/>
        <v>23.336400000000001</v>
      </c>
      <c r="AA130" s="62">
        <f t="shared" si="39"/>
        <v>23.293300000000002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0"/>
        <v>0215-21</v>
      </c>
      <c r="AE130" s="85" t="str">
        <f t="shared" si="41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130" s="82" t="str">
        <f t="shared" si="42"/>
        <v>"C:\Program Files (x86)\AstroGrep\AstroGrep.exe" /e /r /s /spath="%USERPROFILE%\AppData\Local\Temp\OnboardLogs" /stypes="app*4040*20170422*" /stext=" 00:.+((SYSTEM_STATE.+slice.+state.+changed )|(ment ac)|(multiple cpu faults)|(system.+state.+changed )|(\[timeout)|(PRM\|1\|D)|(kpr)|(kdp)|(\|lc)|(penalty))"</v>
      </c>
      <c r="AG130" s="1" t="str">
        <f t="shared" si="43"/>
        <v>EC</v>
      </c>
      <c r="AH130" s="86" t="str">
        <f t="shared" si="28"/>
        <v>"%USERPROFILE%\Documents\GitHub\eaglep3\Utilities\RefineRTDCRunTimes.py" --tripid 215-21 --locoid 4040 --swversion DE.1.0.9.0 --startMP 204:431 --initTime 2017-04-21T17:54:16 --startdatetime 2017-04-21T18:00:18 --delay 1 --endMP 204:233364 --enddatetime 2017-04-21T18:36:37 --enforcementcount 1 &gt;&gt;C:\Users\stu\Documents\GitHub\eaglep3-reporting\EC\2017-04-21-refined-times.txt</v>
      </c>
      <c r="AI13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{"issue":{"subject":"","project_id":79,"tracker_id":40,"status_id":1,"priority_id":2,"assigned_to_id":23,"start_date":"2017-04-21","description":"","custom_fields":[{"id":1,"name":"Subdivision","value":"EC"},{"id":4,"name":"Milepost","value":"23.3364"},{"id":17,"name":"Train ID","value":"215-21"},{"id":16,"name":"Locomotive ID","value":"4040"},{"id":130,"name":"Impact","value":""},{"id":150,"name":"Time of Event (Mountain Time)","value":"18:36:37"},{"id":151,"name":"Denver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47" t="str">
        <f t="shared" si="30"/>
        <v>start /low /b %USERPROFILE%\Documents\GitHub\eaglep3\Utilities\DownloadLogsFromS3.py --loco 4040 --day 2017-04-21</v>
      </c>
      <c r="AN130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797</v>
      </c>
      <c r="B131" s="7">
        <v>4039</v>
      </c>
      <c r="C131" s="21" t="s">
        <v>212</v>
      </c>
      <c r="D131" s="21" t="s">
        <v>902</v>
      </c>
      <c r="E131" s="13">
        <v>42846.783055555556</v>
      </c>
      <c r="F131" s="13">
        <v>42846.789050925923</v>
      </c>
      <c r="G131" s="7">
        <v>1</v>
      </c>
      <c r="H131" s="21" t="s">
        <v>515</v>
      </c>
      <c r="I131" s="13">
        <v>42846.815335648149</v>
      </c>
      <c r="J131" s="7">
        <v>1</v>
      </c>
      <c r="K131" s="97" t="str">
        <f t="shared" si="32"/>
        <v>4039/4040</v>
      </c>
      <c r="L131" s="21" t="str">
        <f>VLOOKUP(A131,'Trips&amp;Operators'!$C$1:$G$99999,5,FALSE)</f>
        <v>WHITED DUSTIN</v>
      </c>
      <c r="M131" s="6">
        <f t="shared" si="33"/>
        <v>2.6284722225682344E-2</v>
      </c>
      <c r="N131" s="7">
        <f t="shared" si="51"/>
        <v>37.850000004982576</v>
      </c>
      <c r="O131" s="7"/>
      <c r="P131" s="7"/>
      <c r="Q131" s="22"/>
      <c r="R131" s="22"/>
      <c r="S131" s="31">
        <f t="shared" si="52"/>
        <v>1</v>
      </c>
      <c r="T131" s="46" t="str">
        <f t="shared" si="34"/>
        <v>Southbound</v>
      </c>
      <c r="U131" s="19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2" t="str">
        <f t="shared" si="35"/>
        <v>https://d0f6bd738d7f1b3e5a7ca70fe4ff75f0.us-east-1.aws.found.io/app/kibana#/discover/Steve-Slow-Train-Analysis-(2080s-and-2083s)?_g=(refreshInterval:(display:Off,pause:!f,section:0,value:0),time:(from:'2017-04-21T17:47:36-0600',mode:absolute,to:'2017-04-21T20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1" s="193" t="str">
        <f t="shared" si="36"/>
        <v>N</v>
      </c>
      <c r="X131" s="193">
        <f t="shared" si="53"/>
        <v>1</v>
      </c>
      <c r="Y131" s="193">
        <f t="shared" si="37"/>
        <v>23.302499999999998</v>
      </c>
      <c r="Z131" s="62">
        <f t="shared" si="38"/>
        <v>1.32E-2</v>
      </c>
      <c r="AA131" s="62">
        <f t="shared" si="39"/>
        <v>23.289299999999997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40"/>
        <v>0216-21</v>
      </c>
      <c r="AE131" s="85" t="str">
        <f t="shared" si="41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131" s="82" t="str">
        <f t="shared" si="42"/>
        <v>"C:\Program Files (x86)\AstroGrep\AstroGrep.exe" /e /r /s /spath="%USERPROFILE%\AppData\Local\Temp\OnboardLogs" /stypes="app*4039*20170422*" /stext=" 01:.+((SYSTEM_STATE.+slice.+state.+changed )|(ment ac)|(multiple cpu faults)|(system.+state.+changed )|(\[timeout)|(PRM\|1\|D)|(kpr)|(kdp)|(\|lc)|(penalty))"</v>
      </c>
      <c r="AG131" s="1" t="str">
        <f t="shared" si="43"/>
        <v>EC</v>
      </c>
      <c r="AH131" s="86" t="str">
        <f t="shared" si="28"/>
        <v>"%USERPROFILE%\Documents\GitHub\eaglep3\Utilities\RefineRTDCRunTimes.py" --tripid 216-21 --locoid 4039 --swversion DE.1.0.9.0 --startMP 204:233025 --initTime 2017-04-21T18:47:36 --startdatetime 2017-04-21T18:56:14 --delay 1 --endMP 204:132 --enddatetime 2017-04-21T19:34:05 --enforcementcount 1 &gt;&gt;C:\Users\stu\Documents\GitHub\eaglep3-reporting\EC\2017-04-21-refined-times.txt</v>
      </c>
      <c r="AI131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{"issue":{"subject":"","project_id":79,"tracker_id":40,"status_id":1,"priority_id":2,"assigned_to_id":23,"start_date":"2017-04-21","description":"","custom_fields":[{"id":1,"name":"Subdivision","value":"EC"},{"id":4,"name":"Milepost","value":"0.0132"},{"id":17,"name":"Train ID","value":"216-21"},{"id":16,"name":"Locomotive ID","value":"4039"},{"id":130,"name":"Impact","value":""},{"id":150,"name":"Time of Event (Mountain Time)","value":"19:34:05"},{"id":151,"name":"Denver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47" t="str">
        <f t="shared" si="30"/>
        <v>start /low /b %USERPROFILE%\Documents\GitHub\eaglep3\Utilities\DownloadLogsFromS3.py --loco 4039 --day 2017-04-21</v>
      </c>
      <c r="AN131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622</v>
      </c>
      <c r="B132" s="7">
        <v>4004</v>
      </c>
      <c r="C132" s="21" t="s">
        <v>212</v>
      </c>
      <c r="D132" s="21" t="s">
        <v>434</v>
      </c>
      <c r="E132" s="13">
        <v>42846.755486111113</v>
      </c>
      <c r="F132" s="13">
        <v>42846.761099537034</v>
      </c>
      <c r="G132" s="7">
        <v>2</v>
      </c>
      <c r="H132" s="21" t="s">
        <v>903</v>
      </c>
      <c r="I132" s="13">
        <v>42846.78528935185</v>
      </c>
      <c r="J132" s="7">
        <v>1</v>
      </c>
      <c r="K132" s="97" t="str">
        <f t="shared" si="32"/>
        <v>4003/4004</v>
      </c>
      <c r="L132" s="21" t="str">
        <f>VLOOKUP(A132,'Trips&amp;Operators'!$C$1:$G$99999,5,FALSE)</f>
        <v>STAMBAUGH JAMES</v>
      </c>
      <c r="M132" s="6">
        <f t="shared" si="33"/>
        <v>2.4189814816054422E-2</v>
      </c>
      <c r="N132" s="7">
        <f t="shared" si="51"/>
        <v>34.833333335118368</v>
      </c>
      <c r="O132" s="7"/>
      <c r="P132" s="7"/>
      <c r="Q132" s="22"/>
      <c r="R132" s="22"/>
      <c r="S132" s="31">
        <f t="shared" si="52"/>
        <v>1</v>
      </c>
      <c r="T132" s="46" t="str">
        <f t="shared" si="34"/>
        <v>NorthBound</v>
      </c>
      <c r="U132" s="19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2" t="str">
        <f t="shared" si="35"/>
        <v>https://d0f6bd738d7f1b3e5a7ca70fe4ff75f0.us-east-1.aws.found.io/app/kibana#/discover/Steve-Slow-Train-Analysis-(2080s-and-2083s)?_g=(refreshInterval:(display:Off,pause:!f,section:0,value:0),time:(from:'2017-04-21T17:07:54-0600',mode:absolute,to:'2017-04-21T19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193" t="str">
        <f t="shared" si="36"/>
        <v>N</v>
      </c>
      <c r="X132" s="193">
        <f t="shared" si="53"/>
        <v>1</v>
      </c>
      <c r="Y132" s="193">
        <f t="shared" si="37"/>
        <v>4.4400000000000002E-2</v>
      </c>
      <c r="Z132" s="62">
        <f t="shared" si="38"/>
        <v>23.339300000000001</v>
      </c>
      <c r="AA132" s="62">
        <f t="shared" si="39"/>
        <v>23.294900000000002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0"/>
        <v>0217-21</v>
      </c>
      <c r="AE132" s="85" t="str">
        <f t="shared" si="41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132" s="82" t="str">
        <f t="shared" si="42"/>
        <v>"C:\Program Files (x86)\AstroGrep\AstroGrep.exe" /e /r /s /spath="%USERPROFILE%\AppData\Local\Temp\OnboardLogs" /stypes="app*4004*20170422*" /stext=" 00:.+((SYSTEM_STATE.+slice.+state.+changed )|(ment ac)|(multiple cpu faults)|(system.+state.+changed )|(\[timeout)|(PRM\|1\|D)|(kpr)|(kdp)|(\|lc)|(penalty))"</v>
      </c>
      <c r="AG132" s="1" t="str">
        <f t="shared" si="43"/>
        <v>EC</v>
      </c>
      <c r="AH132" s="86" t="str">
        <f t="shared" si="28"/>
        <v>"%USERPROFILE%\Documents\GitHub\eaglep3\Utilities\RefineRTDCRunTimes.py" --tripid 217-21 --locoid 4004 --swversion DE.1.0.9.0 --startMP 204:444 --initTime 2017-04-21T18:07:54 --startdatetime 2017-04-21T18:15:59 --delay 2 --endMP 204:233393 --enddatetime 2017-04-21T18:50:49 --enforcementcount 1 &gt;&gt;C:\Users\stu\Documents\GitHub\eaglep3-reporting\EC\2017-04-21-refined-times.txt</v>
      </c>
      <c r="AI132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{"issue":{"subject":"","project_id":79,"tracker_id":40,"status_id":1,"priority_id":2,"assigned_to_id":23,"start_date":"2017-04-21","description":"","custom_fields":[{"id":1,"name":"Subdivision","value":"EC"},{"id":4,"name":"Milepost","value":"23.3393"},{"id":17,"name":"Train ID","value":"217-21"},{"id":16,"name":"Locomotive ID","value":"4004"},{"id":130,"name":"Impact","value":""},{"id":150,"name":"Time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47" t="str">
        <f t="shared" si="30"/>
        <v>start /low /b %USERPROFILE%\Documents\GitHub\eaglep3\Utilities\DownloadLogsFromS3.py --loco 4004 --day 2017-04-21</v>
      </c>
      <c r="AN132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799</v>
      </c>
      <c r="B133" s="7">
        <v>4003</v>
      </c>
      <c r="C133" s="21" t="s">
        <v>212</v>
      </c>
      <c r="D133" s="21" t="s">
        <v>904</v>
      </c>
      <c r="E133" s="13">
        <v>42846.794062499997</v>
      </c>
      <c r="F133" s="13">
        <v>42846.799675925926</v>
      </c>
      <c r="G133" s="7">
        <v>1</v>
      </c>
      <c r="H133" s="21" t="s">
        <v>905</v>
      </c>
      <c r="I133" s="13">
        <v>42846.823738425926</v>
      </c>
      <c r="J133" s="7">
        <v>1</v>
      </c>
      <c r="K133" s="97" t="str">
        <f t="shared" si="32"/>
        <v>4003/4004</v>
      </c>
      <c r="L133" s="21" t="str">
        <f>VLOOKUP(A133,'Trips&amp;Operators'!$C$1:$G$99999,5,FALSE)</f>
        <v>STAMBAUGH JAMES</v>
      </c>
      <c r="M133" s="6">
        <f t="shared" si="33"/>
        <v>2.4062500000582077E-2</v>
      </c>
      <c r="N133" s="7">
        <f t="shared" si="51"/>
        <v>34.65000000083819</v>
      </c>
      <c r="O133" s="7"/>
      <c r="P133" s="7"/>
      <c r="Q133" s="22"/>
      <c r="R133" s="22" t="s">
        <v>1042</v>
      </c>
      <c r="S133" s="31">
        <f t="shared" si="52"/>
        <v>1</v>
      </c>
      <c r="T133" s="46" t="str">
        <f t="shared" si="34"/>
        <v>Southbound</v>
      </c>
      <c r="U133" s="19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2" t="str">
        <f t="shared" si="35"/>
        <v>https://d0f6bd738d7f1b3e5a7ca70fe4ff75f0.us-east-1.aws.found.io/app/kibana#/discover/Steve-Slow-Train-Analysis-(2080s-and-2083s)?_g=(refreshInterval:(display:Off,pause:!f,section:0,value:0),time:(from:'2017-04-21T18:03:27-0600',mode:absolute,to:'2017-04-21T20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3" s="193" t="str">
        <f t="shared" si="36"/>
        <v>N</v>
      </c>
      <c r="X133" s="193">
        <f t="shared" si="53"/>
        <v>1</v>
      </c>
      <c r="Y133" s="193">
        <f t="shared" si="37"/>
        <v>23.3079</v>
      </c>
      <c r="Z133" s="62">
        <f t="shared" si="38"/>
        <v>1.1599999999999999E-2</v>
      </c>
      <c r="AA133" s="62">
        <f t="shared" si="39"/>
        <v>23.296299999999999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0"/>
        <v>0218-21</v>
      </c>
      <c r="AE133" s="85" t="str">
        <f t="shared" si="41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133" s="82" t="str">
        <f t="shared" si="42"/>
        <v>"C:\Program Files (x86)\AstroGrep\AstroGrep.exe" /e /r /s /spath="%USERPROFILE%\AppData\Local\Temp\OnboardLogs" /stypes="app*4003*20170422*" /stext=" 01:.+((SYSTEM_STATE.+slice.+state.+changed )|(ment ac)|(multiple cpu faults)|(system.+state.+changed )|(\[timeout)|(PRM\|1\|D)|(kpr)|(kdp)|(\|lc)|(penalty))"</v>
      </c>
      <c r="AG133" s="1" t="str">
        <f t="shared" si="43"/>
        <v>EC</v>
      </c>
      <c r="AH133" s="86" t="str">
        <f t="shared" si="28"/>
        <v>"%USERPROFILE%\Documents\GitHub\eaglep3\Utilities\RefineRTDCRunTimes.py" --tripid 218-21 --locoid 4003 --swversion DE.1.0.9.0 --startMP 204:233079 --initTime 2017-04-21T19:03:27 --startdatetime 2017-04-21T19:11:32 --delay 1 --endMP 204:116 --enddatetime 2017-04-21T19:46:11 --enforcementcount 1 &gt;&gt;C:\Users\stu\Documents\GitHub\eaglep3-reporting\EC\2017-04-21-refined-times.txt</v>
      </c>
      <c r="AI133" s="104" t="str">
        <f t="shared" si="29"/>
        <v>echo {"issue":{"subject":"Wheel tach slip","project_id":79,"tracker_id":40,"status_id":1,"priority_id":2,"assigned_to_id":23,"start_date":"2017-04-21","description":"","custom_fields":[{"id":1,"name":"Subdivision","value":"EC"},{"id":4,"name":"Milepost","value":"0.0116"},{"id":17,"name":"Train ID","value":"218-21"},{"id":16,"name":"Locomotive ID","value":"4003"},{"id":130,"name":"Impact","value":""},{"id":150,"name":"Time of Event (Mountain Time)","value":"19:46:11"},{"id":151,"name":"Denver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47" t="str">
        <f t="shared" si="30"/>
        <v>start /low /b %USERPROFILE%\Documents\GitHub\eaglep3\Utilities\DownloadLogsFromS3.py --loco 4003 --day 2017-04-21</v>
      </c>
      <c r="AN133" s="156" t="str">
        <f t="shared" si="31"/>
        <v>echo {"issue":{"subject":"Wheel tach slip","project_id":30,"tracker_id":4,"status_id":1,"priority_id":1,"assigned_to_id":10,"start_date":"2017-04-22","description":"","custom_fields":[{"id":30,"name":"Category","value":"Issue"},{"id":3,"name":"Functional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792</v>
      </c>
      <c r="B134" s="7">
        <v>4002</v>
      </c>
      <c r="C134" s="21" t="s">
        <v>212</v>
      </c>
      <c r="D134" s="21" t="s">
        <v>888</v>
      </c>
      <c r="E134" s="13">
        <v>42846.767847222225</v>
      </c>
      <c r="F134" s="13">
        <v>42846.771307870367</v>
      </c>
      <c r="G134" s="7">
        <v>1</v>
      </c>
      <c r="H134" s="21" t="s">
        <v>906</v>
      </c>
      <c r="I134" s="13">
        <v>42846.797627314816</v>
      </c>
      <c r="J134" s="7">
        <v>1</v>
      </c>
      <c r="K134" s="97" t="str">
        <f t="shared" si="32"/>
        <v>4001/4002</v>
      </c>
      <c r="L134" s="21" t="str">
        <f>VLOOKUP(A134,'Trips&amp;Operators'!$C$1:$G$99999,5,FALSE)</f>
        <v>MAGEE KENYA</v>
      </c>
      <c r="M134" s="6">
        <f t="shared" si="33"/>
        <v>2.6319444448745344E-2</v>
      </c>
      <c r="N134" s="7">
        <f t="shared" si="51"/>
        <v>37.900000006193295</v>
      </c>
      <c r="O134" s="7"/>
      <c r="P134" s="7"/>
      <c r="Q134" s="22"/>
      <c r="R134" s="22"/>
      <c r="S134" s="31">
        <f t="shared" si="52"/>
        <v>1</v>
      </c>
      <c r="T134" s="46" t="str">
        <f t="shared" si="34"/>
        <v>NorthBound</v>
      </c>
      <c r="U134" s="19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2" t="str">
        <f t="shared" si="35"/>
        <v>https://d0f6bd738d7f1b3e5a7ca70fe4ff75f0.us-east-1.aws.found.io/app/kibana#/discover/Steve-Slow-Train-Analysis-(2080s-and-2083s)?_g=(refreshInterval:(display:Off,pause:!f,section:0,value:0),time:(from:'2017-04-21T17:25:42-0600',mode:absolute,to:'2017-04-21T20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3" t="str">
        <f t="shared" si="36"/>
        <v>N</v>
      </c>
      <c r="X134" s="193">
        <f t="shared" si="53"/>
        <v>1</v>
      </c>
      <c r="Y134" s="193">
        <f t="shared" si="37"/>
        <v>4.7100000000000003E-2</v>
      </c>
      <c r="Z134" s="62">
        <f t="shared" si="38"/>
        <v>23.335699999999999</v>
      </c>
      <c r="AA134" s="62">
        <f t="shared" si="39"/>
        <v>23.288599999999999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0"/>
        <v>0219-21</v>
      </c>
      <c r="AE134" s="85" t="str">
        <f t="shared" si="41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134" s="82" t="str">
        <f t="shared" si="42"/>
        <v>"C:\Program Files (x86)\AstroGrep\AstroGrep.exe" /e /r /s /spath="%USERPROFILE%\AppData\Local\Temp\OnboardLogs" /stypes="app*4002*20170422*" /stext=" 01:.+((SYSTEM_STATE.+slice.+state.+changed )|(ment ac)|(multiple cpu faults)|(system.+state.+changed )|(\[timeout)|(PRM\|1\|D)|(kpr)|(kdp)|(\|lc)|(penalty))"</v>
      </c>
      <c r="AG134" s="1" t="str">
        <f t="shared" si="43"/>
        <v>EC</v>
      </c>
      <c r="AH134" s="86" t="str">
        <f t="shared" si="28"/>
        <v>"%USERPROFILE%\Documents\GitHub\eaglep3\Utilities\RefineRTDCRunTimes.py" --tripid 219-21 --locoid 4002 --swversion DE.1.0.9.0 --startMP 204:471 --initTime 2017-04-21T18:25:42 --startdatetime 2017-04-21T18:30:41 --delay 1 --endMP 204:233357 --enddatetime 2017-04-21T19:08:35 --enforcementcount 1 &gt;&gt;C:\Users\stu\Documents\GitHub\eaglep3-reporting\EC\2017-04-21-refined-times.txt</v>
      </c>
      <c r="AI134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{"issue":{"subject":"","project_id":79,"tracker_id":40,"status_id":1,"priority_id":2,"assigned_to_id":23,"start_date":"2017-04-21","description":"","custom_fields":[{"id":1,"name":"Subdivision","value":"EC"},{"id":4,"name":"Milepost","value":"23.3357"},{"id":17,"name":"Train ID","value":"219-21"},{"id":16,"name":"Locomotive ID","value":"4002"},{"id":130,"name":"Impact","value":""},{"id":150,"name":"Time of Event (Mountain Time)","value":"19:08:35"},{"id":151,"name":"Denver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47" t="str">
        <f t="shared" si="30"/>
        <v>start /low /b %USERPROFILE%\Documents\GitHub\eaglep3\Utilities\DownloadLogsFromS3.py --loco 4002 --day 2017-04-21</v>
      </c>
      <c r="AN134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803</v>
      </c>
      <c r="B135" s="7">
        <v>4001</v>
      </c>
      <c r="C135" s="21" t="s">
        <v>212</v>
      </c>
      <c r="D135" s="21" t="s">
        <v>902</v>
      </c>
      <c r="E135" s="13">
        <v>42846.807071759256</v>
      </c>
      <c r="F135" s="13">
        <v>42846.81009259259</v>
      </c>
      <c r="G135" s="7">
        <v>1</v>
      </c>
      <c r="H135" s="21" t="s">
        <v>419</v>
      </c>
      <c r="I135" s="13">
        <v>42846.837314814817</v>
      </c>
      <c r="J135" s="7">
        <v>1</v>
      </c>
      <c r="K135" s="97" t="str">
        <f t="shared" si="32"/>
        <v>4001/4002</v>
      </c>
      <c r="L135" s="21" t="str">
        <f>VLOOKUP(A135,'Trips&amp;Operators'!$C$1:$G$99999,5,FALSE)</f>
        <v>MAGEE KENYA</v>
      </c>
      <c r="M135" s="6">
        <f t="shared" si="33"/>
        <v>2.7222222226555459E-2</v>
      </c>
      <c r="N135" s="7">
        <f t="shared" si="51"/>
        <v>39.200000006239861</v>
      </c>
      <c r="O135" s="7"/>
      <c r="P135" s="7"/>
      <c r="Q135" s="22"/>
      <c r="R135" s="22"/>
      <c r="S135" s="31">
        <f t="shared" si="52"/>
        <v>1</v>
      </c>
      <c r="T135" s="46" t="str">
        <f t="shared" si="34"/>
        <v>Southbound</v>
      </c>
      <c r="U135" s="19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2" t="str">
        <f t="shared" si="35"/>
        <v>https://d0f6bd738d7f1b3e5a7ca70fe4ff75f0.us-east-1.aws.found.io/app/kibana#/discover/Steve-Slow-Train-Analysis-(2080s-and-2083s)?_g=(refreshInterval:(display:Off,pause:!f,section:0,value:0),time:(from:'2017-04-21T18:22:11-0600',mode:absolute,to:'2017-04-21T21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3" t="str">
        <f t="shared" si="36"/>
        <v>N</v>
      </c>
      <c r="X135" s="193">
        <f t="shared" si="53"/>
        <v>1</v>
      </c>
      <c r="Y135" s="193">
        <f t="shared" si="37"/>
        <v>23.302499999999998</v>
      </c>
      <c r="Z135" s="62">
        <f t="shared" si="38"/>
        <v>1.49E-2</v>
      </c>
      <c r="AA135" s="62">
        <f t="shared" si="39"/>
        <v>23.287599999999998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0"/>
        <v>0220-21</v>
      </c>
      <c r="AE135" s="85" t="str">
        <f t="shared" si="41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135" s="82" t="str">
        <f t="shared" si="42"/>
        <v>"C:\Program Files (x86)\AstroGrep\AstroGrep.exe" /e /r /s /spath="%USERPROFILE%\AppData\Local\Temp\OnboardLogs" /stypes="app*4001*20170422*" /stext=" 02:.+((SYSTEM_STATE.+slice.+state.+changed )|(ment ac)|(multiple cpu faults)|(system.+state.+changed )|(\[timeout)|(PRM\|1\|D)|(kpr)|(kdp)|(\|lc)|(penalty))"</v>
      </c>
      <c r="AG135" s="1" t="str">
        <f t="shared" si="43"/>
        <v>EC</v>
      </c>
      <c r="AH135" s="86" t="str">
        <f t="shared" si="28"/>
        <v>"%USERPROFILE%\Documents\GitHub\eaglep3\Utilities\RefineRTDCRunTimes.py" --tripid 220-21 --locoid 4001 --swversion DE.1.0.9.0 --startMP 204:233025 --initTime 2017-04-21T19:22:11 --startdatetime 2017-04-21T19:26:32 --delay 1 --endMP 204:149 --enddatetime 2017-04-21T20:05:44 --enforcementcount 1 &gt;&gt;C:\Users\stu\Documents\GitHub\eaglep3-reporting\EC\2017-04-21-refined-times.txt</v>
      </c>
      <c r="AI135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ID","value":"220-21"},{"id":16,"name":"Locomotive ID","value":"4001"},{"id":130,"name":"Impact","value":""},{"id":150,"name":"Time of Event (Mountain Time)","value":"20:05:44"},{"id":151,"name":"Denver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47" t="str">
        <f t="shared" si="30"/>
        <v>start /low /b %USERPROFILE%\Documents\GitHub\eaglep3\Utilities\DownloadLogsFromS3.py --loco 4001 --day 2017-04-21</v>
      </c>
      <c r="AN135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798</v>
      </c>
      <c r="B136" s="7">
        <v>4024</v>
      </c>
      <c r="C136" s="21" t="s">
        <v>212</v>
      </c>
      <c r="D136" s="21" t="s">
        <v>392</v>
      </c>
      <c r="E136" s="13">
        <v>42846.786076388889</v>
      </c>
      <c r="F136" s="13">
        <v>42846.791851851849</v>
      </c>
      <c r="G136" s="7">
        <v>1</v>
      </c>
      <c r="H136" s="21" t="s">
        <v>859</v>
      </c>
      <c r="I136" s="13">
        <v>42846.817465277774</v>
      </c>
      <c r="J136" s="7">
        <v>1</v>
      </c>
      <c r="K136" s="97" t="str">
        <f t="shared" si="32"/>
        <v>4023/4024</v>
      </c>
      <c r="L136" s="21" t="str">
        <f>VLOOKUP(A136,'Trips&amp;Operators'!$C$1:$G$99999,5,FALSE)</f>
        <v>BROWN JACOB</v>
      </c>
      <c r="M136" s="6">
        <f t="shared" si="33"/>
        <v>2.5613425925257616E-2</v>
      </c>
      <c r="N136" s="7">
        <f t="shared" si="51"/>
        <v>36.883333332370967</v>
      </c>
      <c r="O136" s="7"/>
      <c r="P136" s="7"/>
      <c r="Q136" s="22"/>
      <c r="R136" s="22"/>
      <c r="S136" s="31">
        <f t="shared" si="52"/>
        <v>1</v>
      </c>
      <c r="T136" s="46" t="str">
        <f t="shared" si="34"/>
        <v>NorthBound</v>
      </c>
      <c r="U136" s="19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2" t="str">
        <f t="shared" si="35"/>
        <v>https://d0f6bd738d7f1b3e5a7ca70fe4ff75f0.us-east-1.aws.found.io/app/kibana#/discover/Steve-Slow-Train-Analysis-(2080s-and-2083s)?_g=(refreshInterval:(display:Off,pause:!f,section:0,value:0),time:(from:'2017-04-21T17:51:57-0600',mode:absolute,to:'2017-04-21T20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6" s="193" t="str">
        <f t="shared" si="36"/>
        <v>N</v>
      </c>
      <c r="X136" s="193">
        <f t="shared" si="53"/>
        <v>1</v>
      </c>
      <c r="Y136" s="193">
        <f t="shared" si="37"/>
        <v>4.58E-2</v>
      </c>
      <c r="Z136" s="62">
        <f t="shared" si="38"/>
        <v>23.332100000000001</v>
      </c>
      <c r="AA136" s="62">
        <f t="shared" si="39"/>
        <v>23.286300000000001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0"/>
        <v>0221-21</v>
      </c>
      <c r="AE136" s="85" t="str">
        <f t="shared" si="41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136" s="82" t="str">
        <f t="shared" si="42"/>
        <v>"C:\Program Files (x86)\AstroGrep\AstroGrep.exe" /e /r /s /spath="%USERPROFILE%\AppData\Local\Temp\OnboardLogs" /stypes="app*4024*20170422*" /stext=" 01:.+((SYSTEM_STATE.+slice.+state.+changed )|(ment ac)|(multiple cpu faults)|(system.+state.+changed )|(\[timeout)|(PRM\|1\|D)|(kpr)|(kdp)|(\|lc)|(penalty))"</v>
      </c>
      <c r="AG136" s="1" t="str">
        <f t="shared" si="43"/>
        <v>EC</v>
      </c>
      <c r="AH136" s="86" t="str">
        <f t="shared" si="28"/>
        <v>"%USERPROFILE%\Documents\GitHub\eaglep3\Utilities\RefineRTDCRunTimes.py" --tripid 221-21 --locoid 4024 --swversion DE.1.0.9.0 --startMP 204:458 --initTime 2017-04-21T18:51:57 --startdatetime 2017-04-21T19:00:16 --delay 1 --endMP 204:233321 --enddatetime 2017-04-21T19:37:09 --enforcementcount 1 &gt;&gt;C:\Users\stu\Documents\GitHub\eaglep3-reporting\EC\2017-04-21-refined-times.txt</v>
      </c>
      <c r="AI136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{"issue":{"subject":"","project_id":79,"tracker_id":40,"status_id":1,"priority_id":2,"assigned_to_id":23,"start_date":"2017-04-21","description":"","custom_fields":[{"id":1,"name":"Subdivision","value":"EC"},{"id":4,"name":"Milepost","value":"23.3321"},{"id":17,"name":"Train ID","value":"221-21"},{"id":16,"name":"Locomotive ID","value":"4024"},{"id":130,"name":"Impact","value":""},{"id":150,"name":"Time of Event (Mountain Time)","value":"19:37:09"},{"id":151,"name":"Denver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47" t="str">
        <f t="shared" si="30"/>
        <v>start /low /b %USERPROFILE%\Documents\GitHub\eaglep3\Utilities\DownloadLogsFromS3.py --loco 4024 --day 2017-04-21</v>
      </c>
      <c r="AN136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623</v>
      </c>
      <c r="B137" s="7">
        <v>4023</v>
      </c>
      <c r="C137" s="21" t="s">
        <v>212</v>
      </c>
      <c r="D137" s="21" t="s">
        <v>907</v>
      </c>
      <c r="E137" s="13">
        <v>42846.828460648147</v>
      </c>
      <c r="F137" s="13">
        <v>42846.831678240742</v>
      </c>
      <c r="G137" s="7">
        <v>1</v>
      </c>
      <c r="H137" s="21" t="s">
        <v>516</v>
      </c>
      <c r="I137" s="13">
        <v>42846.860127314816</v>
      </c>
      <c r="J137" s="7">
        <v>1</v>
      </c>
      <c r="K137" s="97" t="str">
        <f t="shared" si="32"/>
        <v>4023/4024</v>
      </c>
      <c r="L137" s="21" t="str">
        <f>VLOOKUP(A137,'Trips&amp;Operators'!$C$1:$G$99999,5,FALSE)</f>
        <v>BROWN JACOB</v>
      </c>
      <c r="M137" s="6">
        <f t="shared" si="33"/>
        <v>2.8449074074160308E-2</v>
      </c>
      <c r="N137" s="7">
        <f t="shared" si="51"/>
        <v>40.966666666790843</v>
      </c>
      <c r="O137" s="7"/>
      <c r="P137" s="7"/>
      <c r="Q137" s="22"/>
      <c r="R137" s="22"/>
      <c r="S137" s="31">
        <f t="shared" si="52"/>
        <v>1</v>
      </c>
      <c r="T137" s="46" t="str">
        <f t="shared" si="34"/>
        <v>Southbound</v>
      </c>
      <c r="U137" s="19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2" t="str">
        <f t="shared" si="35"/>
        <v>https://d0f6bd738d7f1b3e5a7ca70fe4ff75f0.us-east-1.aws.found.io/app/kibana#/discover/Steve-Slow-Train-Analysis-(2080s-and-2083s)?_g=(refreshInterval:(display:Off,pause:!f,section:0,value:0),time:(from:'2017-04-21T18:52:59-0600',mode:absolute,to:'2017-04-21T21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7" s="193" t="str">
        <f t="shared" si="36"/>
        <v>N</v>
      </c>
      <c r="X137" s="193">
        <f t="shared" si="53"/>
        <v>1</v>
      </c>
      <c r="Y137" s="193">
        <f t="shared" si="37"/>
        <v>23.300799999999999</v>
      </c>
      <c r="Z137" s="62">
        <f t="shared" si="38"/>
        <v>1.8100000000000002E-2</v>
      </c>
      <c r="AA137" s="62">
        <f t="shared" si="39"/>
        <v>23.282699999999998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0"/>
        <v>0222-21</v>
      </c>
      <c r="AE137" s="85" t="str">
        <f t="shared" si="41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137" s="82" t="str">
        <f t="shared" si="42"/>
        <v>"C:\Program Files (x86)\AstroGrep\AstroGrep.exe" /e /r /s /spath="%USERPROFILE%\AppData\Local\Temp\OnboardLogs" /stypes="app*4023*20170422*" /stext=" 02:.+((SYSTEM_STATE.+slice.+state.+changed )|(ment ac)|(multiple cpu faults)|(system.+state.+changed )|(\[timeout)|(PRM\|1\|D)|(kpr)|(kdp)|(\|lc)|(penalty))"</v>
      </c>
      <c r="AG137" s="1" t="str">
        <f t="shared" si="43"/>
        <v>EC</v>
      </c>
      <c r="AH137" s="86" t="str">
        <f t="shared" si="28"/>
        <v>"%USERPROFILE%\Documents\GitHub\eaglep3\Utilities\RefineRTDCRunTimes.py" --tripid 222-21 --locoid 4023 --swversion DE.1.0.9.0 --startMP 204:233008 --initTime 2017-04-21T19:52:59 --startdatetime 2017-04-21T19:57:37 --delay 1 --endMP 204:181 --enddatetime 2017-04-21T20:38:35 --enforcementcount 1 &gt;&gt;C:\Users\stu\Documents\GitHub\eaglep3-reporting\EC\2017-04-21-refined-times.txt</v>
      </c>
      <c r="AI137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{"issue":{"subject":"","project_id":79,"tracker_id":40,"status_id":1,"priority_id":2,"assigned_to_id":23,"start_date":"2017-04-21","description":"","custom_fields":[{"id":1,"name":"Subdivision","value":"EC"},{"id":4,"name":"Milepost","value":"0.0181"},{"id":17,"name":"Train ID","value":"222-21"},{"id":16,"name":"Locomotive ID","value":"4023"},{"id":130,"name":"Impact","value":""},{"id":150,"name":"Time of Event (Mountain Time)","value":"20:38:35"},{"id":151,"name":"Denver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47" t="str">
        <f t="shared" si="30"/>
        <v>start /low /b %USERPROFILE%\Documents\GitHub\eaglep3\Utilities\DownloadLogsFromS3.py --loco 4023 --day 2017-04-21</v>
      </c>
      <c r="AN137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02:38:35"},{"id":29,"name":"Sharepoint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804</v>
      </c>
      <c r="B138" s="7">
        <v>4044</v>
      </c>
      <c r="C138" s="21" t="s">
        <v>212</v>
      </c>
      <c r="D138" s="21" t="s">
        <v>415</v>
      </c>
      <c r="E138" s="13">
        <v>42846.808333333334</v>
      </c>
      <c r="F138" s="13">
        <v>42846.812824074077</v>
      </c>
      <c r="G138" s="7">
        <v>1</v>
      </c>
      <c r="H138" s="21" t="s">
        <v>908</v>
      </c>
      <c r="I138" s="13">
        <v>42846.837523148148</v>
      </c>
      <c r="J138" s="7">
        <v>1</v>
      </c>
      <c r="K138" s="97" t="str">
        <f t="shared" si="32"/>
        <v>4043/4044</v>
      </c>
      <c r="L138" s="21" t="str">
        <f>VLOOKUP(A138,'Trips&amp;Operators'!$C$1:$G$99999,5,FALSE)</f>
        <v>STORY SAMANTHA</v>
      </c>
      <c r="M138" s="6">
        <f t="shared" si="33"/>
        <v>2.4699074070667848E-2</v>
      </c>
      <c r="N138" s="7">
        <f t="shared" si="51"/>
        <v>35.566666661761701</v>
      </c>
      <c r="O138" s="7"/>
      <c r="P138" s="7"/>
      <c r="Q138" s="22"/>
      <c r="R138" s="22"/>
      <c r="S138" s="31">
        <f t="shared" si="52"/>
        <v>1</v>
      </c>
      <c r="T138" s="46" t="str">
        <f t="shared" si="34"/>
        <v>NorthBound</v>
      </c>
      <c r="U138" s="19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2" t="str">
        <f t="shared" si="35"/>
        <v>https://d0f6bd738d7f1b3e5a7ca70fe4ff75f0.us-east-1.aws.found.io/app/kibana#/discover/Steve-Slow-Train-Analysis-(2080s-and-2083s)?_g=(refreshInterval:(display:Off,pause:!f,section:0,value:0),time:(from:'2017-04-21T18:24:00-0600',mode:absolute,to:'2017-04-21T21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193" t="str">
        <f t="shared" si="36"/>
        <v>N</v>
      </c>
      <c r="X138" s="193">
        <f t="shared" si="53"/>
        <v>1</v>
      </c>
      <c r="Y138" s="193">
        <f t="shared" si="37"/>
        <v>4.4699999999999997E-2</v>
      </c>
      <c r="Z138" s="62">
        <f t="shared" si="38"/>
        <v>23.3322</v>
      </c>
      <c r="AA138" s="62">
        <f t="shared" si="39"/>
        <v>23.287500000000001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0"/>
        <v>0223-21</v>
      </c>
      <c r="AE138" s="85" t="str">
        <f t="shared" si="41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38" s="82" t="str">
        <f t="shared" si="42"/>
        <v>"C:\Program Files (x86)\AstroGrep\AstroGrep.exe" /e /r /s /spath="%USERPROFILE%\AppData\Local\Temp\OnboardLogs" /stypes="app*4044*20170422*" /stext=" 02:.+((SYSTEM_STATE.+slice.+state.+changed )|(ment ac)|(multiple cpu faults)|(system.+state.+changed )|(\[timeout)|(PRM\|1\|D)|(kpr)|(kdp)|(\|lc)|(penalty))"</v>
      </c>
      <c r="AG138" s="1" t="str">
        <f t="shared" si="43"/>
        <v>EC</v>
      </c>
      <c r="AH138" s="86" t="str">
        <f t="shared" si="28"/>
        <v>"%USERPROFILE%\Documents\GitHub\eaglep3\Utilities\RefineRTDCRunTimes.py" --tripid 223-21 --locoid 4044 --swversion DE.1.0.9.0 --startMP 204:447 --initTime 2017-04-21T19:24:00 --startdatetime 2017-04-21T19:30:28 --delay 1 --endMP 204:233322 --enddatetime 2017-04-21T20:06:02 --enforcementcount 1 &gt;&gt;C:\Users\stu\Documents\GitHub\eaglep3-reporting\EC\2017-04-21-refined-times.txt</v>
      </c>
      <c r="AI138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{"issue":{"subject":"","project_id":79,"tracker_id":40,"status_id":1,"priority_id":2,"assigned_to_id":23,"start_date":"2017-04-21","description":"","custom_fields":[{"id":1,"name":"Subdivision","value":"EC"},{"id":4,"name":"Milepost","value":"23.3322"},{"id":17,"name":"Train ID","value":"223-21"},{"id":16,"name":"Locomotive ID","value":"4044"},{"id":130,"name":"Impact","value":""},{"id":150,"name":"Time of Event (Mountain Time)","value":"20:06:02"},{"id":151,"name":"Denver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47" t="str">
        <f t="shared" si="30"/>
        <v>start /low /b %USERPROFILE%\Documents\GitHub\eaglep3\Utilities\DownloadLogsFromS3.py --loco 4044 --day 2017-04-21</v>
      </c>
      <c r="AN138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3" t="s">
        <v>809</v>
      </c>
      <c r="B139" s="7">
        <v>4043</v>
      </c>
      <c r="C139" s="21" t="s">
        <v>212</v>
      </c>
      <c r="D139" s="21" t="s">
        <v>445</v>
      </c>
      <c r="E139" s="13">
        <v>42846.842743055553</v>
      </c>
      <c r="F139" s="13">
        <v>42846.851643518516</v>
      </c>
      <c r="G139" s="7">
        <v>1</v>
      </c>
      <c r="H139" s="21" t="s">
        <v>426</v>
      </c>
      <c r="I139" s="13">
        <v>42846.879560185182</v>
      </c>
      <c r="J139" s="7">
        <v>1</v>
      </c>
      <c r="K139" s="97" t="str">
        <f t="shared" si="32"/>
        <v>4043/4044</v>
      </c>
      <c r="L139" s="21" t="str">
        <f>VLOOKUP(A139,'Trips&amp;Operators'!$C$1:$G$99999,5,FALSE)</f>
        <v>STORY SAMANTHA</v>
      </c>
      <c r="M139" s="6">
        <f t="shared" si="33"/>
        <v>2.7916666665987577E-2</v>
      </c>
      <c r="N139" s="7">
        <f t="shared" si="51"/>
        <v>40.199999999022111</v>
      </c>
      <c r="O139" s="7"/>
      <c r="P139" s="7"/>
      <c r="Q139" s="22"/>
      <c r="R139" s="22"/>
      <c r="S139" s="31">
        <f t="shared" si="52"/>
        <v>1</v>
      </c>
      <c r="T139" s="46" t="str">
        <f t="shared" si="34"/>
        <v>Southbound</v>
      </c>
      <c r="U139" s="19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2" t="str">
        <f t="shared" si="35"/>
        <v>https://d0f6bd738d7f1b3e5a7ca70fe4ff75f0.us-east-1.aws.found.io/app/kibana#/discover/Steve-Slow-Train-Analysis-(2080s-and-2083s)?_g=(refreshInterval:(display:Off,pause:!f,section:0,value:0),time:(from:'2017-04-21T19:13:33-0600',mode:absolute,to:'2017-04-21T22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193" t="str">
        <f t="shared" si="36"/>
        <v>N</v>
      </c>
      <c r="X139" s="193">
        <f t="shared" si="53"/>
        <v>1</v>
      </c>
      <c r="Y139" s="193">
        <f t="shared" si="37"/>
        <v>23.298400000000001</v>
      </c>
      <c r="Z139" s="62">
        <f t="shared" si="38"/>
        <v>1.6299999999999999E-2</v>
      </c>
      <c r="AA139" s="62">
        <f t="shared" si="39"/>
        <v>23.2821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40"/>
        <v>0224-21</v>
      </c>
      <c r="AE139" s="85" t="str">
        <f t="shared" si="41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139" s="82" t="str">
        <f t="shared" si="42"/>
        <v>"C:\Program Files (x86)\AstroGrep\AstroGrep.exe" /e /r /s /spath="%USERPROFILE%\AppData\Local\Temp\OnboardLogs" /stypes="app*4043*20170422*" /stext=" 03:.+((SYSTEM_STATE.+slice.+state.+changed )|(ment ac)|(multiple cpu faults)|(system.+state.+changed )|(\[timeout)|(PRM\|1\|D)|(kpr)|(kdp)|(\|lc)|(penalty))"</v>
      </c>
      <c r="AG139" s="1" t="str">
        <f t="shared" si="43"/>
        <v>EC</v>
      </c>
      <c r="AH139" s="86" t="str">
        <f t="shared" si="28"/>
        <v>"%USERPROFILE%\Documents\GitHub\eaglep3\Utilities\RefineRTDCRunTimes.py" --tripid 224-21 --locoid 4043 --swversion DE.1.0.9.0 --startMP 204:232984 --initTime 2017-04-21T20:13:33 --startdatetime 2017-04-21T20:26:22 --delay 1 --endMP 204:163 --enddatetime 2017-04-21T21:06:34 --enforcementcount 1 &gt;&gt;C:\Users\stu\Documents\GitHub\eaglep3-reporting\EC\2017-04-21-refined-times.txt</v>
      </c>
      <c r="AI139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{"issue":{"subject":"","project_id":79,"tracker_id":40,"status_id":1,"priority_id":2,"assigned_to_id":23,"start_date":"2017-04-21","description":"","custom_fields":[{"id":1,"name":"Subdivision","value":"EC"},{"id":4,"name":"Milepost","value":"0.0163"},{"id":17,"name":"Train ID","value":"224-21"},{"id":16,"name":"Locomotive ID","value":"4043"},{"id":130,"name":"Impact","value":""},{"id":150,"name":"Time of Event (Mountain Time)","value":"21:06:34"},{"id":151,"name":"Denver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8"/>
      <c r="AL139" s="48"/>
      <c r="AM139" s="147" t="str">
        <f t="shared" si="30"/>
        <v>start /low /b %USERPROFILE%\Documents\GitHub\eaglep3\Utilities\DownloadLogsFromS3.py --loco 4043 --day 2017-04-21</v>
      </c>
      <c r="AN139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3" t="s">
        <v>807</v>
      </c>
      <c r="B140" s="7">
        <v>4004</v>
      </c>
      <c r="C140" s="21" t="s">
        <v>212</v>
      </c>
      <c r="D140" s="21" t="s">
        <v>909</v>
      </c>
      <c r="E140" s="13">
        <v>42846.828715277778</v>
      </c>
      <c r="F140" s="13">
        <v>42846.833645833336</v>
      </c>
      <c r="G140" s="7">
        <v>2</v>
      </c>
      <c r="H140" s="21" t="s">
        <v>376</v>
      </c>
      <c r="I140" s="13">
        <v>42846.85900462963</v>
      </c>
      <c r="J140" s="7">
        <v>1</v>
      </c>
      <c r="K140" s="97" t="str">
        <f t="shared" si="32"/>
        <v>4003/4004</v>
      </c>
      <c r="L140" s="21" t="str">
        <f>VLOOKUP(A140,'Trips&amp;Operators'!$C$1:$G$99999,5,FALSE)</f>
        <v>SAFIEF AEIMEN</v>
      </c>
      <c r="M140" s="6">
        <f t="shared" si="33"/>
        <v>2.5358796294312924E-2</v>
      </c>
      <c r="N140" s="7">
        <f t="shared" si="51"/>
        <v>36.516666663810611</v>
      </c>
      <c r="O140" s="7"/>
      <c r="P140" s="7"/>
      <c r="Q140" s="22"/>
      <c r="R140" s="22"/>
      <c r="S140" s="31">
        <f t="shared" si="52"/>
        <v>1</v>
      </c>
      <c r="T140" s="46" t="str">
        <f t="shared" si="34"/>
        <v>NorthBound</v>
      </c>
      <c r="U140" s="19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2" t="str">
        <f t="shared" si="35"/>
        <v>https://d0f6bd738d7f1b3e5a7ca70fe4ff75f0.us-east-1.aws.found.io/app/kibana#/discover/Steve-Slow-Train-Analysis-(2080s-and-2083s)?_g=(refreshInterval:(display:Off,pause:!f,section:0,value:0),time:(from:'2017-04-21T18:53:21-0600',mode:absolute,to:'2017-04-21T21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193" t="str">
        <f t="shared" si="36"/>
        <v>N</v>
      </c>
      <c r="X140" s="193">
        <f t="shared" ref="X140:X147" si="54">VALUE(LEFT(AD140,4))-VALUE(LEFT(AD139,4))</f>
        <v>1</v>
      </c>
      <c r="Y140" s="193">
        <f t="shared" si="37"/>
        <v>4.2599999999999999E-2</v>
      </c>
      <c r="Z140" s="62">
        <f t="shared" si="38"/>
        <v>23.329499999999999</v>
      </c>
      <c r="AA140" s="62">
        <f t="shared" si="39"/>
        <v>23.286899999999999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0"/>
        <v>0225-21</v>
      </c>
      <c r="AE140" s="85" t="str">
        <f t="shared" si="41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140" s="82" t="str">
        <f t="shared" si="42"/>
        <v>"C:\Program Files (x86)\AstroGrep\AstroGrep.exe" /e /r /s /spath="%USERPROFILE%\AppData\Local\Temp\OnboardLogs" /stypes="app*4004*20170422*" /stext=" 02:.+((SYSTEM_STATE.+slice.+state.+changed )|(ment ac)|(multiple cpu faults)|(system.+state.+changed )|(\[timeout)|(PRM\|1\|D)|(kpr)|(kdp)|(\|lc)|(penalty))"</v>
      </c>
      <c r="AG140" s="1" t="str">
        <f t="shared" si="43"/>
        <v>EC</v>
      </c>
      <c r="AH140" s="86" t="str">
        <f t="shared" si="28"/>
        <v>"%USERPROFILE%\Documents\GitHub\eaglep3\Utilities\RefineRTDCRunTimes.py" --tripid 225-21 --locoid 4004 --swversion DE.1.0.9.0 --startMP 204:426 --initTime 2017-04-21T19:53:21 --startdatetime 2017-04-21T20:00:27 --delay 2 --endMP 204:233295 --enddatetime 2017-04-21T20:36:58 --enforcementcount 1 &gt;&gt;C:\Users\stu\Documents\GitHub\eaglep3-reporting\EC\2017-04-21-refined-times.txt</v>
      </c>
      <c r="AI140" s="104" t="str">
        <f t="shared" si="29"/>
        <v>echo {"issue":{"subject":"","project_id":79,"tracker_id":40,"status_id":1,"priority_id":2,"assigned_to_id":23,"start_date":"2017-04-21","description":"","custom_fields":[{"id":1,"name":"Subdivision","value":"EC"},{"id":4,"name":"Milepost","value":"23.3295"},{"id":17,"name":"Train ID","value":"225-21"},{"id":16,"name":"Locomotive ID","value":"4004"},{"id":130,"name":"Impact","value":""},{"id":150,"name":"Time of Event (Mountain Time)","value":"20:36:58"},{"id":151,"name":"Denver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47" t="str">
        <f t="shared" si="30"/>
        <v>start /low /b %USERPROFILE%\Documents\GitHub\eaglep3\Utilities\DownloadLogsFromS3.py --loco 4004 --day 2017-04-21</v>
      </c>
      <c r="AN140" s="156" t="str">
        <f t="shared" si="31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02:36:58"},{"id":29,"name":"Sharepoint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813</v>
      </c>
      <c r="B141" s="7">
        <v>4003</v>
      </c>
      <c r="C141" s="21" t="s">
        <v>212</v>
      </c>
      <c r="D141" s="21" t="s">
        <v>437</v>
      </c>
      <c r="E141" s="13">
        <v>42846.86146990741</v>
      </c>
      <c r="F141" s="13">
        <v>42846.863657407404</v>
      </c>
      <c r="G141" s="7">
        <v>1</v>
      </c>
      <c r="H141" s="21" t="s">
        <v>378</v>
      </c>
      <c r="I141" s="13">
        <v>42846.902731481481</v>
      </c>
      <c r="J141" s="7">
        <v>1</v>
      </c>
      <c r="K141" s="97" t="str">
        <f t="shared" ref="K141:K204" si="55">IF(ISEVEN(B141),(B141-1)&amp;"/"&amp;B141,B141&amp;"/"&amp;(B141+1))</f>
        <v>4003/4004</v>
      </c>
      <c r="L141" s="21" t="str">
        <f>VLOOKUP(A141,'Trips&amp;Operators'!$C$1:$G$99999,5,FALSE)</f>
        <v>SAFIEF AEIMEN</v>
      </c>
      <c r="M141" s="6">
        <f t="shared" ref="M141:M204" si="56">I141-F141</f>
        <v>3.9074074076779652E-2</v>
      </c>
      <c r="N141" s="7">
        <f t="shared" si="51"/>
        <v>56.266666670562699</v>
      </c>
      <c r="O141" s="7"/>
      <c r="P141" s="7"/>
      <c r="Q141" s="22"/>
      <c r="R141" s="22" t="s">
        <v>1035</v>
      </c>
      <c r="S141" s="31">
        <f t="shared" si="52"/>
        <v>1</v>
      </c>
      <c r="T141" s="46" t="str">
        <f t="shared" ref="T141:T204" si="57">IF(ISEVEN(LEFT(AD141,4)),"Southbound","NorthBound")</f>
        <v>Southbound</v>
      </c>
      <c r="U141" s="19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2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-21T19:40:31-0600',mode:absolute,to:'2017-04-21T22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1" s="193" t="str">
        <f t="shared" ref="W141:W204" si="59">IF(AA141&lt;IF(AG141="EC",23,5.65),"Y","N")</f>
        <v>N</v>
      </c>
      <c r="X141" s="193">
        <f t="shared" si="54"/>
        <v>1</v>
      </c>
      <c r="Y141" s="193">
        <f t="shared" ref="Y141:Y204" si="60">RIGHT(D141,LEN(D141)-4)/10000</f>
        <v>23.3</v>
      </c>
      <c r="Z141" s="62">
        <f t="shared" ref="Z141:Z204" si="61">RIGHT(H141,LEN(H141)-4)/10000</f>
        <v>1.41E-2</v>
      </c>
      <c r="AA141" s="62">
        <f t="shared" ref="AA141:AA204" si="62">ABS(Z141-Y141)</f>
        <v>23.285900000000002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0226-21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141" s="82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/stypes="app*4003*20170422*" /stext=" 03:.+((SYSTEM_STATE.+slice.+state.+changed )|(ment ac)|(multiple cpu faults)|(system.+state.+changed )|(\[timeout)|(PRM\|1\|D)|(kpr)|(kdp)|(\|lc)|(penalty))"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ref="AH141:AH203" si="6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226-21 --locoid 4003 --swversion DE.1.0.9.0 --startMP 204:233000 --initTime 2017-04-21T20:40:31 --startdatetime 2017-04-21T20:43:40 --delay 1 --endMP 204:141 --enddatetime 2017-04-21T21:39:56 --enforcementcount 1 &gt;&gt;C:\Users\stu\Documents\GitHub\eaglep3-reporting\EC\2017-04-21-refined-times.txt</v>
      </c>
      <c r="AI141" s="104" t="str">
        <f t="shared" ref="AI141:AI203" si="6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{"issue":{"subject":"Delayed by onboard in-route failure","project_id":79,"tracker_id":40,"status_id":1,"priority_id":2,"assigned_to_id":23,"start_date":"2017-04-21","description":"","custom_fields":[{"id":1,"name":"Subdivision","value":"EC"},{"id":4,"name":"Milepost","value":"0.0141"},{"id":17,"name":"Train ID","value":"226-21"},{"id":16,"name":"Locomotive ID","value":"4003"},{"id":130,"name":"Impact","value":""},{"id":150,"name":"Time of Event (Mountain Time)","value":"21:39:56"},{"id":151,"name":"Denver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47" t="str">
        <f t="shared" ref="AM141:AM203" si="69">"start /low /b "&amp;dls3logs&amp;" --loco "&amp;B141&amp;" --day "&amp;TEXT(F141,"YYYY-MM-DD")</f>
        <v>start /low /b %USERPROFILE%\Documents\GitHub\eaglep3\Utilities\DownloadLogsFromS3.py --loco 4003 --day 2017-04-21</v>
      </c>
      <c r="AN141" s="156" t="str">
        <f t="shared" ref="AN141:AN203" si="7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onboard in-route failure","project_id":30,"tracker_id":4,"status_id":1,"priority_id":1,"assigned_to_id":10,"start_date":"2017-04-22","description":"","custom_fields":[{"id":30,"name":"Category","value":"Issue"},{"id":3,"name":"Functional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811</v>
      </c>
      <c r="B142" s="7">
        <v>4002</v>
      </c>
      <c r="C142" s="21" t="s">
        <v>212</v>
      </c>
      <c r="D142" s="21" t="s">
        <v>910</v>
      </c>
      <c r="E142" s="13">
        <v>42846.858993055554</v>
      </c>
      <c r="F142" s="13">
        <v>42846.86005787037</v>
      </c>
      <c r="G142" s="7">
        <v>1</v>
      </c>
      <c r="H142" s="21" t="s">
        <v>911</v>
      </c>
      <c r="I142" s="13">
        <v>42846.883252314816</v>
      </c>
      <c r="J142" s="7">
        <v>1</v>
      </c>
      <c r="K142" s="97" t="str">
        <f t="shared" si="55"/>
        <v>4001/4002</v>
      </c>
      <c r="L142" s="21" t="str">
        <f>VLOOKUP(A142,'Trips&amp;Operators'!$C$1:$G$99999,5,FALSE)</f>
        <v>MAGEE KENYA</v>
      </c>
      <c r="M142" s="6">
        <f t="shared" si="56"/>
        <v>2.3194444445834961E-2</v>
      </c>
      <c r="N142" s="7"/>
      <c r="O142" s="7"/>
      <c r="P142" s="7">
        <f>24*60*SUM($M142:$M142)</f>
        <v>33.400000002002344</v>
      </c>
      <c r="Q142" s="22"/>
      <c r="R142" s="22" t="s">
        <v>1036</v>
      </c>
      <c r="S142" s="31">
        <f t="shared" si="52"/>
        <v>1</v>
      </c>
      <c r="T142" s="46" t="str">
        <f t="shared" si="57"/>
        <v>NorthBound</v>
      </c>
      <c r="U142" s="19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2" t="str">
        <f t="shared" si="58"/>
        <v>https://d0f6bd738d7f1b3e5a7ca70fe4ff75f0.us-east-1.aws.found.io/app/kibana#/discover/Steve-Slow-Train-Analysis-(2080s-and-2083s)?_g=(refreshInterval:(display:Off,pause:!f,section:0,value:0),time:(from:'2017-04-21T19:36:57-0600',mode:absolute,to:'2017-04-21T22:11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3" t="str">
        <f t="shared" si="59"/>
        <v>Y</v>
      </c>
      <c r="X142" s="193">
        <f t="shared" si="54"/>
        <v>1</v>
      </c>
      <c r="Y142" s="193">
        <f t="shared" si="60"/>
        <v>1.9136</v>
      </c>
      <c r="Z142" s="62">
        <f t="shared" si="61"/>
        <v>23.332899999999999</v>
      </c>
      <c r="AA142" s="62">
        <f t="shared" si="62"/>
        <v>21.4193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0227-21</v>
      </c>
      <c r="AE142" s="85" t="str">
        <f t="shared" si="64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142" s="82" t="str">
        <f t="shared" si="65"/>
        <v>"C:\Program Files (x86)\AstroGrep\AstroGrep.exe" /e /r /s /spath="%USERPROFILE%\AppData\Local\Temp\OnboardLogs" /stypes="app*4002*20170422*" /stext=" 03:.+((SYSTEM_STATE.+slice.+state.+changed )|(ment ac)|(multiple cpu faults)|(system.+state.+changed )|(\[timeout)|(PRM\|1\|D)|(kpr)|(kdp)|(\|lc)|(penalty))"</v>
      </c>
      <c r="AG142" s="1" t="str">
        <f t="shared" si="66"/>
        <v>EC</v>
      </c>
      <c r="AH142" s="86" t="str">
        <f t="shared" si="67"/>
        <v>"%USERPROFILE%\Documents\GitHub\eaglep3\Utilities\RefineRTDCRunTimes.py" --tripid 227-21 --locoid 4002 --swversion DE.1.0.9.0 --startMP 204:19136 --initTime 2017-04-21T20:36:57 --startdatetime 2017-04-21T20:38:29 --delay 1 --endMP 204:233329 --enddatetime 2017-04-21T21:11:53 --enforcementcount 1 &gt;&gt;C:\Users\stu\Documents\GitHub\eaglep3-reporting\EC\2017-04-21-refined-times.txt</v>
      </c>
      <c r="AI142" s="104" t="str">
        <f t="shared" si="68"/>
        <v>echo {"issue":{"subject":"Selected wrong track","project_id":79,"tracker_id":40,"status_id":1,"priority_id":2,"assigned_to_id":23,"start_date":"2017-04-21","description":"","custom_fields":[{"id":1,"name":"Subdivision","value":"EC"},{"id":4,"name":"Milepost","value":"23.3329"},{"id":17,"name":"Train ID","value":"227-21"},{"id":16,"name":"Locomotive ID","value":"4002"},{"id":130,"name":"Impact","value":""},{"id":150,"name":"Time of Event (Mountain Time)","value":"21:11:53"},{"id":151,"name":"Denver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47" t="str">
        <f t="shared" si="69"/>
        <v>start /low /b %USERPROFILE%\Documents\GitHub\eaglep3\Utilities\DownloadLogsFromS3.py --loco 4002 --day 2017-04-21</v>
      </c>
      <c r="AN142" s="156" t="str">
        <f t="shared" si="70"/>
        <v>echo {"issue":{"subject":"Selected wrong track","project_id":30,"tracker_id":4,"status_id":1,"priority_id":1,"assigned_to_id":10,"start_date":"2017-04-22","description":"","custom_fields":[{"id":30,"name":"Category","value":"Issue"},{"id":3,"name":"Functional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03:11:53"},{"id":29,"name":"Sharepoint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811</v>
      </c>
      <c r="B143" s="7">
        <v>4002</v>
      </c>
      <c r="C143" s="21" t="s">
        <v>212</v>
      </c>
      <c r="D143" s="21" t="s">
        <v>459</v>
      </c>
      <c r="E143" s="13">
        <v>42846.850694444445</v>
      </c>
      <c r="F143" s="13">
        <v>42846.86005787037</v>
      </c>
      <c r="G143" s="7">
        <v>4</v>
      </c>
      <c r="H143" s="21" t="s">
        <v>912</v>
      </c>
      <c r="I143" s="13">
        <v>42846.883252314816</v>
      </c>
      <c r="J143" s="7">
        <v>1</v>
      </c>
      <c r="K143" s="97" t="str">
        <f t="shared" si="55"/>
        <v>4001/4002</v>
      </c>
      <c r="L143" s="21" t="str">
        <f>VLOOKUP(A143,'Trips&amp;Operators'!$C$1:$G$99999,5,FALSE)</f>
        <v>MAGEE KENYA</v>
      </c>
      <c r="M143" s="6">
        <f t="shared" si="56"/>
        <v>2.3194444445834961E-2</v>
      </c>
      <c r="N143" s="7"/>
      <c r="O143" s="7"/>
      <c r="P143" s="7"/>
      <c r="Q143" s="22"/>
      <c r="R143" s="22"/>
      <c r="S143" s="31"/>
      <c r="T143" s="46" t="str">
        <f t="shared" si="57"/>
        <v>NorthBound</v>
      </c>
      <c r="U143" s="19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92" t="str">
        <f t="shared" si="58"/>
        <v>https://d0f6bd738d7f1b3e5a7ca70fe4ff75f0.us-east-1.aws.found.io/app/kibana#/discover/Steve-Slow-Train-Analysis-(2080s-and-2083s)?_g=(refreshInterval:(display:Off,pause:!f,section:0,value:0),time:(from:'2017-04-21T19:25:00-0600',mode:absolute,to:'2017-04-21T22:11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93" t="str">
        <f t="shared" si="59"/>
        <v>Y</v>
      </c>
      <c r="X143" s="193">
        <f t="shared" si="54"/>
        <v>0</v>
      </c>
      <c r="Y143" s="193">
        <f t="shared" si="60"/>
        <v>4.6899999999999997E-2</v>
      </c>
      <c r="Z143" s="62">
        <f t="shared" si="61"/>
        <v>0.1404</v>
      </c>
      <c r="AA143" s="62">
        <f t="shared" si="62"/>
        <v>9.35E-2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0227-21</v>
      </c>
      <c r="AE143" s="85" t="str">
        <f t="shared" si="64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143" s="82" t="str">
        <f t="shared" si="65"/>
        <v>"C:\Program Files (x86)\AstroGrep\AstroGrep.exe" /e /r /s /spath="%USERPROFILE%\AppData\Local\Temp\OnboardLogs" /stypes="app*4002*20170422*" /stext=" 03:.+((SYSTEM_STATE.+slice.+state.+changed )|(ment ac)|(multiple cpu faults)|(system.+state.+changed )|(\[timeout)|(PRM\|1\|D)|(kpr)|(kdp)|(\|lc)|(penalty))"</v>
      </c>
      <c r="AG143" s="1" t="str">
        <f t="shared" si="66"/>
        <v>EC</v>
      </c>
      <c r="AH143" s="86" t="str">
        <f t="shared" si="67"/>
        <v>"%USERPROFILE%\Documents\GitHub\eaglep3\Utilities\RefineRTDCRunTimes.py" --tripid 227-21 --locoid 4002 --swversion DE.1.0.9.0 --startMP 204:469 --initTime 2017-04-21T20:25:00 --startdatetime 2017-04-21T20:38:29 --delay 4 --endMP 204:1404 --enddatetime 2017-04-21T21:11:53 --enforcementcount 1 &gt;&gt;C:\Users\stu\Documents\GitHub\eaglep3-reporting\EC\2017-04-21-refined-times.txt</v>
      </c>
      <c r="AI143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{"issue":{"subject":"","project_id":79,"tracker_id":40,"status_id":1,"priority_id":2,"assigned_to_id":23,"start_date":"2017-04-21","description":"","custom_fields":[{"id":1,"name":"Subdivision","value":"EC"},{"id":4,"name":"Milepost","value":"0.1404"},{"id":17,"name":"Train ID","value":"227-21"},{"id":16,"name":"Locomotive ID","value":"4002"},{"id":130,"name":"Impact","value":""},{"id":150,"name":"Time of Event (Mountain Time)","value":"21:11:53"},{"id":151,"name":"Denver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47" t="str">
        <f t="shared" si="69"/>
        <v>start /low /b %USERPROFILE%\Documents\GitHub\eaglep3\Utilities\DownloadLogsFromS3.py --loco 4002 --day 2017-04-21</v>
      </c>
      <c r="AN143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03:11:53"},{"id":29,"name":"Sharepoint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817</v>
      </c>
      <c r="B144" s="7">
        <v>4001</v>
      </c>
      <c r="C144" s="21" t="s">
        <v>212</v>
      </c>
      <c r="D144" s="21" t="s">
        <v>506</v>
      </c>
      <c r="E144" s="13">
        <v>42846.8903587963</v>
      </c>
      <c r="F144" s="13">
        <v>42846.893252314818</v>
      </c>
      <c r="G144" s="7">
        <v>1</v>
      </c>
      <c r="H144" s="21" t="s">
        <v>209</v>
      </c>
      <c r="I144" s="13">
        <v>42846.924629629626</v>
      </c>
      <c r="J144" s="7">
        <v>1</v>
      </c>
      <c r="K144" s="97" t="str">
        <f t="shared" si="55"/>
        <v>4001/4002</v>
      </c>
      <c r="L144" s="21" t="str">
        <f>VLOOKUP(A144,'Trips&amp;Operators'!$C$1:$G$99999,5,FALSE)</f>
        <v>MAGEE KENYA</v>
      </c>
      <c r="M144" s="6">
        <f t="shared" si="56"/>
        <v>3.1377314808196388E-2</v>
      </c>
      <c r="N144" s="7">
        <f>24*60*SUM($M144:$M144)</f>
        <v>45.183333323802799</v>
      </c>
      <c r="O144" s="7"/>
      <c r="P144" s="7"/>
      <c r="Q144" s="22"/>
      <c r="R144" s="22"/>
      <c r="S144" s="31">
        <f>SUM(U144:U144)/IF(AG144="EC",12,1)</f>
        <v>1</v>
      </c>
      <c r="T144" s="46" t="str">
        <f t="shared" si="57"/>
        <v>Southbound</v>
      </c>
      <c r="U144" s="19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2" t="str">
        <f t="shared" si="58"/>
        <v>https://d0f6bd738d7f1b3e5a7ca70fe4ff75f0.us-east-1.aws.found.io/app/kibana#/discover/Steve-Slow-Train-Analysis-(2080s-and-2083s)?_g=(refreshInterval:(display:Off,pause:!f,section:0,value:0),time:(from:'2017-04-21T20:22:07-0600',mode:absolute,to:'2017-04-21T23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93" t="str">
        <f t="shared" si="59"/>
        <v>N</v>
      </c>
      <c r="X144" s="193">
        <f t="shared" si="54"/>
        <v>1</v>
      </c>
      <c r="Y144" s="193">
        <f t="shared" si="60"/>
        <v>23.298500000000001</v>
      </c>
      <c r="Z144" s="62">
        <f t="shared" si="61"/>
        <v>1.47E-2</v>
      </c>
      <c r="AA144" s="62">
        <f t="shared" si="62"/>
        <v>23.283799999999999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0228-21</v>
      </c>
      <c r="AE144" s="85" t="str">
        <f t="shared" si="64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144" s="82" t="str">
        <f t="shared" si="65"/>
        <v>"C:\Program Files (x86)\AstroGrep\AstroGrep.exe" /e /r /s /spath="%USERPROFILE%\AppData\Local\Temp\OnboardLogs" /stypes="app*4001*20170422*" /stext=" 04:.+((SYSTEM_STATE.+slice.+state.+changed )|(ment ac)|(multiple cpu faults)|(system.+state.+changed )|(\[timeout)|(PRM\|1\|D)|(kpr)|(kdp)|(\|lc)|(penalty))"</v>
      </c>
      <c r="AG144" s="1" t="str">
        <f t="shared" si="66"/>
        <v>EC</v>
      </c>
      <c r="AH144" s="86" t="str">
        <f t="shared" si="67"/>
        <v>"%USERPROFILE%\Documents\GitHub\eaglep3\Utilities\RefineRTDCRunTimes.py" --tripid 228-21 --locoid 4001 --swversion DE.1.0.9.0 --startMP 204:232985 --initTime 2017-04-21T21:22:07 --startdatetime 2017-04-21T21:26:17 --delay 1 --endMP 204:147 --enddatetime 2017-04-21T22:11:28 --enforcementcount 1 &gt;&gt;C:\Users\stu\Documents\GitHub\eaglep3-reporting\EC\2017-04-21-refined-times.txt</v>
      </c>
      <c r="AI144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{"issue":{"subject":"","project_id":79,"tracker_id":40,"status_id":1,"priority_id":2,"assigned_to_id":23,"start_date":"2017-04-21","description":"","custom_fields":[{"id":1,"name":"Subdivision","value":"EC"},{"id":4,"name":"Milepost","value":"0.0147"},{"id":17,"name":"Train ID","value":"228-21"},{"id":16,"name":"Locomotive ID","value":"4001"},{"id":130,"name":"Impact","value":""},{"id":150,"name":"Time of Event (Mountain Time)","value":"22:11:28"},{"id":151,"name":"Denver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20"/>
      <c r="AK144" s="48"/>
      <c r="AL144" s="48"/>
      <c r="AM144" s="147" t="str">
        <f t="shared" si="69"/>
        <v>start /low /b %USERPROFILE%\Documents\GitHub\eaglep3\Utilities\DownloadLogsFromS3.py --loco 4001 --day 2017-04-21</v>
      </c>
      <c r="AN144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3" t="s">
        <v>814</v>
      </c>
      <c r="B145" s="7">
        <v>4024</v>
      </c>
      <c r="C145" s="21" t="s">
        <v>212</v>
      </c>
      <c r="D145" s="21" t="s">
        <v>913</v>
      </c>
      <c r="E145" s="13">
        <v>42846.896377314813</v>
      </c>
      <c r="F145" s="13">
        <v>42846.897210648145</v>
      </c>
      <c r="G145" s="7">
        <v>1</v>
      </c>
      <c r="H145" s="21" t="s">
        <v>560</v>
      </c>
      <c r="I145" s="13">
        <v>42846.904826388891</v>
      </c>
      <c r="J145" s="7">
        <v>0</v>
      </c>
      <c r="K145" s="97" t="str">
        <f t="shared" si="55"/>
        <v>4023/4024</v>
      </c>
      <c r="L145" s="21" t="str">
        <f>VLOOKUP(A145,'Trips&amp;Operators'!$C$1:$G$99999,5,FALSE)</f>
        <v>BROWN JACOB</v>
      </c>
      <c r="M145" s="6">
        <f t="shared" si="56"/>
        <v>7.6157407456776127E-3</v>
      </c>
      <c r="N145" s="7"/>
      <c r="O145" s="7"/>
      <c r="P145" s="7">
        <f>24*60*SUM($M145:$M146)</f>
        <v>39.983333334093913</v>
      </c>
      <c r="Q145" s="22"/>
      <c r="R145" s="22" t="s">
        <v>529</v>
      </c>
      <c r="S145" s="31">
        <f>SUM(U145:U146)/IF(AG145="EC",12,1)</f>
        <v>1</v>
      </c>
      <c r="T145" s="46" t="str">
        <f t="shared" si="57"/>
        <v>NorthBound</v>
      </c>
      <c r="U145" s="19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92" t="str">
        <f t="shared" si="58"/>
        <v>https://d0f6bd738d7f1b3e5a7ca70fe4ff75f0.us-east-1.aws.found.io/app/kibana#/discover/Steve-Slow-Train-Analysis-(2080s-and-2083s)?_g=(refreshInterval:(display:Off,pause:!f,section:0,value:0),time:(from:'2017-04-21T20:30:47-0600',mode:absolute,to:'2017-04-21T22:42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5" s="193" t="str">
        <f t="shared" si="59"/>
        <v>Y</v>
      </c>
      <c r="X145" s="193">
        <f t="shared" si="54"/>
        <v>1</v>
      </c>
      <c r="Y145" s="193">
        <f t="shared" si="60"/>
        <v>15.441800000000001</v>
      </c>
      <c r="Z145" s="62">
        <f t="shared" si="61"/>
        <v>23.330200000000001</v>
      </c>
      <c r="AA145" s="62">
        <f t="shared" si="62"/>
        <v>7.8884000000000007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0229-21</v>
      </c>
      <c r="AE145" s="85" t="str">
        <f t="shared" si="64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145" s="82" t="str">
        <f t="shared" si="65"/>
        <v>"C:\Program Files (x86)\AstroGrep\AstroGrep.exe" /e /r /s /spath="%USERPROFILE%\AppData\Local\Temp\OnboardLogs" /stypes="app*4024*20170422*" /stext=" 03:.+((SYSTEM_STATE.+slice.+state.+changed )|(ment ac)|(multiple cpu faults)|(system.+state.+changed )|(\[timeout)|(PRM\|1\|D)|(kpr)|(kdp)|(\|lc)|(penalty))"</v>
      </c>
      <c r="AG145" s="1" t="str">
        <f t="shared" si="66"/>
        <v>EC</v>
      </c>
      <c r="AH145" s="86" t="str">
        <f t="shared" si="67"/>
        <v>"%USERPROFILE%\Documents\GitHub\eaglep3\Utilities\RefineRTDCRunTimes.py" --tripid 229-21 --locoid 4024 --swversion DE.1.0.9.0 --startMP 204:154418 --initTime 2017-04-21T21:30:47 --startdatetime 2017-04-21T21:31:59 --delay 1 --endMP 204:233302 --enddatetime 2017-04-21T21:42:57 --enforcementcount 0 &gt;&gt;C:\Users\stu\Documents\GitHub\eaglep3-reporting\EC\2017-04-21-refined-times.txt</v>
      </c>
      <c r="AI145" s="104" t="str">
        <f t="shared" si="68"/>
        <v>echo {"issue":{"subject":"Wi-MAX data drop","project_id":79,"tracker_id":40,"status_id":1,"priority_id":2,"assigned_to_id":23,"start_date":"2017-04-21","description":"http://stevetu21.github.io/eaglep3/load_kml.html?kml=http://rtdc.gmaps-snips.s3.amazonaws.com/ab562817-f69e-4754-8282-82e37d263802.kml","custom_fields":[{"id":1,"name":"Subdivision","value":"EC"},{"id":4,"name":"Milepost","value":"23.3302"},{"id":17,"name":"Train ID","value":"229-21"},{"id":16,"name":"Locomotive ID","value":"4024"},{"id":130,"name":"Impact","value":"Enforcement"},{"id":150,"name":"Time of Event (Mountain Time)","value":"21:42:57"},{"id":151,"name":"Denver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5" t="s">
        <v>1037</v>
      </c>
      <c r="AK145" s="48" t="s">
        <v>124</v>
      </c>
      <c r="AL145" s="48" t="s">
        <v>137</v>
      </c>
      <c r="AM145" s="147" t="str">
        <f t="shared" si="69"/>
        <v>start /low /b %USERPROFILE%\Documents\GitHub\eaglep3\Utilities\DownloadLogsFromS3.py --loco 4024 --day 2017-04-21</v>
      </c>
      <c r="AN145" s="156" t="str">
        <f t="shared" si="70"/>
        <v>echo {"issue":{"subject":"Wi-MAX data drop","project_id":30,"tracker_id":4,"status_id":1,"priority_id":1,"assigned_to_id":10,"start_date":"2017-04-22","description":"http://stevetu21.github.io/eaglep3/load_kml.html?kml=http://rtdc.gmaps-snips.s3.amazonaws.com/ab562817-f69e-4754-8282-82e37d263802.kml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03:42:57"},{"id":29,"name":"Sharepoint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814</v>
      </c>
      <c r="B146" s="7">
        <v>4024</v>
      </c>
      <c r="C146" s="21" t="s">
        <v>212</v>
      </c>
      <c r="D146" s="21" t="s">
        <v>914</v>
      </c>
      <c r="E146" s="13">
        <v>42846.873784722222</v>
      </c>
      <c r="F146" s="13">
        <v>42846.874444444446</v>
      </c>
      <c r="G146" s="7">
        <v>0</v>
      </c>
      <c r="H146" s="21" t="s">
        <v>915</v>
      </c>
      <c r="I146" s="13">
        <v>42846.894594907404</v>
      </c>
      <c r="J146" s="7">
        <v>0</v>
      </c>
      <c r="K146" s="97" t="str">
        <f t="shared" si="55"/>
        <v>4023/4024</v>
      </c>
      <c r="L146" s="21" t="str">
        <f>VLOOKUP(A146,'Trips&amp;Operators'!$C$1:$G$99999,5,FALSE)</f>
        <v>BROWN JACOB</v>
      </c>
      <c r="M146" s="6">
        <f t="shared" si="56"/>
        <v>2.0150462958554272E-2</v>
      </c>
      <c r="N146" s="7"/>
      <c r="O146" s="7"/>
      <c r="P146" s="7"/>
      <c r="Q146" s="22"/>
      <c r="R146" s="22"/>
      <c r="S146" s="31"/>
      <c r="T146" s="46" t="str">
        <f t="shared" si="57"/>
        <v>NorthBound</v>
      </c>
      <c r="U146" s="19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2" t="str">
        <f t="shared" si="58"/>
        <v>https://d0f6bd738d7f1b3e5a7ca70fe4ff75f0.us-east-1.aws.found.io/app/kibana#/discover/Steve-Slow-Train-Analysis-(2080s-and-2083s)?_g=(refreshInterval:(display:Off,pause:!f,section:0,value:0),time:(from:'2017-04-21T19:58:15-0600',mode:absolute,to:'2017-04-21T22:28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6" s="193" t="str">
        <f t="shared" si="59"/>
        <v>Y</v>
      </c>
      <c r="X146" s="193">
        <f t="shared" si="54"/>
        <v>0</v>
      </c>
      <c r="Y146" s="193">
        <f t="shared" si="60"/>
        <v>4.7699999999999999E-2</v>
      </c>
      <c r="Z146" s="62">
        <f t="shared" si="61"/>
        <v>13.668799999999999</v>
      </c>
      <c r="AA146" s="62">
        <f t="shared" si="62"/>
        <v>13.621099999999998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0229-21</v>
      </c>
      <c r="AE146" s="85" t="str">
        <f t="shared" si="64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146" s="82" t="str">
        <f t="shared" si="65"/>
        <v>"C:\Program Files (x86)\AstroGrep\AstroGrep.exe" /e /r /s /spath="%USERPROFILE%\AppData\Local\Temp\OnboardLogs" /stypes="app*4024*20170422*" /stext=" 03:.+((SYSTEM_STATE.+slice.+state.+changed )|(ment ac)|(multiple cpu faults)|(system.+state.+changed )|(\[timeout)|(PRM\|1\|D)|(kpr)|(kdp)|(\|lc)|(penalty))"</v>
      </c>
      <c r="AG146" s="1" t="str">
        <f t="shared" si="66"/>
        <v>EC</v>
      </c>
      <c r="AH146" s="86" t="str">
        <f t="shared" si="67"/>
        <v>"%USERPROFILE%\Documents\GitHub\eaglep3\Utilities\RefineRTDCRunTimes.py" --tripid 229-21 --locoid 4024 --swversion DE.1.0.9.0 --startMP 204:477 --initTime 2017-04-21T20:58:15 --startdatetime 2017-04-21T20:59:12 --delay 0 --endMP 204:136688 --enddatetime 2017-04-21T21:28:13 --enforcementcount 0 &gt;&gt;C:\Users\stu\Documents\GitHub\eaglep3-reporting\EC\2017-04-21-refined-times.txt</v>
      </c>
      <c r="AI146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{"issue":{"subject":"","project_id":79,"tracker_id":40,"status_id":1,"priority_id":2,"assigned_to_id":23,"start_date":"2017-04-21","description":"","custom_fields":[{"id":1,"name":"Subdivision","value":"EC"},{"id":4,"name":"Milepost","value":"13.6688"},{"id":17,"name":"Train ID","value":"229-21"},{"id":16,"name":"Locomotive ID","value":"4024"},{"id":130,"name":"Impact","value":""},{"id":150,"name":"Time of Event (Mountain Time)","value":"21:28:13"},{"id":151,"name":"Denver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47" t="str">
        <f t="shared" si="69"/>
        <v>start /low /b %USERPROFILE%\Documents\GitHub\eaglep3\Utilities\DownloadLogsFromS3.py --loco 4024 --day 2017-04-21</v>
      </c>
      <c r="AN146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03:28:13"},{"id":29,"name":"Sharepoint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819</v>
      </c>
      <c r="B147" s="7">
        <v>4023</v>
      </c>
      <c r="C147" s="21" t="s">
        <v>212</v>
      </c>
      <c r="D147" s="21" t="s">
        <v>568</v>
      </c>
      <c r="E147" s="13">
        <v>42846.910578703704</v>
      </c>
      <c r="F147" s="13">
        <v>42846.914270833331</v>
      </c>
      <c r="G147" s="7">
        <v>1</v>
      </c>
      <c r="H147" s="21" t="s">
        <v>433</v>
      </c>
      <c r="I147" s="13">
        <v>42846.942210648151</v>
      </c>
      <c r="J147" s="7">
        <v>1</v>
      </c>
      <c r="K147" s="97" t="str">
        <f t="shared" si="55"/>
        <v>4023/4024</v>
      </c>
      <c r="L147" s="21" t="str">
        <f>VLOOKUP(A147,'Trips&amp;Operators'!$C$1:$G$99999,5,FALSE)</f>
        <v>BROWN JACOB</v>
      </c>
      <c r="M147" s="6">
        <f t="shared" si="56"/>
        <v>2.7939814819546882E-2</v>
      </c>
      <c r="N147" s="7">
        <f t="shared" ref="N147:N178" si="71">24*60*SUM($M147:$M147)</f>
        <v>40.23333334014751</v>
      </c>
      <c r="O147" s="7"/>
      <c r="P147" s="7"/>
      <c r="Q147" s="22"/>
      <c r="R147" s="22"/>
      <c r="S147" s="31">
        <f t="shared" ref="S147:S178" si="72">SUM(U147:U147)/IF(AG147="EC",12,1)</f>
        <v>1</v>
      </c>
      <c r="T147" s="46" t="str">
        <f t="shared" si="57"/>
        <v>Southbound</v>
      </c>
      <c r="U147" s="19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2" t="str">
        <f t="shared" si="58"/>
        <v>https://d0f6bd738d7f1b3e5a7ca70fe4ff75f0.us-east-1.aws.found.io/app/kibana#/discover/Steve-Slow-Train-Analysis-(2080s-and-2083s)?_g=(refreshInterval:(display:Off,pause:!f,section:0,value:0),time:(from:'2017-04-21T20:51:14-0600',mode:absolute,to:'2017-04-21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7" s="193" t="str">
        <f t="shared" si="59"/>
        <v>N</v>
      </c>
      <c r="X147" s="193">
        <f t="shared" si="54"/>
        <v>1</v>
      </c>
      <c r="Y147" s="193">
        <f t="shared" si="60"/>
        <v>23.297899999999998</v>
      </c>
      <c r="Z147" s="62">
        <f t="shared" si="61"/>
        <v>1.5599999999999999E-2</v>
      </c>
      <c r="AA147" s="62">
        <f t="shared" si="62"/>
        <v>23.282299999999999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0230-21</v>
      </c>
      <c r="AE147" s="85" t="str">
        <f t="shared" si="64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147" s="82" t="str">
        <f t="shared" si="65"/>
        <v>"C:\Program Files (x86)\AstroGrep\AstroGrep.exe" /e /r /s /spath="%USERPROFILE%\AppData\Local\Temp\OnboardLogs" /stypes="app*4023*20170422*" /stext=" 04:.+((SYSTEM_STATE.+slice.+state.+changed )|(ment ac)|(multiple cpu faults)|(system.+state.+changed )|(\[timeout)|(PRM\|1\|D)|(kpr)|(kdp)|(\|lc)|(penalty))"</v>
      </c>
      <c r="AG147" s="1" t="str">
        <f t="shared" si="66"/>
        <v>EC</v>
      </c>
      <c r="AH147" s="86" t="str">
        <f t="shared" si="67"/>
        <v>"%USERPROFILE%\Documents\GitHub\eaglep3\Utilities\RefineRTDCRunTimes.py" --tripid 230-21 --locoid 4023 --swversion DE.1.0.9.0 --startMP 204:232979 --initTime 2017-04-21T21:51:14 --startdatetime 2017-04-21T21:56:33 --delay 1 --endMP 204:156 --enddatetime 2017-04-21T22:36:47 --enforcementcount 1 &gt;&gt;C:\Users\stu\Documents\GitHub\eaglep3-reporting\EC\2017-04-21-refined-times.txt</v>
      </c>
      <c r="AI147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{"issue":{"subject":"","project_id":79,"tracker_id":40,"status_id":1,"priority_id":2,"assigned_to_id":23,"start_date":"2017-04-21","description":"","custom_fields":[{"id":1,"name":"Subdivision","value":"EC"},{"id":4,"name":"Milepost","value":"0.0156"},{"id":17,"name":"Train ID","value":"230-21"},{"id":16,"name":"Locomotive ID","value":"4023"},{"id":130,"name":"Impact","value":""},{"id":150,"name":"Time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8"/>
      <c r="AL147" s="48"/>
      <c r="AM147" s="147" t="str">
        <f t="shared" si="69"/>
        <v>start /low /b %USERPROFILE%\Documents\GitHub\eaglep3\Utilities\DownloadLogsFromS3.py --loco 4023 --day 2017-04-21</v>
      </c>
      <c r="AN147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x14ac:dyDescent="0.25">
      <c r="A148" s="33" t="s">
        <v>816</v>
      </c>
      <c r="B148" s="7">
        <v>4044</v>
      </c>
      <c r="C148" s="21" t="s">
        <v>212</v>
      </c>
      <c r="D148" s="21" t="s">
        <v>483</v>
      </c>
      <c r="E148" s="13">
        <v>42846.888993055552</v>
      </c>
      <c r="F148" s="13">
        <v>42846.896041666667</v>
      </c>
      <c r="G148" s="7">
        <v>1</v>
      </c>
      <c r="H148" s="21" t="s">
        <v>916</v>
      </c>
      <c r="I148" s="13">
        <v>42846.922800925924</v>
      </c>
      <c r="J148" s="7">
        <v>1</v>
      </c>
      <c r="K148" s="97" t="str">
        <f t="shared" si="55"/>
        <v>4043/4044</v>
      </c>
      <c r="L148" s="21" t="str">
        <f>VLOOKUP(A148,'Trips&amp;Operators'!$C$1:$G$99999,5,FALSE)</f>
        <v>STORY SAMANTHA</v>
      </c>
      <c r="M148" s="6">
        <f t="shared" si="56"/>
        <v>2.675925925723277E-2</v>
      </c>
      <c r="N148" s="7">
        <f t="shared" si="71"/>
        <v>38.533333330415189</v>
      </c>
      <c r="O148" s="7"/>
      <c r="P148" s="7"/>
      <c r="Q148" s="22"/>
      <c r="R148" s="22"/>
      <c r="S148" s="31">
        <f t="shared" si="72"/>
        <v>1</v>
      </c>
      <c r="T148" s="46" t="str">
        <f t="shared" si="57"/>
        <v>NorthBound</v>
      </c>
      <c r="U148" s="19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2" t="str">
        <f t="shared" si="58"/>
        <v>https://d0f6bd738d7f1b3e5a7ca70fe4ff75f0.us-east-1.aws.found.io/app/kibana#/discover/Steve-Slow-Train-Analysis-(2080s-and-2083s)?_g=(refreshInterval:(display:Off,pause:!f,section:0,value:0),time:(from:'2017-04-21T20:20:09-0600',mode:absolute,to:'2017-04-21T23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93" t="str">
        <f t="shared" si="59"/>
        <v>N</v>
      </c>
      <c r="X148" s="193">
        <f t="shared" ref="X148:X179" si="73">VALUE(LEFT(AD148,4))-VALUE(LEFT(AD147,4))</f>
        <v>1</v>
      </c>
      <c r="Y148" s="193">
        <f t="shared" si="60"/>
        <v>4.3700000000000003E-2</v>
      </c>
      <c r="Z148" s="62">
        <f t="shared" si="61"/>
        <v>23.333100000000002</v>
      </c>
      <c r="AA148" s="62">
        <f t="shared" si="62"/>
        <v>23.289400000000001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0231-21</v>
      </c>
      <c r="AE148" s="85" t="str">
        <f t="shared" si="64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48" s="82" t="str">
        <f t="shared" si="65"/>
        <v>"C:\Program Files (x86)\AstroGrep\AstroGrep.exe" /e /r /s /spath="%USERPROFILE%\AppData\Local\Temp\OnboardLogs" /stypes="app*4044*20170422*" /stext=" 04:.+((SYSTEM_STATE.+slice.+state.+changed )|(ment ac)|(multiple cpu faults)|(system.+state.+changed )|(\[timeout)|(PRM\|1\|D)|(kpr)|(kdp)|(\|lc)|(penalty))"</v>
      </c>
      <c r="AG148" s="1" t="str">
        <f t="shared" si="66"/>
        <v>EC</v>
      </c>
      <c r="AH148" s="86" t="str">
        <f t="shared" si="67"/>
        <v>"%USERPROFILE%\Documents\GitHub\eaglep3\Utilities\RefineRTDCRunTimes.py" --tripid 231-21 --locoid 4044 --swversion DE.1.0.9.0 --startMP 204:437 --initTime 2017-04-21T21:20:09 --startdatetime 2017-04-21T21:30:18 --delay 1 --endMP 204:233331 --enddatetime 2017-04-21T22:08:50 --enforcementcount 1 &gt;&gt;C:\Users\stu\Documents\GitHub\eaglep3-reporting\EC\2017-04-21-refined-times.txt</v>
      </c>
      <c r="AI148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{"issue":{"subject":"","project_id":79,"tracker_id":40,"status_id":1,"priority_id":2,"assigned_to_id":23,"start_date":"2017-04-21","description":"","custom_fields":[{"id":1,"name":"Subdivision","value":"EC"},{"id":4,"name":"Milepost","value":"23.3331"},{"id":17,"name":"Train ID","value":"231-21"},{"id":16,"name":"Locomotive ID","value":"4044"},{"id":130,"name":"Impact","value":""},{"id":150,"name":"Time of Event (Mountain Time)","value":"22:08:50"},{"id":151,"name":"Denver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47" t="str">
        <f t="shared" si="69"/>
        <v>start /low /b %USERPROFILE%\Documents\GitHub\eaglep3\Utilities\DownloadLogsFromS3.py --loco 4044 --day 2017-04-21</v>
      </c>
      <c r="AN148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3" t="s">
        <v>821</v>
      </c>
      <c r="B149" s="7">
        <v>4043</v>
      </c>
      <c r="C149" s="21" t="s">
        <v>212</v>
      </c>
      <c r="D149" s="21" t="s">
        <v>917</v>
      </c>
      <c r="E149" s="13">
        <v>42846.93246527778</v>
      </c>
      <c r="F149" s="13">
        <v>42846.935162037036</v>
      </c>
      <c r="G149" s="7">
        <v>1</v>
      </c>
      <c r="H149" s="21" t="s">
        <v>555</v>
      </c>
      <c r="I149" s="13">
        <v>42846.962372685186</v>
      </c>
      <c r="J149" s="7">
        <v>1</v>
      </c>
      <c r="K149" s="97" t="str">
        <f t="shared" si="55"/>
        <v>4043/4044</v>
      </c>
      <c r="L149" s="21" t="str">
        <f>VLOOKUP(A149,'Trips&amp;Operators'!$C$1:$G$99999,5,FALSE)</f>
        <v>STORY SAMANTHA</v>
      </c>
      <c r="M149" s="6">
        <f t="shared" si="56"/>
        <v>2.7210648149775807E-2</v>
      </c>
      <c r="N149" s="7">
        <f t="shared" si="71"/>
        <v>39.183333335677162</v>
      </c>
      <c r="O149" s="7"/>
      <c r="P149" s="7"/>
      <c r="Q149" s="22"/>
      <c r="R149" s="22"/>
      <c r="S149" s="31">
        <f t="shared" si="72"/>
        <v>1</v>
      </c>
      <c r="T149" s="46" t="str">
        <f t="shared" si="57"/>
        <v>Southbound</v>
      </c>
      <c r="U149" s="19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2" t="str">
        <f t="shared" si="58"/>
        <v>https://d0f6bd738d7f1b3e5a7ca70fe4ff75f0.us-east-1.aws.found.io/app/kibana#/discover/Steve-Slow-Train-Analysis-(2080s-and-2083s)?_g=(refreshInterval:(display:Off,pause:!f,section:0,value:0),time:(from:'2017-04-21T21:22:45-0600',mode:absolute,to:'2017-04-22T00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93" t="str">
        <f t="shared" si="59"/>
        <v>N</v>
      </c>
      <c r="X149" s="193">
        <f t="shared" si="73"/>
        <v>1</v>
      </c>
      <c r="Y149" s="193">
        <f t="shared" si="60"/>
        <v>23.302299999999999</v>
      </c>
      <c r="Z149" s="62">
        <f t="shared" si="61"/>
        <v>1.67E-2</v>
      </c>
      <c r="AA149" s="62">
        <f t="shared" si="62"/>
        <v>23.285599999999999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0232-21</v>
      </c>
      <c r="AE149" s="85" t="str">
        <f t="shared" si="64"/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AF149" s="82" t="str">
        <f t="shared" si="65"/>
        <v>"C:\Program Files (x86)\AstroGrep\AstroGrep.exe" /e /r /s /spath="%USERPROFILE%\AppData\Local\Temp\OnboardLogs" /stypes="app*4043*20170422*" /stext=" 05:.+((SYSTEM_STATE.+slice.+state.+changed )|(ment ac)|(multiple cpu faults)|(system.+state.+changed )|(\[timeout)|(PRM\|1\|D)|(kpr)|(kdp)|(\|lc)|(penalty))"</v>
      </c>
      <c r="AG149" s="1" t="str">
        <f t="shared" si="66"/>
        <v>EC</v>
      </c>
      <c r="AH149" s="86" t="str">
        <f t="shared" si="67"/>
        <v>"%USERPROFILE%\Documents\GitHub\eaglep3\Utilities\RefineRTDCRunTimes.py" --tripid 232-21 --locoid 4043 --swversion DE.1.0.9.0 --startMP 204:233023 --initTime 2017-04-21T22:22:45 --startdatetime 2017-04-21T22:26:38 --delay 1 --endMP 204:167 --enddatetime 2017-04-21T23:05:49 --enforcementcount 1 &gt;&gt;C:\Users\stu\Documents\GitHub\eaglep3-reporting\EC\2017-04-21-refined-times.txt</v>
      </c>
      <c r="AI149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{"issue":{"subject":"","project_id":79,"tracker_id":40,"status_id":1,"priority_id":2,"assigned_to_id":23,"start_date":"2017-04-21","description":"","custom_fields":[{"id":1,"name":"Subdivision","value":"EC"},{"id":4,"name":"Milepost","value":"0.0167"},{"id":17,"name":"Train ID","value":"232-21"},{"id":16,"name":"Locomotive ID","value":"4043"},{"id":130,"name":"Impact","value":""},{"id":150,"name":"Time of Event (Mountain Time)","value":"23:05:49"},{"id":151,"name":"Denver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47" t="str">
        <f t="shared" si="69"/>
        <v>start /low /b %USERPROFILE%\Documents\GitHub\eaglep3\Utilities\DownloadLogsFromS3.py --loco 4043 --day 2017-04-21</v>
      </c>
      <c r="AN149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05:05:49"},{"id":29,"name":"Sharepoint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624</v>
      </c>
      <c r="B150" s="7">
        <v>4004</v>
      </c>
      <c r="C150" s="21" t="s">
        <v>212</v>
      </c>
      <c r="D150" s="21" t="s">
        <v>918</v>
      </c>
      <c r="E150" s="13">
        <v>42846.903171296297</v>
      </c>
      <c r="F150" s="13">
        <v>42846.917141203703</v>
      </c>
      <c r="G150" s="7">
        <v>1</v>
      </c>
      <c r="H150" s="21" t="s">
        <v>919</v>
      </c>
      <c r="I150" s="13">
        <v>42846.941979166666</v>
      </c>
      <c r="J150" s="7">
        <v>1</v>
      </c>
      <c r="K150" s="97" t="str">
        <f t="shared" si="55"/>
        <v>4003/4004</v>
      </c>
      <c r="L150" s="21" t="str">
        <f>VLOOKUP(A150,'Trips&amp;Operators'!$C$1:$G$99999,5,FALSE)</f>
        <v>STAMBAUGH JAMES</v>
      </c>
      <c r="M150" s="6">
        <f t="shared" si="56"/>
        <v>2.4837962962919846E-2</v>
      </c>
      <c r="N150" s="7">
        <f t="shared" si="71"/>
        <v>35.766666666604578</v>
      </c>
      <c r="O150" s="7"/>
      <c r="P150" s="7"/>
      <c r="Q150" s="22"/>
      <c r="R150" s="22"/>
      <c r="S150" s="31">
        <f t="shared" si="72"/>
        <v>1</v>
      </c>
      <c r="T150" s="46" t="str">
        <f t="shared" si="57"/>
        <v>NorthBound</v>
      </c>
      <c r="U150" s="19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2" t="str">
        <f t="shared" si="58"/>
        <v>https://d0f6bd738d7f1b3e5a7ca70fe4ff75f0.us-east-1.aws.found.io/app/kibana#/discover/Steve-Slow-Train-Analysis-(2080s-and-2083s)?_g=(refreshInterval:(display:Off,pause:!f,section:0,value:0),time:(from:'2017-04-21T20:40:34-0600',mode:absolute,to:'2017-04-21T23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0" s="193" t="str">
        <f t="shared" si="59"/>
        <v>N</v>
      </c>
      <c r="X150" s="193">
        <f t="shared" si="73"/>
        <v>1</v>
      </c>
      <c r="Y150" s="193">
        <f t="shared" si="60"/>
        <v>4.2700000000000002E-2</v>
      </c>
      <c r="Z150" s="62">
        <f t="shared" si="61"/>
        <v>23.338699999999999</v>
      </c>
      <c r="AA150" s="62">
        <f t="shared" si="62"/>
        <v>23.295999999999999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0233-21</v>
      </c>
      <c r="AE150" s="85" t="str">
        <f t="shared" si="64"/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AF150" s="82" t="str">
        <f t="shared" si="65"/>
        <v>"C:\Program Files (x86)\AstroGrep\AstroGrep.exe" /e /r /s /spath="%USERPROFILE%\AppData\Local\Temp\OnboardLogs" /stypes="app*4004*20170422*" /stext=" 04:.+((SYSTEM_STATE.+slice.+state.+changed )|(ment ac)|(multiple cpu faults)|(system.+state.+changed )|(\[timeout)|(PRM\|1\|D)|(kpr)|(kdp)|(\|lc)|(penalty))"</v>
      </c>
      <c r="AG150" s="1" t="str">
        <f t="shared" si="66"/>
        <v>EC</v>
      </c>
      <c r="AH150" s="86" t="str">
        <f t="shared" si="67"/>
        <v>"%USERPROFILE%\Documents\GitHub\eaglep3\Utilities\RefineRTDCRunTimes.py" --tripid 233-21 --locoid 4004 --swversion DE.1.0.9.0 --startMP 204:427 --initTime 2017-04-21T21:40:34 --startdatetime 2017-04-21T22:00:41 --delay 1 --endMP 204:233387 --enddatetime 2017-04-21T22:36:27 --enforcementcount 1 &gt;&gt;C:\Users\stu\Documents\GitHub\eaglep3-reporting\EC\2017-04-21-refined-times.txt</v>
      </c>
      <c r="AI150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{"issue":{"subject":"","project_id":79,"tracker_id":40,"status_id":1,"priority_id":2,"assigned_to_id":23,"start_date":"2017-04-21","description":"","custom_fields":[{"id":1,"name":"Subdivision","value":"EC"},{"id":4,"name":"Milepost","value":"23.3387"},{"id":17,"name":"Train ID","value":"233-21"},{"id":16,"name":"Locomotive ID","value":"4004"},{"id":130,"name":"Impact","value":""},{"id":150,"name":"Time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47" t="str">
        <f t="shared" si="69"/>
        <v>start /low /b %USERPROFILE%\Documents\GitHub\eaglep3\Utilities\DownloadLogsFromS3.py --loco 4004 --day 2017-04-21</v>
      </c>
      <c r="AN150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824</v>
      </c>
      <c r="B151" s="7">
        <v>4003</v>
      </c>
      <c r="C151" s="21" t="s">
        <v>212</v>
      </c>
      <c r="D151" s="21" t="s">
        <v>920</v>
      </c>
      <c r="E151" s="13">
        <v>42846.950289351851</v>
      </c>
      <c r="F151" s="13">
        <v>42846.955925925926</v>
      </c>
      <c r="G151" s="7">
        <v>1</v>
      </c>
      <c r="H151" s="21" t="s">
        <v>425</v>
      </c>
      <c r="I151" s="13">
        <v>42846.983113425929</v>
      </c>
      <c r="J151" s="7">
        <v>1</v>
      </c>
      <c r="K151" s="97" t="str">
        <f t="shared" si="55"/>
        <v>4003/4004</v>
      </c>
      <c r="L151" s="21" t="str">
        <f>VLOOKUP(A151,'Trips&amp;Operators'!$C$1:$G$99999,5,FALSE)</f>
        <v>STAMBAUGH JAMES</v>
      </c>
      <c r="M151" s="6">
        <f t="shared" si="56"/>
        <v>2.718750000349246E-2</v>
      </c>
      <c r="N151" s="7">
        <f t="shared" si="71"/>
        <v>39.150000005029142</v>
      </c>
      <c r="O151" s="7"/>
      <c r="P151" s="7"/>
      <c r="Q151" s="22"/>
      <c r="R151" s="22"/>
      <c r="S151" s="31">
        <f t="shared" si="72"/>
        <v>1</v>
      </c>
      <c r="T151" s="46" t="str">
        <f t="shared" si="57"/>
        <v>Southbound</v>
      </c>
      <c r="U151" s="19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2" t="str">
        <f t="shared" si="58"/>
        <v>https://d0f6bd738d7f1b3e5a7ca70fe4ff75f0.us-east-1.aws.found.io/app/kibana#/discover/Steve-Slow-Train-Analysis-(2080s-and-2083s)?_g=(refreshInterval:(display:Off,pause:!f,section:0,value:0),time:(from:'2017-04-21T21:48:25-0600',mode:absolute,to:'2017-04-22T00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193" t="str">
        <f t="shared" si="59"/>
        <v>N</v>
      </c>
      <c r="X151" s="193">
        <f t="shared" si="73"/>
        <v>1</v>
      </c>
      <c r="Y151" s="193">
        <f t="shared" si="60"/>
        <v>23.308499999999999</v>
      </c>
      <c r="Z151" s="62">
        <f t="shared" si="61"/>
        <v>1.3899999999999999E-2</v>
      </c>
      <c r="AA151" s="62">
        <f t="shared" si="62"/>
        <v>23.294599999999999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0234-21</v>
      </c>
      <c r="AE151" s="85" t="str">
        <f t="shared" si="64"/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AF151" s="82" t="str">
        <f t="shared" si="65"/>
        <v>"C:\Program Files (x86)\AstroGrep\AstroGrep.exe" /e /r /s /spath="%USERPROFILE%\AppData\Local\Temp\OnboardLogs" /stypes="app*4003*20170422*" /stext=" 05:.+((SYSTEM_STATE.+slice.+state.+changed )|(ment ac)|(multiple cpu faults)|(system.+state.+changed )|(\[timeout)|(PRM\|1\|D)|(kpr)|(kdp)|(\|lc)|(penalty))"</v>
      </c>
      <c r="AG151" s="1" t="str">
        <f t="shared" si="66"/>
        <v>EC</v>
      </c>
      <c r="AH151" s="86" t="str">
        <f t="shared" si="67"/>
        <v>"%USERPROFILE%\Documents\GitHub\eaglep3\Utilities\RefineRTDCRunTimes.py" --tripid 234-21 --locoid 4003 --swversion DE.1.0.9.0 --startMP 204:233085 --initTime 2017-04-21T22:48:25 --startdatetime 2017-04-21T22:56:32 --delay 1 --endMP 204:139 --enddatetime 2017-04-21T23:35:41 --enforcementcount 1 &gt;&gt;C:\Users\stu\Documents\GitHub\eaglep3-reporting\EC\2017-04-21-refined-times.txt</v>
      </c>
      <c r="AI151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{"issue":{"subject":"","project_id":79,"tracker_id":40,"status_id":1,"priority_id":2,"assigned_to_id":23,"start_date":"2017-04-21","description":"","custom_fields":[{"id":1,"name":"Subdivision","value":"EC"},{"id":4,"name":"Milepost","value":"0.0139"},{"id":17,"name":"Train ID","value":"234-21"},{"id":16,"name":"Locomotive ID","value":"4003"},{"id":130,"name":"Impact","value":""},{"id":150,"name":"Time of Event (Mountain Time)","value":"23:35:41"},{"id":151,"name":"Denver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47" t="str">
        <f t="shared" si="69"/>
        <v>start /low /b %USERPROFILE%\Documents\GitHub\eaglep3\Utilities\DownloadLogsFromS3.py --loco 4003 --day 2017-04-21</v>
      </c>
      <c r="AN151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05:35:41"},{"id":29,"name":"Sharepoint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822</v>
      </c>
      <c r="B152" s="7">
        <v>4002</v>
      </c>
      <c r="C152" s="21" t="s">
        <v>212</v>
      </c>
      <c r="D152" s="21" t="s">
        <v>559</v>
      </c>
      <c r="E152" s="13">
        <v>42846.936678240738</v>
      </c>
      <c r="F152" s="13">
        <v>42846.937858796293</v>
      </c>
      <c r="G152" s="7">
        <v>1</v>
      </c>
      <c r="H152" s="21" t="s">
        <v>570</v>
      </c>
      <c r="I152" s="13">
        <v>42846.964004629626</v>
      </c>
      <c r="J152" s="7">
        <v>1</v>
      </c>
      <c r="K152" s="97" t="str">
        <f t="shared" si="55"/>
        <v>4001/4002</v>
      </c>
      <c r="L152" s="21" t="str">
        <f>VLOOKUP(A152,'Trips&amp;Operators'!$C$1:$G$99999,5,FALSE)</f>
        <v>MAGEE KENYA</v>
      </c>
      <c r="M152" s="6">
        <f t="shared" si="56"/>
        <v>2.6145833333430346E-2</v>
      </c>
      <c r="N152" s="7">
        <f t="shared" si="71"/>
        <v>37.650000000139698</v>
      </c>
      <c r="O152" s="7"/>
      <c r="P152" s="7"/>
      <c r="Q152" s="22"/>
      <c r="R152" s="22"/>
      <c r="S152" s="31">
        <f t="shared" si="72"/>
        <v>1</v>
      </c>
      <c r="T152" s="46" t="str">
        <f t="shared" si="57"/>
        <v>NorthBound</v>
      </c>
      <c r="U152" s="19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2" t="str">
        <f t="shared" si="58"/>
        <v>https://d0f6bd738d7f1b3e5a7ca70fe4ff75f0.us-east-1.aws.found.io/app/kibana#/discover/Steve-Slow-Train-Analysis-(2080s-and-2083s)?_g=(refreshInterval:(display:Off,pause:!f,section:0,value:0),time:(from:'2017-04-21T21:28:49-0600',mode:absolute,to:'2017-04-22T00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193" t="str">
        <f t="shared" si="59"/>
        <v>N</v>
      </c>
      <c r="X152" s="193">
        <f t="shared" si="73"/>
        <v>1</v>
      </c>
      <c r="Y152" s="193">
        <f t="shared" si="60"/>
        <v>4.6399999999999997E-2</v>
      </c>
      <c r="Z152" s="62">
        <f t="shared" si="61"/>
        <v>23.331900000000001</v>
      </c>
      <c r="AA152" s="62">
        <f t="shared" si="62"/>
        <v>23.285500000000003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0235-21</v>
      </c>
      <c r="AE152" s="85" t="str">
        <f t="shared" si="64"/>
        <v>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 &amp; 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</v>
      </c>
      <c r="AF152" s="82" t="str">
        <f t="shared" si="65"/>
        <v>"C:\Program Files (x86)\AstroGrep\AstroGrep.exe" /e /r /s /spath="%USERPROFILE%\AppData\Local\Temp\OnboardLogs" /stypes="app*4002*20170422*" /stext=" 05:.+((SYSTEM_STATE.+slice.+state.+changed )|(ment ac)|(multiple cpu faults)|(system.+state.+changed )|(\[timeout)|(PRM\|1\|D)|(kpr)|(kdp)|(\|lc)|(penalty))"</v>
      </c>
      <c r="AG152" s="1" t="str">
        <f t="shared" si="66"/>
        <v>EC</v>
      </c>
      <c r="AH152" s="86" t="str">
        <f t="shared" si="67"/>
        <v>"%USERPROFILE%\Documents\GitHub\eaglep3\Utilities\RefineRTDCRunTimes.py" --tripid 235-21 --locoid 4002 --swversion DE.1.0.9.0 --startMP 204:464 --initTime 2017-04-21T22:28:49 --startdatetime 2017-04-21T22:30:31 --delay 1 --endMP 204:233319 --enddatetime 2017-04-21T23:08:10 --enforcementcount 1 &gt;&gt;C:\Users\stu\Documents\GitHub\eaglep3-reporting\EC\2017-04-21-refined-times.txt</v>
      </c>
      <c r="AI152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{"issue":{"subject":"","project_id":79,"tracker_id":40,"status_id":1,"priority_id":2,"assigned_to_id":23,"start_date":"2017-04-21","description":"","custom_fields":[{"id":1,"name":"Subdivision","value":"EC"},{"id":4,"name":"Milepost","value":"23.3319"},{"id":17,"name":"Train ID","value":"235-21"},{"id":16,"name":"Locomotive ID","value":"4002"},{"id":130,"name":"Impact","value":""},{"id":150,"name":"Time of Event (Mountain Time)","value":"23:08:10"},{"id":151,"name":"Denver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47" t="str">
        <f t="shared" si="69"/>
        <v>start /low /b %USERPROFILE%\Documents\GitHub\eaglep3\Utilities\DownloadLogsFromS3.py --loco 4002 --day 2017-04-21</v>
      </c>
      <c r="AN152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05:08:10"},{"id":29,"name":"Sharepoint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625</v>
      </c>
      <c r="B153" s="7">
        <v>4001</v>
      </c>
      <c r="C153" s="21" t="s">
        <v>212</v>
      </c>
      <c r="D153" s="21" t="s">
        <v>851</v>
      </c>
      <c r="E153" s="13">
        <v>42846.970856481479</v>
      </c>
      <c r="F153" s="13">
        <v>42846.976585648146</v>
      </c>
      <c r="G153" s="7">
        <v>0</v>
      </c>
      <c r="H153" s="21" t="s">
        <v>389</v>
      </c>
      <c r="I153" s="13">
        <v>42847.005729166667</v>
      </c>
      <c r="J153" s="7">
        <v>1</v>
      </c>
      <c r="K153" s="97" t="str">
        <f t="shared" si="55"/>
        <v>4001/4002</v>
      </c>
      <c r="L153" s="21" t="str">
        <f>VLOOKUP(A153,'Trips&amp;Operators'!$C$1:$G$99999,5,FALSE)</f>
        <v>MAGEE KENYA</v>
      </c>
      <c r="M153" s="6">
        <f t="shared" si="56"/>
        <v>2.9143518520868383E-2</v>
      </c>
      <c r="N153" s="7">
        <f t="shared" si="71"/>
        <v>41.966666670050472</v>
      </c>
      <c r="O153" s="7"/>
      <c r="P153" s="7"/>
      <c r="Q153" s="22"/>
      <c r="R153" s="22"/>
      <c r="S153" s="31">
        <f t="shared" si="72"/>
        <v>1</v>
      </c>
      <c r="T153" s="46" t="str">
        <f t="shared" si="57"/>
        <v>Southbound</v>
      </c>
      <c r="U153" s="19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2" t="str">
        <f t="shared" si="58"/>
        <v>https://d0f6bd738d7f1b3e5a7ca70fe4ff75f0.us-east-1.aws.found.io/app/kibana#/discover/Steve-Slow-Train-Analysis-(2080s-and-2083s)?_g=(refreshInterval:(display:Off,pause:!f,section:0,value:0),time:(from:'2017-04-21T22:18:02-0600',mode:absolute,to:'2017-04-22T01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193" t="str">
        <f t="shared" si="59"/>
        <v>N</v>
      </c>
      <c r="X153" s="193">
        <f t="shared" si="73"/>
        <v>1</v>
      </c>
      <c r="Y153" s="193">
        <f t="shared" si="60"/>
        <v>23.299600000000002</v>
      </c>
      <c r="Z153" s="62">
        <f t="shared" si="61"/>
        <v>1.6E-2</v>
      </c>
      <c r="AA153" s="62">
        <f t="shared" si="62"/>
        <v>23.283600000000003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0236-21</v>
      </c>
      <c r="AE153" s="85" t="str">
        <f t="shared" si="64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153" s="82" t="str">
        <f t="shared" si="65"/>
        <v>"C:\Program Files (x86)\AstroGrep\AstroGrep.exe" /e /r /s /spath="%USERPROFILE%\AppData\Local\Temp\OnboardLogs" /stypes="app*4001*20170422*" /stext=" 06:.+((SYSTEM_STATE.+slice.+state.+changed )|(ment ac)|(multiple cpu faults)|(system.+state.+changed )|(\[timeout)|(PRM\|1\|D)|(kpr)|(kdp)|(\|lc)|(penalty))"</v>
      </c>
      <c r="AG153" s="1" t="str">
        <f t="shared" si="66"/>
        <v>EC</v>
      </c>
      <c r="AH153" s="86" t="str">
        <f t="shared" si="67"/>
        <v>"%USERPROFILE%\Documents\GitHub\eaglep3\Utilities\RefineRTDCRunTimes.py" --tripid 236-21 --locoid 4001 --swversion DE.1.0.9.0 --startMP 204:232996 --initTime 2017-04-21T23:18:02 --startdatetime 2017-04-21T23:26:17 --delay 0 --endMP 204:160 --enddatetime 2017-04-22T00:08:15 --enforcementcount 1 &gt;&gt;C:\Users\stu\Documents\GitHub\eaglep3-reporting\EC\2017-04-21-refined-times.txt</v>
      </c>
      <c r="AI153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{"issue":{"subject":"","project_id":79,"tracker_id":40,"status_id":1,"priority_id":2,"assigned_to_id":23,"start_date":"2017-04-22","description":"","custom_fields":[{"id":1,"name":"Subdivision","value":"EC"},{"id":4,"name":"Milepost","value":"0.016"},{"id":17,"name":"Train ID","value":"236-21"},{"id":16,"name":"Locomotive ID","value":"4001"},{"id":130,"name":"Impact","value":""},{"id":150,"name":"Time of Event (Mountain Time)","value":"00:08:15"},{"id":151,"name":"Denver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47" t="str">
        <f t="shared" si="69"/>
        <v>start /low /b %USERPROFILE%\Documents\GitHub\eaglep3\Utilities\DownloadLogsFromS3.py --loco 4001 --day 2017-04-21</v>
      </c>
      <c r="AN153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06:08:15"},{"id":29,"name":"Sharepoint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825</v>
      </c>
      <c r="B154" s="7">
        <v>4024</v>
      </c>
      <c r="C154" s="21" t="s">
        <v>212</v>
      </c>
      <c r="D154" s="21" t="s">
        <v>383</v>
      </c>
      <c r="E154" s="13">
        <v>42846.955069444448</v>
      </c>
      <c r="F154" s="13">
        <v>42846.958587962959</v>
      </c>
      <c r="G154" s="7">
        <v>1</v>
      </c>
      <c r="H154" s="21" t="s">
        <v>859</v>
      </c>
      <c r="I154" s="13">
        <v>42846.985081018516</v>
      </c>
      <c r="J154" s="7">
        <v>1</v>
      </c>
      <c r="K154" s="97" t="str">
        <f t="shared" si="55"/>
        <v>4023/4024</v>
      </c>
      <c r="L154" s="21" t="str">
        <f>VLOOKUP(A154,'Trips&amp;Operators'!$C$1:$G$99999,5,FALSE)</f>
        <v>BROWN JACOB</v>
      </c>
      <c r="M154" s="6">
        <f t="shared" si="56"/>
        <v>2.6493055556784384E-2</v>
      </c>
      <c r="N154" s="7">
        <f t="shared" si="71"/>
        <v>38.150000001769513</v>
      </c>
      <c r="O154" s="7"/>
      <c r="P154" s="7"/>
      <c r="Q154" s="22"/>
      <c r="R154" s="22"/>
      <c r="S154" s="31">
        <f t="shared" si="72"/>
        <v>1</v>
      </c>
      <c r="T154" s="46" t="str">
        <f t="shared" si="57"/>
        <v>NorthBound</v>
      </c>
      <c r="U154" s="19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2" t="str">
        <f t="shared" si="58"/>
        <v>https://d0f6bd738d7f1b3e5a7ca70fe4ff75f0.us-east-1.aws.found.io/app/kibana#/discover/Steve-Slow-Train-Analysis-(2080s-and-2083s)?_g=(refreshInterval:(display:Off,pause:!f,section:0,value:0),time:(from:'2017-04-21T21:55:18-0600',mode:absolute,to:'2017-04-22T00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4" s="193" t="str">
        <f t="shared" si="59"/>
        <v>N</v>
      </c>
      <c r="X154" s="193">
        <f t="shared" si="73"/>
        <v>1</v>
      </c>
      <c r="Y154" s="193">
        <f t="shared" si="60"/>
        <v>4.6199999999999998E-2</v>
      </c>
      <c r="Z154" s="62">
        <f t="shared" si="61"/>
        <v>23.332100000000001</v>
      </c>
      <c r="AA154" s="62">
        <f t="shared" si="62"/>
        <v>23.285900000000002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0237-21</v>
      </c>
      <c r="AE154" s="85" t="str">
        <f t="shared" si="64"/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AF154" s="82" t="str">
        <f t="shared" si="65"/>
        <v>"C:\Program Files (x86)\AstroGrep\AstroGrep.exe" /e /r /s /spath="%USERPROFILE%\AppData\Local\Temp\OnboardLogs" /stypes="app*4024*20170422*" /stext=" 05:.+((SYSTEM_STATE.+slice.+state.+changed )|(ment ac)|(multiple cpu faults)|(system.+state.+changed )|(\[timeout)|(PRM\|1\|D)|(kpr)|(kdp)|(\|lc)|(penalty))"</v>
      </c>
      <c r="AG154" s="1" t="str">
        <f t="shared" si="66"/>
        <v>EC</v>
      </c>
      <c r="AH154" s="86" t="str">
        <f t="shared" si="67"/>
        <v>"%USERPROFILE%\Documents\GitHub\eaglep3\Utilities\RefineRTDCRunTimes.py" --tripid 237-21 --locoid 4024 --swversion DE.1.0.9.0 --startMP 204:462 --initTime 2017-04-21T22:55:18 --startdatetime 2017-04-21T23:00:22 --delay 1 --endMP 204:233321 --enddatetime 2017-04-21T23:38:31 --enforcementcount 1 &gt;&gt;C:\Users\stu\Documents\GitHub\eaglep3-reporting\EC\2017-04-21-refined-times.txt</v>
      </c>
      <c r="AI154" s="104" t="str">
        <f t="shared" si="68"/>
        <v>echo {"issue":{"subject":"","project_id":79,"tracker_id":40,"status_id":1,"priority_id":2,"assigned_to_id":23,"start_date":"2017-04-21","description":"","custom_fields":[{"id":1,"name":"Subdivision","value":"EC"},{"id":4,"name":"Milepost","value":"23.3321"},{"id":17,"name":"Train ID","value":"237-21"},{"id":16,"name":"Locomotive ID","value":"4024"},{"id":130,"name":"Impact","value":""},{"id":150,"name":"Time of Event (Mountain Time)","value":"23:38:31"},{"id":151,"name":"Denver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47" t="str">
        <f t="shared" si="69"/>
        <v>start /low /b %USERPROFILE%\Documents\GitHub\eaglep3\Utilities\DownloadLogsFromS3.py --loco 4024 --day 2017-04-21</v>
      </c>
      <c r="AN154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05:38:31"},{"id":29,"name":"Sharepoint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3" t="s">
        <v>827</v>
      </c>
      <c r="B155" s="7">
        <v>4023</v>
      </c>
      <c r="C155" s="21" t="s">
        <v>212</v>
      </c>
      <c r="D155" s="21" t="s">
        <v>921</v>
      </c>
      <c r="E155" s="13">
        <v>42846.99019675926</v>
      </c>
      <c r="F155" s="13">
        <v>42846.997743055559</v>
      </c>
      <c r="G155" s="7">
        <v>1</v>
      </c>
      <c r="H155" s="21" t="s">
        <v>421</v>
      </c>
      <c r="I155" s="13">
        <v>42847.026192129626</v>
      </c>
      <c r="J155" s="7">
        <v>1</v>
      </c>
      <c r="K155" s="97" t="str">
        <f t="shared" si="55"/>
        <v>4023/4024</v>
      </c>
      <c r="L155" s="21" t="str">
        <f>VLOOKUP(A155,'Trips&amp;Operators'!$C$1:$G$99999,5,FALSE)</f>
        <v>BROWN JACOB</v>
      </c>
      <c r="M155" s="6">
        <f t="shared" si="56"/>
        <v>2.844907406688435E-2</v>
      </c>
      <c r="N155" s="7">
        <f t="shared" si="71"/>
        <v>40.966666656313464</v>
      </c>
      <c r="O155" s="7"/>
      <c r="P155" s="7"/>
      <c r="Q155" s="22"/>
      <c r="R155" s="22"/>
      <c r="S155" s="31">
        <f t="shared" si="72"/>
        <v>1</v>
      </c>
      <c r="T155" s="46" t="str">
        <f t="shared" si="57"/>
        <v>Southbound</v>
      </c>
      <c r="U155" s="19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2" t="str">
        <f t="shared" si="58"/>
        <v>https://d0f6bd738d7f1b3e5a7ca70fe4ff75f0.us-east-1.aws.found.io/app/kibana#/discover/Steve-Slow-Train-Analysis-(2080s-and-2083s)?_g=(refreshInterval:(display:Off,pause:!f,section:0,value:0),time:(from:'2017-04-21T22:45:53-0600',mode:absolute,to:'2017-04-22T01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5" s="193" t="str">
        <f t="shared" si="59"/>
        <v>N</v>
      </c>
      <c r="X155" s="193">
        <f t="shared" si="73"/>
        <v>1</v>
      </c>
      <c r="Y155" s="193">
        <f t="shared" si="60"/>
        <v>23.301300000000001</v>
      </c>
      <c r="Z155" s="62">
        <f t="shared" si="61"/>
        <v>1.43E-2</v>
      </c>
      <c r="AA155" s="62">
        <f t="shared" si="62"/>
        <v>23.287000000000003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0238-21</v>
      </c>
      <c r="AE155" s="85" t="str">
        <f t="shared" si="64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155" s="82" t="str">
        <f t="shared" si="65"/>
        <v>"C:\Program Files (x86)\AstroGrep\AstroGrep.exe" /e /r /s /spath="%USERPROFILE%\AppData\Local\Temp\OnboardLogs" /stypes="app*4023*20170422*" /stext=" 06:.+((SYSTEM_STATE.+slice.+state.+changed )|(ment ac)|(multiple cpu faults)|(system.+state.+changed )|(\[timeout)|(PRM\|1\|D)|(kpr)|(kdp)|(\|lc)|(penalty))"</v>
      </c>
      <c r="AG155" s="1" t="str">
        <f t="shared" si="66"/>
        <v>EC</v>
      </c>
      <c r="AH155" s="86" t="str">
        <f t="shared" si="67"/>
        <v>"%USERPROFILE%\Documents\GitHub\eaglep3\Utilities\RefineRTDCRunTimes.py" --tripid 238-21 --locoid 4023 --swversion DE.1.0.9.0 --startMP 204:233013 --initTime 2017-04-21T23:45:53 --startdatetime 2017-04-21T23:56:45 --delay 1 --endMP 204:143 --enddatetime 2017-04-22T00:37:43 --enforcementcount 1 &gt;&gt;C:\Users\stu\Documents\GitHub\eaglep3-reporting\EC\2017-04-21-refined-times.txt</v>
      </c>
      <c r="AI155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{"issue":{"subject":"","project_id":79,"tracker_id":40,"status_id":1,"priority_id":2,"assigned_to_id":23,"start_date":"2017-04-22","description":"","custom_fields":[{"id":1,"name":"Subdivision","value":"EC"},{"id":4,"name":"Milepost","value":"0.0143"},{"id":17,"name":"Train ID","value":"238-21"},{"id":16,"name":"Locomotive ID","value":"4023"},{"id":130,"name":"Impact","value":""},{"id":150,"name":"Time of Event (Mountain Time)","value":"00:37:43"},{"id":151,"name":"Denver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47" t="str">
        <f t="shared" si="69"/>
        <v>start /low /b %USERPROFILE%\Documents\GitHub\eaglep3\Utilities\DownloadLogsFromS3.py --loco 4023 --day 2017-04-21</v>
      </c>
      <c r="AN155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06:37:43"},{"id":29,"name":"Sharepoint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826</v>
      </c>
      <c r="B156" s="7">
        <v>4044</v>
      </c>
      <c r="C156" s="21" t="s">
        <v>212</v>
      </c>
      <c r="D156" s="21" t="s">
        <v>559</v>
      </c>
      <c r="E156" s="13">
        <v>42846.9762962963</v>
      </c>
      <c r="F156" s="13">
        <v>42846.979351851849</v>
      </c>
      <c r="G156" s="7">
        <v>1</v>
      </c>
      <c r="H156" s="21" t="s">
        <v>557</v>
      </c>
      <c r="I156" s="13">
        <v>42847.005358796298</v>
      </c>
      <c r="J156" s="7">
        <v>1</v>
      </c>
      <c r="K156" s="97" t="str">
        <f t="shared" si="55"/>
        <v>4043/4044</v>
      </c>
      <c r="L156" s="21" t="str">
        <f>VLOOKUP(A156,'Trips&amp;Operators'!$C$1:$G$99999,5,FALSE)</f>
        <v>STORY SAMANTHA</v>
      </c>
      <c r="M156" s="6">
        <f t="shared" si="56"/>
        <v>2.6006944448454306E-2</v>
      </c>
      <c r="N156" s="7">
        <f t="shared" si="71"/>
        <v>37.4500000057742</v>
      </c>
      <c r="O156" s="7"/>
      <c r="P156" s="7"/>
      <c r="Q156" s="22"/>
      <c r="R156" s="22"/>
      <c r="S156" s="31">
        <f t="shared" si="72"/>
        <v>1</v>
      </c>
      <c r="T156" s="46" t="str">
        <f t="shared" si="57"/>
        <v>NorthBound</v>
      </c>
      <c r="U156" s="19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2" t="str">
        <f t="shared" si="58"/>
        <v>https://d0f6bd738d7f1b3e5a7ca70fe4ff75f0.us-east-1.aws.found.io/app/kibana#/discover/Steve-Slow-Train-Analysis-(2080s-and-2083s)?_g=(refreshInterval:(display:Off,pause:!f,section:0,value:0),time:(from:'2017-04-21T22:25:52-0600',mode:absolute,to:'2017-04-22T01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193" t="str">
        <f t="shared" si="59"/>
        <v>N</v>
      </c>
      <c r="X156" s="193">
        <f t="shared" si="73"/>
        <v>1</v>
      </c>
      <c r="Y156" s="193">
        <f t="shared" si="60"/>
        <v>4.6399999999999997E-2</v>
      </c>
      <c r="Z156" s="62">
        <f t="shared" si="61"/>
        <v>23.330400000000001</v>
      </c>
      <c r="AA156" s="62">
        <f t="shared" si="62"/>
        <v>23.284000000000002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0239-21</v>
      </c>
      <c r="AE156" s="85" t="str">
        <f t="shared" si="64"/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AF156" s="82" t="str">
        <f t="shared" si="65"/>
        <v>"C:\Program Files (x86)\AstroGrep\AstroGrep.exe" /e /r /s /spath="%USERPROFILE%\AppData\Local\Temp\OnboardLogs" /stypes="app*4044*20170422*" /stext=" 06:.+((SYSTEM_STATE.+slice.+state.+changed )|(ment ac)|(multiple cpu faults)|(system.+state.+changed )|(\[timeout)|(PRM\|1\|D)|(kpr)|(kdp)|(\|lc)|(penalty))"</v>
      </c>
      <c r="AG156" s="1" t="str">
        <f t="shared" si="66"/>
        <v>EC</v>
      </c>
      <c r="AH156" s="86" t="str">
        <f t="shared" si="67"/>
        <v>"%USERPROFILE%\Documents\GitHub\eaglep3\Utilities\RefineRTDCRunTimes.py" --tripid 239-21 --locoid 4044 --swversion DE.1.0.9.0 --startMP 204:464 --initTime 2017-04-21T23:25:52 --startdatetime 2017-04-21T23:30:16 --delay 1 --endMP 204:233304 --enddatetime 2017-04-22T00:07:43 --enforcementcount 1 &gt;&gt;C:\Users\stu\Documents\GitHub\eaglep3-reporting\EC\2017-04-21-refined-times.txt</v>
      </c>
      <c r="AI156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{"issue":{"subject":"","project_id":79,"tracker_id":40,"status_id":1,"priority_id":2,"assigned_to_id":23,"start_date":"2017-04-22","description":"","custom_fields":[{"id":1,"name":"Subdivision","value":"EC"},{"id":4,"name":"Milepost","value":"23.3304"},{"id":17,"name":"Train ID","value":"239-21"},{"id":16,"name":"Locomotive ID","value":"4044"},{"id":130,"name":"Impact","value":""},{"id":150,"name":"Time of Event (Mountain Time)","value":"00:07:43"},{"id":151,"name":"Denver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47" t="str">
        <f t="shared" si="69"/>
        <v>start /low /b %USERPROFILE%\Documents\GitHub\eaglep3\Utilities\DownloadLogsFromS3.py --loco 4044 --day 2017-04-21</v>
      </c>
      <c r="AN156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06:07:43"},{"id":29,"name":"Sharepoint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828</v>
      </c>
      <c r="B157" s="7">
        <v>4043</v>
      </c>
      <c r="C157" s="21" t="s">
        <v>212</v>
      </c>
      <c r="D157" s="21" t="s">
        <v>868</v>
      </c>
      <c r="E157" s="13">
        <v>42847.011747685188</v>
      </c>
      <c r="F157" s="13">
        <v>42847.018287037034</v>
      </c>
      <c r="G157" s="7">
        <v>1</v>
      </c>
      <c r="H157" s="21" t="s">
        <v>414</v>
      </c>
      <c r="I157" s="13">
        <v>42847.044791666667</v>
      </c>
      <c r="J157" s="7">
        <v>1</v>
      </c>
      <c r="K157" s="97" t="str">
        <f t="shared" si="55"/>
        <v>4043/4044</v>
      </c>
      <c r="L157" s="21" t="str">
        <f>VLOOKUP(A157,'Trips&amp;Operators'!$C$1:$G$99999,5,FALSE)</f>
        <v>STORY SAMANTHA</v>
      </c>
      <c r="M157" s="6">
        <f t="shared" si="56"/>
        <v>2.6504629633564036E-2</v>
      </c>
      <c r="N157" s="7">
        <f t="shared" si="71"/>
        <v>38.166666672332212</v>
      </c>
      <c r="O157" s="7"/>
      <c r="P157" s="7"/>
      <c r="Q157" s="22"/>
      <c r="R157" s="22"/>
      <c r="S157" s="31">
        <f t="shared" si="72"/>
        <v>1</v>
      </c>
      <c r="T157" s="46" t="str">
        <f t="shared" si="57"/>
        <v>Southbound</v>
      </c>
      <c r="U157" s="19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2" t="str">
        <f t="shared" si="58"/>
        <v>https://d0f6bd738d7f1b3e5a7ca70fe4ff75f0.us-east-1.aws.found.io/app/kibana#/discover/Steve-Slow-Train-Analysis-(2080s-and-2083s)?_g=(refreshInterval:(display:Off,pause:!f,section:0,value:0),time:(from:'2017-04-21T23:16:55-0600',mode:absolute,to:'2017-04-22T02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193" t="str">
        <f t="shared" si="59"/>
        <v>N</v>
      </c>
      <c r="X157" s="193">
        <f t="shared" si="73"/>
        <v>1</v>
      </c>
      <c r="Y157" s="193">
        <f t="shared" si="60"/>
        <v>23.3004</v>
      </c>
      <c r="Z157" s="62">
        <f t="shared" si="61"/>
        <v>1.4999999999999999E-2</v>
      </c>
      <c r="AA157" s="62">
        <f t="shared" si="62"/>
        <v>23.285399999999999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0240-21</v>
      </c>
      <c r="AE157" s="85" t="str">
        <f t="shared" si="64"/>
        <v>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 &amp; 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</v>
      </c>
      <c r="AF157" s="82" t="str">
        <f t="shared" si="65"/>
        <v>"C:\Program Files (x86)\AstroGrep\AstroGrep.exe" /e /r /s /spath="%USERPROFILE%\AppData\Local\Temp\OnboardLogs" /stypes="app*4043*20170422*" /stext=" 07:.+((SYSTEM_STATE.+slice.+state.+changed )|(ment ac)|(multiple cpu faults)|(system.+state.+changed )|(\[timeout)|(PRM\|1\|D)|(kpr)|(kdp)|(\|lc)|(penalty))"</v>
      </c>
      <c r="AG157" s="1" t="str">
        <f t="shared" si="66"/>
        <v>EC</v>
      </c>
      <c r="AH157" s="86" t="str">
        <f t="shared" si="67"/>
        <v>"%USERPROFILE%\Documents\GitHub\eaglep3\Utilities\RefineRTDCRunTimes.py" --tripid 240-21 --locoid 4043 --swversion DE.1.0.9.0 --startMP 204:233004 --initTime 2017-04-22T00:16:55 --startdatetime 2017-04-22T00:26:20 --delay 1 --endMP 204:150 --enddatetime 2017-04-22T01:04:30 --enforcementcount 1 &gt;&gt;C:\Users\stu\Documents\GitHub\eaglep3-reporting\EC\2017-04-21-refined-times.txt</v>
      </c>
      <c r="AI157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{"issue":{"subject":"","project_id":79,"tracker_id":40,"status_id":1,"priority_id":2,"assigned_to_id":23,"start_date":"2017-04-22","description":"","custom_fields":[{"id":1,"name":"Subdivision","value":"EC"},{"id":4,"name":"Milepost","value":"0.015"},{"id":17,"name":"Train ID","value":"240-21"},{"id":16,"name":"Locomotive ID","value":"4043"},{"id":130,"name":"Impact","value":""},{"id":150,"name":"Time of Event (Mountain Time)","value":"01:04:30"},{"id":151,"name":"Denver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47" t="str">
        <f t="shared" si="69"/>
        <v>start /low /b %USERPROFILE%\Documents\GitHub\eaglep3\Utilities\DownloadLogsFromS3.py --loco 4043 --day 2017-04-22</v>
      </c>
      <c r="AN157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07:04:30"},{"id":29,"name":"Sharepoint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627</v>
      </c>
      <c r="B158" s="7">
        <v>4004</v>
      </c>
      <c r="C158" s="21" t="s">
        <v>212</v>
      </c>
      <c r="D158" s="21" t="s">
        <v>423</v>
      </c>
      <c r="E158" s="13">
        <v>42846.985543981478</v>
      </c>
      <c r="F158" s="13">
        <v>42847.000300925924</v>
      </c>
      <c r="G158" s="7">
        <v>1</v>
      </c>
      <c r="H158" s="21" t="s">
        <v>922</v>
      </c>
      <c r="I158" s="13">
        <v>42847.025034722225</v>
      </c>
      <c r="J158" s="7">
        <v>1</v>
      </c>
      <c r="K158" s="97" t="str">
        <f t="shared" si="55"/>
        <v>4003/4004</v>
      </c>
      <c r="L158" s="21" t="str">
        <f>VLOOKUP(A158,'Trips&amp;Operators'!$C$1:$G$99999,5,FALSE)</f>
        <v>STAMBAUGH JAMES</v>
      </c>
      <c r="M158" s="6">
        <f t="shared" si="56"/>
        <v>2.4733796301006805E-2</v>
      </c>
      <c r="N158" s="7">
        <f t="shared" si="71"/>
        <v>35.616666673449799</v>
      </c>
      <c r="O158" s="7"/>
      <c r="P158" s="7"/>
      <c r="Q158" s="22"/>
      <c r="R158" s="22"/>
      <c r="S158" s="31">
        <f t="shared" si="72"/>
        <v>1</v>
      </c>
      <c r="T158" s="46" t="str">
        <f t="shared" si="57"/>
        <v>NorthBound</v>
      </c>
      <c r="U158" s="19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2" t="str">
        <f t="shared" si="58"/>
        <v>https://d0f6bd738d7f1b3e5a7ca70fe4ff75f0.us-east-1.aws.found.io/app/kibana#/discover/Steve-Slow-Train-Analysis-(2080s-and-2083s)?_g=(refreshInterval:(display:Off,pause:!f,section:0,value:0),time:(from:'2017-04-21T22:39:11-0600',mode:absolute,to:'2017-04-22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93" t="str">
        <f t="shared" si="59"/>
        <v>N</v>
      </c>
      <c r="X158" s="193">
        <f t="shared" si="73"/>
        <v>1</v>
      </c>
      <c r="Y158" s="193">
        <f t="shared" si="60"/>
        <v>4.4200000000000003E-2</v>
      </c>
      <c r="Z158" s="62">
        <f t="shared" si="61"/>
        <v>23.341200000000001</v>
      </c>
      <c r="AA158" s="62">
        <f t="shared" si="62"/>
        <v>23.297000000000001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0241-21</v>
      </c>
      <c r="AE158" s="85" t="str">
        <f t="shared" si="64"/>
        <v>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 &amp; 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</v>
      </c>
      <c r="AF158" s="82" t="str">
        <f t="shared" si="65"/>
        <v>"C:\Program Files (x86)\AstroGrep\AstroGrep.exe" /e /r /s /spath="%USERPROFILE%\AppData\Local\Temp\OnboardLogs" /stypes="app*4004*20170422*" /stext=" 06:.+((SYSTEM_STATE.+slice.+state.+changed )|(ment ac)|(multiple cpu faults)|(system.+state.+changed )|(\[timeout)|(PRM\|1\|D)|(kpr)|(kdp)|(\|lc)|(penalty))"</v>
      </c>
      <c r="AG158" s="1" t="str">
        <f t="shared" si="66"/>
        <v>EC</v>
      </c>
      <c r="AH158" s="86" t="str">
        <f t="shared" si="67"/>
        <v>"%USERPROFILE%\Documents\GitHub\eaglep3\Utilities\RefineRTDCRunTimes.py" --tripid 241-21 --locoid 4004 --swversion DE.1.0.9.0 --startMP 204:442 --initTime 2017-04-21T23:39:11 --startdatetime 2017-04-22T00:00:26 --delay 1 --endMP 204:233412 --enddatetime 2017-04-22T00:36:03 --enforcementcount 1 &gt;&gt;C:\Users\stu\Documents\GitHub\eaglep3-reporting\EC\2017-04-21-refined-times.txt</v>
      </c>
      <c r="AI158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{"issue":{"subject":"","project_id":79,"tracker_id":40,"status_id":1,"priority_id":2,"assigned_to_id":23,"start_date":"2017-04-22","description":"","custom_fields":[{"id":1,"name":"Subdivision","value":"EC"},{"id":4,"name":"Milepost","value":"23.3412"},{"id":17,"name":"Train ID","value":"241-21"},{"id":16,"name":"Locomotive ID","value":"4004"},{"id":130,"name":"Impact","value":""},{"id":150,"name":"Time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47" t="str">
        <f t="shared" si="69"/>
        <v>start /low /b %USERPROFILE%\Documents\GitHub\eaglep3\Utilities\DownloadLogsFromS3.py --loco 4004 --day 2017-04-22</v>
      </c>
      <c r="AN158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831</v>
      </c>
      <c r="B159" s="7">
        <v>4003</v>
      </c>
      <c r="C159" s="21" t="s">
        <v>212</v>
      </c>
      <c r="D159" s="21" t="s">
        <v>923</v>
      </c>
      <c r="E159" s="13">
        <v>42847.035300925927</v>
      </c>
      <c r="F159" s="13">
        <v>42847.039340277777</v>
      </c>
      <c r="G159" s="7">
        <v>3</v>
      </c>
      <c r="H159" s="21" t="s">
        <v>425</v>
      </c>
      <c r="I159" s="13">
        <v>42847.065752314818</v>
      </c>
      <c r="J159" s="7">
        <v>1</v>
      </c>
      <c r="K159" s="97" t="str">
        <f t="shared" si="55"/>
        <v>4003/4004</v>
      </c>
      <c r="L159" s="21" t="str">
        <f>VLOOKUP(A159,'Trips&amp;Operators'!$C$1:$G$99999,5,FALSE)</f>
        <v>STAMBAUGH JAMES</v>
      </c>
      <c r="M159" s="6">
        <f t="shared" si="56"/>
        <v>2.641203704115469E-2</v>
      </c>
      <c r="N159" s="7">
        <f t="shared" si="71"/>
        <v>38.033333339262754</v>
      </c>
      <c r="O159" s="7"/>
      <c r="P159" s="7"/>
      <c r="Q159" s="22"/>
      <c r="R159" s="22"/>
      <c r="S159" s="31">
        <f t="shared" si="72"/>
        <v>1</v>
      </c>
      <c r="T159" s="46" t="str">
        <f t="shared" si="57"/>
        <v>Southbound</v>
      </c>
      <c r="U159" s="19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2" t="str">
        <f t="shared" si="58"/>
        <v>https://d0f6bd738d7f1b3e5a7ca70fe4ff75f0.us-east-1.aws.found.io/app/kibana#/discover/Steve-Slow-Train-Analysis-(2080s-and-2083s)?_g=(refreshInterval:(display:Off,pause:!f,section:0,value:0),time:(from:'2017-04-21T23:50:50-0600',mode:absolute,to:'2017-04-22T02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93" t="str">
        <f t="shared" si="59"/>
        <v>N</v>
      </c>
      <c r="X159" s="193">
        <f t="shared" si="73"/>
        <v>1</v>
      </c>
      <c r="Y159" s="193">
        <f t="shared" si="60"/>
        <v>23.310400000000001</v>
      </c>
      <c r="Z159" s="62">
        <f t="shared" si="61"/>
        <v>1.3899999999999999E-2</v>
      </c>
      <c r="AA159" s="62">
        <f t="shared" si="62"/>
        <v>23.296500000000002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0242-21</v>
      </c>
      <c r="AE159" s="85" t="str">
        <f t="shared" si="64"/>
        <v>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 &amp; 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</v>
      </c>
      <c r="AF159" s="82" t="str">
        <f t="shared" si="65"/>
        <v>"C:\Program Files (x86)\AstroGrep\AstroGrep.exe" /e /r /s /spath="%USERPROFILE%\AppData\Local\Temp\OnboardLogs" /stypes="app*4003*20170422*" /stext=" 07:.+((SYSTEM_STATE.+slice.+state.+changed )|(ment ac)|(multiple cpu faults)|(system.+state.+changed )|(\[timeout)|(PRM\|1\|D)|(kpr)|(kdp)|(\|lc)|(penalty))"</v>
      </c>
      <c r="AG159" s="1" t="str">
        <f t="shared" si="66"/>
        <v>EC</v>
      </c>
      <c r="AH159" s="86" t="str">
        <f t="shared" si="67"/>
        <v>"%USERPROFILE%\Documents\GitHub\eaglep3\Utilities\RefineRTDCRunTimes.py" --tripid 242-21 --locoid 4003 --swversion DE.1.0.9.0 --startMP 204:233104 --initTime 2017-04-22T00:50:50 --startdatetime 2017-04-22T00:56:39 --delay 3 --endMP 204:139 --enddatetime 2017-04-22T01:34:41 --enforcementcount 1 &gt;&gt;C:\Users\stu\Documents\GitHub\eaglep3-reporting\EC\2017-04-21-refined-times.txt</v>
      </c>
      <c r="AI159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{"issue":{"subject":"","project_id":79,"tracker_id":40,"status_id":1,"priority_id":2,"assigned_to_id":23,"start_date":"2017-04-22","description":"","custom_fields":[{"id":1,"name":"Subdivision","value":"EC"},{"id":4,"name":"Milepost","value":"0.0139"},{"id":17,"name":"Train ID","value":"242-21"},{"id":16,"name":"Locomotive ID","value":"4003"},{"id":130,"name":"Impact","value":""},{"id":150,"name":"Time of Event (Mountain Time)","value":"01:34:41"},{"id":151,"name":"Denver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47" t="str">
        <f t="shared" si="69"/>
        <v>start /low /b %USERPROFILE%\Documents\GitHub\eaglep3\Utilities\DownloadLogsFromS3.py --loco 4003 --day 2017-04-22</v>
      </c>
      <c r="AN159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07:34:41"},{"id":29,"name":"Sharepoint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829</v>
      </c>
      <c r="B160" s="7">
        <v>4002</v>
      </c>
      <c r="C160" s="21" t="s">
        <v>212</v>
      </c>
      <c r="D160" s="21" t="s">
        <v>416</v>
      </c>
      <c r="E160" s="13">
        <v>42847.015856481485</v>
      </c>
      <c r="F160" s="13">
        <v>42847.02103009259</v>
      </c>
      <c r="G160" s="7">
        <v>1</v>
      </c>
      <c r="H160" s="21" t="s">
        <v>566</v>
      </c>
      <c r="I160" s="13">
        <v>42847.047071759262</v>
      </c>
      <c r="J160" s="7">
        <v>1</v>
      </c>
      <c r="K160" s="97" t="str">
        <f t="shared" si="55"/>
        <v>4001/4002</v>
      </c>
      <c r="L160" s="21" t="str">
        <f>VLOOKUP(A160,'Trips&amp;Operators'!$C$1:$G$99999,5,FALSE)</f>
        <v>MAGEE KENYA</v>
      </c>
      <c r="M160" s="6">
        <f t="shared" si="56"/>
        <v>2.6041666671517305E-2</v>
      </c>
      <c r="N160" s="7">
        <f t="shared" si="71"/>
        <v>37.500000006984919</v>
      </c>
      <c r="O160" s="7"/>
      <c r="P160" s="7"/>
      <c r="Q160" s="22"/>
      <c r="R160" s="22"/>
      <c r="S160" s="31">
        <f t="shared" si="72"/>
        <v>1</v>
      </c>
      <c r="T160" s="46" t="str">
        <f t="shared" si="57"/>
        <v>NorthBound</v>
      </c>
      <c r="U160" s="19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2" t="str">
        <f t="shared" si="58"/>
        <v>https://d0f6bd738d7f1b3e5a7ca70fe4ff75f0.us-east-1.aws.found.io/app/kibana#/discover/Steve-Slow-Train-Analysis-(2080s-and-2083s)?_g=(refreshInterval:(display:Off,pause:!f,section:0,value:0),time:(from:'2017-04-21T23:22:50-0600',mode:absolute,to:'2017-04-22T02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193" t="str">
        <f t="shared" si="59"/>
        <v>N</v>
      </c>
      <c r="X160" s="193">
        <f t="shared" si="73"/>
        <v>1</v>
      </c>
      <c r="Y160" s="193">
        <f t="shared" si="60"/>
        <v>4.7300000000000002E-2</v>
      </c>
      <c r="Z160" s="62">
        <f t="shared" si="61"/>
        <v>23.327999999999999</v>
      </c>
      <c r="AA160" s="62">
        <f t="shared" si="62"/>
        <v>23.2807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0243-21</v>
      </c>
      <c r="AE160" s="85" t="str">
        <f t="shared" si="64"/>
        <v>aws s3 cp s3://rtdc.mdm.uploadarchive.raw/RTDC4002/ "%USERPROFILE%\AppData\Local\Temp\OnboardLogs"\RTDC4002\2017-04-22 --exclude "*" --recursive --include "*20170422*" &amp; "%USERPROFILE%\Documents\GitHub\mrs-test-scripts\Headless Mode &amp; Sideloading\WalkAndUnGZ.bat" "%USERPROFILE%\AppData\Local\Temp\OnboardLogs"\RTDC4002\2017-04-22 &amp; 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</v>
      </c>
      <c r="AF160" s="82" t="str">
        <f t="shared" si="65"/>
        <v>"C:\Program Files (x86)\AstroGrep\AstroGrep.exe" /e /r /s /spath="%USERPROFILE%\AppData\Local\Temp\OnboardLogs" /stypes="app*4002*20170422*" /stext=" 07:.+((SYSTEM_STATE.+slice.+state.+changed )|(ment ac)|(multiple cpu faults)|(system.+state.+changed )|(\[timeout)|(PRM\|1\|D)|(kpr)|(kdp)|(\|lc)|(penalty))"</v>
      </c>
      <c r="AG160" s="1" t="str">
        <f t="shared" si="66"/>
        <v>EC</v>
      </c>
      <c r="AH160" s="86" t="str">
        <f t="shared" si="67"/>
        <v>"%USERPROFILE%\Documents\GitHub\eaglep3\Utilities\RefineRTDCRunTimes.py" --tripid 243-21 --locoid 4002 --swversion DE.1.0.9.0 --startMP 204:473 --initTime 2017-04-22T00:22:50 --startdatetime 2017-04-22T00:30:17 --delay 1 --endMP 204:233280 --enddatetime 2017-04-22T01:07:47 --enforcementcount 1 &gt;&gt;C:\Users\stu\Documents\GitHub\eaglep3-reporting\EC\2017-04-21-refined-times.txt</v>
      </c>
      <c r="AI160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{"issue":{"subject":"","project_id":79,"tracker_id":40,"status_id":1,"priority_id":2,"assigned_to_id":23,"start_date":"2017-04-22","description":"","custom_fields":[{"id":1,"name":"Subdivision","value":"EC"},{"id":4,"name":"Milepost","value":"23.328"},{"id":17,"name":"Train ID","value":"243-21"},{"id":16,"name":"Locomotive ID","value":"4002"},{"id":130,"name":"Impact","value":""},{"id":150,"name":"Time of Event (Mountain Time)","value":"01:07:47"},{"id":151,"name":"Denver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47" t="str">
        <f t="shared" si="69"/>
        <v>start /low /b %USERPROFILE%\Documents\GitHub\eaglep3\Utilities\DownloadLogsFromS3.py --loco 4002 --day 2017-04-22</v>
      </c>
      <c r="AN160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07:07:47"},{"id":29,"name":"Sharepoint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833</v>
      </c>
      <c r="B161" s="7">
        <v>4001</v>
      </c>
      <c r="C161" s="21" t="s">
        <v>212</v>
      </c>
      <c r="D161" s="21" t="s">
        <v>924</v>
      </c>
      <c r="E161" s="13">
        <v>42847.050497685188</v>
      </c>
      <c r="F161" s="13">
        <v>42847.059976851851</v>
      </c>
      <c r="G161" s="7">
        <v>9</v>
      </c>
      <c r="H161" s="21" t="s">
        <v>209</v>
      </c>
      <c r="I161" s="13">
        <v>42847.088182870371</v>
      </c>
      <c r="J161" s="7">
        <v>1</v>
      </c>
      <c r="K161" s="97" t="str">
        <f t="shared" si="55"/>
        <v>4001/4002</v>
      </c>
      <c r="L161" s="21" t="str">
        <f>VLOOKUP(A161,'Trips&amp;Operators'!$C$1:$G$99999,5,FALSE)</f>
        <v>MAGEE KENYA</v>
      </c>
      <c r="M161" s="6">
        <f t="shared" si="56"/>
        <v>2.8206018519995268E-2</v>
      </c>
      <c r="N161" s="7">
        <f t="shared" si="71"/>
        <v>40.616666668793187</v>
      </c>
      <c r="O161" s="7"/>
      <c r="P161" s="7"/>
      <c r="Q161" s="22"/>
      <c r="R161" s="22"/>
      <c r="S161" s="31">
        <f t="shared" si="72"/>
        <v>1</v>
      </c>
      <c r="T161" s="46" t="str">
        <f t="shared" si="57"/>
        <v>Southbound</v>
      </c>
      <c r="U161" s="19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2" t="str">
        <f t="shared" si="58"/>
        <v>https://d0f6bd738d7f1b3e5a7ca70fe4ff75f0.us-east-1.aws.found.io/app/kibana#/discover/Steve-Slow-Train-Analysis-(2080s-and-2083s)?_g=(refreshInterval:(display:Off,pause:!f,section:0,value:0),time:(from:'2017-04-22T00:12:43-0600',mode:absolute,to:'2017-04-22T03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193" t="str">
        <f t="shared" si="59"/>
        <v>N</v>
      </c>
      <c r="X161" s="193">
        <f t="shared" si="73"/>
        <v>1</v>
      </c>
      <c r="Y161" s="193">
        <f t="shared" si="60"/>
        <v>23.295999999999999</v>
      </c>
      <c r="Z161" s="62">
        <f t="shared" si="61"/>
        <v>1.47E-2</v>
      </c>
      <c r="AA161" s="62">
        <f t="shared" si="62"/>
        <v>23.281299999999998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0244-21</v>
      </c>
      <c r="AE161" s="85" t="str">
        <f t="shared" si="64"/>
        <v>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 &amp; 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</v>
      </c>
      <c r="AF161" s="82" t="str">
        <f t="shared" si="65"/>
        <v>"C:\Program Files (x86)\AstroGrep\AstroGrep.exe" /e /r /s /spath="%USERPROFILE%\AppData\Local\Temp\OnboardLogs" /stypes="app*4001*20170422*" /stext=" 08:.+((SYSTEM_STATE.+slice.+state.+changed )|(ment ac)|(multiple cpu faults)|(system.+state.+changed )|(\[timeout)|(PRM\|1\|D)|(kpr)|(kdp)|(\|lc)|(penalty))"</v>
      </c>
      <c r="AG161" s="1" t="str">
        <f t="shared" si="66"/>
        <v>EC</v>
      </c>
      <c r="AH161" s="86" t="str">
        <f t="shared" si="67"/>
        <v>"%USERPROFILE%\Documents\GitHub\eaglep3\Utilities\RefineRTDCRunTimes.py" --tripid 244-21 --locoid 4001 --swversion DE.1.0.9.0 --startMP 204:232960 --initTime 2017-04-22T01:12:43 --startdatetime 2017-04-22T01:26:22 --delay 9 --endMP 204:147 --enddatetime 2017-04-22T02:06:59 --enforcementcount 1 &gt;&gt;C:\Users\stu\Documents\GitHub\eaglep3-reporting\EC\2017-04-21-refined-times.txt</v>
      </c>
      <c r="AI161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{"issue":{"subject":"","project_id":79,"tracker_id":40,"status_id":1,"priority_id":2,"assigned_to_id":23,"start_date":"2017-04-22","description":"","custom_fields":[{"id":1,"name":"Subdivision","value":"EC"},{"id":4,"name":"Milepost","value":"0.0147"},{"id":17,"name":"Train ID","value":"244-21"},{"id":16,"name":"Locomotive ID","value":"4001"},{"id":130,"name":"Impact","value":""},{"id":150,"name":"Time of Event (Mountain Time)","value":"02:06:59"},{"id":151,"name":"Denver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47" t="str">
        <f t="shared" si="69"/>
        <v>start /low /b %USERPROFILE%\Documents\GitHub\eaglep3\Utilities\DownloadLogsFromS3.py --loco 4001 --day 2017-04-22</v>
      </c>
      <c r="AN161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08:06:59"},{"id":29,"name":"Sharepoint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830</v>
      </c>
      <c r="B162" s="7">
        <v>4024</v>
      </c>
      <c r="C162" s="21" t="s">
        <v>212</v>
      </c>
      <c r="D162" s="21" t="s">
        <v>203</v>
      </c>
      <c r="E162" s="13">
        <v>42847.035914351851</v>
      </c>
      <c r="F162" s="13">
        <v>42847.041898148149</v>
      </c>
      <c r="G162" s="7">
        <v>1</v>
      </c>
      <c r="H162" s="21" t="s">
        <v>560</v>
      </c>
      <c r="I162" s="13">
        <v>42847.067476851851</v>
      </c>
      <c r="J162" s="7">
        <v>1</v>
      </c>
      <c r="K162" s="97" t="str">
        <f t="shared" si="55"/>
        <v>4023/4024</v>
      </c>
      <c r="L162" s="21" t="str">
        <f>VLOOKUP(A162,'Trips&amp;Operators'!$C$1:$G$99999,5,FALSE)</f>
        <v>BROWN JACOB</v>
      </c>
      <c r="M162" s="6">
        <f t="shared" si="56"/>
        <v>2.5578703702194616E-2</v>
      </c>
      <c r="N162" s="7">
        <f t="shared" si="71"/>
        <v>36.833333331160247</v>
      </c>
      <c r="O162" s="7"/>
      <c r="P162" s="7"/>
      <c r="Q162" s="22"/>
      <c r="R162" s="22"/>
      <c r="S162" s="31">
        <f t="shared" si="72"/>
        <v>1</v>
      </c>
      <c r="T162" s="46" t="str">
        <f t="shared" si="57"/>
        <v>NorthBound</v>
      </c>
      <c r="U162" s="19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2" t="str">
        <f t="shared" si="58"/>
        <v>https://d0f6bd738d7f1b3e5a7ca70fe4ff75f0.us-east-1.aws.found.io/app/kibana#/discover/Steve-Slow-Train-Analysis-(2080s-and-2083s)?_g=(refreshInterval:(display:Off,pause:!f,section:0,value:0),time:(from:'2017-04-21T23:51:43-0600',mode:absolute,to:'2017-04-22T02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2" s="193" t="str">
        <f t="shared" si="59"/>
        <v>N</v>
      </c>
      <c r="X162" s="193">
        <f t="shared" si="73"/>
        <v>1</v>
      </c>
      <c r="Y162" s="193">
        <f t="shared" si="60"/>
        <v>4.5699999999999998E-2</v>
      </c>
      <c r="Z162" s="62">
        <f t="shared" si="61"/>
        <v>23.330200000000001</v>
      </c>
      <c r="AA162" s="62">
        <f t="shared" si="62"/>
        <v>23.284500000000001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0245-21</v>
      </c>
      <c r="AE162" s="85" t="str">
        <f t="shared" si="64"/>
        <v>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 &amp; aws s3 cp s3://rtdc.mdm.uploadarchive.raw/RTDC4024/ "%USERPROFILE%\AppData\Local\Temp\OnboardLogs"\RTDC4024\2017-04-23 --exclude "*" --recursive --include "*20170423*" &amp; "%USERPROFILE%\Documents\GitHub\mrs-test-scripts\Headless Mode &amp; Sideloading\WalkAndUnGZ.bat" "%USERPROFILE%\AppData\Local\Temp\OnboardLogs"\RTDC4024\2017-04-23</v>
      </c>
      <c r="AF162" s="82" t="str">
        <f t="shared" si="65"/>
        <v>"C:\Program Files (x86)\AstroGrep\AstroGrep.exe" /e /r /s /spath="%USERPROFILE%\AppData\Local\Temp\OnboardLogs" /stypes="app*4024*20170422*" /stext=" 07:.+((SYSTEM_STATE.+slice.+state.+changed )|(ment ac)|(multiple cpu faults)|(system.+state.+changed )|(\[timeout)|(PRM\|1\|D)|(kpr)|(kdp)|(\|lc)|(penalty))"</v>
      </c>
      <c r="AG162" s="1" t="str">
        <f t="shared" si="66"/>
        <v>EC</v>
      </c>
      <c r="AH162" s="86" t="str">
        <f t="shared" si="67"/>
        <v>"%USERPROFILE%\Documents\GitHub\eaglep3\Utilities\RefineRTDCRunTimes.py" --tripid 245-21 --locoid 4024 --swversion DE.1.0.9.0 --startMP 204:457 --initTime 2017-04-22T00:51:43 --startdatetime 2017-04-22T01:00:20 --delay 1 --endMP 204:233302 --enddatetime 2017-04-22T01:37:10 --enforcementcount 1 &gt;&gt;C:\Users\stu\Documents\GitHub\eaglep3-reporting\EC\2017-04-21-refined-times.txt</v>
      </c>
      <c r="AI162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{"issue":{"subject":"","project_id":79,"tracker_id":40,"status_id":1,"priority_id":2,"assigned_to_id":23,"start_date":"2017-04-22","description":"","custom_fields":[{"id":1,"name":"Subdivision","value":"EC"},{"id":4,"name":"Milepost","value":"23.3302"},{"id":17,"name":"Train ID","value":"245-21"},{"id":16,"name":"Locomotive ID","value":"4024"},{"id":130,"name":"Impact","value":""},{"id":150,"name":"Time of Event (Mountain Time)","value":"01:37:10"},{"id":151,"name":"Denver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47" t="str">
        <f t="shared" si="69"/>
        <v>start /low /b %USERPROFILE%\Documents\GitHub\eaglep3\Utilities\DownloadLogsFromS3.py --loco 4024 --day 2017-04-22</v>
      </c>
      <c r="AN162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07:37:10"},{"id":29,"name":"Sharepoint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835</v>
      </c>
      <c r="B163" s="7">
        <v>4023</v>
      </c>
      <c r="C163" s="21" t="s">
        <v>212</v>
      </c>
      <c r="D163" s="21" t="s">
        <v>921</v>
      </c>
      <c r="E163" s="13">
        <v>42847.074108796296</v>
      </c>
      <c r="F163" s="13">
        <v>42847.080833333333</v>
      </c>
      <c r="G163" s="7">
        <v>1</v>
      </c>
      <c r="H163" s="21" t="s">
        <v>197</v>
      </c>
      <c r="I163" s="13">
        <v>42847.108483796299</v>
      </c>
      <c r="J163" s="7">
        <v>1</v>
      </c>
      <c r="K163" s="97" t="str">
        <f t="shared" si="55"/>
        <v>4023/4024</v>
      </c>
      <c r="L163" s="21" t="str">
        <f>VLOOKUP(A163,'Trips&amp;Operators'!$C$1:$G$99999,5,FALSE)</f>
        <v>BROWN JACOB</v>
      </c>
      <c r="M163" s="6">
        <f t="shared" si="56"/>
        <v>2.7650462965539191E-2</v>
      </c>
      <c r="N163" s="7">
        <f t="shared" si="71"/>
        <v>39.816666670376435</v>
      </c>
      <c r="O163" s="7"/>
      <c r="P163" s="7"/>
      <c r="Q163" s="22"/>
      <c r="R163" s="22"/>
      <c r="S163" s="31">
        <f t="shared" si="72"/>
        <v>1</v>
      </c>
      <c r="T163" s="46" t="str">
        <f t="shared" si="57"/>
        <v>Southbound</v>
      </c>
      <c r="U163" s="19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2" t="str">
        <f t="shared" si="58"/>
        <v>https://d0f6bd738d7f1b3e5a7ca70fe4ff75f0.us-east-1.aws.found.io/app/kibana#/discover/Steve-Slow-Train-Analysis-(2080s-and-2083s)?_g=(refreshInterval:(display:Off,pause:!f,section:0,value:0),time:(from:'2017-04-22T00:46:43-0600',mode:absolute,to:'2017-04-22T03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3" s="193" t="str">
        <f t="shared" si="59"/>
        <v>N</v>
      </c>
      <c r="X163" s="193">
        <f t="shared" si="73"/>
        <v>1</v>
      </c>
      <c r="Y163" s="193">
        <f t="shared" si="60"/>
        <v>23.301300000000001</v>
      </c>
      <c r="Z163" s="62">
        <f t="shared" si="61"/>
        <v>1.52E-2</v>
      </c>
      <c r="AA163" s="62">
        <f t="shared" si="62"/>
        <v>23.286100000000001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0246-21</v>
      </c>
      <c r="AE163" s="85" t="str">
        <f t="shared" si="64"/>
        <v>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 &amp; aws s3 cp s3://rtdc.mdm.uploadarchive.raw/RTDC4023/ "%USERPROFILE%\AppData\Local\Temp\OnboardLogs"\RTDC4023\2017-04-23 --exclude "*" --recursive --include "*20170423*" &amp; "%USERPROFILE%\Documents\GitHub\mrs-test-scripts\Headless Mode &amp; Sideloading\WalkAndUnGZ.bat" "%USERPROFILE%\AppData\Local\Temp\OnboardLogs"\RTDC4023\2017-04-23</v>
      </c>
      <c r="AF163" s="82" t="str">
        <f t="shared" si="65"/>
        <v>"C:\Program Files (x86)\AstroGrep\AstroGrep.exe" /e /r /s /spath="%USERPROFILE%\AppData\Local\Temp\OnboardLogs" /stypes="app*4023*20170422*" /stext=" 08:.+((SYSTEM_STATE.+slice.+state.+changed )|(ment ac)|(multiple cpu faults)|(system.+state.+changed )|(\[timeout)|(PRM\|1\|D)|(kpr)|(kdp)|(\|lc)|(penalty))"</v>
      </c>
      <c r="AG163" s="1" t="str">
        <f t="shared" si="66"/>
        <v>EC</v>
      </c>
      <c r="AH163" s="86" t="str">
        <f t="shared" si="67"/>
        <v>"%USERPROFILE%\Documents\GitHub\eaglep3\Utilities\RefineRTDCRunTimes.py" --tripid 246-21 --locoid 4023 --swversion DE.1.0.9.0 --startMP 204:233013 --initTime 2017-04-22T01:46:43 --startdatetime 2017-04-22T01:56:24 --delay 1 --endMP 204:152 --enddatetime 2017-04-22T02:36:13 --enforcementcount 1 &gt;&gt;C:\Users\stu\Documents\GitHub\eaglep3-reporting\EC\2017-04-21-refined-times.txt</v>
      </c>
      <c r="AI163" s="104" t="str">
        <f t="shared" si="68"/>
        <v>echo {"issue":{"subject":"","project_id":79,"tracker_id":40,"status_id":1,"priority_id":2,"assigned_to_id":23,"start_date":"2017-04-22","description":"","custom_fields":[{"id":1,"name":"Subdivision","value":"EC"},{"id":4,"name":"Milepost","value":"0.0152"},{"id":17,"name":"Train ID","value":"246-21"},{"id":16,"name":"Locomotive ID","value":"4023"},{"id":130,"name":"Impact","value":""},{"id":150,"name":"Time of Event (Mountain Time)","value":"02:36:13"},{"id":151,"name":"Denver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47" t="str">
        <f t="shared" si="69"/>
        <v>start /low /b %USERPROFILE%\Documents\GitHub\eaglep3\Utilities\DownloadLogsFromS3.py --loco 4023 --day 2017-04-22</v>
      </c>
      <c r="AN163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08:36:13"},{"id":29,"name":"Sharepoint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649</v>
      </c>
      <c r="B164" s="7">
        <v>4055</v>
      </c>
      <c r="C164" s="21" t="s">
        <v>212</v>
      </c>
      <c r="D164" s="21" t="s">
        <v>957</v>
      </c>
      <c r="E164" s="13">
        <v>42846.216087962966</v>
      </c>
      <c r="F164" s="13">
        <v>42846.217662037037</v>
      </c>
      <c r="G164" s="7">
        <v>1</v>
      </c>
      <c r="H164" s="21" t="s">
        <v>958</v>
      </c>
      <c r="I164" s="13">
        <v>42846.226701388892</v>
      </c>
      <c r="J164" s="7">
        <v>1</v>
      </c>
      <c r="K164" s="97" t="str">
        <f t="shared" si="55"/>
        <v>4055/4056</v>
      </c>
      <c r="L164" s="21" t="str">
        <f>VLOOKUP(A164,'Trips&amp;Operators'!$C$1:$G$99999,5,FALSE)</f>
        <v>ZEWDU DEREJE</v>
      </c>
      <c r="M164" s="6">
        <f t="shared" si="56"/>
        <v>9.0393518548808061E-3</v>
      </c>
      <c r="N164" s="7">
        <f t="shared" si="71"/>
        <v>13.016666671028361</v>
      </c>
      <c r="O164" s="7"/>
      <c r="P164" s="7"/>
      <c r="Q164" s="22"/>
      <c r="R164" s="22"/>
      <c r="S164" s="31">
        <f t="shared" si="72"/>
        <v>1</v>
      </c>
      <c r="T164" s="46" t="str">
        <f t="shared" si="57"/>
        <v>Southbound</v>
      </c>
      <c r="U164" s="19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2" t="str">
        <f t="shared" si="58"/>
        <v>https://d0f6bd738d7f1b3e5a7ca70fe4ff75f0.us-east-1.aws.found.io/app/kibana#/discover/Steve-Slow-Train-Analysis-(2080s-and-2083s)?_g=(refreshInterval:(display:Off,pause:!f,section:0,value:0),time:(from:'2017-04-21T04:11:10-0600',mode:absolute,to:'2017-04-21T06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193" t="str">
        <f t="shared" si="59"/>
        <v>N</v>
      </c>
      <c r="X164" s="193">
        <f t="shared" si="73"/>
        <v>554</v>
      </c>
      <c r="Y164" s="193">
        <f t="shared" si="60"/>
        <v>5.8672000000000004</v>
      </c>
      <c r="Z164" s="62">
        <f t="shared" si="61"/>
        <v>7.0599999999999996E-2</v>
      </c>
      <c r="AA164" s="62">
        <f t="shared" si="62"/>
        <v>5.7966000000000006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0800-21</v>
      </c>
      <c r="AE164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164" s="82" t="str">
        <f t="shared" si="65"/>
        <v>"C:\Program Files (x86)\AstroGrep\AstroGrep.exe" /e /r /s /spath="%USERPROFILE%\AppData\Local\Temp\OnboardLogs" /stypes="app*4055*20170421*" /stext=" 11:.+((SYSTEM_STATE.+slice.+state.+changed )|(ment ac)|(multiple cpu faults)|(system.+state.+changed )|(\[timeout)|(PRM\|1\|D)|(kpr)|(kdp)|(\|lc)|(penalty))"</v>
      </c>
      <c r="AG164" s="1" t="str">
        <f t="shared" si="66"/>
        <v>NW</v>
      </c>
      <c r="AH164" s="86" t="str">
        <f t="shared" si="67"/>
        <v>"%USERPROFILE%\Documents\GitHub\eaglep3\Utilities\RefineRTDCRunTimes.py" --tripid 800-21 --locoid 4055 --swversion DE.1.0.9.0 --startMP 300:58672 --initTime 2017-04-21T05:11:10 --startdatetime 2017-04-21T05:13:26 --delay 1 --endMP 204:706 --enddatetime 2017-04-21T05:26:27 --enforcementcount 1 &gt;&gt;C:\Users\stu\Documents\GitHub\eaglep3-reporting\EC\2017-04-21-refined-times.txt</v>
      </c>
      <c r="AI164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{"issue":{"subject":"","project_id":79,"tracker_id":40,"status_id":1,"priority_id":2,"assigned_to_id":23,"start_date":"2017-04-21","description":"","custom_fields":[{"id":1,"name":"Subdivision","value":"NW"},{"id":4,"name":"Milepost","value":"0.0706"},{"id":17,"name":"Train ID","value":"800-21"},{"id":16,"name":"Locomotive ID","value":"4055"},{"id":130,"name":"Impact","value":""},{"id":150,"name":"Time of Event (Mountain Time)","value":"05:26:27"},{"id":151,"name":"Denver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47" t="str">
        <f t="shared" si="69"/>
        <v>start /low /b %USERPROFILE%\Documents\GitHub\eaglep3\Utilities\DownloadLogsFromS3.py --loco 4055 --day 2017-04-21</v>
      </c>
      <c r="AN164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651</v>
      </c>
      <c r="B165" s="7">
        <v>4056</v>
      </c>
      <c r="C165" s="21" t="s">
        <v>212</v>
      </c>
      <c r="D165" s="21" t="s">
        <v>526</v>
      </c>
      <c r="E165" s="13">
        <v>42846.228564814817</v>
      </c>
      <c r="F165" s="13">
        <v>42846.243969907409</v>
      </c>
      <c r="G165" s="7">
        <v>1</v>
      </c>
      <c r="H165" s="21" t="s">
        <v>959</v>
      </c>
      <c r="I165" s="13">
        <v>42846.25372685185</v>
      </c>
      <c r="J165" s="7">
        <v>1</v>
      </c>
      <c r="K165" s="97" t="str">
        <f t="shared" si="55"/>
        <v>4055/4056</v>
      </c>
      <c r="L165" s="21" t="str">
        <f>VLOOKUP(A165,'Trips&amp;Operators'!$C$1:$G$99999,5,FALSE)</f>
        <v>ZEWDU DEREJE</v>
      </c>
      <c r="M165" s="6">
        <f t="shared" si="56"/>
        <v>9.7569444405962713E-3</v>
      </c>
      <c r="N165" s="7">
        <f t="shared" si="71"/>
        <v>14.049999994458631</v>
      </c>
      <c r="O165" s="7"/>
      <c r="P165" s="7"/>
      <c r="Q165" s="22"/>
      <c r="R165" s="22"/>
      <c r="S165" s="31">
        <f t="shared" si="72"/>
        <v>1</v>
      </c>
      <c r="T165" s="46" t="str">
        <f t="shared" si="57"/>
        <v>NorthBound</v>
      </c>
      <c r="U165" s="19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2" t="str">
        <f t="shared" si="58"/>
        <v>https://d0f6bd738d7f1b3e5a7ca70fe4ff75f0.us-east-1.aws.found.io/app/kibana#/discover/Steve-Slow-Train-Analysis-(2080s-and-2083s)?_g=(refreshInterval:(display:Off,pause:!f,section:0,value:0),time:(from:'2017-04-21T04:29:08-0600',mode:absolute,to:'2017-04-21T07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193" t="str">
        <f t="shared" si="59"/>
        <v>N</v>
      </c>
      <c r="X165" s="193">
        <f t="shared" si="73"/>
        <v>1</v>
      </c>
      <c r="Y165" s="193">
        <f t="shared" si="60"/>
        <v>9.8299999999999998E-2</v>
      </c>
      <c r="Z165" s="62">
        <f t="shared" si="61"/>
        <v>5.8987999999999996</v>
      </c>
      <c r="AA165" s="62">
        <f t="shared" si="62"/>
        <v>5.8004999999999995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0801-21</v>
      </c>
      <c r="AE165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165" s="82" t="str">
        <f t="shared" si="65"/>
        <v>"C:\Program Files (x86)\AstroGrep\AstroGrep.exe" /e /r /s /spath="%USERPROFILE%\AppData\Local\Temp\OnboardLogs" /stypes="app*4056*20170421*" /stext=" 12:.+((SYSTEM_STATE.+slice.+state.+changed )|(ment ac)|(multiple cpu faults)|(system.+state.+changed )|(\[timeout)|(PRM\|1\|D)|(kpr)|(kdp)|(\|lc)|(penalty))"</v>
      </c>
      <c r="AG165" s="1" t="str">
        <f t="shared" si="66"/>
        <v>NW</v>
      </c>
      <c r="AH165" s="86" t="str">
        <f t="shared" si="67"/>
        <v>"%USERPROFILE%\Documents\GitHub\eaglep3\Utilities\RefineRTDCRunTimes.py" --tripid 801-21 --locoid 4056 --swversion DE.1.0.9.0 --startMP 204:983 --initTime 2017-04-21T05:29:08 --startdatetime 2017-04-21T05:51:19 --delay 1 --endMP 300:58988 --enddatetime 2017-04-21T06:05:22 --enforcementcount 1 &gt;&gt;C:\Users\stu\Documents\GitHub\eaglep3-reporting\EC\2017-04-21-refined-times.txt</v>
      </c>
      <c r="AI165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{"issue":{"subject":"","project_id":79,"tracker_id":40,"status_id":1,"priority_id":2,"assigned_to_id":23,"start_date":"2017-04-21","description":"","custom_fields":[{"id":1,"name":"Subdivision","value":"NW"},{"id":4,"name":"Milepost","value":"5.8988"},{"id":17,"name":"Train ID","value":"801-21"},{"id":16,"name":"Locomotive ID","value":"4056"},{"id":130,"name":"Impact","value":""},{"id":150,"name":"Time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47" t="str">
        <f t="shared" si="69"/>
        <v>start /low /b %USERPROFILE%\Documents\GitHub\eaglep3\Utilities\DownloadLogsFromS3.py --loco 4056 --day 2017-04-21</v>
      </c>
      <c r="AN165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659</v>
      </c>
      <c r="B166" s="7">
        <v>4055</v>
      </c>
      <c r="C166" s="21" t="s">
        <v>212</v>
      </c>
      <c r="D166" s="21" t="s">
        <v>960</v>
      </c>
      <c r="E166" s="13">
        <v>42846.254884259259</v>
      </c>
      <c r="F166" s="13">
        <v>42846.256458333337</v>
      </c>
      <c r="G166" s="7">
        <v>1</v>
      </c>
      <c r="H166" s="21" t="s">
        <v>527</v>
      </c>
      <c r="I166" s="13">
        <v>42846.267870370371</v>
      </c>
      <c r="J166" s="7">
        <v>1</v>
      </c>
      <c r="K166" s="97" t="str">
        <f t="shared" si="55"/>
        <v>4055/4056</v>
      </c>
      <c r="L166" s="21" t="str">
        <f>VLOOKUP(A166,'Trips&amp;Operators'!$C$1:$G$99999,5,FALSE)</f>
        <v>ZEWDU DEREJE</v>
      </c>
      <c r="M166" s="6">
        <f t="shared" si="56"/>
        <v>1.1412037034460809E-2</v>
      </c>
      <c r="N166" s="7">
        <f t="shared" si="71"/>
        <v>16.433333329623565</v>
      </c>
      <c r="O166" s="7"/>
      <c r="P166" s="7"/>
      <c r="Q166" s="22"/>
      <c r="R166" s="22"/>
      <c r="S166" s="31">
        <f t="shared" si="72"/>
        <v>1</v>
      </c>
      <c r="T166" s="46" t="str">
        <f t="shared" si="57"/>
        <v>Southbound</v>
      </c>
      <c r="U166" s="19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2" t="str">
        <f t="shared" si="58"/>
        <v>https://d0f6bd738d7f1b3e5a7ca70fe4ff75f0.us-east-1.aws.found.io/app/kibana#/discover/Steve-Slow-Train-Analysis-(2080s-and-2083s)?_g=(refreshInterval:(display:Off,pause:!f,section:0,value:0),time:(from:'2017-04-21T05:07:02-0600',mode:absolute,to:'2017-04-21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193" t="str">
        <f t="shared" si="59"/>
        <v>N</v>
      </c>
      <c r="X166" s="193">
        <f t="shared" si="73"/>
        <v>1</v>
      </c>
      <c r="Y166" s="193">
        <f t="shared" si="60"/>
        <v>5.8666</v>
      </c>
      <c r="Z166" s="62">
        <f t="shared" si="61"/>
        <v>6.9900000000000004E-2</v>
      </c>
      <c r="AA166" s="62">
        <f t="shared" si="62"/>
        <v>5.7967000000000004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0802-21</v>
      </c>
      <c r="AE166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166" s="82" t="str">
        <f t="shared" si="65"/>
        <v>"C:\Program Files (x86)\AstroGrep\AstroGrep.exe" /e /r /s /spath="%USERPROFILE%\AppData\Local\Temp\OnboardLogs" /stypes="app*4055*20170421*" /stext=" 12:.+((SYSTEM_STATE.+slice.+state.+changed )|(ment ac)|(multiple cpu faults)|(system.+state.+changed )|(\[timeout)|(PRM\|1\|D)|(kpr)|(kdp)|(\|lc)|(penalty))"</v>
      </c>
      <c r="AG166" s="1" t="str">
        <f t="shared" si="66"/>
        <v>NW</v>
      </c>
      <c r="AH166" s="86" t="str">
        <f t="shared" si="67"/>
        <v>"%USERPROFILE%\Documents\GitHub\eaglep3\Utilities\RefineRTDCRunTimes.py" --tripid 802-21 --locoid 4055 --swversion DE.1.0.9.0 --startMP 300:58666 --initTime 2017-04-21T06:07:02 --startdatetime 2017-04-21T06:09:18 --delay 1 --endMP 204:699 --enddatetime 2017-04-21T06:25:44 --enforcementcount 1 &gt;&gt;C:\Users\stu\Documents\GitHub\eaglep3-reporting\EC\2017-04-21-refined-times.txt</v>
      </c>
      <c r="AI166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{"issue":{"subject":"","project_id":79,"tracker_id":40,"status_id":1,"priority_id":2,"assigned_to_id":23,"start_date":"2017-04-21","description":"","custom_fields":[{"id":1,"name":"Subdivision","value":"NW"},{"id":4,"name":"Milepost","value":"0.0699"},{"id":17,"name":"Train ID","value":"802-21"},{"id":16,"name":"Locomotive ID","value":"4055"},{"id":130,"name":"Impact","value":""},{"id":150,"name":"Time of Event (Mountain Time)","value":"06:25:44"},{"id":151,"name":"Denver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47" t="str">
        <f t="shared" si="69"/>
        <v>start /low /b %USERPROFILE%\Documents\GitHub\eaglep3\Utilities\DownloadLogsFromS3.py --loco 4055 --day 2017-04-21</v>
      </c>
      <c r="AN166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661</v>
      </c>
      <c r="B167" s="7">
        <v>4030</v>
      </c>
      <c r="C167" s="21" t="s">
        <v>212</v>
      </c>
      <c r="D167" s="21" t="s">
        <v>961</v>
      </c>
      <c r="E167" s="13">
        <v>42846.259780092594</v>
      </c>
      <c r="F167" s="13">
        <v>42846.264826388891</v>
      </c>
      <c r="G167" s="7">
        <v>1</v>
      </c>
      <c r="H167" s="21" t="s">
        <v>581</v>
      </c>
      <c r="I167" s="13">
        <v>42846.273819444446</v>
      </c>
      <c r="J167" s="7">
        <v>1</v>
      </c>
      <c r="K167" s="97" t="str">
        <f t="shared" si="55"/>
        <v>4029/4030</v>
      </c>
      <c r="L167" s="21" t="str">
        <f>VLOOKUP(A167,'Trips&amp;Operators'!$C$1:$G$99999,5,FALSE)</f>
        <v>COOLAHAN JOHN</v>
      </c>
      <c r="M167" s="6">
        <f t="shared" si="56"/>
        <v>8.9930555550381541E-3</v>
      </c>
      <c r="N167" s="7">
        <f t="shared" si="71"/>
        <v>12.949999999254942</v>
      </c>
      <c r="O167" s="7"/>
      <c r="P167" s="7"/>
      <c r="Q167" s="22"/>
      <c r="R167" s="22"/>
      <c r="S167" s="31">
        <f t="shared" si="72"/>
        <v>1</v>
      </c>
      <c r="T167" s="46" t="str">
        <f t="shared" si="57"/>
        <v>NorthBound</v>
      </c>
      <c r="U167" s="19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2" t="str">
        <f t="shared" si="58"/>
        <v>https://d0f6bd738d7f1b3e5a7ca70fe4ff75f0.us-east-1.aws.found.io/app/kibana#/discover/Steve-Slow-Train-Analysis-(2080s-and-2083s)?_g=(refreshInterval:(display:Off,pause:!f,section:0,value:0),time:(from:'2017-04-21T05:14:05-0600',mode:absolute,to:'2017-04-21T07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193" t="str">
        <f t="shared" si="59"/>
        <v>N</v>
      </c>
      <c r="X167" s="193">
        <f t="shared" si="73"/>
        <v>1</v>
      </c>
      <c r="Y167" s="193">
        <f t="shared" si="60"/>
        <v>9.3899999999999997E-2</v>
      </c>
      <c r="Z167" s="62">
        <f t="shared" si="61"/>
        <v>5.8967000000000001</v>
      </c>
      <c r="AA167" s="62">
        <f t="shared" si="62"/>
        <v>5.8028000000000004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0803-21</v>
      </c>
      <c r="AE167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67" s="82" t="str">
        <f t="shared" si="65"/>
        <v>"C:\Program Files (x86)\AstroGrep\AstroGrep.exe" /e /r /s /spath="%USERPROFILE%\AppData\Local\Temp\OnboardLogs" /stypes="app*4030*20170421*" /stext=" 12:.+((SYSTEM_STATE.+slice.+state.+changed )|(ment ac)|(multiple cpu faults)|(system.+state.+changed )|(\[timeout)|(PRM\|1\|D)|(kpr)|(kdp)|(\|lc)|(penalty))"</v>
      </c>
      <c r="AG167" s="1" t="str">
        <f t="shared" si="66"/>
        <v>NW</v>
      </c>
      <c r="AH167" s="86" t="str">
        <f t="shared" si="67"/>
        <v>"%USERPROFILE%\Documents\GitHub\eaglep3\Utilities\RefineRTDCRunTimes.py" --tripid 803-21 --locoid 4030 --swversion DE.1.0.9.0 --startMP 204:939 --initTime 2017-04-21T06:14:05 --startdatetime 2017-04-21T06:21:21 --delay 1 --endMP 300:58967 --enddatetime 2017-04-21T06:34:18 --enforcementcount 1 &gt;&gt;C:\Users\stu\Documents\GitHub\eaglep3-reporting\EC\2017-04-21-refined-times.txt</v>
      </c>
      <c r="AI167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{"issue":{"subject":"","project_id":79,"tracker_id":40,"status_id":1,"priority_id":2,"assigned_to_id":23,"start_date":"2017-04-21","description":"","custom_fields":[{"id":1,"name":"Subdivision","value":"NW"},{"id":4,"name":"Milepost","value":"5.8967"},{"id":17,"name":"Train ID","value":"803-21"},{"id":16,"name":"Locomotive ID","value":"4030"},{"id":130,"name":"Impact","value":""},{"id":150,"name":"Time of Event (Mountain Time)","value":"06:34:18"},{"id":151,"name":"Denver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47" t="str">
        <f t="shared" si="69"/>
        <v>start /low /b %USERPROFILE%\Documents\GitHub\eaglep3\Utilities\DownloadLogsFromS3.py --loco 4030 --day 2017-04-21</v>
      </c>
      <c r="AN167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593</v>
      </c>
      <c r="B168" s="7">
        <v>4029</v>
      </c>
      <c r="C168" s="21" t="s">
        <v>212</v>
      </c>
      <c r="D168" s="21" t="s">
        <v>962</v>
      </c>
      <c r="E168" s="13">
        <v>42846.275208333333</v>
      </c>
      <c r="F168" s="13">
        <v>42846.27783564815</v>
      </c>
      <c r="G168" s="7">
        <v>1</v>
      </c>
      <c r="H168" s="21" t="s">
        <v>963</v>
      </c>
      <c r="I168" s="13">
        <v>42846.28833333333</v>
      </c>
      <c r="J168" s="7">
        <v>1</v>
      </c>
      <c r="K168" s="97" t="str">
        <f t="shared" si="55"/>
        <v>4029/4030</v>
      </c>
      <c r="L168" s="21" t="str">
        <f>VLOOKUP(A168,'Trips&amp;Operators'!$C$1:$G$99999,5,FALSE)</f>
        <v>COOLAHAN JOHN</v>
      </c>
      <c r="M168" s="6">
        <f t="shared" si="56"/>
        <v>1.0497685179871041E-2</v>
      </c>
      <c r="N168" s="7">
        <f t="shared" si="71"/>
        <v>15.1166666590143</v>
      </c>
      <c r="O168" s="7"/>
      <c r="P168" s="7"/>
      <c r="Q168" s="22"/>
      <c r="R168" s="22"/>
      <c r="S168" s="31">
        <f t="shared" si="72"/>
        <v>1</v>
      </c>
      <c r="T168" s="46" t="str">
        <f t="shared" si="57"/>
        <v>Southbound</v>
      </c>
      <c r="U168" s="19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2" t="str">
        <f t="shared" si="58"/>
        <v>https://d0f6bd738d7f1b3e5a7ca70fe4ff75f0.us-east-1.aws.found.io/app/kibana#/discover/Steve-Slow-Train-Analysis-(2080s-and-2083s)?_g=(refreshInterval:(display:Off,pause:!f,section:0,value:0),time:(from:'2017-04-21T05:36:18-0600',mode:absolute,to:'2017-04-21T07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193" t="str">
        <f t="shared" si="59"/>
        <v>N</v>
      </c>
      <c r="X168" s="193">
        <f t="shared" si="73"/>
        <v>1</v>
      </c>
      <c r="Y168" s="193">
        <f t="shared" si="60"/>
        <v>5.8655999999999997</v>
      </c>
      <c r="Z168" s="62">
        <f t="shared" si="61"/>
        <v>6.7299999999999999E-2</v>
      </c>
      <c r="AA168" s="62">
        <f t="shared" si="62"/>
        <v>5.7982999999999993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0804-21</v>
      </c>
      <c r="AE168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68" s="82" t="str">
        <f t="shared" si="65"/>
        <v>"C:\Program Files (x86)\AstroGrep\AstroGrep.exe" /e /r /s /spath="%USERPROFILE%\AppData\Local\Temp\OnboardLogs" /stypes="app*4029*20170421*" /stext=" 12:.+((SYSTEM_STATE.+slice.+state.+changed )|(ment ac)|(multiple cpu faults)|(system.+state.+changed )|(\[timeout)|(PRM\|1\|D)|(kpr)|(kdp)|(\|lc)|(penalty))"</v>
      </c>
      <c r="AG168" s="1" t="str">
        <f t="shared" si="66"/>
        <v>NW</v>
      </c>
      <c r="AH168" s="86" t="str">
        <f t="shared" si="67"/>
        <v>"%USERPROFILE%\Documents\GitHub\eaglep3\Utilities\RefineRTDCRunTimes.py" --tripid 804-21 --locoid 4029 --swversion DE.1.0.9.0 --startMP 300:58656 --initTime 2017-04-21T06:36:18 --startdatetime 2017-04-21T06:40:05 --delay 1 --endMP 204:673 --enddatetime 2017-04-21T06:55:12 --enforcementcount 1 &gt;&gt;C:\Users\stu\Documents\GitHub\eaglep3-reporting\EC\2017-04-21-refined-times.txt</v>
      </c>
      <c r="AI168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{"issue":{"subject":"","project_id":79,"tracker_id":40,"status_id":1,"priority_id":2,"assigned_to_id":23,"start_date":"2017-04-21","description":"","custom_fields":[{"id":1,"name":"Subdivision","value":"NW"},{"id":4,"name":"Milepost","value":"0.0673"},{"id":17,"name":"Train ID","value":"804-21"},{"id":16,"name":"Locomotive ID","value":"4029"},{"id":130,"name":"Impact","value":""},{"id":150,"name":"Time of Event (Mountain Time)","value":"06:55:12"},{"id":151,"name":"Denver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47" t="str">
        <f t="shared" si="69"/>
        <v>start /low /b %USERPROFILE%\Documents\GitHub\eaglep3\Utilities\DownloadLogsFromS3.py --loco 4029 --day 2017-04-21</v>
      </c>
      <c r="AN168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663</v>
      </c>
      <c r="B169" s="7">
        <v>4056</v>
      </c>
      <c r="C169" s="21" t="s">
        <v>212</v>
      </c>
      <c r="D169" s="21" t="s">
        <v>526</v>
      </c>
      <c r="E169" s="13">
        <v>42846.270335648151</v>
      </c>
      <c r="F169" s="13">
        <v>42846.285636574074</v>
      </c>
      <c r="G169" s="7">
        <v>1</v>
      </c>
      <c r="H169" s="21" t="s">
        <v>578</v>
      </c>
      <c r="I169" s="13">
        <v>42846.295138888891</v>
      </c>
      <c r="J169" s="7">
        <v>1</v>
      </c>
      <c r="K169" s="97" t="str">
        <f t="shared" si="55"/>
        <v>4055/4056</v>
      </c>
      <c r="L169" s="21" t="str">
        <f>VLOOKUP(A169,'Trips&amp;Operators'!$C$1:$G$99999,5,FALSE)</f>
        <v>ZEWDU DEREJE</v>
      </c>
      <c r="M169" s="6">
        <f t="shared" si="56"/>
        <v>9.5023148169275373E-3</v>
      </c>
      <c r="N169" s="7">
        <f t="shared" si="71"/>
        <v>13.683333336375654</v>
      </c>
      <c r="O169" s="7"/>
      <c r="P169" s="7"/>
      <c r="Q169" s="22"/>
      <c r="R169" s="22"/>
      <c r="S169" s="31">
        <f t="shared" si="72"/>
        <v>1</v>
      </c>
      <c r="T169" s="46" t="str">
        <f t="shared" si="57"/>
        <v>NorthBound</v>
      </c>
      <c r="U169" s="19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2" t="str">
        <f t="shared" si="58"/>
        <v>https://d0f6bd738d7f1b3e5a7ca70fe4ff75f0.us-east-1.aws.found.io/app/kibana#/discover/Steve-Slow-Train-Analysis-(2080s-and-2083s)?_g=(refreshInterval:(display:Off,pause:!f,section:0,value:0),time:(from:'2017-04-21T05:29:17-0600',mode:absolute,to:'2017-04-21T08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193" t="str">
        <f t="shared" si="59"/>
        <v>N</v>
      </c>
      <c r="X169" s="193">
        <f t="shared" si="73"/>
        <v>1</v>
      </c>
      <c r="Y169" s="193">
        <f t="shared" si="60"/>
        <v>9.8299999999999998E-2</v>
      </c>
      <c r="Z169" s="62">
        <f t="shared" si="61"/>
        <v>5.8983999999999996</v>
      </c>
      <c r="AA169" s="62">
        <f t="shared" si="62"/>
        <v>5.8000999999999996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0805-21</v>
      </c>
      <c r="AE169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169" s="82" t="str">
        <f t="shared" si="65"/>
        <v>"C:\Program Files (x86)\AstroGrep\AstroGrep.exe" /e /r /s /spath="%USERPROFILE%\AppData\Local\Temp\OnboardLogs" /stypes="app*4056*20170421*" /stext=" 13:.+((SYSTEM_STATE.+slice.+state.+changed )|(ment ac)|(multiple cpu faults)|(system.+state.+changed )|(\[timeout)|(PRM\|1\|D)|(kpr)|(kdp)|(\|lc)|(penalty))"</v>
      </c>
      <c r="AG169" s="1" t="str">
        <f t="shared" si="66"/>
        <v>NW</v>
      </c>
      <c r="AH169" s="86" t="str">
        <f t="shared" si="67"/>
        <v>"%USERPROFILE%\Documents\GitHub\eaglep3\Utilities\RefineRTDCRunTimes.py" --tripid 805-21 --locoid 4056 --swversion DE.1.0.9.0 --startMP 204:983 --initTime 2017-04-21T06:29:17 --startdatetime 2017-04-21T06:51:19 --delay 1 --endMP 300:58984 --enddatetime 2017-04-21T07:05:00 --enforcementcount 1 &gt;&gt;C:\Users\stu\Documents\GitHub\eaglep3-reporting\EC\2017-04-21-refined-times.txt</v>
      </c>
      <c r="AI169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{"issue":{"subject":"","project_id":79,"tracker_id":40,"status_id":1,"priority_id":2,"assigned_to_id":23,"start_date":"2017-04-21","description":"","custom_fields":[{"id":1,"name":"Subdivision","value":"NW"},{"id":4,"name":"Milepost","value":"5.8984"},{"id":17,"name":"Train ID","value":"805-21"},{"id":16,"name":"Locomotive ID","value":"4056"},{"id":130,"name":"Impact","value":""},{"id":150,"name":"Time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47" t="str">
        <f t="shared" si="69"/>
        <v>start /low /b %USERPROFILE%\Documents\GitHub\eaglep3\Utilities\DownloadLogsFromS3.py --loco 4056 --day 2017-04-21</v>
      </c>
      <c r="AN169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3" t="s">
        <v>668</v>
      </c>
      <c r="B170" s="7">
        <v>4055</v>
      </c>
      <c r="C170" s="21" t="s">
        <v>212</v>
      </c>
      <c r="D170" s="21" t="s">
        <v>957</v>
      </c>
      <c r="E170" s="13">
        <v>42846.296655092592</v>
      </c>
      <c r="F170" s="13">
        <v>42846.299131944441</v>
      </c>
      <c r="G170" s="7">
        <v>1</v>
      </c>
      <c r="H170" s="21" t="s">
        <v>964</v>
      </c>
      <c r="I170" s="13">
        <v>42846.309282407405</v>
      </c>
      <c r="J170" s="7">
        <v>1</v>
      </c>
      <c r="K170" s="97" t="str">
        <f t="shared" si="55"/>
        <v>4055/4056</v>
      </c>
      <c r="L170" s="21" t="str">
        <f>VLOOKUP(A170,'Trips&amp;Operators'!$C$1:$G$99999,5,FALSE)</f>
        <v>ZEWDU DEREJE</v>
      </c>
      <c r="M170" s="6">
        <f t="shared" si="56"/>
        <v>1.0150462963792961E-2</v>
      </c>
      <c r="N170" s="7">
        <f t="shared" si="71"/>
        <v>14.616666667861864</v>
      </c>
      <c r="O170" s="7"/>
      <c r="P170" s="7"/>
      <c r="Q170" s="22"/>
      <c r="R170" s="22"/>
      <c r="S170" s="31">
        <f t="shared" si="72"/>
        <v>1</v>
      </c>
      <c r="T170" s="46" t="str">
        <f t="shared" si="57"/>
        <v>Southbound</v>
      </c>
      <c r="U170" s="19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2" t="str">
        <f t="shared" si="58"/>
        <v>https://d0f6bd738d7f1b3e5a7ca70fe4ff75f0.us-east-1.aws.found.io/app/kibana#/discover/Steve-Slow-Train-Analysis-(2080s-and-2083s)?_g=(refreshInterval:(display:Off,pause:!f,section:0,value:0),time:(from:'2017-04-21T06:07:11-0600',mode:absolute,to:'2017-04-21T08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193" t="str">
        <f t="shared" si="59"/>
        <v>N</v>
      </c>
      <c r="X170" s="193">
        <f t="shared" si="73"/>
        <v>1</v>
      </c>
      <c r="Y170" s="193">
        <f t="shared" si="60"/>
        <v>5.8672000000000004</v>
      </c>
      <c r="Z170" s="62">
        <f t="shared" si="61"/>
        <v>7.2900000000000006E-2</v>
      </c>
      <c r="AA170" s="62">
        <f t="shared" si="62"/>
        <v>5.7943000000000007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0806-21</v>
      </c>
      <c r="AE170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170" s="82" t="str">
        <f t="shared" si="65"/>
        <v>"C:\Program Files (x86)\AstroGrep\AstroGrep.exe" /e /r /s /spath="%USERPROFILE%\AppData\Local\Temp\OnboardLogs" /stypes="app*4055*20170421*" /stext=" 13:.+((SYSTEM_STATE.+slice.+state.+changed )|(ment ac)|(multiple cpu faults)|(system.+state.+changed )|(\[timeout)|(PRM\|1\|D)|(kpr)|(kdp)|(\|lc)|(penalty))"</v>
      </c>
      <c r="AG170" s="1" t="str">
        <f t="shared" si="66"/>
        <v>NW</v>
      </c>
      <c r="AH170" s="86" t="str">
        <f t="shared" si="67"/>
        <v>"%USERPROFILE%\Documents\GitHub\eaglep3\Utilities\RefineRTDCRunTimes.py" --tripid 806-21 --locoid 4055 --swversion DE.1.0.9.0 --startMP 300:58672 --initTime 2017-04-21T07:07:11 --startdatetime 2017-04-21T07:10:45 --delay 1 --endMP 204:729 --enddatetime 2017-04-21T07:25:22 --enforcementcount 1 &gt;&gt;C:\Users\stu\Documents\GitHub\eaglep3-reporting\EC\2017-04-21-refined-times.txt</v>
      </c>
      <c r="AI170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{"issue":{"subject":"","project_id":79,"tracker_id":40,"status_id":1,"priority_id":2,"assigned_to_id":23,"start_date":"2017-04-21","description":"","custom_fields":[{"id":1,"name":"Subdivision","value":"NW"},{"id":4,"name":"Milepost","value":"0.0729"},{"id":17,"name":"Train ID","value":"806-21"},{"id":16,"name":"Locomotive ID","value":"4055"},{"id":130,"name":"Impact","value":""},{"id":150,"name":"Time of Event (Mountain Time)","value":"07:25:22"},{"id":151,"name":"Denver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47" t="str">
        <f t="shared" si="69"/>
        <v>start /low /b %USERPROFILE%\Documents\GitHub\eaglep3\Utilities\DownloadLogsFromS3.py --loco 4055 --day 2017-04-21</v>
      </c>
      <c r="AN170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3" t="s">
        <v>671</v>
      </c>
      <c r="B171" s="7">
        <v>4030</v>
      </c>
      <c r="C171" s="21" t="s">
        <v>212</v>
      </c>
      <c r="D171" s="21" t="s">
        <v>577</v>
      </c>
      <c r="E171" s="13">
        <v>42846.303136574075</v>
      </c>
      <c r="F171" s="13">
        <v>42846.306446759256</v>
      </c>
      <c r="G171" s="7">
        <v>1</v>
      </c>
      <c r="H171" s="21" t="s">
        <v>965</v>
      </c>
      <c r="I171" s="13">
        <v>42846.315104166664</v>
      </c>
      <c r="J171" s="7">
        <v>1</v>
      </c>
      <c r="K171" s="97" t="str">
        <f t="shared" si="55"/>
        <v>4029/4030</v>
      </c>
      <c r="L171" s="21" t="str">
        <f>VLOOKUP(A171,'Trips&amp;Operators'!$C$1:$G$99999,5,FALSE)</f>
        <v>COOLAHAN JOHN</v>
      </c>
      <c r="M171" s="6">
        <f t="shared" si="56"/>
        <v>8.6574074084637687E-3</v>
      </c>
      <c r="N171" s="7">
        <f t="shared" si="71"/>
        <v>12.466666668187827</v>
      </c>
      <c r="O171" s="7"/>
      <c r="P171" s="7"/>
      <c r="Q171" s="22"/>
      <c r="R171" s="22"/>
      <c r="S171" s="31">
        <f t="shared" si="72"/>
        <v>1</v>
      </c>
      <c r="T171" s="46" t="str">
        <f t="shared" si="57"/>
        <v>NorthBound</v>
      </c>
      <c r="U171" s="19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2" t="str">
        <f t="shared" si="58"/>
        <v>https://d0f6bd738d7f1b3e5a7ca70fe4ff75f0.us-east-1.aws.found.io/app/kibana#/discover/Steve-Slow-Train-Analysis-(2080s-and-2083s)?_g=(refreshInterval:(display:Off,pause:!f,section:0,value:0),time:(from:'2017-04-21T06:16:31-0600',mode:absolute,to:'2017-04-21T08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93" t="str">
        <f t="shared" si="59"/>
        <v>N</v>
      </c>
      <c r="X171" s="193">
        <f t="shared" si="73"/>
        <v>1</v>
      </c>
      <c r="Y171" s="193">
        <f t="shared" si="60"/>
        <v>9.8599999999999993E-2</v>
      </c>
      <c r="Z171" s="62">
        <f t="shared" si="61"/>
        <v>5.8954000000000004</v>
      </c>
      <c r="AA171" s="62">
        <f t="shared" si="62"/>
        <v>5.7968000000000002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0807-21</v>
      </c>
      <c r="AE171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71" s="82" t="str">
        <f t="shared" si="65"/>
        <v>"C:\Program Files (x86)\AstroGrep\AstroGrep.exe" /e /r /s /spath="%USERPROFILE%\AppData\Local\Temp\OnboardLogs" /stypes="app*4030*20170421*" /stext=" 13:.+((SYSTEM_STATE.+slice.+state.+changed )|(ment ac)|(multiple cpu faults)|(system.+state.+changed )|(\[timeout)|(PRM\|1\|D)|(kpr)|(kdp)|(\|lc)|(penalty))"</v>
      </c>
      <c r="AG171" s="1" t="str">
        <f t="shared" si="66"/>
        <v>NW</v>
      </c>
      <c r="AH171" s="86" t="str">
        <f t="shared" si="67"/>
        <v>"%USERPROFILE%\Documents\GitHub\eaglep3\Utilities\RefineRTDCRunTimes.py" --tripid 807-21 --locoid 4030 --swversion DE.1.0.9.0 --startMP 204:986 --initTime 2017-04-21T07:16:31 --startdatetime 2017-04-21T07:21:17 --delay 1 --endMP 300:58954 --enddatetime 2017-04-21T07:33:45 --enforcementcount 1 &gt;&gt;C:\Users\stu\Documents\GitHub\eaglep3-reporting\EC\2017-04-21-refined-times.txt</v>
      </c>
      <c r="AI171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{"issue":{"subject":"","project_id":79,"tracker_id":40,"status_id":1,"priority_id":2,"assigned_to_id":23,"start_date":"2017-04-21","description":"","custom_fields":[{"id":1,"name":"Subdivision","value":"NW"},{"id":4,"name":"Milepost","value":"5.8954"},{"id":17,"name":"Train ID","value":"807-21"},{"id":16,"name":"Locomotive ID","value":"4030"},{"id":130,"name":"Impact","value":""},{"id":150,"name":"Time of Event (Mountain Time)","value":"07:33:45"},{"id":151,"name":"Denver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47" t="str">
        <f t="shared" si="69"/>
        <v>start /low /b %USERPROFILE%\Documents\GitHub\eaglep3\Utilities\DownloadLogsFromS3.py --loco 4030 --day 2017-04-21</v>
      </c>
      <c r="AN171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676</v>
      </c>
      <c r="B172" s="7">
        <v>4029</v>
      </c>
      <c r="C172" s="21" t="s">
        <v>212</v>
      </c>
      <c r="D172" s="21" t="s">
        <v>579</v>
      </c>
      <c r="E172" s="13">
        <v>42846.316134259258</v>
      </c>
      <c r="F172" s="13">
        <v>42846.317754629628</v>
      </c>
      <c r="G172" s="7">
        <v>1</v>
      </c>
      <c r="H172" s="21" t="s">
        <v>966</v>
      </c>
      <c r="I172" s="13">
        <v>42846.329942129632</v>
      </c>
      <c r="J172" s="7">
        <v>1</v>
      </c>
      <c r="K172" s="97" t="str">
        <f t="shared" si="55"/>
        <v>4029/4030</v>
      </c>
      <c r="L172" s="21" t="str">
        <f>VLOOKUP(A172,'Trips&amp;Operators'!$C$1:$G$99999,5,FALSE)</f>
        <v>COOLAHAN JOHN</v>
      </c>
      <c r="M172" s="6">
        <f t="shared" si="56"/>
        <v>1.2187500004074536E-2</v>
      </c>
      <c r="N172" s="7">
        <f t="shared" si="71"/>
        <v>17.550000005867332</v>
      </c>
      <c r="O172" s="7"/>
      <c r="P172" s="7"/>
      <c r="Q172" s="22"/>
      <c r="R172" s="22"/>
      <c r="S172" s="31">
        <f t="shared" si="72"/>
        <v>1</v>
      </c>
      <c r="T172" s="46" t="str">
        <f t="shared" si="57"/>
        <v>Southbound</v>
      </c>
      <c r="U172" s="19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2" t="str">
        <f t="shared" si="58"/>
        <v>https://d0f6bd738d7f1b3e5a7ca70fe4ff75f0.us-east-1.aws.found.io/app/kibana#/discover/Steve-Slow-Train-Analysis-(2080s-and-2083s)?_g=(refreshInterval:(display:Off,pause:!f,section:0,value:0),time:(from:'2017-04-21T06:35:14-0600',mode:absolute,to:'2017-04-21T08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93" t="str">
        <f t="shared" si="59"/>
        <v>N</v>
      </c>
      <c r="X172" s="193">
        <f t="shared" si="73"/>
        <v>1</v>
      </c>
      <c r="Y172" s="193">
        <f t="shared" si="60"/>
        <v>5.8643000000000001</v>
      </c>
      <c r="Z172" s="62">
        <f t="shared" si="61"/>
        <v>6.4299999999999996E-2</v>
      </c>
      <c r="AA172" s="62">
        <f t="shared" si="62"/>
        <v>5.8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0808-21</v>
      </c>
      <c r="AE172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72" s="82" t="str">
        <f t="shared" si="65"/>
        <v>"C:\Program Files (x86)\AstroGrep\AstroGrep.exe" /e /r /s /spath="%USERPROFILE%\AppData\Local\Temp\OnboardLogs" /stypes="app*4029*20170421*" /stext=" 13:.+((SYSTEM_STATE.+slice.+state.+changed )|(ment ac)|(multiple cpu faults)|(system.+state.+changed )|(\[timeout)|(PRM\|1\|D)|(kpr)|(kdp)|(\|lc)|(penalty))"</v>
      </c>
      <c r="AG172" s="1" t="str">
        <f t="shared" si="66"/>
        <v>NW</v>
      </c>
      <c r="AH172" s="86" t="str">
        <f t="shared" si="67"/>
        <v>"%USERPROFILE%\Documents\GitHub\eaglep3\Utilities\RefineRTDCRunTimes.py" --tripid 808-21 --locoid 4029 --swversion DE.1.0.9.0 --startMP 300:58643 --initTime 2017-04-21T07:35:14 --startdatetime 2017-04-21T07:37:34 --delay 1 --endMP 204:643 --enddatetime 2017-04-21T07:55:07 --enforcementcount 1 &gt;&gt;C:\Users\stu\Documents\GitHub\eaglep3-reporting\EC\2017-04-21-refined-times.txt</v>
      </c>
      <c r="AI172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{"issue":{"subject":"","project_id":79,"tracker_id":40,"status_id":1,"priority_id":2,"assigned_to_id":23,"start_date":"2017-04-21","description":"","custom_fields":[{"id":1,"name":"Subdivision","value":"NW"},{"id":4,"name":"Milepost","value":"0.0643"},{"id":17,"name":"Train ID","value":"808-21"},{"id":16,"name":"Locomotive ID","value":"4029"},{"id":130,"name":"Impact","value":""},{"id":150,"name":"Time of Event (Mountain Time)","value":"07:55:07"},{"id":151,"name":"Denver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47" t="str">
        <f t="shared" si="69"/>
        <v>start /low /b %USERPROFILE%\Documents\GitHub\eaglep3\Utilities\DownloadLogsFromS3.py --loco 4029 --day 2017-04-21</v>
      </c>
      <c r="AN172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674</v>
      </c>
      <c r="B173" s="7">
        <v>4056</v>
      </c>
      <c r="C173" s="21" t="s">
        <v>212</v>
      </c>
      <c r="D173" s="21" t="s">
        <v>967</v>
      </c>
      <c r="E173" s="13">
        <v>42846.311655092592</v>
      </c>
      <c r="F173" s="13">
        <v>42846.327291666668</v>
      </c>
      <c r="G173" s="7">
        <v>1</v>
      </c>
      <c r="H173" s="21" t="s">
        <v>968</v>
      </c>
      <c r="I173" s="13">
        <v>42846.336875000001</v>
      </c>
      <c r="J173" s="7">
        <v>1</v>
      </c>
      <c r="K173" s="97" t="str">
        <f t="shared" si="55"/>
        <v>4055/4056</v>
      </c>
      <c r="L173" s="21" t="str">
        <f>VLOOKUP(A173,'Trips&amp;Operators'!$C$1:$G$99999,5,FALSE)</f>
        <v>ZEWDU DEREJE</v>
      </c>
      <c r="M173" s="6">
        <f t="shared" si="56"/>
        <v>9.5833333325572312E-3</v>
      </c>
      <c r="N173" s="7">
        <f t="shared" si="71"/>
        <v>13.799999998882413</v>
      </c>
      <c r="O173" s="7"/>
      <c r="P173" s="7"/>
      <c r="Q173" s="22"/>
      <c r="R173" s="22"/>
      <c r="S173" s="31">
        <f t="shared" si="72"/>
        <v>1</v>
      </c>
      <c r="T173" s="46" t="str">
        <f t="shared" si="57"/>
        <v>NorthBound</v>
      </c>
      <c r="U173" s="19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2" t="str">
        <f t="shared" si="58"/>
        <v>https://d0f6bd738d7f1b3e5a7ca70fe4ff75f0.us-east-1.aws.found.io/app/kibana#/discover/Steve-Slow-Train-Analysis-(2080s-and-2083s)?_g=(refreshInterval:(display:Off,pause:!f,section:0,value:0),time:(from:'2017-04-21T06:28:47-0600',mode:absolute,to:'2017-04-21T09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193" t="str">
        <f t="shared" si="59"/>
        <v>N</v>
      </c>
      <c r="X173" s="193">
        <f t="shared" si="73"/>
        <v>1</v>
      </c>
      <c r="Y173" s="193">
        <f t="shared" si="60"/>
        <v>9.9699999999999997E-2</v>
      </c>
      <c r="Z173" s="62">
        <f t="shared" si="61"/>
        <v>5.8986000000000001</v>
      </c>
      <c r="AA173" s="62">
        <f t="shared" si="62"/>
        <v>5.7988999999999997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0809-21</v>
      </c>
      <c r="AE173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173" s="82" t="str">
        <f t="shared" si="65"/>
        <v>"C:\Program Files (x86)\AstroGrep\AstroGrep.exe" /e /r /s /spath="%USERPROFILE%\AppData\Local\Temp\OnboardLogs" /stypes="app*4056*20170421*" /stext=" 14:.+((SYSTEM_STATE.+slice.+state.+changed )|(ment ac)|(multiple cpu faults)|(system.+state.+changed )|(\[timeout)|(PRM\|1\|D)|(kpr)|(kdp)|(\|lc)|(penalty))"</v>
      </c>
      <c r="AG173" s="1" t="str">
        <f t="shared" si="66"/>
        <v>NW</v>
      </c>
      <c r="AH173" s="86" t="str">
        <f t="shared" si="67"/>
        <v>"%USERPROFILE%\Documents\GitHub\eaglep3\Utilities\RefineRTDCRunTimes.py" --tripid 809-21 --locoid 4056 --swversion DE.1.0.9.0 --startMP 204:997 --initTime 2017-04-21T07:28:47 --startdatetime 2017-04-21T07:51:18 --delay 1 --endMP 300:58986 --enddatetime 2017-04-21T08:05:06 --enforcementcount 1 &gt;&gt;C:\Users\stu\Documents\GitHub\eaglep3-reporting\EC\2017-04-21-refined-times.txt</v>
      </c>
      <c r="AI173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{"issue":{"subject":"","project_id":79,"tracker_id":40,"status_id":1,"priority_id":2,"assigned_to_id":23,"start_date":"2017-04-21","description":"","custom_fields":[{"id":1,"name":"Subdivision","value":"NW"},{"id":4,"name":"Milepost","value":"5.8986"},{"id":17,"name":"Train ID","value":"809-21"},{"id":16,"name":"Locomotive ID","value":"4056"},{"id":130,"name":"Impact","value":""},{"id":150,"name":"Time of Event (Mountain Time)","value":"08:05:06"},{"id":151,"name":"Denver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47" t="str">
        <f t="shared" si="69"/>
        <v>start /low /b %USERPROFILE%\Documents\GitHub\eaglep3\Utilities\DownloadLogsFromS3.py --loco 4056 --day 2017-04-21</v>
      </c>
      <c r="AN173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680</v>
      </c>
      <c r="B174" s="7">
        <v>4055</v>
      </c>
      <c r="C174" s="21" t="s">
        <v>212</v>
      </c>
      <c r="D174" s="21" t="s">
        <v>973</v>
      </c>
      <c r="E174" s="13">
        <v>42846.338958333334</v>
      </c>
      <c r="F174" s="13">
        <v>42846.341817129629</v>
      </c>
      <c r="G174" s="7">
        <v>1</v>
      </c>
      <c r="H174" s="21" t="s">
        <v>974</v>
      </c>
      <c r="I174" s="13">
        <v>42846.351863425924</v>
      </c>
      <c r="J174" s="7">
        <v>1</v>
      </c>
      <c r="K174" s="97" t="str">
        <f t="shared" si="55"/>
        <v>4055/4056</v>
      </c>
      <c r="L174" s="21" t="str">
        <f>VLOOKUP(A174,'Trips&amp;Operators'!$C$1:$G$99999,5,FALSE)</f>
        <v>ZEWDU DEREJE</v>
      </c>
      <c r="M174" s="6">
        <f t="shared" si="56"/>
        <v>1.0046296294603962E-2</v>
      </c>
      <c r="N174" s="7">
        <f t="shared" si="71"/>
        <v>14.466666664229706</v>
      </c>
      <c r="O174" s="7"/>
      <c r="P174" s="7"/>
      <c r="Q174" s="22"/>
      <c r="R174" s="22"/>
      <c r="S174" s="31">
        <f t="shared" si="72"/>
        <v>1</v>
      </c>
      <c r="T174" s="46" t="str">
        <f t="shared" si="57"/>
        <v>Southbound</v>
      </c>
      <c r="U174" s="19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2" t="str">
        <f t="shared" si="58"/>
        <v>https://d0f6bd738d7f1b3e5a7ca70fe4ff75f0.us-east-1.aws.found.io/app/kibana#/discover/Steve-Slow-Train-Analysis-(2080s-and-2083s)?_g=(refreshInterval:(display:Off,pause:!f,section:0,value:0),time:(from:'2017-04-21T07:08:06-0600',mode:absolute,to:'2017-04-21T09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193" t="str">
        <f t="shared" si="59"/>
        <v>N</v>
      </c>
      <c r="X174" s="193">
        <f t="shared" si="73"/>
        <v>1</v>
      </c>
      <c r="Y174" s="193">
        <f t="shared" si="60"/>
        <v>5.8667999999999996</v>
      </c>
      <c r="Z174" s="62">
        <f t="shared" si="61"/>
        <v>1.2800000000000001E-2</v>
      </c>
      <c r="AA174" s="62">
        <f t="shared" si="62"/>
        <v>5.8539999999999992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0810-21</v>
      </c>
      <c r="AE174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174" s="82" t="str">
        <f t="shared" si="65"/>
        <v>"C:\Program Files (x86)\AstroGrep\AstroGrep.exe" /e /r /s /spath="%USERPROFILE%\AppData\Local\Temp\OnboardLogs" /stypes="app*4055*20170421*" /stext=" 14:.+((SYSTEM_STATE.+slice.+state.+changed )|(ment ac)|(multiple cpu faults)|(system.+state.+changed )|(\[timeout)|(PRM\|1\|D)|(kpr)|(kdp)|(\|lc)|(penalty))"</v>
      </c>
      <c r="AG174" s="1" t="str">
        <f t="shared" si="66"/>
        <v>NW</v>
      </c>
      <c r="AH174" s="86" t="str">
        <f t="shared" si="67"/>
        <v>"%USERPROFILE%\Documents\GitHub\eaglep3\Utilities\RefineRTDCRunTimes.py" --tripid 810-21 --locoid 4055 --swversion DE.1.0.9.0 --startMP 300:58668 --initTime 2017-04-21T08:08:06 --startdatetime 2017-04-21T08:12:13 --delay 1 --endMP 204:128 --enddatetime 2017-04-21T08:26:41 --enforcementcount 1 &gt;&gt;C:\Users\stu\Documents\GitHub\eaglep3-reporting\EC\2017-04-21-refined-times.txt</v>
      </c>
      <c r="AI174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{"issue":{"subject":"","project_id":79,"tracker_id":40,"status_id":1,"priority_id":2,"assigned_to_id":23,"start_date":"2017-04-21","description":"","custom_fields":[{"id":1,"name":"Subdivision","value":"NW"},{"id":4,"name":"Milepost","value":"0.0128"},{"id":17,"name":"Train ID","value":"810-21"},{"id":16,"name":"Locomotive ID","value":"4055"},{"id":130,"name":"Impact","value":""},{"id":150,"name":"Time of Event (Mountain Time)","value":"08:26:41"},{"id":151,"name":"Denver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47" t="str">
        <f t="shared" si="69"/>
        <v>start /low /b %USERPROFILE%\Documents\GitHub\eaglep3\Utilities\DownloadLogsFromS3.py --loco 4055 --day 2017-04-21</v>
      </c>
      <c r="AN174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594</v>
      </c>
      <c r="B175" s="7">
        <v>4030</v>
      </c>
      <c r="C175" s="21" t="s">
        <v>212</v>
      </c>
      <c r="D175" s="21" t="s">
        <v>975</v>
      </c>
      <c r="E175" s="13">
        <v>42846.344282407408</v>
      </c>
      <c r="F175" s="13">
        <v>42846.34815972222</v>
      </c>
      <c r="G175" s="7">
        <v>1</v>
      </c>
      <c r="H175" s="21" t="s">
        <v>465</v>
      </c>
      <c r="I175" s="13">
        <v>42846.357291666667</v>
      </c>
      <c r="J175" s="7">
        <v>1</v>
      </c>
      <c r="K175" s="97" t="str">
        <f t="shared" si="55"/>
        <v>4029/4030</v>
      </c>
      <c r="L175" s="21" t="str">
        <f>VLOOKUP(A175,'Trips&amp;Operators'!$C$1:$G$99999,5,FALSE)</f>
        <v>COOLAHAN JOHN</v>
      </c>
      <c r="M175" s="6">
        <f t="shared" si="56"/>
        <v>9.1319444472901523E-3</v>
      </c>
      <c r="N175" s="7">
        <f t="shared" si="71"/>
        <v>13.150000004097819</v>
      </c>
      <c r="O175" s="7"/>
      <c r="P175" s="7"/>
      <c r="Q175" s="22"/>
      <c r="R175" s="22"/>
      <c r="S175" s="31">
        <f t="shared" si="72"/>
        <v>1</v>
      </c>
      <c r="T175" s="46" t="str">
        <f t="shared" si="57"/>
        <v>NorthBound</v>
      </c>
      <c r="U175" s="19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2" t="str">
        <f t="shared" si="58"/>
        <v>https://d0f6bd738d7f1b3e5a7ca70fe4ff75f0.us-east-1.aws.found.io/app/kibana#/discover/Steve-Slow-Train-Analysis-(2080s-and-2083s)?_g=(refreshInterval:(display:Off,pause:!f,section:0,value:0),time:(from:'2017-04-21T07:15:46-0600',mode:absolute,to:'2017-04-21T09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193" t="str">
        <f t="shared" si="59"/>
        <v>N</v>
      </c>
      <c r="X175" s="193">
        <f t="shared" si="73"/>
        <v>1</v>
      </c>
      <c r="Y175" s="193">
        <f t="shared" si="60"/>
        <v>9.5000000000000001E-2</v>
      </c>
      <c r="Z175" s="62">
        <f t="shared" si="61"/>
        <v>5.8944000000000001</v>
      </c>
      <c r="AA175" s="62">
        <f t="shared" si="62"/>
        <v>5.7994000000000003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0811-21</v>
      </c>
      <c r="AE175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75" s="82" t="str">
        <f t="shared" si="65"/>
        <v>"C:\Program Files (x86)\AstroGrep\AstroGrep.exe" /e /r /s /spath="%USERPROFILE%\AppData\Local\Temp\OnboardLogs" /stypes="app*4030*20170421*" /stext=" 14:.+((SYSTEM_STATE.+slice.+state.+changed )|(ment ac)|(multiple cpu faults)|(system.+state.+changed )|(\[timeout)|(PRM\|1\|D)|(kpr)|(kdp)|(\|lc)|(penalty))"</v>
      </c>
      <c r="AG175" s="1" t="str">
        <f t="shared" si="66"/>
        <v>NW</v>
      </c>
      <c r="AH175" s="86" t="str">
        <f t="shared" si="67"/>
        <v>"%USERPROFILE%\Documents\GitHub\eaglep3\Utilities\RefineRTDCRunTimes.py" --tripid 811-21 --locoid 4030 --swversion DE.1.0.9.0 --startMP 204:950 --initTime 2017-04-21T08:15:46 --startdatetime 2017-04-21T08:21:21 --delay 1 --endMP 300:58944 --enddatetime 2017-04-21T08:34:30 --enforcementcount 1 &gt;&gt;C:\Users\stu\Documents\GitHub\eaglep3-reporting\EC\2017-04-21-refined-times.txt</v>
      </c>
      <c r="AI175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{"issue":{"subject":"","project_id":79,"tracker_id":40,"status_id":1,"priority_id":2,"assigned_to_id":23,"start_date":"2017-04-21","description":"","custom_fields":[{"id":1,"name":"Subdivision","value":"NW"},{"id":4,"name":"Milepost","value":"5.8944"},{"id":17,"name":"Train ID","value":"811-21"},{"id":16,"name":"Locomotive ID","value":"4030"},{"id":130,"name":"Impact","value":""},{"id":150,"name":"Time of Event (Mountain Time)","value":"08:34:30"},{"id":151,"name":"Denver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47" t="str">
        <f t="shared" si="69"/>
        <v>start /low /b %USERPROFILE%\Documents\GitHub\eaglep3\Utilities\DownloadLogsFromS3.py --loco 4030 --day 2017-04-21</v>
      </c>
      <c r="AN175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686</v>
      </c>
      <c r="B176" s="7">
        <v>4029</v>
      </c>
      <c r="C176" s="21" t="s">
        <v>212</v>
      </c>
      <c r="D176" s="21" t="s">
        <v>424</v>
      </c>
      <c r="E176" s="13">
        <v>42846.358194444445</v>
      </c>
      <c r="F176" s="13">
        <v>42846.359780092593</v>
      </c>
      <c r="G176" s="7">
        <v>1</v>
      </c>
      <c r="H176" s="21" t="s">
        <v>963</v>
      </c>
      <c r="I176" s="13">
        <v>42846.371388888889</v>
      </c>
      <c r="J176" s="7">
        <v>1</v>
      </c>
      <c r="K176" s="97" t="str">
        <f t="shared" si="55"/>
        <v>4029/4030</v>
      </c>
      <c r="L176" s="21" t="str">
        <f>VLOOKUP(A176,'Trips&amp;Operators'!$C$1:$G$99999,5,FALSE)</f>
        <v>COOLAHAN JOHN</v>
      </c>
      <c r="M176" s="6">
        <f t="shared" si="56"/>
        <v>1.1608796296059154E-2</v>
      </c>
      <c r="N176" s="7">
        <f t="shared" si="71"/>
        <v>16.716666666325182</v>
      </c>
      <c r="O176" s="7"/>
      <c r="P176" s="7"/>
      <c r="Q176" s="22"/>
      <c r="R176" s="22"/>
      <c r="S176" s="31">
        <f t="shared" si="72"/>
        <v>1</v>
      </c>
      <c r="T176" s="46" t="str">
        <f t="shared" si="57"/>
        <v>Southbound</v>
      </c>
      <c r="U176" s="19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2" t="str">
        <f t="shared" si="58"/>
        <v>https://d0f6bd738d7f1b3e5a7ca70fe4ff75f0.us-east-1.aws.found.io/app/kibana#/discover/Steve-Slow-Train-Analysis-(2080s-and-2083s)?_g=(refreshInterval:(display:Off,pause:!f,section:0,value:0),time:(from:'2017-04-21T07:35:48-0600',mode:absolute,to:'2017-04-21T09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193" t="str">
        <f t="shared" si="59"/>
        <v>N</v>
      </c>
      <c r="X176" s="193">
        <f t="shared" si="73"/>
        <v>1</v>
      </c>
      <c r="Y176" s="193">
        <f t="shared" si="60"/>
        <v>5.8630000000000004</v>
      </c>
      <c r="Z176" s="62">
        <f t="shared" si="61"/>
        <v>6.7299999999999999E-2</v>
      </c>
      <c r="AA176" s="62">
        <f t="shared" si="62"/>
        <v>5.7957000000000001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0812-21</v>
      </c>
      <c r="AE176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76" s="82" t="str">
        <f t="shared" si="65"/>
        <v>"C:\Program Files (x86)\AstroGrep\AstroGrep.exe" /e /r /s /spath="%USERPROFILE%\AppData\Local\Temp\OnboardLogs" /stypes="app*4029*20170421*" /stext=" 14:.+((SYSTEM_STATE.+slice.+state.+changed )|(ment ac)|(multiple cpu faults)|(system.+state.+changed )|(\[timeout)|(PRM\|1\|D)|(kpr)|(kdp)|(\|lc)|(penalty))"</v>
      </c>
      <c r="AG176" s="1" t="str">
        <f t="shared" si="66"/>
        <v>NW</v>
      </c>
      <c r="AH176" s="86" t="str">
        <f t="shared" si="67"/>
        <v>"%USERPROFILE%\Documents\GitHub\eaglep3\Utilities\RefineRTDCRunTimes.py" --tripid 812-21 --locoid 4029 --swversion DE.1.0.9.0 --startMP 300:58630 --initTime 2017-04-21T08:35:48 --startdatetime 2017-04-21T08:38:05 --delay 1 --endMP 204:673 --enddatetime 2017-04-21T08:54:48 --enforcementcount 1 &gt;&gt;C:\Users\stu\Documents\GitHub\eaglep3-reporting\EC\2017-04-21-refined-times.txt</v>
      </c>
      <c r="AI176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{"issue":{"subject":"","project_id":79,"tracker_id":40,"status_id":1,"priority_id":2,"assigned_to_id":23,"start_date":"2017-04-21","description":"","custom_fields":[{"id":1,"name":"Subdivision","value":"NW"},{"id":4,"name":"Milepost","value":"0.0673"},{"id":17,"name":"Train ID","value":"812-21"},{"id":16,"name":"Locomotive ID","value":"4029"},{"id":130,"name":"Impact","value":""},{"id":150,"name":"Time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47" t="str">
        <f t="shared" si="69"/>
        <v>start /low /b %USERPROFILE%\Documents\GitHub\eaglep3\Utilities\DownloadLogsFromS3.py --loco 4029 --day 2017-04-21</v>
      </c>
      <c r="AN176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691</v>
      </c>
      <c r="B177" s="7">
        <v>4030</v>
      </c>
      <c r="C177" s="21" t="s">
        <v>212</v>
      </c>
      <c r="D177" s="21" t="s">
        <v>583</v>
      </c>
      <c r="E177" s="13">
        <v>42846.386597222219</v>
      </c>
      <c r="F177" s="13">
        <v>42846.389780092592</v>
      </c>
      <c r="G177" s="7">
        <v>1</v>
      </c>
      <c r="H177" s="21" t="s">
        <v>976</v>
      </c>
      <c r="I177" s="13">
        <v>42846.399039351854</v>
      </c>
      <c r="J177" s="7">
        <v>1</v>
      </c>
      <c r="K177" s="97" t="str">
        <f t="shared" si="55"/>
        <v>4029/4030</v>
      </c>
      <c r="L177" s="21" t="str">
        <f>VLOOKUP(A177,'Trips&amp;Operators'!$C$1:$G$99999,5,FALSE)</f>
        <v>COOLAHAN JOHN</v>
      </c>
      <c r="M177" s="6">
        <f t="shared" si="56"/>
        <v>9.2592592627624981E-3</v>
      </c>
      <c r="N177" s="7">
        <f t="shared" si="71"/>
        <v>13.333333338377997</v>
      </c>
      <c r="O177" s="7"/>
      <c r="P177" s="7"/>
      <c r="Q177" s="22"/>
      <c r="R177" s="22"/>
      <c r="S177" s="31">
        <f t="shared" si="72"/>
        <v>1</v>
      </c>
      <c r="T177" s="46" t="str">
        <f t="shared" si="57"/>
        <v>NorthBound</v>
      </c>
      <c r="U177" s="19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2" t="str">
        <f t="shared" si="58"/>
        <v>https://d0f6bd738d7f1b3e5a7ca70fe4ff75f0.us-east-1.aws.found.io/app/kibana#/discover/Steve-Slow-Train-Analysis-(2080s-and-2083s)?_g=(refreshInterval:(display:Off,pause:!f,section:0,value:0),time:(from:'2017-04-21T08:16:42-0600',mode:absolute,to:'2017-04-21T10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193" t="str">
        <f t="shared" si="59"/>
        <v>N</v>
      </c>
      <c r="X177" s="193">
        <f t="shared" si="73"/>
        <v>1</v>
      </c>
      <c r="Y177" s="193">
        <f t="shared" si="60"/>
        <v>9.69E-2</v>
      </c>
      <c r="Z177" s="62">
        <f t="shared" si="61"/>
        <v>5.8940999999999999</v>
      </c>
      <c r="AA177" s="62">
        <f t="shared" si="62"/>
        <v>5.7972000000000001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0813-21</v>
      </c>
      <c r="AE177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77" s="82" t="str">
        <f t="shared" si="65"/>
        <v>"C:\Program Files (x86)\AstroGrep\AstroGrep.exe" /e /r /s /spath="%USERPROFILE%\AppData\Local\Temp\OnboardLogs" /stypes="app*4030*20170421*" /stext=" 15:.+((SYSTEM_STATE.+slice.+state.+changed )|(ment ac)|(multiple cpu faults)|(system.+state.+changed )|(\[timeout)|(PRM\|1\|D)|(kpr)|(kdp)|(\|lc)|(penalty))"</v>
      </c>
      <c r="AG177" s="1" t="str">
        <f t="shared" si="66"/>
        <v>NW</v>
      </c>
      <c r="AH177" s="86" t="str">
        <f t="shared" si="67"/>
        <v>"%USERPROFILE%\Documents\GitHub\eaglep3\Utilities\RefineRTDCRunTimes.py" --tripid 813-21 --locoid 4030 --swversion DE.1.0.9.0 --startMP 204:969 --initTime 2017-04-21T09:16:42 --startdatetime 2017-04-21T09:21:17 --delay 1 --endMP 300:58941 --enddatetime 2017-04-21T09:34:37 --enforcementcount 1 &gt;&gt;C:\Users\stu\Documents\GitHub\eaglep3-reporting\EC\2017-04-21-refined-times.txt</v>
      </c>
      <c r="AI177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{"issue":{"subject":"","project_id":79,"tracker_id":40,"status_id":1,"priority_id":2,"assigned_to_id":23,"start_date":"2017-04-21","description":"","custom_fields":[{"id":1,"name":"Subdivision","value":"NW"},{"id":4,"name":"Milepost","value":"5.8941"},{"id":17,"name":"Train ID","value":"813-21"},{"id":16,"name":"Locomotive ID","value":"4030"},{"id":130,"name":"Impact","value":""},{"id":150,"name":"Time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47" t="str">
        <f t="shared" si="69"/>
        <v>start /low /b %USERPROFILE%\Documents\GitHub\eaglep3\Utilities\DownloadLogsFromS3.py --loco 4030 --day 2017-04-21</v>
      </c>
      <c r="AN177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598</v>
      </c>
      <c r="B178" s="7">
        <v>4029</v>
      </c>
      <c r="C178" s="21" t="s">
        <v>212</v>
      </c>
      <c r="D178" s="21" t="s">
        <v>424</v>
      </c>
      <c r="E178" s="13">
        <v>42846.400092592594</v>
      </c>
      <c r="F178" s="13">
        <v>42846.401643518519</v>
      </c>
      <c r="G178" s="7">
        <v>1</v>
      </c>
      <c r="H178" s="21" t="s">
        <v>846</v>
      </c>
      <c r="I178" s="13">
        <v>42846.412962962961</v>
      </c>
      <c r="J178" s="7">
        <v>1</v>
      </c>
      <c r="K178" s="97" t="str">
        <f t="shared" si="55"/>
        <v>4029/4030</v>
      </c>
      <c r="L178" s="21" t="str">
        <f>VLOOKUP(A178,'Trips&amp;Operators'!$C$1:$G$99999,5,FALSE)</f>
        <v>COOLAHAN JOHN</v>
      </c>
      <c r="M178" s="6">
        <f t="shared" si="56"/>
        <v>1.1319444442051463E-2</v>
      </c>
      <c r="N178" s="7">
        <f t="shared" si="71"/>
        <v>16.299999996554106</v>
      </c>
      <c r="O178" s="7"/>
      <c r="P178" s="7"/>
      <c r="Q178" s="22"/>
      <c r="R178" s="22"/>
      <c r="S178" s="31">
        <f t="shared" si="72"/>
        <v>1</v>
      </c>
      <c r="T178" s="46" t="str">
        <f t="shared" si="57"/>
        <v>Southbound</v>
      </c>
      <c r="U178" s="19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2" t="str">
        <f t="shared" si="58"/>
        <v>https://d0f6bd738d7f1b3e5a7ca70fe4ff75f0.us-east-1.aws.found.io/app/kibana#/discover/Steve-Slow-Train-Analysis-(2080s-and-2083s)?_g=(refreshInterval:(display:Off,pause:!f,section:0,value:0),time:(from:'2017-04-21T08:36:08-0600',mode:absolute,to:'2017-04-21T10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193" t="str">
        <f t="shared" si="59"/>
        <v>N</v>
      </c>
      <c r="X178" s="193">
        <f t="shared" si="73"/>
        <v>1</v>
      </c>
      <c r="Y178" s="193">
        <f t="shared" si="60"/>
        <v>5.8630000000000004</v>
      </c>
      <c r="Z178" s="62">
        <f t="shared" si="61"/>
        <v>7.5700000000000003E-2</v>
      </c>
      <c r="AA178" s="62">
        <f t="shared" si="62"/>
        <v>5.7873000000000001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0814-21</v>
      </c>
      <c r="AE178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78" s="82" t="str">
        <f t="shared" si="65"/>
        <v>"C:\Program Files (x86)\AstroGrep\AstroGrep.exe" /e /r /s /spath="%USERPROFILE%\AppData\Local\Temp\OnboardLogs" /stypes="app*4029*20170421*" /stext=" 15:.+((SYSTEM_STATE.+slice.+state.+changed )|(ment ac)|(multiple cpu faults)|(system.+state.+changed )|(\[timeout)|(PRM\|1\|D)|(kpr)|(kdp)|(\|lc)|(penalty))"</v>
      </c>
      <c r="AG178" s="1" t="str">
        <f t="shared" si="66"/>
        <v>NW</v>
      </c>
      <c r="AH178" s="86" t="str">
        <f t="shared" si="67"/>
        <v>"%USERPROFILE%\Documents\GitHub\eaglep3\Utilities\RefineRTDCRunTimes.py" --tripid 814-21 --locoid 4029 --swversion DE.1.0.9.0 --startMP 300:58630 --initTime 2017-04-21T09:36:08 --startdatetime 2017-04-21T09:38:22 --delay 1 --endMP 204:757 --enddatetime 2017-04-21T09:54:40 --enforcementcount 1 &gt;&gt;C:\Users\stu\Documents\GitHub\eaglep3-reporting\EC\2017-04-21-refined-times.txt</v>
      </c>
      <c r="AI178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{"issue":{"subject":"","project_id":79,"tracker_id":40,"status_id":1,"priority_id":2,"assigned_to_id":23,"start_date":"2017-04-21","description":"","custom_fields":[{"id":1,"name":"Subdivision","value":"NW"},{"id":4,"name":"Milepost","value":"0.0757"},{"id":17,"name":"Train ID","value":"814-21"},{"id":16,"name":"Locomotive ID","value":"4029"},{"id":130,"name":"Impact","value":""},{"id":150,"name":"Time of Event (Mountain Time)","value":"09:54:40"},{"id":151,"name":"Denver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47" t="str">
        <f t="shared" si="69"/>
        <v>start /low /b %USERPROFILE%\Documents\GitHub\eaglep3\Utilities\DownloadLogsFromS3.py --loco 4029 --day 2017-04-21</v>
      </c>
      <c r="AN178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15:54:40"},{"id":29,"name":"Sharepoint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3" t="s">
        <v>699</v>
      </c>
      <c r="B179" s="7">
        <v>4030</v>
      </c>
      <c r="C179" s="21" t="s">
        <v>212</v>
      </c>
      <c r="D179" s="21" t="s">
        <v>977</v>
      </c>
      <c r="E179" s="13">
        <v>42846.428206018521</v>
      </c>
      <c r="F179" s="13">
        <v>42846.431435185186</v>
      </c>
      <c r="G179" s="7">
        <v>1</v>
      </c>
      <c r="H179" s="21" t="s">
        <v>976</v>
      </c>
      <c r="I179" s="13">
        <v>42846.440405092595</v>
      </c>
      <c r="J179" s="7">
        <v>1</v>
      </c>
      <c r="K179" s="97" t="str">
        <f t="shared" si="55"/>
        <v>4029/4030</v>
      </c>
      <c r="L179" s="21" t="str">
        <f>VLOOKUP(A179,'Trips&amp;Operators'!$C$1:$G$99999,5,FALSE)</f>
        <v>COOLAHAN JOHN</v>
      </c>
      <c r="M179" s="6">
        <f t="shared" si="56"/>
        <v>8.969907408754807E-3</v>
      </c>
      <c r="N179" s="7">
        <f t="shared" ref="N179:N210" si="74">24*60*SUM($M179:$M179)</f>
        <v>12.916666668606922</v>
      </c>
      <c r="O179" s="7"/>
      <c r="P179" s="7"/>
      <c r="Q179" s="22"/>
      <c r="R179" s="22"/>
      <c r="S179" s="31">
        <f t="shared" ref="S179:S210" si="75">SUM(U179:U179)/IF(AG179="EC",12,1)</f>
        <v>1</v>
      </c>
      <c r="T179" s="46" t="str">
        <f t="shared" si="57"/>
        <v>NorthBound</v>
      </c>
      <c r="U179" s="19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2" t="str">
        <f t="shared" si="58"/>
        <v>https://d0f6bd738d7f1b3e5a7ca70fe4ff75f0.us-east-1.aws.found.io/app/kibana#/discover/Steve-Slow-Train-Analysis-(2080s-and-2083s)?_g=(refreshInterval:(display:Off,pause:!f,section:0,value:0),time:(from:'2017-04-21T09:16:37-0600',mode:absolute,to:'2017-04-21T11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193" t="str">
        <f t="shared" si="59"/>
        <v>N</v>
      </c>
      <c r="X179" s="193">
        <f t="shared" si="73"/>
        <v>1</v>
      </c>
      <c r="Y179" s="193">
        <f t="shared" si="60"/>
        <v>0.1048</v>
      </c>
      <c r="Z179" s="62">
        <f t="shared" si="61"/>
        <v>5.8940999999999999</v>
      </c>
      <c r="AA179" s="62">
        <f t="shared" si="62"/>
        <v>5.7892999999999999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0815-21</v>
      </c>
      <c r="AE179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79" s="82" t="str">
        <f t="shared" si="65"/>
        <v>"C:\Program Files (x86)\AstroGrep\AstroGrep.exe" /e /r /s /spath="%USERPROFILE%\AppData\Local\Temp\OnboardLogs" /stypes="app*4030*20170421*" /stext=" 16:.+((SYSTEM_STATE.+slice.+state.+changed )|(ment ac)|(multiple cpu faults)|(system.+state.+changed )|(\[timeout)|(PRM\|1\|D)|(kpr)|(kdp)|(\|lc)|(penalty))"</v>
      </c>
      <c r="AG179" s="1" t="str">
        <f t="shared" si="66"/>
        <v>NW</v>
      </c>
      <c r="AH179" s="86" t="str">
        <f t="shared" si="67"/>
        <v>"%USERPROFILE%\Documents\GitHub\eaglep3\Utilities\RefineRTDCRunTimes.py" --tripid 815-21 --locoid 4030 --swversion DE.1.0.9.0 --startMP 204:1048 --initTime 2017-04-21T10:16:37 --startdatetime 2017-04-21T10:21:16 --delay 1 --endMP 300:58941 --enddatetime 2017-04-21T10:34:11 --enforcementcount 1 &gt;&gt;C:\Users\stu\Documents\GitHub\eaglep3-reporting\EC\2017-04-21-refined-times.txt</v>
      </c>
      <c r="AI179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{"issue":{"subject":"","project_id":79,"tracker_id":40,"status_id":1,"priority_id":2,"assigned_to_id":23,"start_date":"2017-04-21","description":"","custom_fields":[{"id":1,"name":"Subdivision","value":"NW"},{"id":4,"name":"Milepost","value":"5.8941"},{"id":17,"name":"Train ID","value":"815-21"},{"id":16,"name":"Locomotive ID","value":"4030"},{"id":130,"name":"Impact","value":""},{"id":150,"name":"Time of Event (Mountain Time)","value":"10:34:11"},{"id":151,"name":"Denver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8"/>
      <c r="AL179" s="48"/>
      <c r="AM179" s="147" t="str">
        <f t="shared" si="69"/>
        <v>start /low /b %USERPROFILE%\Documents\GitHub\eaglep3\Utilities\DownloadLogsFromS3.py --loco 4030 --day 2017-04-21</v>
      </c>
      <c r="AN179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3" t="s">
        <v>602</v>
      </c>
      <c r="B180" s="7">
        <v>4029</v>
      </c>
      <c r="C180" s="21" t="s">
        <v>212</v>
      </c>
      <c r="D180" s="21" t="s">
        <v>518</v>
      </c>
      <c r="E180" s="13">
        <v>42846.441446759258</v>
      </c>
      <c r="F180" s="13">
        <v>42846.442743055559</v>
      </c>
      <c r="G180" s="7">
        <v>1</v>
      </c>
      <c r="H180" s="21" t="s">
        <v>978</v>
      </c>
      <c r="I180" s="13">
        <v>42846.459872685184</v>
      </c>
      <c r="J180" s="7">
        <v>1</v>
      </c>
      <c r="K180" s="97" t="str">
        <f t="shared" si="55"/>
        <v>4029/4030</v>
      </c>
      <c r="L180" s="21" t="str">
        <f>VLOOKUP(A180,'Trips&amp;Operators'!$C$1:$G$99999,5,FALSE)</f>
        <v>COOLAHAN JOHN</v>
      </c>
      <c r="M180" s="6">
        <f t="shared" si="56"/>
        <v>1.7129629624832887E-2</v>
      </c>
      <c r="N180" s="7">
        <f t="shared" si="74"/>
        <v>24.666666659759358</v>
      </c>
      <c r="O180" s="7"/>
      <c r="P180" s="7"/>
      <c r="Q180" s="22"/>
      <c r="R180" s="22"/>
      <c r="S180" s="31">
        <f t="shared" si="75"/>
        <v>1</v>
      </c>
      <c r="T180" s="46" t="str">
        <f t="shared" si="57"/>
        <v>Southbound</v>
      </c>
      <c r="U180" s="19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2" t="str">
        <f t="shared" si="58"/>
        <v>https://d0f6bd738d7f1b3e5a7ca70fe4ff75f0.us-east-1.aws.found.io/app/kibana#/discover/Steve-Slow-Train-Analysis-(2080s-and-2083s)?_g=(refreshInterval:(display:Off,pause:!f,section:0,value:0),time:(from:'2017-04-21T09:35:41-0600',mode:absolute,to:'2017-04-21T12:02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193" t="str">
        <f t="shared" si="59"/>
        <v>N</v>
      </c>
      <c r="X180" s="193">
        <f t="shared" ref="X180:X211" si="76">VALUE(LEFT(AD180,4))-VALUE(LEFT(AD179,4))</f>
        <v>1</v>
      </c>
      <c r="Y180" s="193">
        <f t="shared" si="60"/>
        <v>5.8625999999999996</v>
      </c>
      <c r="Z180" s="62">
        <f t="shared" si="61"/>
        <v>8.2699999999999996E-2</v>
      </c>
      <c r="AA180" s="62">
        <f t="shared" si="62"/>
        <v>5.7798999999999996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0816-21</v>
      </c>
      <c r="AE180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80" s="82" t="str">
        <f t="shared" si="65"/>
        <v>"C:\Program Files (x86)\AstroGrep\AstroGrep.exe" /e /r /s /spath="%USERPROFILE%\AppData\Local\Temp\OnboardLogs" /stypes="app*4029*20170421*" /stext=" 17:.+((SYSTEM_STATE.+slice.+state.+changed )|(ment ac)|(multiple cpu faults)|(system.+state.+changed )|(\[timeout)|(PRM\|1\|D)|(kpr)|(kdp)|(\|lc)|(penalty))"</v>
      </c>
      <c r="AG180" s="1" t="str">
        <f t="shared" si="66"/>
        <v>NW</v>
      </c>
      <c r="AH180" s="86" t="str">
        <f t="shared" si="67"/>
        <v>"%USERPROFILE%\Documents\GitHub\eaglep3\Utilities\RefineRTDCRunTimes.py" --tripid 816-21 --locoid 4029 --swversion DE.1.0.9.0 --startMP 300:58626 --initTime 2017-04-21T10:35:41 --startdatetime 2017-04-21T10:37:33 --delay 1 --endMP 204:827 --enddatetime 2017-04-21T11:02:13 --enforcementcount 1 &gt;&gt;C:\Users\stu\Documents\GitHub\eaglep3-reporting\EC\2017-04-21-refined-times.txt</v>
      </c>
      <c r="AI180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{"issue":{"subject":"","project_id":79,"tracker_id":40,"status_id":1,"priority_id":2,"assigned_to_id":23,"start_date":"2017-04-21","description":"","custom_fields":[{"id":1,"name":"Subdivision","value":"NW"},{"id":4,"name":"Milepost","value":"0.0827"},{"id":17,"name":"Train ID","value":"816-21"},{"id":16,"name":"Locomotive ID","value":"4029"},{"id":130,"name":"Impact","value":""},{"id":150,"name":"Time of Event (Mountain Time)","value":"11:02:13"},{"id":151,"name":"Denver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47" t="str">
        <f t="shared" si="69"/>
        <v>start /low /b %USERPROFILE%\Documents\GitHub\eaglep3\Utilities\DownloadLogsFromS3.py --loco 4029 --day 2017-04-21</v>
      </c>
      <c r="AN180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17:02:13"},{"id":29,"name":"Sharepoint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716</v>
      </c>
      <c r="B181" s="7">
        <v>4030</v>
      </c>
      <c r="C181" s="21" t="s">
        <v>212</v>
      </c>
      <c r="D181" s="21" t="s">
        <v>979</v>
      </c>
      <c r="E181" s="13">
        <v>42846.470439814817</v>
      </c>
      <c r="F181" s="13">
        <v>42846.473298611112</v>
      </c>
      <c r="G181" s="7">
        <v>1</v>
      </c>
      <c r="H181" s="21" t="s">
        <v>976</v>
      </c>
      <c r="I181" s="13">
        <v>42846.48228009259</v>
      </c>
      <c r="J181" s="7">
        <v>1</v>
      </c>
      <c r="K181" s="97" t="str">
        <f t="shared" si="55"/>
        <v>4029/4030</v>
      </c>
      <c r="L181" s="21" t="str">
        <f>VLOOKUP(A181,'Trips&amp;Operators'!$C$1:$G$99999,5,FALSE)</f>
        <v>COOLAHAN JOHN</v>
      </c>
      <c r="M181" s="6">
        <f t="shared" si="56"/>
        <v>8.9814814782585017E-3</v>
      </c>
      <c r="N181" s="7">
        <f t="shared" si="74"/>
        <v>12.933333328692243</v>
      </c>
      <c r="O181" s="7"/>
      <c r="P181" s="7"/>
      <c r="Q181" s="22"/>
      <c r="R181" s="22"/>
      <c r="S181" s="31">
        <f t="shared" si="75"/>
        <v>1</v>
      </c>
      <c r="T181" s="46" t="str">
        <f t="shared" si="57"/>
        <v>NorthBound</v>
      </c>
      <c r="U181" s="19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2" t="str">
        <f t="shared" si="58"/>
        <v>https://d0f6bd738d7f1b3e5a7ca70fe4ff75f0.us-east-1.aws.found.io/app/kibana#/discover/Steve-Slow-Train-Analysis-(2080s-and-2083s)?_g=(refreshInterval:(display:Off,pause:!f,section:0,value:0),time:(from:'2017-04-21T10:17:26-0600',mode:absolute,to:'2017-04-21T12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193" t="str">
        <f t="shared" si="59"/>
        <v>N</v>
      </c>
      <c r="X181" s="193">
        <f t="shared" si="76"/>
        <v>1</v>
      </c>
      <c r="Y181" s="193">
        <f t="shared" si="60"/>
        <v>0.113</v>
      </c>
      <c r="Z181" s="62">
        <f t="shared" si="61"/>
        <v>5.8940999999999999</v>
      </c>
      <c r="AA181" s="62">
        <f t="shared" si="62"/>
        <v>5.7810999999999995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0817-21</v>
      </c>
      <c r="AE181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81" s="82" t="str">
        <f t="shared" si="65"/>
        <v>"C:\Program Files (x86)\AstroGrep\AstroGrep.exe" /e /r /s /spath="%USERPROFILE%\AppData\Local\Temp\OnboardLogs" /stypes="app*4030*20170421*" /stext=" 17:.+((SYSTEM_STATE.+slice.+state.+changed )|(ment ac)|(multiple cpu faults)|(system.+state.+changed )|(\[timeout)|(PRM\|1\|D)|(kpr)|(kdp)|(\|lc)|(penalty))"</v>
      </c>
      <c r="AG181" s="1" t="str">
        <f t="shared" si="66"/>
        <v>NW</v>
      </c>
      <c r="AH181" s="86" t="str">
        <f t="shared" si="67"/>
        <v>"%USERPROFILE%\Documents\GitHub\eaglep3\Utilities\RefineRTDCRunTimes.py" --tripid 817-21 --locoid 4030 --swversion DE.1.0.9.0 --startMP 204:1130 --initTime 2017-04-21T11:17:26 --startdatetime 2017-04-21T11:21:33 --delay 1 --endMP 300:58941 --enddatetime 2017-04-21T11:34:29 --enforcementcount 1 &gt;&gt;C:\Users\stu\Documents\GitHub\eaglep3-reporting\EC\2017-04-21-refined-times.txt</v>
      </c>
      <c r="AI181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{"issue":{"subject":"","project_id":79,"tracker_id":40,"status_id":1,"priority_id":2,"assigned_to_id":23,"start_date":"2017-04-21","description":"","custom_fields":[{"id":1,"name":"Subdivision","value":"NW"},{"id":4,"name":"Milepost","value":"5.8941"},{"id":17,"name":"Train ID","value":"817-21"},{"id":16,"name":"Locomotive ID","value":"4030"},{"id":130,"name":"Impact","value":""},{"id":150,"name":"Time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47" t="str">
        <f t="shared" si="69"/>
        <v>start /low /b %USERPROFILE%\Documents\GitHub\eaglep3\Utilities\DownloadLogsFromS3.py --loco 4030 --day 2017-04-21</v>
      </c>
      <c r="AN181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719</v>
      </c>
      <c r="B182" s="7">
        <v>4029</v>
      </c>
      <c r="C182" s="21" t="s">
        <v>212</v>
      </c>
      <c r="D182" s="21" t="s">
        <v>528</v>
      </c>
      <c r="E182" s="13">
        <v>42846.483564814815</v>
      </c>
      <c r="F182" s="13">
        <v>42846.484861111108</v>
      </c>
      <c r="G182" s="7">
        <v>1</v>
      </c>
      <c r="H182" s="21" t="s">
        <v>489</v>
      </c>
      <c r="I182" s="13">
        <v>42846.496215277781</v>
      </c>
      <c r="J182" s="7">
        <v>1</v>
      </c>
      <c r="K182" s="97" t="str">
        <f t="shared" si="55"/>
        <v>4029/4030</v>
      </c>
      <c r="L182" s="21" t="str">
        <f>VLOOKUP(A182,'Trips&amp;Operators'!$C$1:$G$99999,5,FALSE)</f>
        <v>COOLAHAN JOHN</v>
      </c>
      <c r="M182" s="6">
        <f t="shared" si="56"/>
        <v>1.135416667239042E-2</v>
      </c>
      <c r="N182" s="7">
        <f t="shared" si="74"/>
        <v>16.350000008242205</v>
      </c>
      <c r="O182" s="7"/>
      <c r="P182" s="7"/>
      <c r="Q182" s="22"/>
      <c r="R182" s="22"/>
      <c r="S182" s="31">
        <f t="shared" si="75"/>
        <v>1</v>
      </c>
      <c r="T182" s="46" t="str">
        <f t="shared" si="57"/>
        <v>Southbound</v>
      </c>
      <c r="U182" s="19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2" t="str">
        <f t="shared" si="58"/>
        <v>https://d0f6bd738d7f1b3e5a7ca70fe4ff75f0.us-east-1.aws.found.io/app/kibana#/discover/Steve-Slow-Train-Analysis-(2080s-and-2083s)?_g=(refreshInterval:(display:Off,pause:!f,section:0,value:0),time:(from:'2017-04-21T10:36:20-0600',mode:absolute,to:'2017-04-21T12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93" t="str">
        <f t="shared" si="59"/>
        <v>N</v>
      </c>
      <c r="X182" s="193">
        <f t="shared" si="76"/>
        <v>1</v>
      </c>
      <c r="Y182" s="193">
        <f t="shared" si="60"/>
        <v>5.8615000000000004</v>
      </c>
      <c r="Z182" s="62">
        <f t="shared" si="61"/>
        <v>6.9599999999999995E-2</v>
      </c>
      <c r="AA182" s="62">
        <f t="shared" si="62"/>
        <v>5.7919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0818-21</v>
      </c>
      <c r="AE182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82" s="82" t="str">
        <f t="shared" si="65"/>
        <v>"C:\Program Files (x86)\AstroGrep\AstroGrep.exe" /e /r /s /spath="%USERPROFILE%\AppData\Local\Temp\OnboardLogs" /stypes="app*4029*20170421*" /stext=" 17:.+((SYSTEM_STATE.+slice.+state.+changed )|(ment ac)|(multiple cpu faults)|(system.+state.+changed )|(\[timeout)|(PRM\|1\|D)|(kpr)|(kdp)|(\|lc)|(penalty))"</v>
      </c>
      <c r="AG182" s="1" t="str">
        <f t="shared" si="66"/>
        <v>NW</v>
      </c>
      <c r="AH182" s="86" t="str">
        <f t="shared" si="67"/>
        <v>"%USERPROFILE%\Documents\GitHub\eaglep3\Utilities\RefineRTDCRunTimes.py" --tripid 818-21 --locoid 4029 --swversion DE.1.0.9.0 --startMP 300:58615 --initTime 2017-04-21T11:36:20 --startdatetime 2017-04-21T11:38:12 --delay 1 --endMP 204:696 --enddatetime 2017-04-21T11:54:33 --enforcementcount 1 &gt;&gt;C:\Users\stu\Documents\GitHub\eaglep3-reporting\EC\2017-04-21-refined-times.txt</v>
      </c>
      <c r="AI182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{"issue":{"subject":"","project_id":79,"tracker_id":40,"status_id":1,"priority_id":2,"assigned_to_id":23,"start_date":"2017-04-21","description":"","custom_fields":[{"id":1,"name":"Subdivision","value":"NW"},{"id":4,"name":"Milepost","value":"0.0696"},{"id":17,"name":"Train ID","value":"818-21"},{"id":16,"name":"Locomotive ID","value":"4029"},{"id":130,"name":"Impact","value":""},{"id":150,"name":"Time of Event (Mountain Time)","value":"11:54:33"},{"id":151,"name":"Denver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47" t="str">
        <f t="shared" si="69"/>
        <v>start /low /b %USERPROFILE%\Documents\GitHub\eaglep3\Utilities\DownloadLogsFromS3.py --loco 4029 --day 2017-04-21</v>
      </c>
      <c r="AN182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727</v>
      </c>
      <c r="B183" s="7">
        <v>4030</v>
      </c>
      <c r="C183" s="21" t="s">
        <v>212</v>
      </c>
      <c r="D183" s="21" t="s">
        <v>519</v>
      </c>
      <c r="E183" s="13">
        <v>42846.510636574072</v>
      </c>
      <c r="F183" s="13">
        <v>42846.514780092592</v>
      </c>
      <c r="G183" s="7">
        <v>1</v>
      </c>
      <c r="H183" s="21" t="s">
        <v>486</v>
      </c>
      <c r="I183" s="13">
        <v>42846.523796296293</v>
      </c>
      <c r="J183" s="7">
        <v>1</v>
      </c>
      <c r="K183" s="97" t="str">
        <f t="shared" si="55"/>
        <v>4029/4030</v>
      </c>
      <c r="L183" s="21" t="str">
        <f>VLOOKUP(A183,'Trips&amp;Operators'!$C$1:$G$99999,5,FALSE)</f>
        <v>COOLAHAN JOHN</v>
      </c>
      <c r="M183" s="6">
        <f t="shared" si="56"/>
        <v>9.0162037013215013E-3</v>
      </c>
      <c r="N183" s="7">
        <f t="shared" si="74"/>
        <v>12.983333329902962</v>
      </c>
      <c r="O183" s="7"/>
      <c r="P183" s="7"/>
      <c r="Q183" s="22"/>
      <c r="R183" s="22"/>
      <c r="S183" s="31">
        <f t="shared" si="75"/>
        <v>1</v>
      </c>
      <c r="T183" s="46" t="str">
        <f t="shared" si="57"/>
        <v>NorthBound</v>
      </c>
      <c r="U183" s="19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2" t="str">
        <f t="shared" si="58"/>
        <v>https://d0f6bd738d7f1b3e5a7ca70fe4ff75f0.us-east-1.aws.found.io/app/kibana#/discover/Steve-Slow-Train-Analysis-(2080s-and-2083s)?_g=(refreshInterval:(display:Off,pause:!f,section:0,value:0),time:(from:'2017-04-21T11:15:19-0600',mode:absolute,to:'2017-04-21T13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193" t="str">
        <f t="shared" si="59"/>
        <v>N</v>
      </c>
      <c r="X183" s="193">
        <f t="shared" si="76"/>
        <v>1</v>
      </c>
      <c r="Y183" s="193">
        <f t="shared" si="60"/>
        <v>9.8100000000000007E-2</v>
      </c>
      <c r="Z183" s="62">
        <f t="shared" si="61"/>
        <v>5.8948</v>
      </c>
      <c r="AA183" s="62">
        <f t="shared" si="62"/>
        <v>5.7967000000000004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0819-21</v>
      </c>
      <c r="AE183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83" s="82" t="str">
        <f t="shared" si="65"/>
        <v>"C:\Program Files (x86)\AstroGrep\AstroGrep.exe" /e /r /s /spath="%USERPROFILE%\AppData\Local\Temp\OnboardLogs" /stypes="app*4030*20170421*" /stext=" 18:.+((SYSTEM_STATE.+slice.+state.+changed )|(ment ac)|(multiple cpu faults)|(system.+state.+changed )|(\[timeout)|(PRM\|1\|D)|(kpr)|(kdp)|(\|lc)|(penalty))"</v>
      </c>
      <c r="AG183" s="1" t="str">
        <f t="shared" si="66"/>
        <v>NW</v>
      </c>
      <c r="AH183" s="86" t="str">
        <f t="shared" si="67"/>
        <v>"%USERPROFILE%\Documents\GitHub\eaglep3\Utilities\RefineRTDCRunTimes.py" --tripid 819-21 --locoid 4030 --swversion DE.1.0.9.0 --startMP 204:981 --initTime 2017-04-21T12:15:19 --startdatetime 2017-04-21T12:21:17 --delay 1 --endMP 300:58948 --enddatetime 2017-04-21T12:34:16 --enforcementcount 1 &gt;&gt;C:\Users\stu\Documents\GitHub\eaglep3-reporting\EC\2017-04-21-refined-times.txt</v>
      </c>
      <c r="AI183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{"issue":{"subject":"","project_id":79,"tracker_id":40,"status_id":1,"priority_id":2,"assigned_to_id":23,"start_date":"2017-04-21","description":"","custom_fields":[{"id":1,"name":"Subdivision","value":"NW"},{"id":4,"name":"Milepost","value":"5.8948"},{"id":17,"name":"Train ID","value":"819-21"},{"id":16,"name":"Locomotive ID","value":"4030"},{"id":130,"name":"Impact","value":""},{"id":150,"name":"Time of Event (Mountain Time)","value":"12:34:16"},{"id":151,"name":"Denver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47" t="str">
        <f t="shared" si="69"/>
        <v>start /low /b %USERPROFILE%\Documents\GitHub\eaglep3\Utilities\DownloadLogsFromS3.py --loco 4030 --day 2017-04-21</v>
      </c>
      <c r="AN183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606</v>
      </c>
      <c r="B184" s="7">
        <v>4029</v>
      </c>
      <c r="C184" s="21" t="s">
        <v>212</v>
      </c>
      <c r="D184" s="21" t="s">
        <v>520</v>
      </c>
      <c r="E184" s="13">
        <v>42846.524942129632</v>
      </c>
      <c r="F184" s="13">
        <v>42846.526446759257</v>
      </c>
      <c r="G184" s="7">
        <v>1</v>
      </c>
      <c r="H184" s="21" t="s">
        <v>980</v>
      </c>
      <c r="I184" s="13">
        <v>42846.537928240738</v>
      </c>
      <c r="J184" s="7">
        <v>1</v>
      </c>
      <c r="K184" s="97" t="str">
        <f t="shared" si="55"/>
        <v>4029/4030</v>
      </c>
      <c r="L184" s="21" t="str">
        <f>VLOOKUP(A184,'Trips&amp;Operators'!$C$1:$G$99999,5,FALSE)</f>
        <v>COOLAHAN JOHN</v>
      </c>
      <c r="M184" s="6">
        <f t="shared" si="56"/>
        <v>1.1481481480586808E-2</v>
      </c>
      <c r="N184" s="7">
        <f t="shared" si="74"/>
        <v>16.533333332045004</v>
      </c>
      <c r="O184" s="7"/>
      <c r="P184" s="7"/>
      <c r="Q184" s="22"/>
      <c r="R184" s="22"/>
      <c r="S184" s="31">
        <f t="shared" si="75"/>
        <v>1</v>
      </c>
      <c r="T184" s="46" t="str">
        <f t="shared" si="57"/>
        <v>Southbound</v>
      </c>
      <c r="U184" s="19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2" t="str">
        <f t="shared" si="58"/>
        <v>https://d0f6bd738d7f1b3e5a7ca70fe4ff75f0.us-east-1.aws.found.io/app/kibana#/discover/Steve-Slow-Train-Analysis-(2080s-and-2083s)?_g=(refreshInterval:(display:Off,pause:!f,section:0,value:0),time:(from:'2017-04-21T11:35:55-0600',mode:absolute,to:'2017-04-21T13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193" t="str">
        <f t="shared" si="59"/>
        <v>N</v>
      </c>
      <c r="X184" s="193">
        <f t="shared" si="76"/>
        <v>1</v>
      </c>
      <c r="Y184" s="193">
        <f t="shared" si="60"/>
        <v>5.8632</v>
      </c>
      <c r="Z184" s="62">
        <f t="shared" si="61"/>
        <v>7.3400000000000007E-2</v>
      </c>
      <c r="AA184" s="62">
        <f t="shared" si="62"/>
        <v>5.7897999999999996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0820-21</v>
      </c>
      <c r="AE184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84" s="82" t="str">
        <f t="shared" si="65"/>
        <v>"C:\Program Files (x86)\AstroGrep\AstroGrep.exe" /e /r /s /spath="%USERPROFILE%\AppData\Local\Temp\OnboardLogs" /stypes="app*4029*20170421*" /stext=" 18:.+((SYSTEM_STATE.+slice.+state.+changed )|(ment ac)|(multiple cpu faults)|(system.+state.+changed )|(\[timeout)|(PRM\|1\|D)|(kpr)|(kdp)|(\|lc)|(penalty))"</v>
      </c>
      <c r="AG184" s="1" t="str">
        <f t="shared" si="66"/>
        <v>NW</v>
      </c>
      <c r="AH184" s="86" t="str">
        <f t="shared" si="67"/>
        <v>"%USERPROFILE%\Documents\GitHub\eaglep3\Utilities\RefineRTDCRunTimes.py" --tripid 820-21 --locoid 4029 --swversion DE.1.0.9.0 --startMP 300:58632 --initTime 2017-04-21T12:35:55 --startdatetime 2017-04-21T12:38:05 --delay 1 --endMP 204:734 --enddatetime 2017-04-21T12:54:37 --enforcementcount 1 &gt;&gt;C:\Users\stu\Documents\GitHub\eaglep3-reporting\EC\2017-04-21-refined-times.txt</v>
      </c>
      <c r="AI184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{"issue":{"subject":"","project_id":79,"tracker_id":40,"status_id":1,"priority_id":2,"assigned_to_id":23,"start_date":"2017-04-21","description":"","custom_fields":[{"id":1,"name":"Subdivision","value":"NW"},{"id":4,"name":"Milepost","value":"0.0734"},{"id":17,"name":"Train ID","value":"820-21"},{"id":16,"name":"Locomotive ID","value":"4029"},{"id":130,"name":"Impact","value":""},{"id":150,"name":"Time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47" t="str">
        <f t="shared" si="69"/>
        <v>start /low /b %USERPROFILE%\Documents\GitHub\eaglep3\Utilities\DownloadLogsFromS3.py --loco 4029 --day 2017-04-21</v>
      </c>
      <c r="AN184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609</v>
      </c>
      <c r="B185" s="7">
        <v>4030</v>
      </c>
      <c r="C185" s="21" t="s">
        <v>212</v>
      </c>
      <c r="D185" s="21" t="s">
        <v>981</v>
      </c>
      <c r="E185" s="13">
        <v>42846.550358796296</v>
      </c>
      <c r="F185" s="13">
        <v>42846.556458333333</v>
      </c>
      <c r="G185" s="7">
        <v>1</v>
      </c>
      <c r="H185" s="21" t="s">
        <v>517</v>
      </c>
      <c r="I185" s="13">
        <v>42846.567650462966</v>
      </c>
      <c r="J185" s="7">
        <v>1</v>
      </c>
      <c r="K185" s="97" t="str">
        <f t="shared" si="55"/>
        <v>4029/4030</v>
      </c>
      <c r="L185" s="21" t="str">
        <f>VLOOKUP(A185,'Trips&amp;Operators'!$C$1:$G$99999,5,FALSE)</f>
        <v>THOMPSON LESTER</v>
      </c>
      <c r="M185" s="6">
        <f t="shared" si="56"/>
        <v>1.1192129633855075E-2</v>
      </c>
      <c r="N185" s="7">
        <f t="shared" si="74"/>
        <v>16.116666672751307</v>
      </c>
      <c r="O185" s="7"/>
      <c r="P185" s="7"/>
      <c r="Q185" s="22"/>
      <c r="R185" s="22"/>
      <c r="S185" s="31">
        <f t="shared" si="75"/>
        <v>1</v>
      </c>
      <c r="T185" s="46" t="str">
        <f t="shared" si="57"/>
        <v>NorthBound</v>
      </c>
      <c r="U185" s="19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2" t="str">
        <f t="shared" si="58"/>
        <v>https://d0f6bd738d7f1b3e5a7ca70fe4ff75f0.us-east-1.aws.found.io/app/kibana#/discover/Steve-Slow-Train-Analysis-(2080s-and-2083s)?_g=(refreshInterval:(display:Off,pause:!f,section:0,value:0),time:(from:'2017-04-21T12:12:31-0600',mode:absolute,to:'2017-04-21T14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193" t="str">
        <f t="shared" si="59"/>
        <v>N</v>
      </c>
      <c r="X185" s="193">
        <f t="shared" si="76"/>
        <v>1</v>
      </c>
      <c r="Y185" s="193">
        <f t="shared" si="60"/>
        <v>0.1002</v>
      </c>
      <c r="Z185" s="62">
        <f t="shared" si="61"/>
        <v>5.8959999999999999</v>
      </c>
      <c r="AA185" s="62">
        <f t="shared" si="62"/>
        <v>5.7957999999999998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0821-21</v>
      </c>
      <c r="AE185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85" s="82" t="str">
        <f t="shared" si="65"/>
        <v>"C:\Program Files (x86)\AstroGrep\AstroGrep.exe" /e /r /s /spath="%USERPROFILE%\AppData\Local\Temp\OnboardLogs" /stypes="app*4030*20170421*" /stext=" 19:.+((SYSTEM_STATE.+slice.+state.+changed )|(ment ac)|(multiple cpu faults)|(system.+state.+changed )|(\[timeout)|(PRM\|1\|D)|(kpr)|(kdp)|(\|lc)|(penalty))"</v>
      </c>
      <c r="AG185" s="1" t="str">
        <f t="shared" si="66"/>
        <v>NW</v>
      </c>
      <c r="AH185" s="86" t="str">
        <f t="shared" si="67"/>
        <v>"%USERPROFILE%\Documents\GitHub\eaglep3\Utilities\RefineRTDCRunTimes.py" --tripid 821-21 --locoid 4030 --swversion DE.1.0.9.0 --startMP 204:1002 --initTime 2017-04-21T13:12:31 --startdatetime 2017-04-21T13:21:18 --delay 1 --endMP 300:58960 --enddatetime 2017-04-21T13:37:25 --enforcementcount 1 &gt;&gt;C:\Users\stu\Documents\GitHub\eaglep3-reporting\EC\2017-04-21-refined-times.txt</v>
      </c>
      <c r="AI185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{"issue":{"subject":"","project_id":79,"tracker_id":40,"status_id":1,"priority_id":2,"assigned_to_id":23,"start_date":"2017-04-21","description":"","custom_fields":[{"id":1,"name":"Subdivision","value":"NW"},{"id":4,"name":"Milepost","value":"5.896"},{"id":17,"name":"Train ID","value":"821-21"},{"id":16,"name":"Locomotive ID","value":"4030"},{"id":130,"name":"Impact","value":""},{"id":150,"name":"Time of Event (Mountain Time)","value":"13:37:25"},{"id":151,"name":"Denver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47" t="str">
        <f t="shared" si="69"/>
        <v>start /low /b %USERPROFILE%\Documents\GitHub\eaglep3\Utilities\DownloadLogsFromS3.py --loco 4030 --day 2017-04-21</v>
      </c>
      <c r="AN185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737</v>
      </c>
      <c r="B186" s="7">
        <v>4029</v>
      </c>
      <c r="C186" s="21" t="s">
        <v>212</v>
      </c>
      <c r="D186" s="21" t="s">
        <v>524</v>
      </c>
      <c r="E186" s="13">
        <v>42846.568599537037</v>
      </c>
      <c r="F186" s="13">
        <v>42846.570393518516</v>
      </c>
      <c r="G186" s="7">
        <v>1</v>
      </c>
      <c r="H186" s="21" t="s">
        <v>521</v>
      </c>
      <c r="I186" s="13">
        <v>42846.580520833333</v>
      </c>
      <c r="J186" s="7">
        <v>1</v>
      </c>
      <c r="K186" s="97" t="str">
        <f t="shared" si="55"/>
        <v>4029/4030</v>
      </c>
      <c r="L186" s="21" t="str">
        <f>VLOOKUP(A186,'Trips&amp;Operators'!$C$1:$G$99999,5,FALSE)</f>
        <v>THOMPSON LESTER</v>
      </c>
      <c r="M186" s="6">
        <f t="shared" si="56"/>
        <v>1.0127314817509614E-2</v>
      </c>
      <c r="N186" s="7">
        <f t="shared" si="74"/>
        <v>14.583333337213844</v>
      </c>
      <c r="O186" s="7"/>
      <c r="P186" s="7"/>
      <c r="Q186" s="22"/>
      <c r="R186" s="22"/>
      <c r="S186" s="31">
        <f t="shared" si="75"/>
        <v>1</v>
      </c>
      <c r="T186" s="46" t="str">
        <f t="shared" si="57"/>
        <v>Southbound</v>
      </c>
      <c r="U186" s="19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2" t="str">
        <f t="shared" si="58"/>
        <v>https://d0f6bd738d7f1b3e5a7ca70fe4ff75f0.us-east-1.aws.found.io/app/kibana#/discover/Steve-Slow-Train-Analysis-(2080s-and-2083s)?_g=(refreshInterval:(display:Off,pause:!f,section:0,value:0),time:(from:'2017-04-21T12:38:47-0600',mode:absolute,to:'2017-04-21T14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193" t="str">
        <f t="shared" si="59"/>
        <v>N</v>
      </c>
      <c r="X186" s="193">
        <f t="shared" si="76"/>
        <v>1</v>
      </c>
      <c r="Y186" s="193">
        <f t="shared" si="60"/>
        <v>5.8640999999999996</v>
      </c>
      <c r="Z186" s="62">
        <f t="shared" si="61"/>
        <v>6.8900000000000003E-2</v>
      </c>
      <c r="AA186" s="62">
        <f t="shared" si="62"/>
        <v>5.7951999999999995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0822-21</v>
      </c>
      <c r="AE186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86" s="82" t="str">
        <f t="shared" si="65"/>
        <v>"C:\Program Files (x86)\AstroGrep\AstroGrep.exe" /e /r /s /spath="%USERPROFILE%\AppData\Local\Temp\OnboardLogs" /stypes="app*4029*20170421*" /stext=" 19:.+((SYSTEM_STATE.+slice.+state.+changed )|(ment ac)|(multiple cpu faults)|(system.+state.+changed )|(\[timeout)|(PRM\|1\|D)|(kpr)|(kdp)|(\|lc)|(penalty))"</v>
      </c>
      <c r="AG186" s="1" t="str">
        <f t="shared" si="66"/>
        <v>NW</v>
      </c>
      <c r="AH186" s="86" t="str">
        <f t="shared" si="67"/>
        <v>"%USERPROFILE%\Documents\GitHub\eaglep3\Utilities\RefineRTDCRunTimes.py" --tripid 822-21 --locoid 4029 --swversion DE.1.0.9.0 --startMP 300:58641 --initTime 2017-04-21T13:38:47 --startdatetime 2017-04-21T13:41:22 --delay 1 --endMP 204:689 --enddatetime 2017-04-21T13:55:57 --enforcementcount 1 &gt;&gt;C:\Users\stu\Documents\GitHub\eaglep3-reporting\EC\2017-04-21-refined-times.txt</v>
      </c>
      <c r="AI186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{"issue":{"subject":"","project_id":79,"tracker_id":40,"status_id":1,"priority_id":2,"assigned_to_id":23,"start_date":"2017-04-21","description":"","custom_fields":[{"id":1,"name":"Subdivision","value":"NW"},{"id":4,"name":"Milepost","value":"0.0689"},{"id":17,"name":"Train ID","value":"822-21"},{"id":16,"name":"Locomotive ID","value":"4029"},{"id":130,"name":"Impact","value":""},{"id":150,"name":"Time of Event (Mountain Time)","value":"13:55:57"},{"id":151,"name":"Denver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47" t="str">
        <f t="shared" si="69"/>
        <v>start /low /b %USERPROFILE%\Documents\GitHub\eaglep3\Utilities\DownloadLogsFromS3.py --loco 4029 --day 2017-04-21</v>
      </c>
      <c r="AN186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19:55:57"},{"id":29,"name":"Sharepoint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740</v>
      </c>
      <c r="B187" s="7">
        <v>4030</v>
      </c>
      <c r="C187" s="21" t="s">
        <v>212</v>
      </c>
      <c r="D187" s="21" t="s">
        <v>519</v>
      </c>
      <c r="E187" s="13">
        <v>42846.586840277778</v>
      </c>
      <c r="F187" s="13">
        <v>42846.598124999997</v>
      </c>
      <c r="G187" s="7">
        <v>1</v>
      </c>
      <c r="H187" s="21" t="s">
        <v>575</v>
      </c>
      <c r="I187" s="13">
        <v>42846.607291666667</v>
      </c>
      <c r="J187" s="7">
        <v>1</v>
      </c>
      <c r="K187" s="97" t="str">
        <f t="shared" si="55"/>
        <v>4029/4030</v>
      </c>
      <c r="L187" s="21" t="str">
        <f>VLOOKUP(A187,'Trips&amp;Operators'!$C$1:$G$99999,5,FALSE)</f>
        <v>THOMPSON LESTER</v>
      </c>
      <c r="M187" s="6">
        <f t="shared" si="56"/>
        <v>9.1666666703531519E-3</v>
      </c>
      <c r="N187" s="7">
        <f t="shared" si="74"/>
        <v>13.200000005308539</v>
      </c>
      <c r="O187" s="7"/>
      <c r="P187" s="7"/>
      <c r="Q187" s="22"/>
      <c r="R187" s="22"/>
      <c r="S187" s="31">
        <f t="shared" si="75"/>
        <v>1</v>
      </c>
      <c r="T187" s="46" t="str">
        <f t="shared" si="57"/>
        <v>NorthBound</v>
      </c>
      <c r="U187" s="19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2" t="str">
        <f t="shared" si="58"/>
        <v>https://d0f6bd738d7f1b3e5a7ca70fe4ff75f0.us-east-1.aws.found.io/app/kibana#/discover/Steve-Slow-Train-Analysis-(2080s-and-2083s)?_g=(refreshInterval:(display:Off,pause:!f,section:0,value:0),time:(from:'2017-04-21T13:05:03-0600',mode:absolute,to:'2017-04-21T15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93" t="str">
        <f t="shared" si="59"/>
        <v>N</v>
      </c>
      <c r="X187" s="193">
        <f t="shared" si="76"/>
        <v>1</v>
      </c>
      <c r="Y187" s="193">
        <f t="shared" si="60"/>
        <v>9.8100000000000007E-2</v>
      </c>
      <c r="Z187" s="62">
        <f t="shared" si="61"/>
        <v>5.8963000000000001</v>
      </c>
      <c r="AA187" s="62">
        <f t="shared" si="62"/>
        <v>5.7982000000000005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0823-21</v>
      </c>
      <c r="AE187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87" s="82" t="str">
        <f t="shared" si="65"/>
        <v>"C:\Program Files (x86)\AstroGrep\AstroGrep.exe" /e /r /s /spath="%USERPROFILE%\AppData\Local\Temp\OnboardLogs" /stypes="app*4030*20170421*" /stext=" 20:.+((SYSTEM_STATE.+slice.+state.+changed )|(ment ac)|(multiple cpu faults)|(system.+state.+changed )|(\[timeout)|(PRM\|1\|D)|(kpr)|(kdp)|(\|lc)|(penalty))"</v>
      </c>
      <c r="AG187" s="1" t="str">
        <f t="shared" si="66"/>
        <v>NW</v>
      </c>
      <c r="AH187" s="86" t="str">
        <f t="shared" si="67"/>
        <v>"%USERPROFILE%\Documents\GitHub\eaglep3\Utilities\RefineRTDCRunTimes.py" --tripid 823-21 --locoid 4030 --swversion DE.1.0.9.0 --startMP 204:981 --initTime 2017-04-21T14:05:03 --startdatetime 2017-04-21T14:21:18 --delay 1 --endMP 300:58963 --enddatetime 2017-04-21T14:34:30 --enforcementcount 1 &gt;&gt;C:\Users\stu\Documents\GitHub\eaglep3-reporting\EC\2017-04-21-refined-times.txt</v>
      </c>
      <c r="AI187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{"issue":{"subject":"","project_id":79,"tracker_id":40,"status_id":1,"priority_id":2,"assigned_to_id":23,"start_date":"2017-04-21","description":"","custom_fields":[{"id":1,"name":"Subdivision","value":"NW"},{"id":4,"name":"Milepost","value":"5.8963"},{"id":17,"name":"Train ID","value":"823-21"},{"id":16,"name":"Locomotive ID","value":"4030"},{"id":130,"name":"Impact","value":""},{"id":150,"name":"Time of Event (Mountain Time)","value":"14:34:30"},{"id":151,"name":"Denver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47" t="str">
        <f t="shared" si="69"/>
        <v>start /low /b %USERPROFILE%\Documents\GitHub\eaglep3\Utilities\DownloadLogsFromS3.py --loco 4030 --day 2017-04-21</v>
      </c>
      <c r="AN187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612</v>
      </c>
      <c r="B188" s="7">
        <v>4029</v>
      </c>
      <c r="C188" s="21" t="s">
        <v>212</v>
      </c>
      <c r="D188" s="21" t="s">
        <v>579</v>
      </c>
      <c r="E188" s="13">
        <v>42846.608055555553</v>
      </c>
      <c r="F188" s="13">
        <v>42846.609479166669</v>
      </c>
      <c r="G188" s="7">
        <v>1</v>
      </c>
      <c r="H188" s="21" t="s">
        <v>846</v>
      </c>
      <c r="I188" s="13">
        <v>42846.62158564815</v>
      </c>
      <c r="J188" s="7">
        <v>1</v>
      </c>
      <c r="K188" s="97" t="str">
        <f t="shared" si="55"/>
        <v>4029/4030</v>
      </c>
      <c r="L188" s="21" t="str">
        <f>VLOOKUP(A188,'Trips&amp;Operators'!$C$1:$G$99999,5,FALSE)</f>
        <v>THOMPSON LESTER</v>
      </c>
      <c r="M188" s="6">
        <f t="shared" si="56"/>
        <v>1.2106481481168885E-2</v>
      </c>
      <c r="N188" s="7">
        <f t="shared" si="74"/>
        <v>17.433333332883194</v>
      </c>
      <c r="O188" s="7"/>
      <c r="P188" s="7"/>
      <c r="Q188" s="22"/>
      <c r="R188" s="22"/>
      <c r="S188" s="31">
        <f t="shared" si="75"/>
        <v>1</v>
      </c>
      <c r="T188" s="46" t="str">
        <f t="shared" si="57"/>
        <v>Southbound</v>
      </c>
      <c r="U188" s="19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2" t="str">
        <f t="shared" si="58"/>
        <v>https://d0f6bd738d7f1b3e5a7ca70fe4ff75f0.us-east-1.aws.found.io/app/kibana#/discover/Steve-Slow-Train-Analysis-(2080s-and-2083s)?_g=(refreshInterval:(display:Off,pause:!f,section:0,value:0),time:(from:'2017-04-21T13:35:36-0600',mode:absolute,to:'2017-04-21T15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3" t="str">
        <f t="shared" si="59"/>
        <v>N</v>
      </c>
      <c r="X188" s="193">
        <f t="shared" si="76"/>
        <v>1</v>
      </c>
      <c r="Y188" s="193">
        <f t="shared" si="60"/>
        <v>5.8643000000000001</v>
      </c>
      <c r="Z188" s="62">
        <f t="shared" si="61"/>
        <v>7.5700000000000003E-2</v>
      </c>
      <c r="AA188" s="62">
        <f t="shared" si="62"/>
        <v>5.7885999999999997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0824-21</v>
      </c>
      <c r="AE188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88" s="82" t="str">
        <f t="shared" si="65"/>
        <v>"C:\Program Files (x86)\AstroGrep\AstroGrep.exe" /e /r /s /spath="%USERPROFILE%\AppData\Local\Temp\OnboardLogs" /stypes="app*4029*20170421*" /stext=" 20:.+((SYSTEM_STATE.+slice.+state.+changed )|(ment ac)|(multiple cpu faults)|(system.+state.+changed )|(\[timeout)|(PRM\|1\|D)|(kpr)|(kdp)|(\|lc)|(penalty))"</v>
      </c>
      <c r="AG188" s="1" t="str">
        <f t="shared" si="66"/>
        <v>NW</v>
      </c>
      <c r="AH188" s="86" t="str">
        <f t="shared" si="67"/>
        <v>"%USERPROFILE%\Documents\GitHub\eaglep3\Utilities\RefineRTDCRunTimes.py" --tripid 824-21 --locoid 4029 --swversion DE.1.0.9.0 --startMP 300:58643 --initTime 2017-04-21T14:35:36 --startdatetime 2017-04-21T14:37:39 --delay 1 --endMP 204:757 --enddatetime 2017-04-21T14:55:05 --enforcementcount 1 &gt;&gt;C:\Users\stu\Documents\GitHub\eaglep3-reporting\EC\2017-04-21-refined-times.txt</v>
      </c>
      <c r="AI188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{"issue":{"subject":"","project_id":79,"tracker_id":40,"status_id":1,"priority_id":2,"assigned_to_id":23,"start_date":"2017-04-21","description":"","custom_fields":[{"id":1,"name":"Subdivision","value":"NW"},{"id":4,"name":"Milepost","value":"0.0757"},{"id":17,"name":"Train ID","value":"824-21"},{"id":16,"name":"Locomotive ID","value":"4029"},{"id":130,"name":"Impact","value":""},{"id":150,"name":"Time of Event (Mountain Time)","value":"14:55:05"},{"id":151,"name":"Denver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47" t="str">
        <f t="shared" si="69"/>
        <v>start /low /b %USERPROFILE%\Documents\GitHub\eaglep3\Utilities\DownloadLogsFromS3.py --loco 4029 --day 2017-04-21</v>
      </c>
      <c r="AN188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750</v>
      </c>
      <c r="B189" s="7">
        <v>4030</v>
      </c>
      <c r="C189" s="21" t="s">
        <v>212</v>
      </c>
      <c r="D189" s="21" t="s">
        <v>982</v>
      </c>
      <c r="E189" s="13">
        <v>42846.634143518517</v>
      </c>
      <c r="F189" s="13">
        <v>42846.639733796299</v>
      </c>
      <c r="G189" s="7">
        <v>1</v>
      </c>
      <c r="H189" s="21" t="s">
        <v>581</v>
      </c>
      <c r="I189" s="13">
        <v>42846.650729166664</v>
      </c>
      <c r="J189" s="7">
        <v>1</v>
      </c>
      <c r="K189" s="97" t="str">
        <f t="shared" si="55"/>
        <v>4029/4030</v>
      </c>
      <c r="L189" s="21" t="str">
        <f>VLOOKUP(A189,'Trips&amp;Operators'!$C$1:$G$99999,5,FALSE)</f>
        <v>THOMPSON LESTER</v>
      </c>
      <c r="M189" s="6">
        <f t="shared" si="56"/>
        <v>1.0995370364980772E-2</v>
      </c>
      <c r="N189" s="7">
        <f t="shared" si="74"/>
        <v>15.833333325572312</v>
      </c>
      <c r="O189" s="7"/>
      <c r="P189" s="7"/>
      <c r="Q189" s="22"/>
      <c r="R189" s="22"/>
      <c r="S189" s="31">
        <f t="shared" si="75"/>
        <v>1</v>
      </c>
      <c r="T189" s="46" t="str">
        <f t="shared" si="57"/>
        <v>NorthBound</v>
      </c>
      <c r="U189" s="19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2" t="str">
        <f t="shared" si="58"/>
        <v>https://d0f6bd738d7f1b3e5a7ca70fe4ff75f0.us-east-1.aws.found.io/app/kibana#/discover/Steve-Slow-Train-Analysis-(2080s-and-2083s)?_g=(refreshInterval:(display:Off,pause:!f,section:0,value:0),time:(from:'2017-04-21T14:13:10-0600',mode:absolute,to:'2017-04-21T16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193" t="str">
        <f t="shared" si="59"/>
        <v>N</v>
      </c>
      <c r="X189" s="193">
        <f t="shared" si="76"/>
        <v>1</v>
      </c>
      <c r="Y189" s="193">
        <f t="shared" si="60"/>
        <v>0.10349999999999999</v>
      </c>
      <c r="Z189" s="62">
        <f t="shared" si="61"/>
        <v>5.8967000000000001</v>
      </c>
      <c r="AA189" s="62">
        <f t="shared" si="62"/>
        <v>5.7931999999999997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0825-21</v>
      </c>
      <c r="AE189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89" s="82" t="str">
        <f t="shared" si="65"/>
        <v>"C:\Program Files (x86)\AstroGrep\AstroGrep.exe" /e /r /s /spath="%USERPROFILE%\AppData\Local\Temp\OnboardLogs" /stypes="app*4030*20170421*" /stext=" 21:.+((SYSTEM_STATE.+slice.+state.+changed )|(ment ac)|(multiple cpu faults)|(system.+state.+changed )|(\[timeout)|(PRM\|1\|D)|(kpr)|(kdp)|(\|lc)|(penalty))"</v>
      </c>
      <c r="AG189" s="1" t="str">
        <f t="shared" si="66"/>
        <v>NW</v>
      </c>
      <c r="AH189" s="86" t="str">
        <f t="shared" si="67"/>
        <v>"%USERPROFILE%\Documents\GitHub\eaglep3\Utilities\RefineRTDCRunTimes.py" --tripid 825-21 --locoid 4030 --swversion DE.1.0.9.0 --startMP 204:1035 --initTime 2017-04-21T15:13:10 --startdatetime 2017-04-21T15:21:13 --delay 1 --endMP 300:58967 --enddatetime 2017-04-21T15:37:03 --enforcementcount 1 &gt;&gt;C:\Users\stu\Documents\GitHub\eaglep3-reporting\EC\2017-04-21-refined-times.txt</v>
      </c>
      <c r="AI189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{"issue":{"subject":"","project_id":79,"tracker_id":40,"status_id":1,"priority_id":2,"assigned_to_id":23,"start_date":"2017-04-21","description":"","custom_fields":[{"id":1,"name":"Subdivision","value":"NW"},{"id":4,"name":"Milepost","value":"5.8967"},{"id":17,"name":"Train ID","value":"825-21"},{"id":16,"name":"Locomotive ID","value":"4030"},{"id":130,"name":"Impact","value":""},{"id":150,"name":"Time of Event (Mountain Time)","value":"15:37:03"},{"id":151,"name":"Denver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47" t="str">
        <f t="shared" si="69"/>
        <v>start /low /b %USERPROFILE%\Documents\GitHub\eaglep3\Utilities\DownloadLogsFromS3.py --loco 4030 --day 2017-04-21</v>
      </c>
      <c r="AN189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752</v>
      </c>
      <c r="B190" s="7">
        <v>4029</v>
      </c>
      <c r="C190" s="21" t="s">
        <v>212</v>
      </c>
      <c r="D190" s="21" t="s">
        <v>983</v>
      </c>
      <c r="E190" s="13">
        <v>42846.651701388888</v>
      </c>
      <c r="F190" s="13">
        <v>42846.653402777774</v>
      </c>
      <c r="G190" s="7">
        <v>1</v>
      </c>
      <c r="H190" s="21" t="s">
        <v>580</v>
      </c>
      <c r="I190" s="13">
        <v>42846.664664351854</v>
      </c>
      <c r="J190" s="7">
        <v>1</v>
      </c>
      <c r="K190" s="97" t="str">
        <f t="shared" si="55"/>
        <v>4029/4030</v>
      </c>
      <c r="L190" s="21" t="str">
        <f>VLOOKUP(A190,'Trips&amp;Operators'!$C$1:$G$99999,5,FALSE)</f>
        <v>THOMPSON LESTER</v>
      </c>
      <c r="M190" s="6">
        <f t="shared" si="56"/>
        <v>1.1261574079981074E-2</v>
      </c>
      <c r="N190" s="7">
        <f t="shared" si="74"/>
        <v>16.216666675172746</v>
      </c>
      <c r="O190" s="7"/>
      <c r="P190" s="7"/>
      <c r="Q190" s="22"/>
      <c r="R190" s="22"/>
      <c r="S190" s="31">
        <f t="shared" si="75"/>
        <v>1</v>
      </c>
      <c r="T190" s="46" t="str">
        <f t="shared" si="57"/>
        <v>Southbound</v>
      </c>
      <c r="U190" s="19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2" t="str">
        <f t="shared" si="58"/>
        <v>https://d0f6bd738d7f1b3e5a7ca70fe4ff75f0.us-east-1.aws.found.io/app/kibana#/discover/Steve-Slow-Train-Analysis-(2080s-and-2083s)?_g=(refreshInterval:(display:Off,pause:!f,section:0,value:0),time:(from:'2017-04-21T14:38:27-0600',mode:absolute,to:'2017-04-21T16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193" t="str">
        <f t="shared" si="59"/>
        <v>N</v>
      </c>
      <c r="X190" s="193">
        <f t="shared" si="76"/>
        <v>1</v>
      </c>
      <c r="Y190" s="193">
        <f t="shared" si="60"/>
        <v>5.8659999999999997</v>
      </c>
      <c r="Z190" s="62">
        <f t="shared" si="61"/>
        <v>6.9800000000000001E-2</v>
      </c>
      <c r="AA190" s="62">
        <f t="shared" si="62"/>
        <v>5.7961999999999998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0826-21</v>
      </c>
      <c r="AE190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90" s="82" t="str">
        <f t="shared" si="65"/>
        <v>"C:\Program Files (x86)\AstroGrep\AstroGrep.exe" /e /r /s /spath="%USERPROFILE%\AppData\Local\Temp\OnboardLogs" /stypes="app*4029*20170421*" /stext=" 21:.+((SYSTEM_STATE.+slice.+state.+changed )|(ment ac)|(multiple cpu faults)|(system.+state.+changed )|(\[timeout)|(PRM\|1\|D)|(kpr)|(kdp)|(\|lc)|(penalty))"</v>
      </c>
      <c r="AG190" s="1" t="str">
        <f t="shared" si="66"/>
        <v>NW</v>
      </c>
      <c r="AH190" s="86" t="str">
        <f t="shared" si="67"/>
        <v>"%USERPROFILE%\Documents\GitHub\eaglep3\Utilities\RefineRTDCRunTimes.py" --tripid 826-21 --locoid 4029 --swversion DE.1.0.9.0 --startMP 300:58660 --initTime 2017-04-21T15:38:27 --startdatetime 2017-04-21T15:40:54 --delay 1 --endMP 204:698 --enddatetime 2017-04-21T15:57:07 --enforcementcount 1 &gt;&gt;C:\Users\stu\Documents\GitHub\eaglep3-reporting\EC\2017-04-21-refined-times.txt</v>
      </c>
      <c r="AI190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{"issue":{"subject":"","project_id":79,"tracker_id":40,"status_id":1,"priority_id":2,"assigned_to_id":23,"start_date":"2017-04-21","description":"","custom_fields":[{"id":1,"name":"Subdivision","value":"NW"},{"id":4,"name":"Milepost","value":"0.0698"},{"id":17,"name":"Train ID","value":"826-21"},{"id":16,"name":"Locomotive ID","value":"4029"},{"id":130,"name":"Impact","value":""},{"id":150,"name":"Time of Event (Mountain Time)","value":"15:57:07"},{"id":151,"name":"Denver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47" t="str">
        <f t="shared" si="69"/>
        <v>start /low /b %USERPROFILE%\Documents\GitHub\eaglep3\Utilities\DownloadLogsFromS3.py --loco 4029 --day 2017-04-21</v>
      </c>
      <c r="AN190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s="20" customFormat="1" x14ac:dyDescent="0.25">
      <c r="A191" s="33" t="s">
        <v>754</v>
      </c>
      <c r="B191" s="7">
        <v>4056</v>
      </c>
      <c r="C191" s="21" t="s">
        <v>212</v>
      </c>
      <c r="D191" s="21" t="s">
        <v>984</v>
      </c>
      <c r="E191" s="13">
        <v>42846.652951388889</v>
      </c>
      <c r="F191" s="13">
        <v>42846.660729166666</v>
      </c>
      <c r="G191" s="7">
        <v>1</v>
      </c>
      <c r="H191" s="21" t="s">
        <v>985</v>
      </c>
      <c r="I191" s="13">
        <v>42846.670127314814</v>
      </c>
      <c r="J191" s="7">
        <v>1</v>
      </c>
      <c r="K191" s="97" t="str">
        <f t="shared" si="55"/>
        <v>4055/4056</v>
      </c>
      <c r="L191" s="21" t="str">
        <f>VLOOKUP(A191,'Trips&amp;Operators'!$C$1:$G$99999,5,FALSE)</f>
        <v>SMITH MICHAEL</v>
      </c>
      <c r="M191" s="6">
        <f t="shared" si="56"/>
        <v>9.3981481477385387E-3</v>
      </c>
      <c r="N191" s="7">
        <f t="shared" si="74"/>
        <v>13.533333332743496</v>
      </c>
      <c r="O191" s="7"/>
      <c r="P191" s="7"/>
      <c r="Q191" s="22"/>
      <c r="R191" s="22"/>
      <c r="S191" s="31">
        <f t="shared" si="75"/>
        <v>1</v>
      </c>
      <c r="T191" s="46" t="str">
        <f t="shared" si="57"/>
        <v>NorthBound</v>
      </c>
      <c r="U191" s="19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2" t="str">
        <f t="shared" si="58"/>
        <v>https://d0f6bd738d7f1b3e5a7ca70fe4ff75f0.us-east-1.aws.found.io/app/kibana#/discover/Steve-Slow-Train-Analysis-(2080s-and-2083s)?_g=(refreshInterval:(display:Off,pause:!f,section:0,value:0),time:(from:'2017-04-21T14:40:15-0600',mode:absolute,to:'2017-04-21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193" t="str">
        <f t="shared" si="59"/>
        <v>N</v>
      </c>
      <c r="X191" s="193">
        <f t="shared" si="76"/>
        <v>1</v>
      </c>
      <c r="Y191" s="193">
        <f t="shared" si="60"/>
        <v>9.2700000000000005E-2</v>
      </c>
      <c r="Z191" s="62">
        <f t="shared" si="61"/>
        <v>5.8943000000000003</v>
      </c>
      <c r="AA191" s="62">
        <f t="shared" si="62"/>
        <v>5.8016000000000005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0827-21</v>
      </c>
      <c r="AE191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191" s="82" t="str">
        <f t="shared" si="65"/>
        <v>"C:\Program Files (x86)\AstroGrep\AstroGrep.exe" /e /r /s /spath="%USERPROFILE%\AppData\Local\Temp\OnboardLogs" /stypes="app*4056*20170421*" /stext=" 22:.+((SYSTEM_STATE.+slice.+state.+changed )|(ment ac)|(multiple cpu faults)|(system.+state.+changed )|(\[timeout)|(PRM\|1\|D)|(kpr)|(kdp)|(\|lc)|(penalty))"</v>
      </c>
      <c r="AG191" s="1" t="str">
        <f t="shared" si="66"/>
        <v>NW</v>
      </c>
      <c r="AH191" s="86" t="str">
        <f t="shared" si="67"/>
        <v>"%USERPROFILE%\Documents\GitHub\eaglep3\Utilities\RefineRTDCRunTimes.py" --tripid 827-21 --locoid 4056 --swversion DE.1.0.9.0 --startMP 204:927 --initTime 2017-04-21T15:40:15 --startdatetime 2017-04-21T15:51:27 --delay 1 --endMP 300:58943 --enddatetime 2017-04-21T16:04:59 --enforcementcount 1 &gt;&gt;C:\Users\stu\Documents\GitHub\eaglep3-reporting\EC\2017-04-21-refined-times.txt</v>
      </c>
      <c r="AI191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{"issue":{"subject":"","project_id":79,"tracker_id":40,"status_id":1,"priority_id":2,"assigned_to_id":23,"start_date":"2017-04-21","description":"","custom_fields":[{"id":1,"name":"Subdivision","value":"NW"},{"id":4,"name":"Milepost","value":"5.8943"},{"id":17,"name":"Train ID","value":"827-21"},{"id":16,"name":"Locomotive ID","value":"4056"},{"id":130,"name":"Impact","value":""},{"id":150,"name":"Time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8"/>
      <c r="AL191" s="48"/>
      <c r="AM191" s="147" t="str">
        <f t="shared" si="69"/>
        <v>start /low /b %USERPROFILE%\Documents\GitHub\eaglep3\Utilities\DownloadLogsFromS3.py --loco 4056 --day 2017-04-21</v>
      </c>
      <c r="AN191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3" t="s">
        <v>759</v>
      </c>
      <c r="B192" s="7">
        <v>4055</v>
      </c>
      <c r="C192" s="21" t="s">
        <v>212</v>
      </c>
      <c r="D192" s="21" t="s">
        <v>986</v>
      </c>
      <c r="E192" s="13">
        <v>42846.67119212963</v>
      </c>
      <c r="F192" s="13">
        <v>42846.672581018516</v>
      </c>
      <c r="G192" s="7">
        <v>1</v>
      </c>
      <c r="H192" s="21" t="s">
        <v>987</v>
      </c>
      <c r="I192" s="13">
        <v>42846.684571759259</v>
      </c>
      <c r="J192" s="7">
        <v>1</v>
      </c>
      <c r="K192" s="97" t="str">
        <f t="shared" si="55"/>
        <v>4055/4056</v>
      </c>
      <c r="L192" s="21" t="str">
        <f>VLOOKUP(A192,'Trips&amp;Operators'!$C$1:$G$99999,5,FALSE)</f>
        <v>SMITH MICHAEL</v>
      </c>
      <c r="M192" s="6">
        <f t="shared" si="56"/>
        <v>1.1990740742476191E-2</v>
      </c>
      <c r="N192" s="7">
        <f t="shared" si="74"/>
        <v>17.266666669165716</v>
      </c>
      <c r="O192" s="7"/>
      <c r="P192" s="7"/>
      <c r="Q192" s="22"/>
      <c r="R192" s="22"/>
      <c r="S192" s="31">
        <f t="shared" si="75"/>
        <v>1</v>
      </c>
      <c r="T192" s="46" t="str">
        <f t="shared" si="57"/>
        <v>Southbound</v>
      </c>
      <c r="U192" s="19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2" t="str">
        <f t="shared" si="58"/>
        <v>https://d0f6bd738d7f1b3e5a7ca70fe4ff75f0.us-east-1.aws.found.io/app/kibana#/discover/Steve-Slow-Train-Analysis-(2080s-and-2083s)?_g=(refreshInterval:(display:Off,pause:!f,section:0,value:0),time:(from:'2017-04-21T15:06:31-0600',mode:absolute,to:'2017-04-21T17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193" t="str">
        <f t="shared" si="59"/>
        <v>N</v>
      </c>
      <c r="X192" s="193">
        <f t="shared" si="76"/>
        <v>1</v>
      </c>
      <c r="Y192" s="193">
        <f t="shared" si="60"/>
        <v>5.8623000000000003</v>
      </c>
      <c r="Z192" s="62">
        <f t="shared" si="61"/>
        <v>6.4699999999999994E-2</v>
      </c>
      <c r="AA192" s="62">
        <f t="shared" si="62"/>
        <v>5.7976000000000001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0828-21</v>
      </c>
      <c r="AE192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192" s="82" t="str">
        <f t="shared" si="65"/>
        <v>"C:\Program Files (x86)\AstroGrep\AstroGrep.exe" /e /r /s /spath="%USERPROFILE%\AppData\Local\Temp\OnboardLogs" /stypes="app*4055*20170421*" /stext=" 22:.+((SYSTEM_STATE.+slice.+state.+changed )|(ment ac)|(multiple cpu faults)|(system.+state.+changed )|(\[timeout)|(PRM\|1\|D)|(kpr)|(kdp)|(\|lc)|(penalty))"</v>
      </c>
      <c r="AG192" s="1" t="str">
        <f t="shared" si="66"/>
        <v>NW</v>
      </c>
      <c r="AH192" s="86" t="str">
        <f t="shared" si="67"/>
        <v>"%USERPROFILE%\Documents\GitHub\eaglep3\Utilities\RefineRTDCRunTimes.py" --tripid 828-21 --locoid 4055 --swversion DE.1.0.9.0 --startMP 300:58623 --initTime 2017-04-21T16:06:31 --startdatetime 2017-04-21T16:08:31 --delay 1 --endMP 204:647 --enddatetime 2017-04-21T16:25:47 --enforcementcount 1 &gt;&gt;C:\Users\stu\Documents\GitHub\eaglep3-reporting\EC\2017-04-21-refined-times.txt</v>
      </c>
      <c r="AI192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{"issue":{"subject":"","project_id":79,"tracker_id":40,"status_id":1,"priority_id":2,"assigned_to_id":23,"start_date":"2017-04-21","description":"","custom_fields":[{"id":1,"name":"Subdivision","value":"NW"},{"id":4,"name":"Milepost","value":"0.0647"},{"id":17,"name":"Train ID","value":"828-21"},{"id":16,"name":"Locomotive ID","value":"4055"},{"id":130,"name":"Impact","value":""},{"id":150,"name":"Time of Event (Mountain Time)","value":"16:25:47"},{"id":151,"name":"Denver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47" t="str">
        <f t="shared" si="69"/>
        <v>start /low /b %USERPROFILE%\Documents\GitHub\eaglep3\Utilities\DownloadLogsFromS3.py --loco 4055 --day 2017-04-21</v>
      </c>
      <c r="AN192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3" t="s">
        <v>758</v>
      </c>
      <c r="B193" s="7">
        <v>4030</v>
      </c>
      <c r="C193" s="21" t="s">
        <v>212</v>
      </c>
      <c r="D193" s="21" t="s">
        <v>988</v>
      </c>
      <c r="E193" s="13">
        <v>42846.669525462959</v>
      </c>
      <c r="F193" s="13">
        <v>42846.681435185186</v>
      </c>
      <c r="G193" s="7">
        <v>1</v>
      </c>
      <c r="H193" s="21" t="s">
        <v>989</v>
      </c>
      <c r="I193" s="13">
        <v>42846.69090277778</v>
      </c>
      <c r="J193" s="7">
        <v>1</v>
      </c>
      <c r="K193" s="97" t="str">
        <f t="shared" si="55"/>
        <v>4029/4030</v>
      </c>
      <c r="L193" s="21" t="str">
        <f>VLOOKUP(A193,'Trips&amp;Operators'!$C$1:$G$99999,5,FALSE)</f>
        <v>THOMPSON LESTER</v>
      </c>
      <c r="M193" s="6">
        <f t="shared" si="56"/>
        <v>9.4675925938645378E-3</v>
      </c>
      <c r="N193" s="7">
        <f t="shared" si="74"/>
        <v>13.633333335164934</v>
      </c>
      <c r="O193" s="7"/>
      <c r="P193" s="7"/>
      <c r="Q193" s="22"/>
      <c r="R193" s="22"/>
      <c r="S193" s="31">
        <f t="shared" si="75"/>
        <v>1</v>
      </c>
      <c r="T193" s="46" t="str">
        <f t="shared" si="57"/>
        <v>NorthBound</v>
      </c>
      <c r="U193" s="19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2" t="str">
        <f t="shared" si="58"/>
        <v>https://d0f6bd738d7f1b3e5a7ca70fe4ff75f0.us-east-1.aws.found.io/app/kibana#/discover/Steve-Slow-Train-Analysis-(2080s-and-2083s)?_g=(refreshInterval:(display:Off,pause:!f,section:0,value:0),time:(from:'2017-04-21T15:04:07-0600',mode:absolute,to:'2017-04-21T17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193" t="str">
        <f t="shared" si="59"/>
        <v>N</v>
      </c>
      <c r="X193" s="193">
        <f t="shared" si="76"/>
        <v>1</v>
      </c>
      <c r="Y193" s="193">
        <f t="shared" si="60"/>
        <v>9.9000000000000005E-2</v>
      </c>
      <c r="Z193" s="62">
        <f t="shared" si="61"/>
        <v>5.8945999999999996</v>
      </c>
      <c r="AA193" s="62">
        <f t="shared" si="62"/>
        <v>5.7955999999999994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0829-21</v>
      </c>
      <c r="AE193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93" s="82" t="str">
        <f t="shared" si="65"/>
        <v>"C:\Program Files (x86)\AstroGrep\AstroGrep.exe" /e /r /s /spath="%USERPROFILE%\AppData\Local\Temp\OnboardLogs" /stypes="app*4030*20170421*" /stext=" 22:.+((SYSTEM_STATE.+slice.+state.+changed )|(ment ac)|(multiple cpu faults)|(system.+state.+changed )|(\[timeout)|(PRM\|1\|D)|(kpr)|(kdp)|(\|lc)|(penalty))"</v>
      </c>
      <c r="AG193" s="1" t="str">
        <f t="shared" si="66"/>
        <v>NW</v>
      </c>
      <c r="AH193" s="86" t="str">
        <f t="shared" si="67"/>
        <v>"%USERPROFILE%\Documents\GitHub\eaglep3\Utilities\RefineRTDCRunTimes.py" --tripid 829-21 --locoid 4030 --swversion DE.1.0.9.0 --startMP 204:990 --initTime 2017-04-21T16:04:07 --startdatetime 2017-04-21T16:21:16 --delay 1 --endMP 300:58946 --enddatetime 2017-04-21T16:34:54 --enforcementcount 1 &gt;&gt;C:\Users\stu\Documents\GitHub\eaglep3-reporting\EC\2017-04-21-refined-times.txt</v>
      </c>
      <c r="AI193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{"issue":{"subject":"","project_id":79,"tracker_id":40,"status_id":1,"priority_id":2,"assigned_to_id":23,"start_date":"2017-04-21","description":"","custom_fields":[{"id":1,"name":"Subdivision","value":"NW"},{"id":4,"name":"Milepost","value":"5.8946"},{"id":17,"name":"Train ID","value":"829-21"},{"id":16,"name":"Locomotive ID","value":"4030"},{"id":130,"name":"Impact","value":""},{"id":150,"name":"Time of Event (Mountain Time)","value":"16:34:54"},{"id":151,"name":"Denver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47" t="str">
        <f t="shared" si="69"/>
        <v>start /low /b %USERPROFILE%\Documents\GitHub\eaglep3\Utilities\DownloadLogsFromS3.py --loco 4030 --day 2017-04-21</v>
      </c>
      <c r="AN193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3" t="s">
        <v>763</v>
      </c>
      <c r="B194" s="7">
        <v>4029</v>
      </c>
      <c r="C194" s="21" t="s">
        <v>212</v>
      </c>
      <c r="D194" s="21" t="s">
        <v>464</v>
      </c>
      <c r="E194" s="13">
        <v>42846.691851851851</v>
      </c>
      <c r="F194" s="13">
        <v>42846.693368055552</v>
      </c>
      <c r="G194" s="7">
        <v>1</v>
      </c>
      <c r="H194" s="21" t="s">
        <v>521</v>
      </c>
      <c r="I194" s="13">
        <v>42846.705671296295</v>
      </c>
      <c r="J194" s="7">
        <v>1</v>
      </c>
      <c r="K194" s="97" t="str">
        <f t="shared" si="55"/>
        <v>4029/4030</v>
      </c>
      <c r="L194" s="21" t="str">
        <f>VLOOKUP(A194,'Trips&amp;Operators'!$C$1:$G$99999,5,FALSE)</f>
        <v>THOMPSON LESTER</v>
      </c>
      <c r="M194" s="6">
        <f t="shared" si="56"/>
        <v>1.230324074276723E-2</v>
      </c>
      <c r="N194" s="7">
        <f t="shared" si="74"/>
        <v>17.716666669584811</v>
      </c>
      <c r="O194" s="7"/>
      <c r="P194" s="7"/>
      <c r="Q194" s="22"/>
      <c r="R194" s="22"/>
      <c r="S194" s="31">
        <f t="shared" si="75"/>
        <v>1</v>
      </c>
      <c r="T194" s="46" t="str">
        <f t="shared" si="57"/>
        <v>Southbound</v>
      </c>
      <c r="U194" s="19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2" t="str">
        <f t="shared" si="58"/>
        <v>https://d0f6bd738d7f1b3e5a7ca70fe4ff75f0.us-east-1.aws.found.io/app/kibana#/discover/Steve-Slow-Train-Analysis-(2080s-and-2083s)?_g=(refreshInterval:(display:Off,pause:!f,section:0,value:0),time:(from:'2017-04-21T15:36:16-0600',mode:absolute,to:'2017-04-21T17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93" t="str">
        <f t="shared" si="59"/>
        <v>N</v>
      </c>
      <c r="X194" s="193">
        <f t="shared" si="76"/>
        <v>1</v>
      </c>
      <c r="Y194" s="193">
        <f t="shared" si="60"/>
        <v>5.8634000000000004</v>
      </c>
      <c r="Z194" s="62">
        <f t="shared" si="61"/>
        <v>6.8900000000000003E-2</v>
      </c>
      <c r="AA194" s="62">
        <f t="shared" si="62"/>
        <v>5.7945000000000002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0830-21</v>
      </c>
      <c r="AE194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94" s="82" t="str">
        <f t="shared" si="65"/>
        <v>"C:\Program Files (x86)\AstroGrep\AstroGrep.exe" /e /r /s /spath="%USERPROFILE%\AppData\Local\Temp\OnboardLogs" /stypes="app*4029*20170421*" /stext=" 22:.+((SYSTEM_STATE.+slice.+state.+changed )|(ment ac)|(multiple cpu faults)|(system.+state.+changed )|(\[timeout)|(PRM\|1\|D)|(kpr)|(kdp)|(\|lc)|(penalty))"</v>
      </c>
      <c r="AG194" s="1" t="str">
        <f t="shared" si="66"/>
        <v>NW</v>
      </c>
      <c r="AH194" s="86" t="str">
        <f t="shared" si="67"/>
        <v>"%USERPROFILE%\Documents\GitHub\eaglep3\Utilities\RefineRTDCRunTimes.py" --tripid 830-21 --locoid 4029 --swversion DE.1.0.9.0 --startMP 300:58634 --initTime 2017-04-21T16:36:16 --startdatetime 2017-04-21T16:38:27 --delay 1 --endMP 204:689 --enddatetime 2017-04-21T16:56:10 --enforcementcount 1 &gt;&gt;C:\Users\stu\Documents\GitHub\eaglep3-reporting\EC\2017-04-21-refined-times.txt</v>
      </c>
      <c r="AI194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{"issue":{"subject":"","project_id":79,"tracker_id":40,"status_id":1,"priority_id":2,"assigned_to_id":23,"start_date":"2017-04-21","description":"","custom_fields":[{"id":1,"name":"Subdivision","value":"NW"},{"id":4,"name":"Milepost","value":"0.0689"},{"id":17,"name":"Train ID","value":"830-21"},{"id":16,"name":"Locomotive ID","value":"4029"},{"id":130,"name":"Impact","value":""},{"id":150,"name":"Time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47" t="str">
        <f t="shared" si="69"/>
        <v>start /low /b %USERPROFILE%\Documents\GitHub\eaglep3\Utilities\DownloadLogsFromS3.py --loco 4029 --day 2017-04-21</v>
      </c>
      <c r="AN194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22:56:10"},{"id":29,"name":"Sharepoint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3" t="s">
        <v>762</v>
      </c>
      <c r="B195" s="7">
        <v>4056</v>
      </c>
      <c r="C195" s="21" t="s">
        <v>212</v>
      </c>
      <c r="D195" s="21" t="s">
        <v>990</v>
      </c>
      <c r="E195" s="13">
        <v>42846.689467592594</v>
      </c>
      <c r="F195" s="13">
        <v>42846.702291666668</v>
      </c>
      <c r="G195" s="7">
        <v>1</v>
      </c>
      <c r="H195" s="21" t="s">
        <v>991</v>
      </c>
      <c r="I195" s="13">
        <v>42846.711770833332</v>
      </c>
      <c r="J195" s="7">
        <v>1</v>
      </c>
      <c r="K195" s="97" t="str">
        <f t="shared" si="55"/>
        <v>4055/4056</v>
      </c>
      <c r="L195" s="21" t="str">
        <f>VLOOKUP(A195,'Trips&amp;Operators'!$C$1:$G$99999,5,FALSE)</f>
        <v>SMITH MICHAEL</v>
      </c>
      <c r="M195" s="6">
        <f t="shared" si="56"/>
        <v>9.4791666633682325E-3</v>
      </c>
      <c r="N195" s="7">
        <f t="shared" si="74"/>
        <v>13.649999995250255</v>
      </c>
      <c r="O195" s="7"/>
      <c r="P195" s="7"/>
      <c r="Q195" s="22"/>
      <c r="R195" s="22"/>
      <c r="S195" s="31">
        <f t="shared" si="75"/>
        <v>1</v>
      </c>
      <c r="T195" s="46" t="str">
        <f t="shared" si="57"/>
        <v>NorthBound</v>
      </c>
      <c r="U195" s="19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2" t="str">
        <f t="shared" si="58"/>
        <v>https://d0f6bd738d7f1b3e5a7ca70fe4ff75f0.us-east-1.aws.found.io/app/kibana#/discover/Steve-Slow-Train-Analysis-(2080s-and-2083s)?_g=(refreshInterval:(display:Off,pause:!f,section:0,value:0),time:(from:'2017-04-21T15:32:50-0600',mode:absolute,to:'2017-04-21T18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3" t="str">
        <f t="shared" si="59"/>
        <v>N</v>
      </c>
      <c r="X195" s="193">
        <f t="shared" si="76"/>
        <v>1</v>
      </c>
      <c r="Y195" s="193">
        <f t="shared" si="60"/>
        <v>9.4100000000000003E-2</v>
      </c>
      <c r="Z195" s="62">
        <f t="shared" si="61"/>
        <v>5.8935000000000004</v>
      </c>
      <c r="AA195" s="62">
        <f t="shared" si="62"/>
        <v>5.7994000000000003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0831-21</v>
      </c>
      <c r="AE195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195" s="82" t="str">
        <f t="shared" si="65"/>
        <v>"C:\Program Files (x86)\AstroGrep\AstroGrep.exe" /e /r /s /spath="%USERPROFILE%\AppData\Local\Temp\OnboardLogs" /stypes="app*4056*20170421*" /stext=" 23:.+((SYSTEM_STATE.+slice.+state.+changed )|(ment ac)|(multiple cpu faults)|(system.+state.+changed )|(\[timeout)|(PRM\|1\|D)|(kpr)|(kdp)|(\|lc)|(penalty))"</v>
      </c>
      <c r="AG195" s="1" t="str">
        <f t="shared" si="66"/>
        <v>NW</v>
      </c>
      <c r="AH195" s="86" t="str">
        <f t="shared" si="67"/>
        <v>"%USERPROFILE%\Documents\GitHub\eaglep3\Utilities\RefineRTDCRunTimes.py" --tripid 831-21 --locoid 4056 --swversion DE.1.0.9.0 --startMP 204:941 --initTime 2017-04-21T16:32:50 --startdatetime 2017-04-21T16:51:18 --delay 1 --endMP 300:58935 --enddatetime 2017-04-21T17:04:57 --enforcementcount 1 &gt;&gt;C:\Users\stu\Documents\GitHub\eaglep3-reporting\EC\2017-04-21-refined-times.txt</v>
      </c>
      <c r="AI195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{"issue":{"subject":"","project_id":79,"tracker_id":40,"status_id":1,"priority_id":2,"assigned_to_id":23,"start_date":"2017-04-21","description":"","custom_fields":[{"id":1,"name":"Subdivision","value":"NW"},{"id":4,"name":"Milepost","value":"5.8935"},{"id":17,"name":"Train ID","value":"831-21"},{"id":16,"name":"Locomotive ID","value":"4056"},{"id":130,"name":"Impact","value":""},{"id":150,"name":"Time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47" t="str">
        <f t="shared" si="69"/>
        <v>start /low /b %USERPROFILE%\Documents\GitHub\eaglep3\Utilities\DownloadLogsFromS3.py --loco 4056 --day 2017-04-21</v>
      </c>
      <c r="AN195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3" t="s">
        <v>769</v>
      </c>
      <c r="B196" s="7">
        <v>4055</v>
      </c>
      <c r="C196" s="21" t="s">
        <v>212</v>
      </c>
      <c r="D196" s="21" t="s">
        <v>992</v>
      </c>
      <c r="E196" s="13">
        <v>42846.712870370371</v>
      </c>
      <c r="F196" s="13">
        <v>42846.71466435185</v>
      </c>
      <c r="G196" s="7">
        <v>1</v>
      </c>
      <c r="H196" s="21" t="s">
        <v>488</v>
      </c>
      <c r="I196" s="13">
        <v>42846.726053240738</v>
      </c>
      <c r="J196" s="7">
        <v>1</v>
      </c>
      <c r="K196" s="97" t="str">
        <f t="shared" si="55"/>
        <v>4055/4056</v>
      </c>
      <c r="L196" s="21" t="str">
        <f>VLOOKUP(A196,'Trips&amp;Operators'!$C$1:$G$99999,5,FALSE)</f>
        <v>SMITH MICHAEL</v>
      </c>
      <c r="M196" s="6">
        <f t="shared" si="56"/>
        <v>1.1388888888177462E-2</v>
      </c>
      <c r="N196" s="7">
        <f t="shared" si="74"/>
        <v>16.399999998975545</v>
      </c>
      <c r="O196" s="7"/>
      <c r="P196" s="7"/>
      <c r="Q196" s="22"/>
      <c r="R196" s="22"/>
      <c r="S196" s="31">
        <f t="shared" si="75"/>
        <v>1</v>
      </c>
      <c r="T196" s="46" t="str">
        <f t="shared" si="57"/>
        <v>Southbound</v>
      </c>
      <c r="U196" s="19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2" t="str">
        <f t="shared" si="58"/>
        <v>https://d0f6bd738d7f1b3e5a7ca70fe4ff75f0.us-east-1.aws.found.io/app/kibana#/discover/Steve-Slow-Train-Analysis-(2080s-and-2083s)?_g=(refreshInterval:(display:Off,pause:!f,section:0,value:0),time:(from:'2017-04-21T16:06:32-0600',mode:absolute,to:'2017-04-21T18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6" s="193" t="str">
        <f t="shared" si="59"/>
        <v>N</v>
      </c>
      <c r="X196" s="193">
        <f t="shared" si="76"/>
        <v>1</v>
      </c>
      <c r="Y196" s="193">
        <f t="shared" si="60"/>
        <v>5.8613</v>
      </c>
      <c r="Z196" s="62">
        <f t="shared" si="61"/>
        <v>6.7699999999999996E-2</v>
      </c>
      <c r="AA196" s="62">
        <f t="shared" si="62"/>
        <v>5.7935999999999996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0832-21</v>
      </c>
      <c r="AE196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196" s="82" t="str">
        <f t="shared" si="65"/>
        <v>"C:\Program Files (x86)\AstroGrep\AstroGrep.exe" /e /r /s /spath="%USERPROFILE%\AppData\Local\Temp\OnboardLogs" /stypes="app*4055*20170421*" /stext=" 23:.+((SYSTEM_STATE.+slice.+state.+changed )|(ment ac)|(multiple cpu faults)|(system.+state.+changed )|(\[timeout)|(PRM\|1\|D)|(kpr)|(kdp)|(\|lc)|(penalty))"</v>
      </c>
      <c r="AG196" s="1" t="str">
        <f t="shared" si="66"/>
        <v>NW</v>
      </c>
      <c r="AH196" s="86" t="str">
        <f t="shared" si="67"/>
        <v>"%USERPROFILE%\Documents\GitHub\eaglep3\Utilities\RefineRTDCRunTimes.py" --tripid 832-21 --locoid 4055 --swversion DE.1.0.9.0 --startMP 300:58613 --initTime 2017-04-21T17:06:32 --startdatetime 2017-04-21T17:09:07 --delay 1 --endMP 204:677 --enddatetime 2017-04-21T17:25:31 --enforcementcount 1 &gt;&gt;C:\Users\stu\Documents\GitHub\eaglep3-reporting\EC\2017-04-21-refined-times.txt</v>
      </c>
      <c r="AI196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{"issue":{"subject":"","project_id":79,"tracker_id":40,"status_id":1,"priority_id":2,"assigned_to_id":23,"start_date":"2017-04-21","description":"","custom_fields":[{"id":1,"name":"Subdivision","value":"NW"},{"id":4,"name":"Milepost","value":"0.0677"},{"id":17,"name":"Train ID","value":"832-21"},{"id":16,"name":"Locomotive ID","value":"4055"},{"id":130,"name":"Impact","value":""},{"id":150,"name":"Time of Event (Mountain Time)","value":"17:25:31"},{"id":151,"name":"Denver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47" t="str">
        <f t="shared" si="69"/>
        <v>start /low /b %USERPROFILE%\Documents\GitHub\eaglep3\Utilities\DownloadLogsFromS3.py --loco 4055 --day 2017-04-21</v>
      </c>
      <c r="AN196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3" t="s">
        <v>772</v>
      </c>
      <c r="B197" s="7">
        <v>4030</v>
      </c>
      <c r="C197" s="21" t="s">
        <v>212</v>
      </c>
      <c r="D197" s="21" t="s">
        <v>993</v>
      </c>
      <c r="E197" s="13">
        <v>42846.718217592592</v>
      </c>
      <c r="F197" s="13">
        <v>42846.723136574074</v>
      </c>
      <c r="G197" s="7">
        <v>1</v>
      </c>
      <c r="H197" s="21" t="s">
        <v>965</v>
      </c>
      <c r="I197" s="13">
        <v>42846.73337962963</v>
      </c>
      <c r="J197" s="7">
        <v>1</v>
      </c>
      <c r="K197" s="97" t="str">
        <f t="shared" si="55"/>
        <v>4029/4030</v>
      </c>
      <c r="L197" s="21" t="str">
        <f>VLOOKUP(A197,'Trips&amp;Operators'!$C$1:$G$99999,5,FALSE)</f>
        <v>THOMPSON LESTER</v>
      </c>
      <c r="M197" s="6">
        <f t="shared" si="56"/>
        <v>1.0243055556202307E-2</v>
      </c>
      <c r="N197" s="7">
        <f t="shared" si="74"/>
        <v>14.750000000931323</v>
      </c>
      <c r="O197" s="7"/>
      <c r="P197" s="7"/>
      <c r="Q197" s="22"/>
      <c r="R197" s="22"/>
      <c r="S197" s="31">
        <f t="shared" si="75"/>
        <v>1</v>
      </c>
      <c r="T197" s="46" t="str">
        <f t="shared" si="57"/>
        <v>NorthBound</v>
      </c>
      <c r="U197" s="19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2" t="str">
        <f t="shared" si="58"/>
        <v>https://d0f6bd738d7f1b3e5a7ca70fe4ff75f0.us-east-1.aws.found.io/app/kibana#/discover/Steve-Slow-Train-Analysis-(2080s-and-2083s)?_g=(refreshInterval:(display:Off,pause:!f,section:0,value:0),time:(from:'2017-04-21T16:14:14-0600',mode:absolute,to:'2017-04-21T18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93" t="str">
        <f t="shared" si="59"/>
        <v>N</v>
      </c>
      <c r="X197" s="193">
        <f t="shared" si="76"/>
        <v>1</v>
      </c>
      <c r="Y197" s="193">
        <f t="shared" si="60"/>
        <v>9.7100000000000006E-2</v>
      </c>
      <c r="Z197" s="62">
        <f t="shared" si="61"/>
        <v>5.8954000000000004</v>
      </c>
      <c r="AA197" s="62">
        <f t="shared" si="62"/>
        <v>5.7983000000000002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0833-21</v>
      </c>
      <c r="AE197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197" s="82" t="str">
        <f t="shared" si="65"/>
        <v>"C:\Program Files (x86)\AstroGrep\AstroGrep.exe" /e /r /s /spath="%USERPROFILE%\AppData\Local\Temp\OnboardLogs" /stypes="app*4030*20170421*" /stext=" 23:.+((SYSTEM_STATE.+slice.+state.+changed )|(ment ac)|(multiple cpu faults)|(system.+state.+changed )|(\[timeout)|(PRM\|1\|D)|(kpr)|(kdp)|(\|lc)|(penalty))"</v>
      </c>
      <c r="AG197" s="1" t="str">
        <f t="shared" si="66"/>
        <v>NW</v>
      </c>
      <c r="AH197" s="86" t="str">
        <f t="shared" si="67"/>
        <v>"%USERPROFILE%\Documents\GitHub\eaglep3\Utilities\RefineRTDCRunTimes.py" --tripid 833-21 --locoid 4030 --swversion DE.1.0.9.0 --startMP 204:971 --initTime 2017-04-21T17:14:14 --startdatetime 2017-04-21T17:21:19 --delay 1 --endMP 300:58954 --enddatetime 2017-04-21T17:36:04 --enforcementcount 1 &gt;&gt;C:\Users\stu\Documents\GitHub\eaglep3-reporting\EC\2017-04-21-refined-times.txt</v>
      </c>
      <c r="AI197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{"issue":{"subject":"","project_id":79,"tracker_id":40,"status_id":1,"priority_id":2,"assigned_to_id":23,"start_date":"2017-04-21","description":"","custom_fields":[{"id":1,"name":"Subdivision","value":"NW"},{"id":4,"name":"Milepost","value":"5.8954"},{"id":17,"name":"Train ID","value":"833-21"},{"id":16,"name":"Locomotive ID","value":"4030"},{"id":130,"name":"Impact","value":""},{"id":150,"name":"Time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47" t="str">
        <f t="shared" si="69"/>
        <v>start /low /b %USERPROFILE%\Documents\GitHub\eaglep3\Utilities\DownloadLogsFromS3.py --loco 4030 --day 2017-04-21</v>
      </c>
      <c r="AN197" s="156" t="str">
        <f t="shared" si="7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3" t="s">
        <v>778</v>
      </c>
      <c r="B198" s="7">
        <v>4029</v>
      </c>
      <c r="C198" s="21" t="s">
        <v>212</v>
      </c>
      <c r="D198" s="21" t="s">
        <v>994</v>
      </c>
      <c r="E198" s="13">
        <v>42846.734502314815</v>
      </c>
      <c r="F198" s="13">
        <v>42846.736087962963</v>
      </c>
      <c r="G198" s="7">
        <v>1</v>
      </c>
      <c r="H198" s="21" t="s">
        <v>958</v>
      </c>
      <c r="I198" s="13">
        <v>42846.750034722223</v>
      </c>
      <c r="J198" s="7">
        <v>1</v>
      </c>
      <c r="K198" s="97" t="str">
        <f t="shared" si="55"/>
        <v>4029/4030</v>
      </c>
      <c r="L198" s="21" t="str">
        <f>VLOOKUP(A198,'Trips&amp;Operators'!$C$1:$G$99999,5,FALSE)</f>
        <v>THOMPSON LESTER</v>
      </c>
      <c r="M198" s="6">
        <f t="shared" si="56"/>
        <v>1.3946759259852115E-2</v>
      </c>
      <c r="N198" s="7">
        <f t="shared" si="74"/>
        <v>20.083333334187046</v>
      </c>
      <c r="O198" s="7"/>
      <c r="P198" s="7"/>
      <c r="Q198" s="22"/>
      <c r="R198" s="22"/>
      <c r="S198" s="31">
        <f t="shared" si="75"/>
        <v>1</v>
      </c>
      <c r="T198" s="46" t="str">
        <f t="shared" si="57"/>
        <v>Southbound</v>
      </c>
      <c r="U198" s="19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2" t="str">
        <f t="shared" si="58"/>
        <v>https://d0f6bd738d7f1b3e5a7ca70fe4ff75f0.us-east-1.aws.found.io/app/kibana#/discover/Steve-Slow-Train-Analysis-(2080s-and-2083s)?_g=(refreshInterval:(display:Off,pause:!f,section:0,value:0),time:(from:'2017-04-21T16:37:41-0600',mode:absolute,to:'2017-04-21T19:00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93" t="str">
        <f t="shared" si="59"/>
        <v>N</v>
      </c>
      <c r="X198" s="193">
        <f t="shared" si="76"/>
        <v>1</v>
      </c>
      <c r="Y198" s="193">
        <f t="shared" si="60"/>
        <v>5.8639999999999999</v>
      </c>
      <c r="Z198" s="62">
        <f t="shared" si="61"/>
        <v>7.0599999999999996E-2</v>
      </c>
      <c r="AA198" s="62">
        <f t="shared" si="62"/>
        <v>5.7934000000000001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0834-21</v>
      </c>
      <c r="AE198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198" s="82" t="str">
        <f t="shared" si="65"/>
        <v>"C:\Program Files (x86)\AstroGrep\AstroGrep.exe" /e /r /s /spath="%USERPROFILE%\AppData\Local\Temp\OnboardLogs" /stypes="app*4029*20170422*" /stext=" 00:.+((SYSTEM_STATE.+slice.+state.+changed )|(ment ac)|(multiple cpu faults)|(system.+state.+changed )|(\[timeout)|(PRM\|1\|D)|(kpr)|(kdp)|(\|lc)|(penalty))"</v>
      </c>
      <c r="AG198" s="1" t="str">
        <f t="shared" si="66"/>
        <v>NW</v>
      </c>
      <c r="AH198" s="86" t="str">
        <f t="shared" si="67"/>
        <v>"%USERPROFILE%\Documents\GitHub\eaglep3\Utilities\RefineRTDCRunTimes.py" --tripid 834-21 --locoid 4029 --swversion DE.1.0.9.0 --startMP 300:58640 --initTime 2017-04-21T17:37:41 --startdatetime 2017-04-21T17:39:58 --delay 1 --endMP 204:706 --enddatetime 2017-04-21T18:00:03 --enforcementcount 1 &gt;&gt;C:\Users\stu\Documents\GitHub\eaglep3-reporting\EC\2017-04-21-refined-times.txt</v>
      </c>
      <c r="AI198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{"issue":{"subject":"","project_id":79,"tracker_id":40,"status_id":1,"priority_id":2,"assigned_to_id":23,"start_date":"2017-04-21","description":"","custom_fields":[{"id":1,"name":"Subdivision","value":"NW"},{"id":4,"name":"Milepost","value":"0.0706"},{"id":17,"name":"Train ID","value":"834-21"},{"id":16,"name":"Locomotive ID","value":"4029"},{"id":130,"name":"Impact","value":""},{"id":150,"name":"Time of Event (Mountain Time)","value":"18:00:03"},{"id":151,"name":"Denver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8"/>
      <c r="AL198" s="48"/>
      <c r="AM198" s="147" t="str">
        <f t="shared" si="69"/>
        <v>start /low /b %USERPROFILE%\Documents\GitHub\eaglep3\Utilities\DownloadLogsFromS3.py --loco 4029 --day 2017-04-21</v>
      </c>
      <c r="AN198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00:00:03"},{"id":29,"name":"Sharepoint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3" t="s">
        <v>774</v>
      </c>
      <c r="B199" s="7">
        <v>4056</v>
      </c>
      <c r="C199" s="21" t="s">
        <v>212</v>
      </c>
      <c r="D199" s="21" t="s">
        <v>995</v>
      </c>
      <c r="E199" s="13">
        <v>42846.729618055557</v>
      </c>
      <c r="F199" s="13">
        <v>42846.743958333333</v>
      </c>
      <c r="G199" s="7">
        <v>1</v>
      </c>
      <c r="H199" s="21" t="s">
        <v>996</v>
      </c>
      <c r="I199" s="13">
        <v>42846.753958333335</v>
      </c>
      <c r="J199" s="7">
        <v>1</v>
      </c>
      <c r="K199" s="97" t="str">
        <f t="shared" si="55"/>
        <v>4055/4056</v>
      </c>
      <c r="L199" s="21" t="str">
        <f>VLOOKUP(A199,'Trips&amp;Operators'!$C$1:$G$99999,5,FALSE)</f>
        <v>DAVIDSON DAVID</v>
      </c>
      <c r="M199" s="6">
        <f t="shared" si="56"/>
        <v>1.0000000002037268E-2</v>
      </c>
      <c r="N199" s="7">
        <f t="shared" si="74"/>
        <v>14.400000002933666</v>
      </c>
      <c r="O199" s="7"/>
      <c r="P199" s="7"/>
      <c r="Q199" s="22"/>
      <c r="R199" s="22"/>
      <c r="S199" s="31">
        <f t="shared" si="75"/>
        <v>1</v>
      </c>
      <c r="T199" s="46" t="str">
        <f t="shared" si="57"/>
        <v>NorthBound</v>
      </c>
      <c r="U199" s="19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2" t="str">
        <f t="shared" si="58"/>
        <v>https://d0f6bd738d7f1b3e5a7ca70fe4ff75f0.us-east-1.aws.found.io/app/kibana#/discover/Steve-Slow-Train-Analysis-(2080s-and-2083s)?_g=(refreshInterval:(display:Off,pause:!f,section:0,value:0),time:(from:'2017-04-21T16:30:39-0600',mode:absolute,to:'2017-04-21T19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9" s="193" t="str">
        <f t="shared" si="59"/>
        <v>N</v>
      </c>
      <c r="X199" s="193">
        <f t="shared" si="76"/>
        <v>1</v>
      </c>
      <c r="Y199" s="193">
        <f t="shared" si="60"/>
        <v>9.7799999999999998E-2</v>
      </c>
      <c r="Z199" s="62">
        <f t="shared" si="61"/>
        <v>5.8949999999999996</v>
      </c>
      <c r="AA199" s="62">
        <f t="shared" si="62"/>
        <v>5.7971999999999992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0835-21</v>
      </c>
      <c r="AE199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199" s="82" t="str">
        <f t="shared" si="65"/>
        <v>"C:\Program Files (x86)\AstroGrep\AstroGrep.exe" /e /r /s /spath="%USERPROFILE%\AppData\Local\Temp\OnboardLogs" /stypes="app*4056*20170422*" /stext=" 00:.+((SYSTEM_STATE.+slice.+state.+changed )|(ment ac)|(multiple cpu faults)|(system.+state.+changed )|(\[timeout)|(PRM\|1\|D)|(kpr)|(kdp)|(\|lc)|(penalty))"</v>
      </c>
      <c r="AG199" s="1" t="str">
        <f t="shared" si="66"/>
        <v>NW</v>
      </c>
      <c r="AH199" s="86" t="str">
        <f t="shared" si="67"/>
        <v>"%USERPROFILE%\Documents\GitHub\eaglep3\Utilities\RefineRTDCRunTimes.py" --tripid 835-21 --locoid 4056 --swversion DE.1.0.9.0 --startMP 204:978 --initTime 2017-04-21T17:30:39 --startdatetime 2017-04-21T17:51:18 --delay 1 --endMP 300:58950 --enddatetime 2017-04-21T18:05:42 --enforcementcount 1 &gt;&gt;C:\Users\stu\Documents\GitHub\eaglep3-reporting\EC\2017-04-21-refined-times.txt</v>
      </c>
      <c r="AI199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{"issue":{"subject":"","project_id":79,"tracker_id":40,"status_id":1,"priority_id":2,"assigned_to_id":23,"start_date":"2017-04-21","description":"","custom_fields":[{"id":1,"name":"Subdivision","value":"NW"},{"id":4,"name":"Milepost","value":"5.895"},{"id":17,"name":"Train ID","value":"835-21"},{"id":16,"name":"Locomotive ID","value":"4056"},{"id":130,"name":"Impact","value":""},{"id":150,"name":"Time of Event (Mountain Time)","value":"18:05:42"},{"id":151,"name":"Denver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47" t="str">
        <f t="shared" si="69"/>
        <v>start /low /b %USERPROFILE%\Documents\GitHub\eaglep3\Utilities\DownloadLogsFromS3.py --loco 4056 --day 2017-04-21</v>
      </c>
      <c r="AN199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3" t="s">
        <v>789</v>
      </c>
      <c r="B200" s="7">
        <v>4055</v>
      </c>
      <c r="C200" s="21" t="s">
        <v>212</v>
      </c>
      <c r="D200" s="21" t="s">
        <v>424</v>
      </c>
      <c r="E200" s="13">
        <v>42846.754895833335</v>
      </c>
      <c r="F200" s="13">
        <v>42846.756782407407</v>
      </c>
      <c r="G200" s="7">
        <v>2</v>
      </c>
      <c r="H200" s="21" t="s">
        <v>527</v>
      </c>
      <c r="I200" s="13">
        <v>42846.768217592595</v>
      </c>
      <c r="J200" s="7">
        <v>1</v>
      </c>
      <c r="K200" s="97" t="str">
        <f t="shared" si="55"/>
        <v>4055/4056</v>
      </c>
      <c r="L200" s="21" t="str">
        <f>VLOOKUP(A200,'Trips&amp;Operators'!$C$1:$G$99999,5,FALSE)</f>
        <v>DAVIDSON DAVID</v>
      </c>
      <c r="M200" s="6">
        <f t="shared" si="56"/>
        <v>1.1435185188020114E-2</v>
      </c>
      <c r="N200" s="7">
        <f t="shared" si="74"/>
        <v>16.466666670748964</v>
      </c>
      <c r="O200" s="7"/>
      <c r="P200" s="7"/>
      <c r="Q200" s="22"/>
      <c r="R200" s="22"/>
      <c r="S200" s="31">
        <f t="shared" si="75"/>
        <v>1</v>
      </c>
      <c r="T200" s="46" t="str">
        <f t="shared" si="57"/>
        <v>Southbound</v>
      </c>
      <c r="U200" s="19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2" t="str">
        <f t="shared" si="58"/>
        <v>https://d0f6bd738d7f1b3e5a7ca70fe4ff75f0.us-east-1.aws.found.io/app/kibana#/discover/Steve-Slow-Train-Analysis-(2080s-and-2083s)?_g=(refreshInterval:(display:Off,pause:!f,section:0,value:0),time:(from:'2017-04-21T17:07:03-0600',mode:absolute,to:'2017-04-21T19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193" t="str">
        <f t="shared" si="59"/>
        <v>N</v>
      </c>
      <c r="X200" s="193">
        <f t="shared" si="76"/>
        <v>1</v>
      </c>
      <c r="Y200" s="193">
        <f t="shared" si="60"/>
        <v>5.8630000000000004</v>
      </c>
      <c r="Z200" s="62">
        <f t="shared" si="61"/>
        <v>6.9900000000000004E-2</v>
      </c>
      <c r="AA200" s="62">
        <f t="shared" si="62"/>
        <v>5.7931000000000008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0836-21</v>
      </c>
      <c r="AE200" s="85" t="str">
        <f t="shared" si="64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200" s="82" t="str">
        <f t="shared" si="65"/>
        <v>"C:\Program Files (x86)\AstroGrep\AstroGrep.exe" /e /r /s /spath="%USERPROFILE%\AppData\Local\Temp\OnboardLogs" /stypes="app*4055*20170422*" /stext=" 00:.+((SYSTEM_STATE.+slice.+state.+changed )|(ment ac)|(multiple cpu faults)|(system.+state.+changed )|(\[timeout)|(PRM\|1\|D)|(kpr)|(kdp)|(\|lc)|(penalty))"</v>
      </c>
      <c r="AG200" s="1" t="str">
        <f t="shared" si="66"/>
        <v>NW</v>
      </c>
      <c r="AH200" s="86" t="str">
        <f t="shared" si="67"/>
        <v>"%USERPROFILE%\Documents\GitHub\eaglep3\Utilities\RefineRTDCRunTimes.py" --tripid 836-21 --locoid 4055 --swversion DE.1.0.9.0 --startMP 300:58630 --initTime 2017-04-21T18:07:03 --startdatetime 2017-04-21T18:09:46 --delay 2 --endMP 204:699 --enddatetime 2017-04-21T18:26:14 --enforcementcount 1 &gt;&gt;C:\Users\stu\Documents\GitHub\eaglep3-reporting\EC\2017-04-21-refined-times.txt</v>
      </c>
      <c r="AI200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{"issue":{"subject":"","project_id":79,"tracker_id":40,"status_id":1,"priority_id":2,"assigned_to_id":23,"start_date":"2017-04-21","description":"","custom_fields":[{"id":1,"name":"Subdivision","value":"NW"},{"id":4,"name":"Milepost","value":"0.0699"},{"id":17,"name":"Train ID","value":"836-21"},{"id":16,"name":"Locomotive ID","value":"4055"},{"id":130,"name":"Impact","value":""},{"id":150,"name":"Time of Event (Mountain Time)","value":"18:26:14"},{"id":151,"name":"Denver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47" t="str">
        <f t="shared" si="69"/>
        <v>start /low /b %USERPROFILE%\Documents\GitHub\eaglep3\Utilities\DownloadLogsFromS3.py --loco 4055 --day 2017-04-21</v>
      </c>
      <c r="AN200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3" t="s">
        <v>790</v>
      </c>
      <c r="B201" s="7">
        <v>4030</v>
      </c>
      <c r="C201" s="21" t="s">
        <v>212</v>
      </c>
      <c r="D201" s="21" t="s">
        <v>988</v>
      </c>
      <c r="E201" s="13">
        <v>42846.760717592595</v>
      </c>
      <c r="F201" s="13">
        <v>42846.764803240738</v>
      </c>
      <c r="G201" s="7">
        <v>1</v>
      </c>
      <c r="H201" s="21" t="s">
        <v>584</v>
      </c>
      <c r="I201" s="13">
        <v>42846.775023148148</v>
      </c>
      <c r="J201" s="7">
        <v>1</v>
      </c>
      <c r="K201" s="97" t="str">
        <f t="shared" si="55"/>
        <v>4029/4030</v>
      </c>
      <c r="L201" s="21" t="str">
        <f>VLOOKUP(A201,'Trips&amp;Operators'!$C$1:$G$99999,5,FALSE)</f>
        <v>THOMPSON LESTER</v>
      </c>
      <c r="M201" s="6">
        <f t="shared" si="56"/>
        <v>1.021990740991896E-2</v>
      </c>
      <c r="N201" s="7">
        <f t="shared" si="74"/>
        <v>14.716666670283303</v>
      </c>
      <c r="O201" s="7"/>
      <c r="P201" s="7"/>
      <c r="Q201" s="22"/>
      <c r="R201" s="22"/>
      <c r="S201" s="31">
        <f t="shared" si="75"/>
        <v>1</v>
      </c>
      <c r="T201" s="46" t="str">
        <f t="shared" si="57"/>
        <v>NorthBound</v>
      </c>
      <c r="U201" s="19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2" t="str">
        <f t="shared" si="58"/>
        <v>https://d0f6bd738d7f1b3e5a7ca70fe4ff75f0.us-east-1.aws.found.io/app/kibana#/discover/Steve-Slow-Train-Analysis-(2080s-and-2083s)?_g=(refreshInterval:(display:Off,pause:!f,section:0,value:0),time:(from:'2017-04-21T17:15:26-0600',mode:absolute,to:'2017-04-21T19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3" t="str">
        <f t="shared" si="59"/>
        <v>N</v>
      </c>
      <c r="X201" s="193">
        <f t="shared" si="76"/>
        <v>1</v>
      </c>
      <c r="Y201" s="193">
        <f t="shared" si="60"/>
        <v>9.9000000000000005E-2</v>
      </c>
      <c r="Z201" s="62">
        <f t="shared" si="61"/>
        <v>5.8971</v>
      </c>
      <c r="AA201" s="62">
        <f t="shared" si="62"/>
        <v>5.7980999999999998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0837-21</v>
      </c>
      <c r="AE201" s="85" t="str">
        <f t="shared" si="64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201" s="82" t="str">
        <f t="shared" si="65"/>
        <v>"C:\Program Files (x86)\AstroGrep\AstroGrep.exe" /e /r /s /spath="%USERPROFILE%\AppData\Local\Temp\OnboardLogs" /stypes="app*4030*20170422*" /stext=" 00:.+((SYSTEM_STATE.+slice.+state.+changed )|(ment ac)|(multiple cpu faults)|(system.+state.+changed )|(\[timeout)|(PRM\|1\|D)|(kpr)|(kdp)|(\|lc)|(penalty))"</v>
      </c>
      <c r="AG201" s="1" t="str">
        <f t="shared" si="66"/>
        <v>NW</v>
      </c>
      <c r="AH201" s="86" t="str">
        <f t="shared" si="67"/>
        <v>"%USERPROFILE%\Documents\GitHub\eaglep3\Utilities\RefineRTDCRunTimes.py" --tripid 837-21 --locoid 4030 --swversion DE.1.0.9.0 --startMP 204:990 --initTime 2017-04-21T18:15:26 --startdatetime 2017-04-21T18:21:19 --delay 1 --endMP 300:58971 --enddatetime 2017-04-21T18:36:02 --enforcementcount 1 &gt;&gt;C:\Users\stu\Documents\GitHub\eaglep3-reporting\EC\2017-04-21-refined-times.txt</v>
      </c>
      <c r="AI201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{"issue":{"subject":"","project_id":79,"tracker_id":40,"status_id":1,"priority_id":2,"assigned_to_id":23,"start_date":"2017-04-21","description":"","custom_fields":[{"id":1,"name":"Subdivision","value":"NW"},{"id":4,"name":"Milepost","value":"5.8971"},{"id":17,"name":"Train ID","value":"837-21"},{"id":16,"name":"Locomotive ID","value":"4030"},{"id":130,"name":"Impact","value":""},{"id":150,"name":"Time of Event (Mountain Time)","value":"18:36:02"},{"id":151,"name":"Denver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47" t="str">
        <f t="shared" si="69"/>
        <v>start /low /b %USERPROFILE%\Documents\GitHub\eaglep3\Utilities\DownloadLogsFromS3.py --loco 4030 --day 2017-04-21</v>
      </c>
      <c r="AN201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3" t="s">
        <v>621</v>
      </c>
      <c r="B202" s="7">
        <v>4029</v>
      </c>
      <c r="C202" s="21" t="s">
        <v>212</v>
      </c>
      <c r="D202" s="21" t="s">
        <v>997</v>
      </c>
      <c r="E202" s="13">
        <v>42846.776458333334</v>
      </c>
      <c r="F202" s="13">
        <v>42846.778194444443</v>
      </c>
      <c r="G202" s="7">
        <v>1</v>
      </c>
      <c r="H202" s="21" t="s">
        <v>525</v>
      </c>
      <c r="I202" s="13">
        <v>42846.790659722225</v>
      </c>
      <c r="J202" s="7">
        <v>1</v>
      </c>
      <c r="K202" s="97" t="str">
        <f t="shared" si="55"/>
        <v>4029/4030</v>
      </c>
      <c r="L202" s="21" t="str">
        <f>VLOOKUP(A202,'Trips&amp;Operators'!$C$1:$G$99999,5,FALSE)</f>
        <v>THOMPSON LESTER</v>
      </c>
      <c r="M202" s="6">
        <f t="shared" si="56"/>
        <v>1.2465277781302575E-2</v>
      </c>
      <c r="N202" s="7">
        <f t="shared" si="74"/>
        <v>17.950000005075708</v>
      </c>
      <c r="O202" s="7"/>
      <c r="P202" s="7"/>
      <c r="Q202" s="22"/>
      <c r="R202" s="22"/>
      <c r="S202" s="31">
        <f t="shared" si="75"/>
        <v>1</v>
      </c>
      <c r="T202" s="46" t="str">
        <f t="shared" si="57"/>
        <v>Southbound</v>
      </c>
      <c r="U202" s="19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2" t="str">
        <f t="shared" si="58"/>
        <v>https://d0f6bd738d7f1b3e5a7ca70fe4ff75f0.us-east-1.aws.found.io/app/kibana#/discover/Steve-Slow-Train-Analysis-(2080s-and-2083s)?_g=(refreshInterval:(display:Off,pause:!f,section:0,value:0),time:(from:'2017-04-21T17:38:06-0600',mode:absolute,to:'2017-04-21T19:58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193" t="str">
        <f t="shared" si="59"/>
        <v>N</v>
      </c>
      <c r="X202" s="193">
        <f t="shared" si="76"/>
        <v>1</v>
      </c>
      <c r="Y202" s="193">
        <f t="shared" si="60"/>
        <v>5.8658000000000001</v>
      </c>
      <c r="Z202" s="62">
        <f t="shared" si="61"/>
        <v>6.9400000000000003E-2</v>
      </c>
      <c r="AA202" s="62">
        <f t="shared" si="62"/>
        <v>5.7964000000000002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0838-21</v>
      </c>
      <c r="AE202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202" s="82" t="str">
        <f t="shared" si="65"/>
        <v>"C:\Program Files (x86)\AstroGrep\AstroGrep.exe" /e /r /s /spath="%USERPROFILE%\AppData\Local\Temp\OnboardLogs" /stypes="app*4029*20170422*" /stext=" 00:.+((SYSTEM_STATE.+slice.+state.+changed )|(ment ac)|(multiple cpu faults)|(system.+state.+changed )|(\[timeout)|(PRM\|1\|D)|(kpr)|(kdp)|(\|lc)|(penalty))"</v>
      </c>
      <c r="AG202" s="1" t="str">
        <f t="shared" si="66"/>
        <v>NW</v>
      </c>
      <c r="AH202" s="86" t="str">
        <f t="shared" si="67"/>
        <v>"%USERPROFILE%\Documents\GitHub\eaglep3\Utilities\RefineRTDCRunTimes.py" --tripid 838-21 --locoid 4029 --swversion DE.1.0.9.0 --startMP 300:58658 --initTime 2017-04-21T18:38:06 --startdatetime 2017-04-21T18:40:36 --delay 1 --endMP 204:694 --enddatetime 2017-04-21T18:58:33 --enforcementcount 1 &gt;&gt;C:\Users\stu\Documents\GitHub\eaglep3-reporting\EC\2017-04-21-refined-times.txt</v>
      </c>
      <c r="AI202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{"issue":{"subject":"","project_id":79,"tracker_id":40,"status_id":1,"priority_id":2,"assigned_to_id":23,"start_date":"2017-04-21","description":"","custom_fields":[{"id":1,"name":"Subdivision","value":"NW"},{"id":4,"name":"Milepost","value":"0.0694"},{"id":17,"name":"Train ID","value":"838-21"},{"id":16,"name":"Locomotive ID","value":"4029"},{"id":130,"name":"Impact","value":""},{"id":150,"name":"Time of Event (Mountain Time)","value":"18:58:33"},{"id":151,"name":"Denver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47" t="str">
        <f t="shared" si="69"/>
        <v>start /low /b %USERPROFILE%\Documents\GitHub\eaglep3\Utilities\DownloadLogsFromS3.py --loco 4029 --day 2017-04-21</v>
      </c>
      <c r="AN202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3" t="s">
        <v>796</v>
      </c>
      <c r="B203" s="7">
        <v>4056</v>
      </c>
      <c r="C203" s="21" t="s">
        <v>212</v>
      </c>
      <c r="D203" s="21" t="s">
        <v>526</v>
      </c>
      <c r="E203" s="13">
        <v>42846.777488425927</v>
      </c>
      <c r="F203" s="13">
        <v>42846.785682870373</v>
      </c>
      <c r="G203" s="7">
        <v>1</v>
      </c>
      <c r="H203" s="21" t="s">
        <v>965</v>
      </c>
      <c r="I203" s="13">
        <v>42846.795497685183</v>
      </c>
      <c r="J203" s="7">
        <v>1</v>
      </c>
      <c r="K203" s="97" t="str">
        <f t="shared" si="55"/>
        <v>4055/4056</v>
      </c>
      <c r="L203" s="21" t="str">
        <f>VLOOKUP(A203,'Trips&amp;Operators'!$C$1:$G$99999,5,FALSE)</f>
        <v>SMITH MICHAEL</v>
      </c>
      <c r="M203" s="6">
        <f t="shared" si="56"/>
        <v>9.814814809942618E-3</v>
      </c>
      <c r="N203" s="7">
        <f t="shared" si="74"/>
        <v>14.13333332631737</v>
      </c>
      <c r="O203" s="7"/>
      <c r="P203" s="7"/>
      <c r="Q203" s="22"/>
      <c r="R203" s="22"/>
      <c r="S203" s="31">
        <f t="shared" si="75"/>
        <v>1</v>
      </c>
      <c r="T203" s="46" t="str">
        <f t="shared" si="57"/>
        <v>NorthBound</v>
      </c>
      <c r="U203" s="19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2" t="str">
        <f t="shared" si="58"/>
        <v>https://d0f6bd738d7f1b3e5a7ca70fe4ff75f0.us-east-1.aws.found.io/app/kibana#/discover/Steve-Slow-Train-Analysis-(2080s-and-2083s)?_g=(refreshInterval:(display:Off,pause:!f,section:0,value:0),time:(from:'2017-04-21T17:39:35-0600',mode:absolute,to:'2017-04-21T20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3" s="193" t="str">
        <f t="shared" si="59"/>
        <v>N</v>
      </c>
      <c r="X203" s="193">
        <f t="shared" si="76"/>
        <v>1</v>
      </c>
      <c r="Y203" s="193">
        <f t="shared" si="60"/>
        <v>9.8299999999999998E-2</v>
      </c>
      <c r="Z203" s="62">
        <f t="shared" si="61"/>
        <v>5.8954000000000004</v>
      </c>
      <c r="AA203" s="62">
        <f t="shared" si="62"/>
        <v>5.7971000000000004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0839-21</v>
      </c>
      <c r="AE203" s="85" t="str">
        <f t="shared" si="64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203" s="82" t="str">
        <f t="shared" si="65"/>
        <v>"C:\Program Files (x86)\AstroGrep\AstroGrep.exe" /e /r /s /spath="%USERPROFILE%\AppData\Local\Temp\OnboardLogs" /stypes="app*4056*20170422*" /stext=" 01:.+((SYSTEM_STATE.+slice.+state.+changed )|(ment ac)|(multiple cpu faults)|(system.+state.+changed )|(\[timeout)|(PRM\|1\|D)|(kpr)|(kdp)|(\|lc)|(penalty))"</v>
      </c>
      <c r="AG203" s="1" t="str">
        <f t="shared" si="66"/>
        <v>NW</v>
      </c>
      <c r="AH203" s="86" t="str">
        <f t="shared" si="67"/>
        <v>"%USERPROFILE%\Documents\GitHub\eaglep3\Utilities\RefineRTDCRunTimes.py" --tripid 839-21 --locoid 4056 --swversion DE.1.0.9.0 --startMP 204:983 --initTime 2017-04-21T18:39:35 --startdatetime 2017-04-21T18:51:23 --delay 1 --endMP 300:58954 --enddatetime 2017-04-21T19:05:31 --enforcementcount 1 &gt;&gt;C:\Users\stu\Documents\GitHub\eaglep3-reporting\EC\2017-04-21-refined-times.txt</v>
      </c>
      <c r="AI203" s="104" t="str">
        <f t="shared" si="68"/>
        <v>echo {"issue":{"subject":"","project_id":79,"tracker_id":40,"status_id":1,"priority_id":2,"assigned_to_id":23,"start_date":"2017-04-21","description":"","custom_fields":[{"id":1,"name":"Subdivision","value":"NW"},{"id":4,"name":"Milepost","value":"5.8954"},{"id":17,"name":"Train ID","value":"839-21"},{"id":16,"name":"Locomotive ID","value":"4056"},{"id":130,"name":"Impact","value":""},{"id":150,"name":"Time of Event (Mountain Time)","value":"19:05:31"},{"id":151,"name":"Denver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47" t="str">
        <f t="shared" si="69"/>
        <v>start /low /b %USERPROFILE%\Documents\GitHub\eaglep3\Utilities\DownloadLogsFromS3.py --loco 4056 --day 2017-04-21</v>
      </c>
      <c r="AN203" s="156" t="str">
        <f t="shared" si="7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3" t="s">
        <v>806</v>
      </c>
      <c r="B204" s="7">
        <v>4029</v>
      </c>
      <c r="C204" s="21" t="s">
        <v>212</v>
      </c>
      <c r="D204" s="21" t="s">
        <v>487</v>
      </c>
      <c r="E204" s="13">
        <v>42846.817673611113</v>
      </c>
      <c r="F204" s="13">
        <v>42846.819606481484</v>
      </c>
      <c r="G204" s="7">
        <v>1</v>
      </c>
      <c r="H204" s="21" t="s">
        <v>582</v>
      </c>
      <c r="I204" s="13">
        <v>42846.83152777778</v>
      </c>
      <c r="J204" s="7">
        <v>1</v>
      </c>
      <c r="K204" s="97" t="str">
        <f t="shared" si="55"/>
        <v>4029/4030</v>
      </c>
      <c r="L204" s="21" t="str">
        <f>VLOOKUP(A204,'Trips&amp;Operators'!$C$1:$G$99999,5,FALSE)</f>
        <v>THOMPSON LESTER</v>
      </c>
      <c r="M204" s="6">
        <f t="shared" si="56"/>
        <v>1.1921296296350192E-2</v>
      </c>
      <c r="N204" s="7">
        <f t="shared" si="74"/>
        <v>17.166666666744277</v>
      </c>
      <c r="O204" s="7"/>
      <c r="P204" s="7"/>
      <c r="Q204" s="22"/>
      <c r="R204" s="22"/>
      <c r="S204" s="31">
        <f t="shared" si="75"/>
        <v>1</v>
      </c>
      <c r="T204" s="46" t="str">
        <f t="shared" si="57"/>
        <v>Southbound</v>
      </c>
      <c r="U204" s="19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2" t="str">
        <f t="shared" si="58"/>
        <v>https://d0f6bd738d7f1b3e5a7ca70fe4ff75f0.us-east-1.aws.found.io/app/kibana#/discover/Steve-Slow-Train-Analysis-(2080s-and-2083s)?_g=(refreshInterval:(display:Off,pause:!f,section:0,value:0),time:(from:'2017-04-21T18:37:27-0600',mode:absolute,to:'2017-04-21T20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193" t="str">
        <f t="shared" si="59"/>
        <v>N</v>
      </c>
      <c r="X204" s="193">
        <f t="shared" si="76"/>
        <v>1</v>
      </c>
      <c r="Y204" s="193">
        <f t="shared" si="60"/>
        <v>5.8635999999999999</v>
      </c>
      <c r="Z204" s="62">
        <f t="shared" si="61"/>
        <v>6.9099999999999995E-2</v>
      </c>
      <c r="AA204" s="62">
        <f t="shared" si="62"/>
        <v>5.7945000000000002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0840-21</v>
      </c>
      <c r="AE204" s="85" t="str">
        <f t="shared" si="64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204" s="82" t="str">
        <f t="shared" si="65"/>
        <v>"C:\Program Files (x86)\AstroGrep\AstroGrep.exe" /e /r /s /spath="%USERPROFILE%\AppData\Local\Temp\OnboardLogs" /stypes="app*4029*20170422*" /stext=" 01:.+((SYSTEM_STATE.+slice.+state.+changed )|(ment ac)|(multiple cpu faults)|(system.+state.+changed )|(\[timeout)|(PRM\|1\|D)|(kpr)|(kdp)|(\|lc)|(penalty))"</v>
      </c>
      <c r="AG204" s="1" t="str">
        <f t="shared" si="66"/>
        <v>NW</v>
      </c>
      <c r="AH204" s="86" t="str">
        <f t="shared" ref="AH204:AH246" si="7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840-21 --locoid 4029 --swversion DE.1.0.9.0 --startMP 300:58636 --initTime 2017-04-21T19:37:27 --startdatetime 2017-04-21T19:40:14 --delay 1 --endMP 204:691 --enddatetime 2017-04-21T19:57:24 --enforcementcount 1 &gt;&gt;C:\Users\stu\Documents\GitHub\eaglep3-reporting\EC\2017-04-21-refined-times.txt</v>
      </c>
      <c r="AI204" s="104" t="str">
        <f t="shared" ref="AI204:AI246" si="7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{"issue":{"subject":"","project_id":79,"tracker_id":40,"status_id":1,"priority_id":2,"assigned_to_id":23,"start_date":"2017-04-21","description":"","custom_fields":[{"id":1,"name":"Subdivision","value":"NW"},{"id":4,"name":"Milepost","value":"0.0691"},{"id":17,"name":"Train ID","value":"840-21"},{"id":16,"name":"Locomotive ID","value":"4029"},{"id":130,"name":"Impact","value":""},{"id":150,"name":"Time of Event (Mountain Time)","value":"19:57:24"},{"id":151,"name":"Denver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47" t="str">
        <f t="shared" ref="AM204:AM246" si="79">"start /low /b "&amp;dls3logs&amp;" --loco "&amp;B204&amp;" --day "&amp;TEXT(F204,"YYYY-MM-DD")</f>
        <v>start /low /b %USERPROFILE%\Documents\GitHub\eaglep3\Utilities\DownloadLogsFromS3.py --loco 4029 --day 2017-04-21</v>
      </c>
      <c r="AN204" s="156" t="str">
        <f t="shared" ref="AN204:AN246" si="80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3" t="s">
        <v>802</v>
      </c>
      <c r="B205" s="7">
        <v>4030</v>
      </c>
      <c r="C205" s="21" t="s">
        <v>212</v>
      </c>
      <c r="D205" s="21" t="s">
        <v>998</v>
      </c>
      <c r="E205" s="13">
        <v>42846.802442129629</v>
      </c>
      <c r="F205" s="13">
        <v>42846.806469907409</v>
      </c>
      <c r="G205" s="7">
        <v>1</v>
      </c>
      <c r="H205" s="21" t="s">
        <v>465</v>
      </c>
      <c r="I205" s="13">
        <v>42846.816504629627</v>
      </c>
      <c r="J205" s="7">
        <v>1</v>
      </c>
      <c r="K205" s="97" t="str">
        <f t="shared" ref="K205:K246" si="81">IF(ISEVEN(B205),(B205-1)&amp;"/"&amp;B205,B205&amp;"/"&amp;(B205+1))</f>
        <v>4029/4030</v>
      </c>
      <c r="L205" s="21" t="str">
        <f>VLOOKUP(A205,'Trips&amp;Operators'!$C$1:$G$99999,5,FALSE)</f>
        <v>THOMPSON LESTER</v>
      </c>
      <c r="M205" s="6">
        <f t="shared" ref="M205:M246" si="82">I205-F205</f>
        <v>1.003472221782431E-2</v>
      </c>
      <c r="N205" s="7">
        <f t="shared" si="74"/>
        <v>14.449999993667006</v>
      </c>
      <c r="O205" s="7"/>
      <c r="P205" s="7"/>
      <c r="Q205" s="22"/>
      <c r="R205" s="22"/>
      <c r="S205" s="31">
        <f t="shared" si="75"/>
        <v>1</v>
      </c>
      <c r="T205" s="46" t="str">
        <f t="shared" ref="T205:T246" si="83">IF(ISEVEN(LEFT(AD205,4)),"Southbound","NorthBound")</f>
        <v>NorthBound</v>
      </c>
      <c r="U205" s="19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2" t="str">
        <f t="shared" ref="V205:V246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-21T18:15:31-0600',mode:absolute,to:'2017-04-21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193" t="str">
        <f t="shared" ref="W205:W246" si="85">IF(AA205&lt;IF(AG205="EC",23,5.65),"Y","N")</f>
        <v>N</v>
      </c>
      <c r="X205" s="193">
        <f t="shared" si="76"/>
        <v>1</v>
      </c>
      <c r="Y205" s="193">
        <f t="shared" ref="Y205:Y246" si="86">RIGHT(D205,LEN(D205)-4)/10000</f>
        <v>0.1011</v>
      </c>
      <c r="Z205" s="62">
        <f t="shared" ref="Z205:Z246" si="87">RIGHT(H205,LEN(H205)-4)/10000</f>
        <v>5.8944000000000001</v>
      </c>
      <c r="AA205" s="62">
        <f t="shared" ref="AA205:AA246" si="88">ABS(Z205-Y205)</f>
        <v>5.7933000000000003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6" si="89">IF(LEN(A205)=6,"0"&amp;A205,A205)</f>
        <v>0841-21</v>
      </c>
      <c r="AE205" s="85" t="str">
        <f t="shared" ref="AE205:AE246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205" s="82" t="str">
        <f t="shared" ref="AF205:AF246" si="9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/stypes="app*4030*20170422*" /stext=" 01:.+((SYSTEM_STATE.+slice.+state.+changed )|(ment ac)|(multiple cpu faults)|(system.+state.+changed )|(\[timeout)|(PRM\|1\|D)|(kpr)|(kdp)|(\|lc)|(penalty))"</v>
      </c>
      <c r="AG205" s="1" t="str">
        <f t="shared" ref="AG205:AG246" si="92">IFERROR(IF(VALUE(LEFT(AD205,2))&lt;=2,"EC",IF(OR(VALUE(LEFT(AD205,2))=8,VALUE(LEFT(AD205,2))=18),"NW","Other")),"Other")</f>
        <v>NW</v>
      </c>
      <c r="AH205" s="86" t="str">
        <f t="shared" si="77"/>
        <v>"%USERPROFILE%\Documents\GitHub\eaglep3\Utilities\RefineRTDCRunTimes.py" --tripid 841-21 --locoid 4030 --swversion DE.1.0.9.0 --startMP 204:1011 --initTime 2017-04-21T19:15:31 --startdatetime 2017-04-21T19:21:19 --delay 1 --endMP 300:58944 --enddatetime 2017-04-21T19:35:46 --enforcementcount 1 &gt;&gt;C:\Users\stu\Documents\GitHub\eaglep3-reporting\EC\2017-04-21-refined-times.txt</v>
      </c>
      <c r="AI205" s="104" t="str">
        <f t="shared" si="78"/>
        <v>echo {"issue":{"subject":"","project_id":79,"tracker_id":40,"status_id":1,"priority_id":2,"assigned_to_id":23,"start_date":"2017-04-21","description":"","custom_fields":[{"id":1,"name":"Subdivision","value":"NW"},{"id":4,"name":"Milepost","value":"5.8944"},{"id":17,"name":"Train ID","value":"841-21"},{"id":16,"name":"Locomotive ID","value":"4030"},{"id":130,"name":"Impact","value":""},{"id":150,"name":"Time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47" t="str">
        <f t="shared" si="79"/>
        <v>start /low /b %USERPROFILE%\Documents\GitHub\eaglep3\Utilities\DownloadLogsFromS3.py --loco 4030 --day 2017-04-21</v>
      </c>
      <c r="AN205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3" t="s">
        <v>812</v>
      </c>
      <c r="B206" s="7">
        <v>4029</v>
      </c>
      <c r="C206" s="21" t="s">
        <v>212</v>
      </c>
      <c r="D206" s="21" t="s">
        <v>520</v>
      </c>
      <c r="E206" s="13">
        <v>42846.860543981478</v>
      </c>
      <c r="F206" s="13">
        <v>42846.862303240741</v>
      </c>
      <c r="G206" s="7">
        <v>1</v>
      </c>
      <c r="H206" s="21" t="s">
        <v>521</v>
      </c>
      <c r="I206" s="13">
        <v>42846.873333333337</v>
      </c>
      <c r="J206" s="7">
        <v>1</v>
      </c>
      <c r="K206" s="97" t="str">
        <f t="shared" si="81"/>
        <v>4029/4030</v>
      </c>
      <c r="L206" s="21" t="str">
        <f>VLOOKUP(A206,'Trips&amp;Operators'!$C$1:$G$99999,5,FALSE)</f>
        <v>THOMPSON LESTER</v>
      </c>
      <c r="M206" s="6">
        <f t="shared" si="82"/>
        <v>1.1030092595319729E-2</v>
      </c>
      <c r="N206" s="7">
        <f t="shared" si="74"/>
        <v>15.88333333726041</v>
      </c>
      <c r="O206" s="7"/>
      <c r="P206" s="7"/>
      <c r="Q206" s="22"/>
      <c r="R206" s="22"/>
      <c r="S206" s="31">
        <f t="shared" si="75"/>
        <v>1</v>
      </c>
      <c r="T206" s="46" t="str">
        <f t="shared" si="83"/>
        <v>Southbound</v>
      </c>
      <c r="U206" s="19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2" t="str">
        <f t="shared" si="84"/>
        <v>https://d0f6bd738d7f1b3e5a7ca70fe4ff75f0.us-east-1.aws.found.io/app/kibana#/discover/Steve-Slow-Train-Analysis-(2080s-and-2083s)?_g=(refreshInterval:(display:Off,pause:!f,section:0,value:0),time:(from:'2017-04-21T19:39:11-0600',mode:absolute,to:'2017-04-21T21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193" t="str">
        <f t="shared" si="85"/>
        <v>N</v>
      </c>
      <c r="X206" s="193">
        <f t="shared" si="76"/>
        <v>1</v>
      </c>
      <c r="Y206" s="193">
        <f t="shared" si="86"/>
        <v>5.8632</v>
      </c>
      <c r="Z206" s="62">
        <f t="shared" si="87"/>
        <v>6.8900000000000003E-2</v>
      </c>
      <c r="AA206" s="62">
        <f t="shared" si="88"/>
        <v>5.7942999999999998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9"/>
        <v>0842-21</v>
      </c>
      <c r="AE206" s="85" t="str">
        <f t="shared" si="90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206" s="82" t="str">
        <f t="shared" si="91"/>
        <v>"C:\Program Files (x86)\AstroGrep\AstroGrep.exe" /e /r /s /spath="%USERPROFILE%\AppData\Local\Temp\OnboardLogs" /stypes="app*4029*20170422*" /stext=" 02:.+((SYSTEM_STATE.+slice.+state.+changed )|(ment ac)|(multiple cpu faults)|(system.+state.+changed )|(\[timeout)|(PRM\|1\|D)|(kpr)|(kdp)|(\|lc)|(penalty))"</v>
      </c>
      <c r="AG206" s="1" t="str">
        <f t="shared" si="92"/>
        <v>NW</v>
      </c>
      <c r="AH206" s="86" t="str">
        <f t="shared" si="77"/>
        <v>"%USERPROFILE%\Documents\GitHub\eaglep3\Utilities\RefineRTDCRunTimes.py" --tripid 842-21 --locoid 4029 --swversion DE.1.0.9.0 --startMP 300:58632 --initTime 2017-04-21T20:39:11 --startdatetime 2017-04-21T20:41:43 --delay 1 --endMP 204:689 --enddatetime 2017-04-21T20:57:36 --enforcementcount 1 &gt;&gt;C:\Users\stu\Documents\GitHub\eaglep3-reporting\EC\2017-04-21-refined-times.txt</v>
      </c>
      <c r="AI206" s="104" t="str">
        <f t="shared" si="78"/>
        <v>echo {"issue":{"subject":"","project_id":79,"tracker_id":40,"status_id":1,"priority_id":2,"assigned_to_id":23,"start_date":"2017-04-21","description":"","custom_fields":[{"id":1,"name":"Subdivision","value":"NW"},{"id":4,"name":"Milepost","value":"0.0689"},{"id":17,"name":"Train ID","value":"842-21"},{"id":16,"name":"Locomotive ID","value":"4029"},{"id":130,"name":"Impact","value":""},{"id":150,"name":"Time of Event (Mountain Time)","value":"20:57:36"},{"id":151,"name":"Denver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47" t="str">
        <f t="shared" si="79"/>
        <v>start /low /b %USERPROFILE%\Documents\GitHub\eaglep3\Utilities\DownloadLogsFromS3.py --loco 4029 --day 2017-04-21</v>
      </c>
      <c r="AN206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02:57:36"},{"id":29,"name":"Sharepoint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3" t="s">
        <v>810</v>
      </c>
      <c r="B207" s="7">
        <v>4030</v>
      </c>
      <c r="C207" s="21" t="s">
        <v>212</v>
      </c>
      <c r="D207" s="21" t="s">
        <v>519</v>
      </c>
      <c r="E207" s="13">
        <v>42846.842881944445</v>
      </c>
      <c r="F207" s="13">
        <v>42846.848124999997</v>
      </c>
      <c r="G207" s="7">
        <v>1</v>
      </c>
      <c r="H207" s="21" t="s">
        <v>523</v>
      </c>
      <c r="I207" s="13">
        <v>42846.859016203707</v>
      </c>
      <c r="J207" s="7">
        <v>1</v>
      </c>
      <c r="K207" s="97" t="str">
        <f t="shared" si="81"/>
        <v>4029/4030</v>
      </c>
      <c r="L207" s="21" t="str">
        <f>VLOOKUP(A207,'Trips&amp;Operators'!$C$1:$G$99999,5,FALSE)</f>
        <v>THOMPSON LESTER</v>
      </c>
      <c r="M207" s="6">
        <f t="shared" si="82"/>
        <v>1.0891203710343689E-2</v>
      </c>
      <c r="N207" s="7">
        <f t="shared" si="74"/>
        <v>15.683333342894912</v>
      </c>
      <c r="O207" s="7"/>
      <c r="P207" s="7"/>
      <c r="Q207" s="22"/>
      <c r="R207" s="22"/>
      <c r="S207" s="31">
        <f t="shared" si="75"/>
        <v>1</v>
      </c>
      <c r="T207" s="46" t="str">
        <f t="shared" si="83"/>
        <v>NorthBound</v>
      </c>
      <c r="U207" s="19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2" t="str">
        <f t="shared" si="84"/>
        <v>https://d0f6bd738d7f1b3e5a7ca70fe4ff75f0.us-east-1.aws.found.io/app/kibana#/discover/Steve-Slow-Train-Analysis-(2080s-and-2083s)?_g=(refreshInterval:(display:Off,pause:!f,section:0,value:0),time:(from:'2017-04-21T19:13:45-0600',mode:absolute,to:'2017-04-21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93" t="str">
        <f t="shared" si="85"/>
        <v>N</v>
      </c>
      <c r="X207" s="193">
        <f t="shared" si="76"/>
        <v>1</v>
      </c>
      <c r="Y207" s="193">
        <f t="shared" si="86"/>
        <v>9.8100000000000007E-2</v>
      </c>
      <c r="Z207" s="62">
        <f t="shared" si="87"/>
        <v>5.8956</v>
      </c>
      <c r="AA207" s="62">
        <f t="shared" si="88"/>
        <v>5.7975000000000003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9"/>
        <v>0843-21</v>
      </c>
      <c r="AE207" s="85" t="str">
        <f t="shared" si="90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207" s="82" t="str">
        <f t="shared" si="91"/>
        <v>"C:\Program Files (x86)\AstroGrep\AstroGrep.exe" /e /r /s /spath="%USERPROFILE%\AppData\Local\Temp\OnboardLogs" /stypes="app*4030*20170422*" /stext=" 02:.+((SYSTEM_STATE.+slice.+state.+changed )|(ment ac)|(multiple cpu faults)|(system.+state.+changed )|(\[timeout)|(PRM\|1\|D)|(kpr)|(kdp)|(\|lc)|(penalty))"</v>
      </c>
      <c r="AG207" s="1" t="str">
        <f t="shared" si="92"/>
        <v>NW</v>
      </c>
      <c r="AH207" s="86" t="str">
        <f t="shared" si="77"/>
        <v>"%USERPROFILE%\Documents\GitHub\eaglep3\Utilities\RefineRTDCRunTimes.py" --tripid 843-21 --locoid 4030 --swversion DE.1.0.9.0 --startMP 204:981 --initTime 2017-04-21T20:13:45 --startdatetime 2017-04-21T20:21:18 --delay 1 --endMP 300:58956 --enddatetime 2017-04-21T20:36:59 --enforcementcount 1 &gt;&gt;C:\Users\stu\Documents\GitHub\eaglep3-reporting\EC\2017-04-21-refined-times.txt</v>
      </c>
      <c r="AI207" s="104" t="str">
        <f t="shared" si="78"/>
        <v>echo {"issue":{"subject":"","project_id":79,"tracker_id":40,"status_id":1,"priority_id":2,"assigned_to_id":23,"start_date":"2017-04-21","description":"","custom_fields":[{"id":1,"name":"Subdivision","value":"NW"},{"id":4,"name":"Milepost","value":"5.8956"},{"id":17,"name":"Train ID","value":"843-21"},{"id":16,"name":"Locomotive ID","value":"4030"},{"id":130,"name":"Impact","value":""},{"id":150,"name":"Time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47" t="str">
        <f t="shared" si="79"/>
        <v>start /low /b %USERPROFILE%\Documents\GitHub\eaglep3\Utilities\DownloadLogsFromS3.py --loco 4030 --day 2017-04-21</v>
      </c>
      <c r="AN207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3" t="s">
        <v>818</v>
      </c>
      <c r="B208" s="7">
        <v>4029</v>
      </c>
      <c r="C208" s="21" t="s">
        <v>212</v>
      </c>
      <c r="D208" s="21" t="s">
        <v>487</v>
      </c>
      <c r="E208" s="13">
        <v>42846.900879629633</v>
      </c>
      <c r="F208" s="13">
        <v>42846.902499999997</v>
      </c>
      <c r="G208" s="7">
        <v>1</v>
      </c>
      <c r="H208" s="21" t="s">
        <v>999</v>
      </c>
      <c r="I208" s="13">
        <v>42846.914826388886</v>
      </c>
      <c r="J208" s="7">
        <v>1</v>
      </c>
      <c r="K208" s="97" t="str">
        <f t="shared" si="81"/>
        <v>4029/4030</v>
      </c>
      <c r="L208" s="21" t="str">
        <f>VLOOKUP(A208,'Trips&amp;Operators'!$C$1:$G$99999,5,FALSE)</f>
        <v>SMITH MICHAEL</v>
      </c>
      <c r="M208" s="6">
        <f t="shared" si="82"/>
        <v>1.2326388889050577E-2</v>
      </c>
      <c r="N208" s="7">
        <f t="shared" si="74"/>
        <v>17.750000000232831</v>
      </c>
      <c r="O208" s="7"/>
      <c r="P208" s="7"/>
      <c r="Q208" s="22"/>
      <c r="R208" s="22"/>
      <c r="S208" s="31">
        <f t="shared" si="75"/>
        <v>1</v>
      </c>
      <c r="T208" s="46" t="str">
        <f t="shared" si="83"/>
        <v>Southbound</v>
      </c>
      <c r="U208" s="19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2" t="str">
        <f t="shared" si="84"/>
        <v>https://d0f6bd738d7f1b3e5a7ca70fe4ff75f0.us-east-1.aws.found.io/app/kibana#/discover/Steve-Slow-Train-Analysis-(2080s-and-2083s)?_g=(refreshInterval:(display:Off,pause:!f,section:0,value:0),time:(from:'2017-04-21T20:37:16-0600',mode:absolute,to:'2017-04-21T22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3" t="str">
        <f t="shared" si="85"/>
        <v>N</v>
      </c>
      <c r="X208" s="193">
        <f t="shared" si="76"/>
        <v>1</v>
      </c>
      <c r="Y208" s="193">
        <f t="shared" si="86"/>
        <v>5.8635999999999999</v>
      </c>
      <c r="Z208" s="62">
        <f t="shared" si="87"/>
        <v>6.8199999999999997E-2</v>
      </c>
      <c r="AA208" s="62">
        <f t="shared" si="88"/>
        <v>5.7953999999999999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9"/>
        <v>0844-21</v>
      </c>
      <c r="AE208" s="85" t="str">
        <f t="shared" si="90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208" s="82" t="str">
        <f t="shared" si="91"/>
        <v>"C:\Program Files (x86)\AstroGrep\AstroGrep.exe" /e /r /s /spath="%USERPROFILE%\AppData\Local\Temp\OnboardLogs" /stypes="app*4029*20170422*" /stext=" 03:.+((SYSTEM_STATE.+slice.+state.+changed )|(ment ac)|(multiple cpu faults)|(system.+state.+changed )|(\[timeout)|(PRM\|1\|D)|(kpr)|(kdp)|(\|lc)|(penalty))"</v>
      </c>
      <c r="AG208" s="1" t="str">
        <f t="shared" si="92"/>
        <v>NW</v>
      </c>
      <c r="AH208" s="86" t="str">
        <f t="shared" si="77"/>
        <v>"%USERPROFILE%\Documents\GitHub\eaglep3\Utilities\RefineRTDCRunTimes.py" --tripid 844-21 --locoid 4029 --swversion DE.1.0.9.0 --startMP 300:58636 --initTime 2017-04-21T21:37:16 --startdatetime 2017-04-21T21:39:36 --delay 1 --endMP 204:682 --enddatetime 2017-04-21T21:57:21 --enforcementcount 1 &gt;&gt;C:\Users\stu\Documents\GitHub\eaglep3-reporting\EC\2017-04-21-refined-times.txt</v>
      </c>
      <c r="AI208" s="104" t="str">
        <f t="shared" si="78"/>
        <v>echo {"issue":{"subject":"","project_id":79,"tracker_id":40,"status_id":1,"priority_id":2,"assigned_to_id":23,"start_date":"2017-04-21","description":"","custom_fields":[{"id":1,"name":"Subdivision","value":"NW"},{"id":4,"name":"Milepost","value":"0.0682"},{"id":17,"name":"Train ID","value":"844-21"},{"id":16,"name":"Locomotive ID","value":"4029"},{"id":130,"name":"Impact","value":""},{"id":150,"name":"Time of Event (Mountain Time)","value":"21:57:21"},{"id":151,"name":"Denver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47" t="str">
        <f t="shared" si="79"/>
        <v>start /low /b %USERPROFILE%\Documents\GitHub\eaglep3\Utilities\DownloadLogsFromS3.py --loco 4029 --day 2017-04-21</v>
      </c>
      <c r="AN208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815</v>
      </c>
      <c r="B209" s="7">
        <v>4030</v>
      </c>
      <c r="C209" s="21" t="s">
        <v>212</v>
      </c>
      <c r="D209" s="21" t="s">
        <v>519</v>
      </c>
      <c r="E209" s="13">
        <v>42846.876631944448</v>
      </c>
      <c r="F209" s="13">
        <v>42846.890138888892</v>
      </c>
      <c r="G209" s="7">
        <v>1</v>
      </c>
      <c r="H209" s="21" t="s">
        <v>465</v>
      </c>
      <c r="I209" s="13">
        <v>42846.899606481478</v>
      </c>
      <c r="J209" s="7">
        <v>1</v>
      </c>
      <c r="K209" s="97" t="str">
        <f t="shared" si="81"/>
        <v>4029/4030</v>
      </c>
      <c r="L209" s="21" t="str">
        <f>VLOOKUP(A209,'Trips&amp;Operators'!$C$1:$G$99999,5,FALSE)</f>
        <v>SMITH MICHAEL</v>
      </c>
      <c r="M209" s="6">
        <f t="shared" si="82"/>
        <v>9.4675925865885802E-3</v>
      </c>
      <c r="N209" s="7">
        <f t="shared" si="74"/>
        <v>13.633333324687555</v>
      </c>
      <c r="O209" s="7"/>
      <c r="P209" s="7"/>
      <c r="Q209" s="22"/>
      <c r="R209" s="22"/>
      <c r="S209" s="31">
        <f t="shared" si="75"/>
        <v>1</v>
      </c>
      <c r="T209" s="46" t="str">
        <f t="shared" si="83"/>
        <v>NorthBound</v>
      </c>
      <c r="U209" s="19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2" t="str">
        <f t="shared" si="84"/>
        <v>https://d0f6bd738d7f1b3e5a7ca70fe4ff75f0.us-east-1.aws.found.io/app/kibana#/discover/Steve-Slow-Train-Analysis-(2080s-and-2083s)?_g=(refreshInterval:(display:Off,pause:!f,section:0,value:0),time:(from:'2017-04-21T20:02:21-0600',mode:absolute,to:'2017-04-21T22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3" t="str">
        <f t="shared" si="85"/>
        <v>N</v>
      </c>
      <c r="X209" s="193">
        <f t="shared" si="76"/>
        <v>1</v>
      </c>
      <c r="Y209" s="193">
        <f t="shared" si="86"/>
        <v>9.8100000000000007E-2</v>
      </c>
      <c r="Z209" s="62">
        <f t="shared" si="87"/>
        <v>5.8944000000000001</v>
      </c>
      <c r="AA209" s="62">
        <f t="shared" si="88"/>
        <v>5.7963000000000005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9"/>
        <v>0845-21</v>
      </c>
      <c r="AE209" s="85" t="str">
        <f t="shared" si="90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209" s="82" t="str">
        <f t="shared" si="91"/>
        <v>"C:\Program Files (x86)\AstroGrep\AstroGrep.exe" /e /r /s /spath="%USERPROFILE%\AppData\Local\Temp\OnboardLogs" /stypes="app*4030*20170422*" /stext=" 03:.+((SYSTEM_STATE.+slice.+state.+changed )|(ment ac)|(multiple cpu faults)|(system.+state.+changed )|(\[timeout)|(PRM\|1\|D)|(kpr)|(kdp)|(\|lc)|(penalty))"</v>
      </c>
      <c r="AG209" s="1" t="str">
        <f t="shared" si="92"/>
        <v>NW</v>
      </c>
      <c r="AH209" s="86" t="str">
        <f t="shared" si="77"/>
        <v>"%USERPROFILE%\Documents\GitHub\eaglep3\Utilities\RefineRTDCRunTimes.py" --tripid 845-21 --locoid 4030 --swversion DE.1.0.9.0 --startMP 204:981 --initTime 2017-04-21T21:02:21 --startdatetime 2017-04-21T21:21:48 --delay 1 --endMP 300:58944 --enddatetime 2017-04-21T21:35:26 --enforcementcount 1 &gt;&gt;C:\Users\stu\Documents\GitHub\eaglep3-reporting\EC\2017-04-21-refined-times.txt</v>
      </c>
      <c r="AI209" s="104" t="str">
        <f t="shared" si="78"/>
        <v>echo {"issue":{"subject":"","project_id":79,"tracker_id":40,"status_id":1,"priority_id":2,"assigned_to_id":23,"start_date":"2017-04-21","description":"","custom_fields":[{"id":1,"name":"Subdivision","value":"NW"},{"id":4,"name":"Milepost","value":"5.8944"},{"id":17,"name":"Train ID","value":"845-21"},{"id":16,"name":"Locomotive ID","value":"4030"},{"id":130,"name":"Impact","value":""},{"id":150,"name":"Time of Event (Mountain Time)","value":"21:35:26"},{"id":151,"name":"Denver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47" t="str">
        <f t="shared" si="79"/>
        <v>start /low /b %USERPROFILE%\Documents\GitHub\eaglep3\Utilities\DownloadLogsFromS3.py --loco 4030 --day 2017-04-21</v>
      </c>
      <c r="AN209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820</v>
      </c>
      <c r="B210" s="7">
        <v>4030</v>
      </c>
      <c r="C210" s="21" t="s">
        <v>212</v>
      </c>
      <c r="D210" s="21" t="s">
        <v>463</v>
      </c>
      <c r="E210" s="13">
        <v>42846.926446759258</v>
      </c>
      <c r="F210" s="13">
        <v>42846.93178240741</v>
      </c>
      <c r="G210" s="7">
        <v>1</v>
      </c>
      <c r="H210" s="21" t="s">
        <v>1000</v>
      </c>
      <c r="I210" s="13">
        <v>42846.942407407405</v>
      </c>
      <c r="J210" s="7">
        <v>1</v>
      </c>
      <c r="K210" s="97" t="str">
        <f t="shared" si="81"/>
        <v>4029/4030</v>
      </c>
      <c r="L210" s="21" t="str">
        <f>VLOOKUP(A210,'Trips&amp;Operators'!$C$1:$G$99999,5,FALSE)</f>
        <v>PERKINS DARREN</v>
      </c>
      <c r="M210" s="6">
        <f t="shared" si="82"/>
        <v>1.0624999995343387E-2</v>
      </c>
      <c r="N210" s="7">
        <f t="shared" si="74"/>
        <v>15.299999993294477</v>
      </c>
      <c r="O210" s="7"/>
      <c r="P210" s="7"/>
      <c r="Q210" s="22"/>
      <c r="R210" s="22"/>
      <c r="S210" s="31">
        <f t="shared" si="75"/>
        <v>1</v>
      </c>
      <c r="T210" s="46" t="str">
        <f t="shared" si="83"/>
        <v>NorthBound</v>
      </c>
      <c r="U210" s="19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2" t="str">
        <f t="shared" si="84"/>
        <v>https://d0f6bd738d7f1b3e5a7ca70fe4ff75f0.us-east-1.aws.found.io/app/kibana#/discover/Steve-Slow-Train-Analysis-(2080s-and-2083s)?_g=(refreshInterval:(display:Off,pause:!f,section:0,value:0),time:(from:'2017-04-21T21:14:05-0600',mode:absolute,to:'2017-04-21T23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93" t="str">
        <f t="shared" si="85"/>
        <v>N</v>
      </c>
      <c r="X210" s="193">
        <f t="shared" si="76"/>
        <v>2</v>
      </c>
      <c r="Y210" s="193">
        <f t="shared" si="86"/>
        <v>9.74E-2</v>
      </c>
      <c r="Z210" s="62">
        <f t="shared" si="87"/>
        <v>5.8914</v>
      </c>
      <c r="AA210" s="62">
        <f t="shared" si="88"/>
        <v>5.7939999999999996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9"/>
        <v>0847-21</v>
      </c>
      <c r="AE210" s="85" t="str">
        <f t="shared" si="90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210" s="82" t="str">
        <f t="shared" si="91"/>
        <v>"C:\Program Files (x86)\AstroGrep\AstroGrep.exe" /e /r /s /spath="%USERPROFILE%\AppData\Local\Temp\OnboardLogs" /stypes="app*4030*20170422*" /stext=" 04:.+((SYSTEM_STATE.+slice.+state.+changed )|(ment ac)|(multiple cpu faults)|(system.+state.+changed )|(\[timeout)|(PRM\|1\|D)|(kpr)|(kdp)|(\|lc)|(penalty))"</v>
      </c>
      <c r="AG210" s="1" t="str">
        <f t="shared" si="92"/>
        <v>NW</v>
      </c>
      <c r="AH210" s="86" t="str">
        <f t="shared" si="77"/>
        <v>"%USERPROFILE%\Documents\GitHub\eaglep3\Utilities\RefineRTDCRunTimes.py" --tripid 847-21 --locoid 4030 --swversion DE.1.0.9.0 --startMP 204:974 --initTime 2017-04-21T22:14:05 --startdatetime 2017-04-21T22:21:46 --delay 1 --endMP 300:58914 --enddatetime 2017-04-21T22:37:04 --enforcementcount 1 &gt;&gt;C:\Users\stu\Documents\GitHub\eaglep3-reporting\EC\2017-04-21-refined-times.txt</v>
      </c>
      <c r="AI210" s="104" t="str">
        <f t="shared" si="78"/>
        <v>echo {"issue":{"subject":"","project_id":79,"tracker_id":40,"status_id":1,"priority_id":2,"assigned_to_id":23,"start_date":"2017-04-21","description":"","custom_fields":[{"id":1,"name":"Subdivision","value":"NW"},{"id":4,"name":"Milepost","value":"5.8914"},{"id":17,"name":"Train ID","value":"847-21"},{"id":16,"name":"Locomotive ID","value":"4030"},{"id":130,"name":"Impact","value":""},{"id":150,"name":"Time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47" t="str">
        <f t="shared" si="79"/>
        <v>start /low /b %USERPROFILE%\Documents\GitHub\eaglep3\Utilities\DownloadLogsFromS3.py --loco 4030 --day 2017-04-21</v>
      </c>
      <c r="AN210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551</v>
      </c>
      <c r="B211" s="7">
        <v>4015</v>
      </c>
      <c r="C211" s="21" t="s">
        <v>212</v>
      </c>
      <c r="D211" s="21" t="s">
        <v>925</v>
      </c>
      <c r="E211" s="13">
        <v>42846.113553240742</v>
      </c>
      <c r="F211" s="13">
        <v>42846.117858796293</v>
      </c>
      <c r="G211" s="7">
        <v>6</v>
      </c>
      <c r="H211" s="21" t="s">
        <v>377</v>
      </c>
      <c r="I211" s="13">
        <v>42846.123680555553</v>
      </c>
      <c r="J211" s="7">
        <v>1</v>
      </c>
      <c r="K211" s="97" t="str">
        <f t="shared" si="81"/>
        <v>4015/4016</v>
      </c>
      <c r="L211" s="21" t="str">
        <f>VLOOKUP(A211,'Trips&amp;Operators'!$C$1:$G$99999,5,FALSE)</f>
        <v>BADERTSCHER DIANE</v>
      </c>
      <c r="M211" s="6">
        <f t="shared" si="82"/>
        <v>5.8217592595610768E-3</v>
      </c>
      <c r="N211" s="7">
        <f t="shared" ref="N211:N224" si="93">24*60*SUM($M211:$M211)</f>
        <v>8.3833333337679505</v>
      </c>
      <c r="O211" s="7"/>
      <c r="P211" s="7"/>
      <c r="Q211" s="22"/>
      <c r="R211" s="22"/>
      <c r="S211" s="31">
        <f t="shared" ref="S211:S246" si="94">SUM(U211:U211)/IF(AG211="EC",12,1)</f>
        <v>1</v>
      </c>
      <c r="T211" s="46" t="str">
        <f t="shared" si="83"/>
        <v>Southbound</v>
      </c>
      <c r="U211" s="19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2" t="str">
        <f t="shared" si="84"/>
        <v>https://d0f6bd738d7f1b3e5a7ca70fe4ff75f0.us-east-1.aws.found.io/app/kibana#/discover/Steve-Slow-Train-Analysis-(2080s-and-2083s)?_g=(refreshInterval:(display:Off,pause:!f,section:0,value:0),time:(from:'2017-04-21T01:43:31-0600',mode:absolute,to:'2017-04-21T03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193" t="str">
        <f t="shared" si="85"/>
        <v>Y</v>
      </c>
      <c r="X211" s="193">
        <f t="shared" si="76"/>
        <v>-545</v>
      </c>
      <c r="Y211" s="193">
        <f t="shared" si="86"/>
        <v>2.2698</v>
      </c>
      <c r="Z211" s="62">
        <f t="shared" si="87"/>
        <v>1.38E-2</v>
      </c>
      <c r="AA211" s="62">
        <f t="shared" si="88"/>
        <v>2.2560000000000002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9"/>
        <v>0302-21</v>
      </c>
      <c r="AE211" s="85" t="str">
        <f t="shared" si="90"/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AF211" s="82" t="str">
        <f t="shared" si="91"/>
        <v>"C:\Program Files (x86)\AstroGrep\AstroGrep.exe" /e /r /s /spath="%USERPROFILE%\AppData\Local\Temp\OnboardLogs" /stypes="app*4015*20170421*" /stext=" 08:.+((SYSTEM_STATE.+slice.+state.+changed )|(ment ac)|(multiple cpu faults)|(system.+state.+changed )|(\[timeout)|(PRM\|1\|D)|(kpr)|(kdp)|(\|lc)|(penalty))"</v>
      </c>
      <c r="AG211" s="1" t="str">
        <f t="shared" si="92"/>
        <v>Other</v>
      </c>
      <c r="AH211" s="86" t="str">
        <f t="shared" si="77"/>
        <v>"%USERPROFILE%\Documents\GitHub\eaglep3\Utilities\RefineRTDCRunTimes.py" --tripid 302-21 --locoid 4015 --swversion DE.1.0.9.0 --startMP 300:22698 --initTime 2017-04-21T02:43:31 --startdatetime 2017-04-21T02:49:43 --delay 6 --endMP 204:138 --enddatetime 2017-04-21T02:58:06 --enforcementcount 1 &gt;&gt;C:\Users\stu\Documents\GitHub\eaglep3-reporting\EC\2017-04-21-refined-times.txt</v>
      </c>
      <c r="AI211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{"issue":{"subject":"","project_id":79,"tracker_id":40,"status_id":1,"priority_id":2,"assigned_to_id":23,"start_date":"2017-04-21","description":"","custom_fields":[{"id":1,"name":"Subdivision","value":"Other"},{"id":4,"name":"Milepost","value":"0.0138"},{"id":17,"name":"Train ID","value":"302-21"},{"id":16,"name":"Locomotive ID","value":"4015"},{"id":130,"name":"Impact","value":""},{"id":150,"name":"Time of Event (Mountain Time)","value":"02:58:06"},{"id":151,"name":"Denver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47" t="str">
        <f t="shared" si="79"/>
        <v>start /low /b %USERPROFILE%\Documents\GitHub\eaglep3\Utilities\DownloadLogsFromS3.py --loco 4015 --day 2017-04-21</v>
      </c>
      <c r="AN211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08:58:06"},{"id":29,"name":"Sharepoint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620</v>
      </c>
      <c r="B212" s="7">
        <v>4046</v>
      </c>
      <c r="C212" s="21" t="s">
        <v>212</v>
      </c>
      <c r="D212" s="21" t="s">
        <v>392</v>
      </c>
      <c r="E212" s="13">
        <v>42846.776388888888</v>
      </c>
      <c r="F212" s="13">
        <v>42846.778090277781</v>
      </c>
      <c r="G212" s="7">
        <v>1</v>
      </c>
      <c r="H212" s="21" t="s">
        <v>926</v>
      </c>
      <c r="I212" s="13">
        <v>42846.782812500001</v>
      </c>
      <c r="J212" s="7">
        <v>1</v>
      </c>
      <c r="K212" s="97" t="str">
        <f t="shared" si="81"/>
        <v>4045/4046</v>
      </c>
      <c r="L212" s="21" t="str">
        <f>VLOOKUP(A212,'Trips&amp;Operators'!$C$1:$G$99999,5,FALSE)</f>
        <v>BRUDER RICHARD</v>
      </c>
      <c r="M212" s="6">
        <f t="shared" si="82"/>
        <v>4.7222222201526165E-3</v>
      </c>
      <c r="N212" s="7">
        <f t="shared" si="93"/>
        <v>6.7999999970197678</v>
      </c>
      <c r="O212" s="7"/>
      <c r="P212" s="7"/>
      <c r="Q212" s="22"/>
      <c r="R212" s="22"/>
      <c r="S212" s="31">
        <f t="shared" si="94"/>
        <v>1</v>
      </c>
      <c r="T212" s="46" t="str">
        <f t="shared" si="83"/>
        <v>NorthBound</v>
      </c>
      <c r="U212" s="19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2" t="str">
        <f t="shared" si="84"/>
        <v>https://d0f6bd738d7f1b3e5a7ca70fe4ff75f0.us-east-1.aws.found.io/app/kibana#/discover/Steve-Slow-Train-Analysis-(2080s-and-2083s)?_g=(refreshInterval:(display:Off,pause:!f,section:0,value:0),time:(from:'2017-04-21T17:38:00-0600',mode:absolute,to:'2017-04-21T19:47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93" t="str">
        <f t="shared" si="85"/>
        <v>Y</v>
      </c>
      <c r="X212" s="193">
        <f t="shared" ref="X212:X246" si="95">VALUE(LEFT(AD212,4))-VALUE(LEFT(AD211,4))</f>
        <v>1</v>
      </c>
      <c r="Y212" s="193">
        <f t="shared" si="86"/>
        <v>4.58E-2</v>
      </c>
      <c r="Z212" s="62">
        <f t="shared" si="87"/>
        <v>2.2584</v>
      </c>
      <c r="AA212" s="62">
        <f t="shared" si="88"/>
        <v>2.2126000000000001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9"/>
        <v>0303-21</v>
      </c>
      <c r="AE212" s="85" t="str">
        <f t="shared" si="90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212" s="82" t="str">
        <f t="shared" si="91"/>
        <v>"C:\Program Files (x86)\AstroGrep\AstroGrep.exe" /e /r /s /spath="%USERPROFILE%\AppData\Local\Temp\OnboardLogs" /stypes="app*4046*20170422*" /stext=" 00:.+((SYSTEM_STATE.+slice.+state.+changed )|(ment ac)|(multiple cpu faults)|(system.+state.+changed )|(\[timeout)|(PRM\|1\|D)|(kpr)|(kdp)|(\|lc)|(penalty))"</v>
      </c>
      <c r="AG212" s="1" t="str">
        <f t="shared" si="92"/>
        <v>Other</v>
      </c>
      <c r="AH212" s="86" t="str">
        <f t="shared" si="77"/>
        <v>"%USERPROFILE%\Documents\GitHub\eaglep3\Utilities\RefineRTDCRunTimes.py" --tripid 303-21 --locoid 4046 --swversion DE.1.0.9.0 --startMP 204:458 --initTime 2017-04-21T18:38:00 --startdatetime 2017-04-21T18:40:27 --delay 1 --endMP 300:22584 --enddatetime 2017-04-21T18:47:15 --enforcementcount 1 &gt;&gt;C:\Users\stu\Documents\GitHub\eaglep3-reporting\EC\2017-04-21-refined-times.txt</v>
      </c>
      <c r="AI212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{"issue":{"subject":"","project_id":79,"tracker_id":40,"status_id":1,"priority_id":2,"assigned_to_id":23,"start_date":"2017-04-21","description":"","custom_fields":[{"id":1,"name":"Subdivision","value":"Other"},{"id":4,"name":"Milepost","value":"2.2584"},{"id":17,"name":"Train ID","value":"303-21"},{"id":16,"name":"Locomotive ID","value":"4046"},{"id":130,"name":"Impact","value":""},{"id":150,"name":"Time of Event (Mountain Time)","value":"18:47:15"},{"id":151,"name":"Denver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47" t="str">
        <f t="shared" si="79"/>
        <v>start /low /b %USERPROFILE%\Documents\GitHub\eaglep3\Utilities\DownloadLogsFromS3.py --loco 4046 --day 2017-04-21</v>
      </c>
      <c r="AN212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628</v>
      </c>
      <c r="B213" s="7">
        <v>4039</v>
      </c>
      <c r="C213" s="21" t="s">
        <v>212</v>
      </c>
      <c r="D213" s="21" t="s">
        <v>927</v>
      </c>
      <c r="E213" s="13">
        <v>42846.134884259256</v>
      </c>
      <c r="F213" s="13">
        <v>42846.137939814813</v>
      </c>
      <c r="G213" s="7">
        <v>4</v>
      </c>
      <c r="H213" s="21" t="s">
        <v>928</v>
      </c>
      <c r="I213" s="13">
        <v>42846.143240740741</v>
      </c>
      <c r="J213" s="7">
        <v>1</v>
      </c>
      <c r="K213" s="97" t="str">
        <f t="shared" si="81"/>
        <v>4039/4040</v>
      </c>
      <c r="L213" s="21" t="str">
        <f>VLOOKUP(A213,'Trips&amp;Operators'!$C$1:$G$99999,5,FALSE)</f>
        <v>DAVIS WENDY</v>
      </c>
      <c r="M213" s="6">
        <f t="shared" si="82"/>
        <v>5.3009259281679988E-3</v>
      </c>
      <c r="N213" s="7">
        <f t="shared" si="93"/>
        <v>7.6333333365619183</v>
      </c>
      <c r="O213" s="7"/>
      <c r="P213" s="7"/>
      <c r="Q213" s="22"/>
      <c r="R213" s="22"/>
      <c r="S213" s="31">
        <f t="shared" si="94"/>
        <v>1</v>
      </c>
      <c r="T213" s="46" t="str">
        <f t="shared" si="83"/>
        <v>Southbound</v>
      </c>
      <c r="U213" s="19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2" t="str">
        <f t="shared" si="84"/>
        <v>https://d0f6bd738d7f1b3e5a7ca70fe4ff75f0.us-east-1.aws.found.io/app/kibana#/discover/Steve-Slow-Train-Analysis-(2080s-and-2083s)?_g=(refreshInterval:(display:Off,pause:!f,section:0,value:0),time:(from:'2017-04-21T02:14:14-0600',mode:absolute,to:'2017-04-21T04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93" t="str">
        <f t="shared" si="85"/>
        <v>Y</v>
      </c>
      <c r="X213" s="193">
        <f t="shared" si="95"/>
        <v>1</v>
      </c>
      <c r="Y213" s="193">
        <f t="shared" si="86"/>
        <v>2.3589000000000002</v>
      </c>
      <c r="Z213" s="62">
        <f t="shared" si="87"/>
        <v>1.23E-2</v>
      </c>
      <c r="AA213" s="62">
        <f t="shared" si="88"/>
        <v>2.3466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9"/>
        <v>0304-21</v>
      </c>
      <c r="AE213" s="85" t="str">
        <f t="shared" si="90"/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AF213" s="82" t="str">
        <f t="shared" si="91"/>
        <v>"C:\Program Files (x86)\AstroGrep\AstroGrep.exe" /e /r /s /spath="%USERPROFILE%\AppData\Local\Temp\OnboardLogs" /stypes="app*4039*20170421*" /stext=" 09:.+((SYSTEM_STATE.+slice.+state.+changed )|(ment ac)|(multiple cpu faults)|(system.+state.+changed )|(\[timeout)|(PRM\|1\|D)|(kpr)|(kdp)|(\|lc)|(penalty))"</v>
      </c>
      <c r="AG213" s="1" t="str">
        <f t="shared" si="92"/>
        <v>Other</v>
      </c>
      <c r="AH213" s="86" t="str">
        <f t="shared" si="77"/>
        <v>"%USERPROFILE%\Documents\GitHub\eaglep3\Utilities\RefineRTDCRunTimes.py" --tripid 304-21 --locoid 4039 --swversion DE.1.0.9.0 --startMP 300:23589 --initTime 2017-04-21T03:14:14 --startdatetime 2017-04-21T03:18:38 --delay 4 --endMP 204:123 --enddatetime 2017-04-21T03:26:16 --enforcementcount 1 &gt;&gt;C:\Users\stu\Documents\GitHub\eaglep3-reporting\EC\2017-04-21-refined-times.txt</v>
      </c>
      <c r="AI213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{"issue":{"subject":"","project_id":79,"tracker_id":40,"status_id":1,"priority_id":2,"assigned_to_id":23,"start_date":"2017-04-21","description":"","custom_fields":[{"id":1,"name":"Subdivision","value":"Other"},{"id":4,"name":"Milepost","value":"0.0123"},{"id":17,"name":"Train ID","value":"304-21"},{"id":16,"name":"Locomotive ID","value":"4039"},{"id":130,"name":"Impact","value":""},{"id":150,"name":"Time of Event (Mountain Time)","value":"03:26:16"},{"id":151,"name":"Denver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47" t="str">
        <f t="shared" si="79"/>
        <v>start /low /b %USERPROFILE%\Documents\GitHub\eaglep3\Utilities\DownloadLogsFromS3.py --loco 4039 --day 2017-04-21</v>
      </c>
      <c r="AN213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09:26:16"},{"id":29,"name":"Sharepoint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800</v>
      </c>
      <c r="B214" s="7">
        <v>4032</v>
      </c>
      <c r="C214" s="21" t="s">
        <v>212</v>
      </c>
      <c r="D214" s="21" t="s">
        <v>888</v>
      </c>
      <c r="E214" s="13">
        <v>42846.796886574077</v>
      </c>
      <c r="F214" s="13">
        <v>42846.798495370371</v>
      </c>
      <c r="G214" s="7">
        <v>1</v>
      </c>
      <c r="H214" s="21" t="s">
        <v>485</v>
      </c>
      <c r="I214" s="13">
        <v>42846.806655092594</v>
      </c>
      <c r="J214" s="7">
        <v>1</v>
      </c>
      <c r="K214" s="97" t="str">
        <f t="shared" si="81"/>
        <v>4031/4032</v>
      </c>
      <c r="L214" s="21" t="str">
        <f>VLOOKUP(A214,'Trips&amp;Operators'!$C$1:$G$99999,5,FALSE)</f>
        <v>LOPES KIMBERLY</v>
      </c>
      <c r="M214" s="6">
        <f t="shared" si="82"/>
        <v>8.1597222233540379E-3</v>
      </c>
      <c r="N214" s="7">
        <f t="shared" si="93"/>
        <v>11.750000001629815</v>
      </c>
      <c r="O214" s="7"/>
      <c r="P214" s="7"/>
      <c r="Q214" s="22"/>
      <c r="R214" s="22"/>
      <c r="S214" s="31">
        <f t="shared" si="94"/>
        <v>1</v>
      </c>
      <c r="T214" s="46" t="str">
        <f t="shared" si="83"/>
        <v>NorthBound</v>
      </c>
      <c r="U214" s="19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2" t="str">
        <f t="shared" si="84"/>
        <v>https://d0f6bd738d7f1b3e5a7ca70fe4ff75f0.us-east-1.aws.found.io/app/kibana#/discover/Steve-Slow-Train-Analysis-(2080s-and-2083s)?_g=(refreshInterval:(display:Off,pause:!f,section:0,value:0),time:(from:'2017-04-21T18:07:31-0600',mode:absolute,to:'2017-04-21T20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193" t="str">
        <f t="shared" si="85"/>
        <v>Y</v>
      </c>
      <c r="X214" s="193">
        <f t="shared" si="95"/>
        <v>1</v>
      </c>
      <c r="Y214" s="193">
        <f t="shared" si="86"/>
        <v>4.7100000000000003E-2</v>
      </c>
      <c r="Z214" s="62">
        <f t="shared" si="87"/>
        <v>2.3346</v>
      </c>
      <c r="AA214" s="62">
        <f t="shared" si="88"/>
        <v>2.2875000000000001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9"/>
        <v>0305-21</v>
      </c>
      <c r="AE214" s="85" t="str">
        <f t="shared" si="90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214" s="82" t="str">
        <f t="shared" si="91"/>
        <v>"C:\Program Files (x86)\AstroGrep\AstroGrep.exe" /e /r /s /spath="%USERPROFILE%\AppData\Local\Temp\OnboardLogs" /stypes="app*4032*20170422*" /stext=" 01:.+((SYSTEM_STATE.+slice.+state.+changed )|(ment ac)|(multiple cpu faults)|(system.+state.+changed )|(\[timeout)|(PRM\|1\|D)|(kpr)|(kdp)|(\|lc)|(penalty))"</v>
      </c>
      <c r="AG214" s="1" t="str">
        <f t="shared" si="92"/>
        <v>Other</v>
      </c>
      <c r="AH214" s="86" t="str">
        <f t="shared" si="77"/>
        <v>"%USERPROFILE%\Documents\GitHub\eaglep3\Utilities\RefineRTDCRunTimes.py" --tripid 305-21 --locoid 4032 --swversion DE.1.0.9.0 --startMP 204:471 --initTime 2017-04-21T19:07:31 --startdatetime 2017-04-21T19:09:50 --delay 1 --endMP 300:23346 --enddatetime 2017-04-21T19:21:35 --enforcementcount 1 &gt;&gt;C:\Users\stu\Documents\GitHub\eaglep3-reporting\EC\2017-04-21-refined-times.txt</v>
      </c>
      <c r="AI214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{"issue":{"subject":"","project_id":79,"tracker_id":40,"status_id":1,"priority_id":2,"assigned_to_id":23,"start_date":"2017-04-21","description":"","custom_fields":[{"id":1,"name":"Subdivision","value":"Other"},{"id":4,"name":"Milepost","value":"2.3346"},{"id":17,"name":"Train ID","value":"305-21"},{"id":16,"name":"Locomotive ID","value":"4032"},{"id":130,"name":"Impact","value":""},{"id":150,"name":"Time of Event (Mountain Time)","value":"19:21:35"},{"id":151,"name":"Denver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47" t="str">
        <f t="shared" si="79"/>
        <v>start /low /b %USERPROFILE%\Documents\GitHub\eaglep3\Utilities\DownloadLogsFromS3.py --loco 4032 --day 2017-04-21</v>
      </c>
      <c r="AN214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632</v>
      </c>
      <c r="B215" s="7">
        <v>4045</v>
      </c>
      <c r="C215" s="21" t="s">
        <v>212</v>
      </c>
      <c r="D215" s="21" t="s">
        <v>929</v>
      </c>
      <c r="E215" s="13">
        <v>42846.156793981485</v>
      </c>
      <c r="F215" s="13">
        <v>42846.159247685187</v>
      </c>
      <c r="G215" s="7">
        <v>3</v>
      </c>
      <c r="H215" s="21" t="s">
        <v>419</v>
      </c>
      <c r="I215" s="13">
        <v>42846.166192129633</v>
      </c>
      <c r="J215" s="7">
        <v>1</v>
      </c>
      <c r="K215" s="97" t="str">
        <f t="shared" si="81"/>
        <v>4045/4046</v>
      </c>
      <c r="L215" s="21" t="str">
        <f>VLOOKUP(A215,'Trips&amp;Operators'!$C$1:$G$99999,5,FALSE)</f>
        <v>HOLCOMB KAMDEN</v>
      </c>
      <c r="M215" s="6">
        <f t="shared" si="82"/>
        <v>6.9444444452528842E-3</v>
      </c>
      <c r="N215" s="7">
        <f t="shared" si="93"/>
        <v>10.000000001164153</v>
      </c>
      <c r="O215" s="7"/>
      <c r="P215" s="7"/>
      <c r="Q215" s="22"/>
      <c r="R215" s="22"/>
      <c r="S215" s="31">
        <f t="shared" si="94"/>
        <v>1</v>
      </c>
      <c r="T215" s="46" t="str">
        <f t="shared" si="83"/>
        <v>Southbound</v>
      </c>
      <c r="U215" s="19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2" t="str">
        <f t="shared" si="84"/>
        <v>https://d0f6bd738d7f1b3e5a7ca70fe4ff75f0.us-east-1.aws.found.io/app/kibana#/discover/Steve-Slow-Train-Analysis-(2080s-and-2083s)?_g=(refreshInterval:(display:Off,pause:!f,section:0,value:0),time:(from:'2017-04-21T02:45:47-0600',mode:absolute,to:'2017-04-21T04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5" s="193" t="str">
        <f t="shared" si="85"/>
        <v>Y</v>
      </c>
      <c r="X215" s="193">
        <f t="shared" si="95"/>
        <v>1</v>
      </c>
      <c r="Y215" s="193">
        <f t="shared" si="86"/>
        <v>2.3466</v>
      </c>
      <c r="Z215" s="62">
        <f t="shared" si="87"/>
        <v>1.49E-2</v>
      </c>
      <c r="AA215" s="62">
        <f t="shared" si="88"/>
        <v>2.3317000000000001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9"/>
        <v>0306-21</v>
      </c>
      <c r="AE215" s="85" t="str">
        <f t="shared" si="90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215" s="82" t="str">
        <f t="shared" si="91"/>
        <v>"C:\Program Files (x86)\AstroGrep\AstroGrep.exe" /e /r /s /spath="%USERPROFILE%\AppData\Local\Temp\OnboardLogs" /stypes="app*4045*20170421*" /stext=" 09:.+((SYSTEM_STATE.+slice.+state.+changed )|(ment ac)|(multiple cpu faults)|(system.+state.+changed )|(\[timeout)|(PRM\|1\|D)|(kpr)|(kdp)|(\|lc)|(penalty))"</v>
      </c>
      <c r="AG215" s="1" t="str">
        <f t="shared" si="92"/>
        <v>Other</v>
      </c>
      <c r="AH215" s="86" t="str">
        <f t="shared" si="77"/>
        <v>"%USERPROFILE%\Documents\GitHub\eaglep3\Utilities\RefineRTDCRunTimes.py" --tripid 306-21 --locoid 4045 --swversion DE.1.0.9.0 --startMP 300:23466 --initTime 2017-04-21T03:45:47 --startdatetime 2017-04-21T03:49:19 --delay 3 --endMP 204:149 --enddatetime 2017-04-21T03:59:19 --enforcementcount 1 &gt;&gt;C:\Users\stu\Documents\GitHub\eaglep3-reporting\EC\2017-04-21-refined-times.txt</v>
      </c>
      <c r="AI215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{"issue":{"subject":"","project_id":79,"tracker_id":40,"status_id":1,"priority_id":2,"assigned_to_id":23,"start_date":"2017-04-21","description":"","custom_fields":[{"id":1,"name":"Subdivision","value":"Other"},{"id":4,"name":"Milepost","value":"0.0149"},{"id":17,"name":"Train ID","value":"306-21"},{"id":16,"name":"Locomotive ID","value":"4045"},{"id":130,"name":"Impact","value":""},{"id":150,"name":"Time of Event (Mountain Time)","value":"03:59:19"},{"id":151,"name":"Denver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47" t="str">
        <f t="shared" si="79"/>
        <v>start /low /b %USERPROFILE%\Documents\GitHub\eaglep3\Utilities\DownloadLogsFromS3.py --loco 4045 --day 2017-04-21</v>
      </c>
      <c r="AN215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09:59:19"},{"id":29,"name":"Sharepoint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805</v>
      </c>
      <c r="B216" s="7">
        <v>4040</v>
      </c>
      <c r="C216" s="21" t="s">
        <v>212</v>
      </c>
      <c r="D216" s="21" t="s">
        <v>208</v>
      </c>
      <c r="E216" s="13">
        <v>42846.817488425928</v>
      </c>
      <c r="F216" s="13">
        <v>42846.819548611114</v>
      </c>
      <c r="G216" s="7">
        <v>1</v>
      </c>
      <c r="H216" s="21" t="s">
        <v>485</v>
      </c>
      <c r="I216" s="13">
        <v>42846.826377314814</v>
      </c>
      <c r="J216" s="7">
        <v>1</v>
      </c>
      <c r="K216" s="97" t="str">
        <f t="shared" si="81"/>
        <v>4039/4040</v>
      </c>
      <c r="L216" s="21" t="str">
        <f>VLOOKUP(A216,'Trips&amp;Operators'!$C$1:$G$99999,5,FALSE)</f>
        <v>WHITED DUSTIN</v>
      </c>
      <c r="M216" s="6">
        <f t="shared" si="82"/>
        <v>6.8287036992842332E-3</v>
      </c>
      <c r="N216" s="7">
        <f t="shared" si="93"/>
        <v>9.8333333269692957</v>
      </c>
      <c r="O216" s="7"/>
      <c r="P216" s="7"/>
      <c r="Q216" s="22"/>
      <c r="R216" s="22"/>
      <c r="S216" s="31">
        <f t="shared" si="94"/>
        <v>1</v>
      </c>
      <c r="T216" s="46" t="str">
        <f t="shared" si="83"/>
        <v>NorthBound</v>
      </c>
      <c r="U216" s="19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2" t="str">
        <f t="shared" si="84"/>
        <v>https://d0f6bd738d7f1b3e5a7ca70fe4ff75f0.us-east-1.aws.found.io/app/kibana#/discover/Steve-Slow-Train-Analysis-(2080s-and-2083s)?_g=(refreshInterval:(display:Off,pause:!f,section:0,value:0),time:(from:'2017-04-21T18:37:11-0600',mode:absolute,to:'2017-04-21T20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193" t="str">
        <f t="shared" si="85"/>
        <v>Y</v>
      </c>
      <c r="X216" s="193">
        <f t="shared" si="95"/>
        <v>1</v>
      </c>
      <c r="Y216" s="193">
        <f t="shared" si="86"/>
        <v>4.5499999999999999E-2</v>
      </c>
      <c r="Z216" s="62">
        <f t="shared" si="87"/>
        <v>2.3346</v>
      </c>
      <c r="AA216" s="62">
        <f t="shared" si="88"/>
        <v>2.2890999999999999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9"/>
        <v>0307-21</v>
      </c>
      <c r="AE216" s="85" t="str">
        <f t="shared" si="90"/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AF216" s="82" t="str">
        <f t="shared" si="91"/>
        <v>"C:\Program Files (x86)\AstroGrep\AstroGrep.exe" /e /r /s /spath="%USERPROFILE%\AppData\Local\Temp\OnboardLogs" /stypes="app*4040*20170422*" /stext=" 01:.+((SYSTEM_STATE.+slice.+state.+changed )|(ment ac)|(multiple cpu faults)|(system.+state.+changed )|(\[timeout)|(PRM\|1\|D)|(kpr)|(kdp)|(\|lc)|(penalty))"</v>
      </c>
      <c r="AG216" s="1" t="str">
        <f t="shared" si="92"/>
        <v>Other</v>
      </c>
      <c r="AH216" s="86" t="str">
        <f t="shared" si="77"/>
        <v>"%USERPROFILE%\Documents\GitHub\eaglep3\Utilities\RefineRTDCRunTimes.py" --tripid 307-21 --locoid 4040 --swversion DE.1.0.9.0 --startMP 204:455 --initTime 2017-04-21T19:37:11 --startdatetime 2017-04-21T19:40:09 --delay 1 --endMP 300:23346 --enddatetime 2017-04-21T19:49:59 --enforcementcount 1 &gt;&gt;C:\Users\stu\Documents\GitHub\eaglep3-reporting\EC\2017-04-21-refined-times.txt</v>
      </c>
      <c r="AI216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{"issue":{"subject":"","project_id":79,"tracker_id":40,"status_id":1,"priority_id":2,"assigned_to_id":23,"start_date":"2017-04-21","description":"","custom_fields":[{"id":1,"name":"Subdivision","value":"Other"},{"id":4,"name":"Milepost","value":"2.3346"},{"id":17,"name":"Train ID","value":"307-21"},{"id":16,"name":"Locomotive ID","value":"4040"},{"id":130,"name":"Impact","value":""},{"id":150,"name":"Time of Event (Mountain Time)","value":"19:49:59"},{"id":151,"name":"Denver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47" t="str">
        <f t="shared" si="79"/>
        <v>start /low /b %USERPROFILE%\Documents\GitHub\eaglep3\Utilities\DownloadLogsFromS3.py --loco 4040 --day 2017-04-21</v>
      </c>
      <c r="AN216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633</v>
      </c>
      <c r="B217" s="7">
        <v>4001</v>
      </c>
      <c r="C217" s="21" t="s">
        <v>212</v>
      </c>
      <c r="D217" s="21" t="s">
        <v>930</v>
      </c>
      <c r="E217" s="13">
        <v>42846.170682870368</v>
      </c>
      <c r="F217" s="13">
        <v>42846.174363425926</v>
      </c>
      <c r="G217" s="7">
        <v>5</v>
      </c>
      <c r="H217" s="21" t="s">
        <v>414</v>
      </c>
      <c r="I217" s="13">
        <v>42846.180868055555</v>
      </c>
      <c r="J217" s="7">
        <v>1</v>
      </c>
      <c r="K217" s="97" t="str">
        <f t="shared" si="81"/>
        <v>4001/4002</v>
      </c>
      <c r="L217" s="21" t="str">
        <f>VLOOKUP(A217,'Trips&amp;Operators'!$C$1:$G$99999,5,FALSE)</f>
        <v>STARKS ANGELINA</v>
      </c>
      <c r="M217" s="6">
        <f t="shared" si="82"/>
        <v>6.5046296294895001E-3</v>
      </c>
      <c r="N217" s="7">
        <f t="shared" si="93"/>
        <v>9.3666666664648801</v>
      </c>
      <c r="O217" s="7"/>
      <c r="P217" s="7"/>
      <c r="Q217" s="22"/>
      <c r="R217" s="22"/>
      <c r="S217" s="31">
        <f t="shared" si="94"/>
        <v>1</v>
      </c>
      <c r="T217" s="46" t="str">
        <f t="shared" si="83"/>
        <v>Southbound</v>
      </c>
      <c r="U217" s="19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2" t="str">
        <f t="shared" si="84"/>
        <v>https://d0f6bd738d7f1b3e5a7ca70fe4ff75f0.us-east-1.aws.found.io/app/kibana#/discover/Steve-Slow-Train-Analysis-(2080s-and-2083s)?_g=(refreshInterval:(display:Off,pause:!f,section:0,value:0),time:(from:'2017-04-21T03:05:47-0600',mode:absolute,to:'2017-04-21T05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193" t="str">
        <f t="shared" si="85"/>
        <v>Y</v>
      </c>
      <c r="X217" s="193">
        <f t="shared" si="95"/>
        <v>1</v>
      </c>
      <c r="Y217" s="193">
        <f t="shared" si="86"/>
        <v>2.3323999999999998</v>
      </c>
      <c r="Z217" s="62">
        <f t="shared" si="87"/>
        <v>1.4999999999999999E-2</v>
      </c>
      <c r="AA217" s="62">
        <f t="shared" si="88"/>
        <v>2.3173999999999997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9"/>
        <v>0308-21</v>
      </c>
      <c r="AE217" s="85" t="str">
        <f t="shared" si="90"/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AF217" s="82" t="str">
        <f t="shared" si="91"/>
        <v>"C:\Program Files (x86)\AstroGrep\AstroGrep.exe" /e /r /s /spath="%USERPROFILE%\AppData\Local\Temp\OnboardLogs" /stypes="app*4001*20170421*" /stext=" 10:.+((SYSTEM_STATE.+slice.+state.+changed )|(ment ac)|(multiple cpu faults)|(system.+state.+changed )|(\[timeout)|(PRM\|1\|D)|(kpr)|(kdp)|(\|lc)|(penalty))"</v>
      </c>
      <c r="AG217" s="1" t="str">
        <f t="shared" si="92"/>
        <v>Other</v>
      </c>
      <c r="AH217" s="86" t="str">
        <f t="shared" si="77"/>
        <v>"%USERPROFILE%\Documents\GitHub\eaglep3\Utilities\RefineRTDCRunTimes.py" --tripid 308-21 --locoid 4001 --swversion DE.1.0.9.0 --startMP 300:23324 --initTime 2017-04-21T04:05:47 --startdatetime 2017-04-21T04:11:05 --delay 5 --endMP 204:150 --enddatetime 2017-04-21T04:20:27 --enforcementcount 1 &gt;&gt;C:\Users\stu\Documents\GitHub\eaglep3-reporting\EC\2017-04-21-refined-times.txt</v>
      </c>
      <c r="AI217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{"issue":{"subject":"","project_id":79,"tracker_id":40,"status_id":1,"priority_id":2,"assigned_to_id":23,"start_date":"2017-04-21","description":"","custom_fields":[{"id":1,"name":"Subdivision","value":"Other"},{"id":4,"name":"Milepost","value":"0.015"},{"id":17,"name":"Train ID","value":"308-21"},{"id":16,"name":"Locomotive ID","value":"4001"},{"id":130,"name":"Impact","value":""},{"id":150,"name":"Time of Event (Mountain Time)","value":"04:20:27"},{"id":151,"name":"Denver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47" t="str">
        <f t="shared" si="79"/>
        <v>start /low /b %USERPROFILE%\Documents\GitHub\eaglep3\Utilities\DownloadLogsFromS3.py --loco 4001 --day 2017-04-21</v>
      </c>
      <c r="AN217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10:20:27"},{"id":29,"name":"Sharepoint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588</v>
      </c>
      <c r="B218" s="7">
        <v>4023</v>
      </c>
      <c r="C218" s="21" t="s">
        <v>212</v>
      </c>
      <c r="D218" s="21" t="s">
        <v>931</v>
      </c>
      <c r="E218" s="13">
        <v>42846.182222222225</v>
      </c>
      <c r="F218" s="13">
        <v>42846.184837962966</v>
      </c>
      <c r="G218" s="7">
        <v>3</v>
      </c>
      <c r="H218" s="21" t="s">
        <v>388</v>
      </c>
      <c r="I218" s="13">
        <v>42846.185023148151</v>
      </c>
      <c r="J218" s="7">
        <v>1</v>
      </c>
      <c r="K218" s="97" t="str">
        <f t="shared" si="81"/>
        <v>4023/4024</v>
      </c>
      <c r="L218" s="21" t="str">
        <f>VLOOKUP(A218,'Trips&amp;Operators'!$C$1:$G$99999,5,FALSE)</f>
        <v>LOZA FIDEL</v>
      </c>
      <c r="M218" s="6">
        <f t="shared" si="82"/>
        <v>1.8518518481869251E-4</v>
      </c>
      <c r="N218" s="7">
        <f t="shared" si="93"/>
        <v>0.26666666613891721</v>
      </c>
      <c r="O218" s="7"/>
      <c r="P218" s="7"/>
      <c r="Q218" s="22"/>
      <c r="R218" s="22"/>
      <c r="S218" s="31">
        <f t="shared" si="94"/>
        <v>1</v>
      </c>
      <c r="T218" s="46" t="str">
        <f t="shared" si="83"/>
        <v>Southbound</v>
      </c>
      <c r="U218" s="19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2" t="str">
        <f t="shared" si="84"/>
        <v>https://d0f6bd738d7f1b3e5a7ca70fe4ff75f0.us-east-1.aws.found.io/app/kibana#/discover/Steve-Slow-Train-Analysis-(2080s-and-2083s)?_g=(refreshInterval:(display:Off,pause:!f,section:0,value:0),time:(from:'2017-04-21T03:22:24-0600',mode:absolute,to:'2017-04-21T05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8" s="193" t="str">
        <f t="shared" si="85"/>
        <v>Y</v>
      </c>
      <c r="X218" s="193">
        <f t="shared" si="95"/>
        <v>2</v>
      </c>
      <c r="Y218" s="193">
        <f t="shared" si="86"/>
        <v>2.3519000000000001</v>
      </c>
      <c r="Z218" s="62">
        <f t="shared" si="87"/>
        <v>1.4500000000000001E-2</v>
      </c>
      <c r="AA218" s="62">
        <f t="shared" si="88"/>
        <v>2.3374000000000001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9"/>
        <v>0310-21</v>
      </c>
      <c r="AE218" s="85" t="str">
        <f t="shared" si="90"/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AF218" s="82" t="str">
        <f t="shared" si="91"/>
        <v>"C:\Program Files (x86)\AstroGrep\AstroGrep.exe" /e /r /s /spath="%USERPROFILE%\AppData\Local\Temp\OnboardLogs" /stypes="app*4023*20170421*" /stext=" 10:.+((SYSTEM_STATE.+slice.+state.+changed )|(ment ac)|(multiple cpu faults)|(system.+state.+changed )|(\[timeout)|(PRM\|1\|D)|(kpr)|(kdp)|(\|lc)|(penalty))"</v>
      </c>
      <c r="AG218" s="1" t="str">
        <f t="shared" si="92"/>
        <v>Other</v>
      </c>
      <c r="AH218" s="86" t="str">
        <f t="shared" si="77"/>
        <v>"%USERPROFILE%\Documents\GitHub\eaglep3\Utilities\RefineRTDCRunTimes.py" --tripid 310-21 --locoid 4023 --swversion DE.1.0.9.0 --startMP 300:23519 --initTime 2017-04-21T04:22:24 --startdatetime 2017-04-21T04:26:10 --delay 3 --endMP 204:145 --enddatetime 2017-04-21T04:26:26 --enforcementcount 1 &gt;&gt;C:\Users\stu\Documents\GitHub\eaglep3-reporting\EC\2017-04-21-refined-times.txt</v>
      </c>
      <c r="AI218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{"issue":{"subject":"","project_id":79,"tracker_id":40,"status_id":1,"priority_id":2,"assigned_to_id":23,"start_date":"2017-04-21","description":"","custom_fields":[{"id":1,"name":"Subdivision","value":"Other"},{"id":4,"name":"Milepost","value":"0.0145"},{"id":17,"name":"Train ID","value":"310-21"},{"id":16,"name":"Locomotive ID","value":"4023"},{"id":130,"name":"Impact","value":""},{"id":150,"name":"Time of Event (Mountain Time)","value":"04:26:26"},{"id":151,"name":"Denver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47" t="str">
        <f t="shared" si="79"/>
        <v>start /low /b %USERPROFILE%\Documents\GitHub\eaglep3\Utilities\DownloadLogsFromS3.py --loco 4023 --day 2017-04-21</v>
      </c>
      <c r="AN218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10:26:26"},{"id":29,"name":"Sharepoint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s="20" customFormat="1" x14ac:dyDescent="0.25">
      <c r="A219" s="33" t="s">
        <v>834</v>
      </c>
      <c r="B219" s="7">
        <v>4004</v>
      </c>
      <c r="C219" s="21" t="s">
        <v>212</v>
      </c>
      <c r="D219" s="21" t="s">
        <v>208</v>
      </c>
      <c r="E219" s="13">
        <v>42847.066817129627</v>
      </c>
      <c r="F219" s="13">
        <v>42847.067847222221</v>
      </c>
      <c r="G219" s="7">
        <v>1</v>
      </c>
      <c r="H219" s="21" t="s">
        <v>447</v>
      </c>
      <c r="I219" s="13">
        <v>42847.074432870373</v>
      </c>
      <c r="J219" s="7">
        <v>1</v>
      </c>
      <c r="K219" s="97" t="str">
        <f t="shared" si="81"/>
        <v>4003/4004</v>
      </c>
      <c r="L219" s="21" t="str">
        <f>VLOOKUP(A219,'Trips&amp;Operators'!$C$1:$G$99999,5,FALSE)</f>
        <v>STAMBAUGH JAMES</v>
      </c>
      <c r="M219" s="6">
        <f t="shared" si="82"/>
        <v>6.5856481523951516E-3</v>
      </c>
      <c r="N219" s="7">
        <f t="shared" si="93"/>
        <v>9.4833333394490182</v>
      </c>
      <c r="O219" s="7"/>
      <c r="P219" s="7"/>
      <c r="Q219" s="22"/>
      <c r="R219" s="22"/>
      <c r="S219" s="31">
        <f t="shared" si="94"/>
        <v>1</v>
      </c>
      <c r="T219" s="46" t="str">
        <f t="shared" si="83"/>
        <v>NorthBound</v>
      </c>
      <c r="U219" s="19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2" t="str">
        <f t="shared" si="84"/>
        <v>https://d0f6bd738d7f1b3e5a7ca70fe4ff75f0.us-east-1.aws.found.io/app/kibana#/discover/Steve-Slow-Train-Analysis-(2080s-and-2083s)?_g=(refreshInterval:(display:Off,pause:!f,section:0,value:0),time:(from:'2017-04-22T00:36:13-0600',mode:absolute,to:'2017-04-22T02:47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193" t="str">
        <f t="shared" si="85"/>
        <v>Y</v>
      </c>
      <c r="X219" s="193">
        <f t="shared" si="95"/>
        <v>1</v>
      </c>
      <c r="Y219" s="193">
        <f t="shared" si="86"/>
        <v>4.5499999999999999E-2</v>
      </c>
      <c r="Z219" s="62">
        <f t="shared" si="87"/>
        <v>2.3304</v>
      </c>
      <c r="AA219" s="62">
        <f t="shared" si="88"/>
        <v>2.2848999999999999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9"/>
        <v>0311-21</v>
      </c>
      <c r="AE219" s="85" t="str">
        <f t="shared" si="90"/>
        <v>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 &amp; 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</v>
      </c>
      <c r="AF219" s="82" t="str">
        <f t="shared" si="91"/>
        <v>"C:\Program Files (x86)\AstroGrep\AstroGrep.exe" /e /r /s /spath="%USERPROFILE%\AppData\Local\Temp\OnboardLogs" /stypes="app*4004*20170422*" /stext=" 07:.+((SYSTEM_STATE.+slice.+state.+changed )|(ment ac)|(multiple cpu faults)|(system.+state.+changed )|(\[timeout)|(PRM\|1\|D)|(kpr)|(kdp)|(\|lc)|(penalty))"</v>
      </c>
      <c r="AG219" s="1" t="str">
        <f t="shared" si="92"/>
        <v>Other</v>
      </c>
      <c r="AH219" s="86" t="str">
        <f t="shared" si="77"/>
        <v>"%USERPROFILE%\Documents\GitHub\eaglep3\Utilities\RefineRTDCRunTimes.py" --tripid 311-21 --locoid 4004 --swversion DE.1.0.9.0 --startMP 204:455 --initTime 2017-04-22T01:36:13 --startdatetime 2017-04-22T01:37:42 --delay 1 --endMP 300:23304 --enddatetime 2017-04-22T01:47:11 --enforcementcount 1 &gt;&gt;C:\Users\stu\Documents\GitHub\eaglep3-reporting\EC\2017-04-21-refined-times.txt</v>
      </c>
      <c r="AI219" s="104" t="str">
        <f t="shared" si="78"/>
        <v>echo {"issue":{"subject":"","project_id":79,"tracker_id":40,"status_id":1,"priority_id":2,"assigned_to_id":23,"start_date":"2017-04-22","description":"","custom_fields":[{"id":1,"name":"Subdivision","value":"Other"},{"id":4,"name":"Milepost","value":"2.3304"},{"id":17,"name":"Train ID","value":"311-21"},{"id":16,"name":"Locomotive ID","value":"4004"},{"id":130,"name":"Impact","value":""},{"id":150,"name":"Time of Event (Mountain Time)","value":"01:47:11"},{"id":151,"name":"Denver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8"/>
      <c r="AL219" s="48"/>
      <c r="AM219" s="147" t="str">
        <f t="shared" si="79"/>
        <v>start /low /b %USERPROFILE%\Documents\GitHub\eaglep3\Utilities\DownloadLogsFromS3.py --loco 4004 --day 2017-04-22</v>
      </c>
      <c r="AN219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07:47:11"},{"id":29,"name":"Sharepoint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550</v>
      </c>
      <c r="B220" s="7">
        <v>4026</v>
      </c>
      <c r="C220" s="21" t="s">
        <v>212</v>
      </c>
      <c r="D220" s="21" t="s">
        <v>423</v>
      </c>
      <c r="E220" s="13">
        <v>42846.090208333335</v>
      </c>
      <c r="F220" s="13">
        <v>42846.091666666667</v>
      </c>
      <c r="G220" s="7">
        <v>1</v>
      </c>
      <c r="H220" s="21" t="s">
        <v>573</v>
      </c>
      <c r="I220" s="13">
        <v>42846.09684027778</v>
      </c>
      <c r="J220" s="7">
        <v>1</v>
      </c>
      <c r="K220" s="97" t="str">
        <f t="shared" si="81"/>
        <v>4025/4026</v>
      </c>
      <c r="L220" s="21" t="str">
        <f>VLOOKUP(A220,'Trips&amp;Operators'!$C$1:$G$99999,5,FALSE)</f>
        <v>YANG JAN</v>
      </c>
      <c r="M220" s="6">
        <f t="shared" si="82"/>
        <v>5.173611112695653E-3</v>
      </c>
      <c r="N220" s="7">
        <f t="shared" si="93"/>
        <v>7.4500000022817403</v>
      </c>
      <c r="O220" s="7"/>
      <c r="P220" s="7"/>
      <c r="Q220" s="22"/>
      <c r="R220" s="22"/>
      <c r="S220" s="31">
        <f t="shared" si="94"/>
        <v>1</v>
      </c>
      <c r="T220" s="46" t="str">
        <f t="shared" si="83"/>
        <v>NorthBound</v>
      </c>
      <c r="U220" s="19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2" t="str">
        <f t="shared" si="84"/>
        <v>https://d0f6bd738d7f1b3e5a7ca70fe4ff75f0.us-east-1.aws.found.io/app/kibana#/discover/Steve-Slow-Train-Analysis-(2080s-and-2083s)?_g=(refreshInterval:(display:Off,pause:!f,section:0,value:0),time:(from:'2017-04-21T01:09:54-0600',mode:absolute,to:'2017-04-21T03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193" t="str">
        <f t="shared" si="85"/>
        <v>Y</v>
      </c>
      <c r="X220" s="193">
        <f t="shared" si="95"/>
        <v>2</v>
      </c>
      <c r="Y220" s="193">
        <f t="shared" si="86"/>
        <v>4.4200000000000003E-2</v>
      </c>
      <c r="Z220" s="62">
        <f t="shared" si="87"/>
        <v>2.3306</v>
      </c>
      <c r="AA220" s="62">
        <f t="shared" si="88"/>
        <v>2.2864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9"/>
        <v>0313-20</v>
      </c>
      <c r="AE220" s="85" t="str">
        <f t="shared" si="90"/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220" s="82" t="str">
        <f t="shared" si="91"/>
        <v>"C:\Program Files (x86)\AstroGrep\AstroGrep.exe" /e /r /s /spath="%USERPROFILE%\AppData\Local\Temp\OnboardLogs" /stypes="app*4026*20170421*" /stext=" 08:.+((SYSTEM_STATE.+slice.+state.+changed )|(ment ac)|(multiple cpu faults)|(system.+state.+changed )|(\[timeout)|(PRM\|1\|D)|(kpr)|(kdp)|(\|lc)|(penalty))"</v>
      </c>
      <c r="AG220" s="1" t="str">
        <f t="shared" si="92"/>
        <v>Other</v>
      </c>
      <c r="AH220" s="86" t="str">
        <f t="shared" si="77"/>
        <v>"%USERPROFILE%\Documents\GitHub\eaglep3\Utilities\RefineRTDCRunTimes.py" --tripid 313-20 --locoid 4026 --swversion DE.1.0.9.0 --startMP 204:442 --initTime 2017-04-21T02:09:54 --startdatetime 2017-04-21T02:12:00 --delay 1 --endMP 300:23306 --enddatetime 2017-04-21T02:19:27 --enforcementcount 1 &gt;&gt;C:\Users\stu\Documents\GitHub\eaglep3-reporting\EC\2017-04-21-refined-times.txt</v>
      </c>
      <c r="AI220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ID","value":"313-20"},{"id":16,"name":"Locomotive ID","value":"4026"},{"id":130,"name":"Impact","value":""},{"id":150,"name":"Time of Event (Mountain Time)","value":"02:19:27"},{"id":151,"name":"Denver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47" t="str">
        <f t="shared" si="79"/>
        <v>start /low /b %USERPROFILE%\Documents\GitHub\eaglep3\Utilities\DownloadLogsFromS3.py --loco 4026 --day 2017-04-21</v>
      </c>
      <c r="AN220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837</v>
      </c>
      <c r="B221" s="7">
        <v>4024</v>
      </c>
      <c r="C221" s="21" t="s">
        <v>212</v>
      </c>
      <c r="D221" s="21" t="s">
        <v>416</v>
      </c>
      <c r="E221" s="13">
        <v>42847.110196759262</v>
      </c>
      <c r="F221" s="13">
        <v>42847.111585648148</v>
      </c>
      <c r="G221" s="7">
        <v>1</v>
      </c>
      <c r="H221" s="21" t="s">
        <v>485</v>
      </c>
      <c r="I221" s="13">
        <v>42847.12059027778</v>
      </c>
      <c r="J221" s="7">
        <v>1</v>
      </c>
      <c r="K221" s="97" t="str">
        <f t="shared" si="81"/>
        <v>4023/4024</v>
      </c>
      <c r="L221" s="21" t="str">
        <f>VLOOKUP(A221,'Trips&amp;Operators'!$C$1:$G$99999,5,FALSE)</f>
        <v>BROWN JACOB</v>
      </c>
      <c r="M221" s="6">
        <f t="shared" si="82"/>
        <v>9.0046296318178065E-3</v>
      </c>
      <c r="N221" s="7">
        <f t="shared" si="93"/>
        <v>12.966666669817641</v>
      </c>
      <c r="O221" s="7"/>
      <c r="P221" s="7"/>
      <c r="Q221" s="22"/>
      <c r="R221" s="22"/>
      <c r="S221" s="31">
        <f t="shared" si="94"/>
        <v>1</v>
      </c>
      <c r="T221" s="46" t="str">
        <f t="shared" si="83"/>
        <v>NorthBound</v>
      </c>
      <c r="U221" s="19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2" t="str">
        <f t="shared" si="84"/>
        <v>https://d0f6bd738d7f1b3e5a7ca70fe4ff75f0.us-east-1.aws.found.io/app/kibana#/discover/Steve-Slow-Train-Analysis-(2080s-and-2083s)?_g=(refreshInterval:(display:Off,pause:!f,section:0,value:0),time:(from:'2017-04-22T01:38:41-0600',mode:absolute,to:'2017-04-22T03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1" s="193" t="str">
        <f t="shared" si="85"/>
        <v>Y</v>
      </c>
      <c r="X221" s="193">
        <f t="shared" si="95"/>
        <v>2</v>
      </c>
      <c r="Y221" s="193">
        <f t="shared" si="86"/>
        <v>4.7300000000000002E-2</v>
      </c>
      <c r="Z221" s="62">
        <f t="shared" si="87"/>
        <v>2.3346</v>
      </c>
      <c r="AA221" s="62">
        <f t="shared" si="88"/>
        <v>2.2873000000000001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9"/>
        <v>0315-21</v>
      </c>
      <c r="AE221" s="85" t="str">
        <f t="shared" si="90"/>
        <v>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 &amp; aws s3 cp s3://rtdc.mdm.uploadarchive.raw/RTDC4024/ "%USERPROFILE%\AppData\Local\Temp\OnboardLogs"\RTDC4024\2017-04-23 --exclude "*" --recursive --include "*20170423*" &amp; "%USERPROFILE%\Documents\GitHub\mrs-test-scripts\Headless Mode &amp; Sideloading\WalkAndUnGZ.bat" "%USERPROFILE%\AppData\Local\Temp\OnboardLogs"\RTDC4024\2017-04-23</v>
      </c>
      <c r="AF221" s="82" t="str">
        <f t="shared" si="91"/>
        <v>"C:\Program Files (x86)\AstroGrep\AstroGrep.exe" /e /r /s /spath="%USERPROFILE%\AppData\Local\Temp\OnboardLogs" /stypes="app*4024*20170422*" /stext=" 08:.+((SYSTEM_STATE.+slice.+state.+changed )|(ment ac)|(multiple cpu faults)|(system.+state.+changed )|(\[timeout)|(PRM\|1\|D)|(kpr)|(kdp)|(\|lc)|(penalty))"</v>
      </c>
      <c r="AG221" s="1" t="str">
        <f t="shared" si="92"/>
        <v>Other</v>
      </c>
      <c r="AH221" s="86" t="str">
        <f t="shared" si="77"/>
        <v>"%USERPROFILE%\Documents\GitHub\eaglep3\Utilities\RefineRTDCRunTimes.py" --tripid 315-21 --locoid 4024 --swversion DE.1.0.9.0 --startMP 204:473 --initTime 2017-04-22T02:38:41 --startdatetime 2017-04-22T02:40:41 --delay 1 --endMP 300:23346 --enddatetime 2017-04-22T02:53:39 --enforcementcount 1 &gt;&gt;C:\Users\stu\Documents\GitHub\eaglep3-reporting\EC\2017-04-21-refined-times.txt</v>
      </c>
      <c r="AI221" s="104" t="str">
        <f t="shared" si="78"/>
        <v>echo {"issue":{"subject":"","project_id":79,"tracker_id":40,"status_id":1,"priority_id":2,"assigned_to_id":23,"start_date":"2017-04-22","description":"","custom_fields":[{"id":1,"name":"Subdivision","value":"Other"},{"id":4,"name":"Milepost","value":"2.3346"},{"id":17,"name":"Train ID","value":"315-21"},{"id":16,"name":"Locomotive ID","value":"4024"},{"id":130,"name":"Impact","value":""},{"id":150,"name":"Time of Event (Mountain Time)","value":"02:53:39"},{"id":151,"name":"Denver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47" t="str">
        <f t="shared" si="79"/>
        <v>start /low /b %USERPROFILE%\Documents\GitHub\eaglep3\Utilities\DownloadLogsFromS3.py --loco 4024 --day 2017-04-22</v>
      </c>
      <c r="AN221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08:53:39"},{"id":29,"name":"Sharepoint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590</v>
      </c>
      <c r="B222" s="7">
        <v>4056</v>
      </c>
      <c r="C222" s="21" t="s">
        <v>212</v>
      </c>
      <c r="D222" s="21" t="s">
        <v>1001</v>
      </c>
      <c r="E222" s="13">
        <v>42846.201527777775</v>
      </c>
      <c r="F222" s="13">
        <v>42846.207499999997</v>
      </c>
      <c r="G222" s="7">
        <v>8</v>
      </c>
      <c r="H222" s="21" t="s">
        <v>578</v>
      </c>
      <c r="I222" s="13">
        <v>42846.213310185187</v>
      </c>
      <c r="J222" s="7">
        <v>1</v>
      </c>
      <c r="K222" s="97" t="str">
        <f t="shared" si="81"/>
        <v>4055/4056</v>
      </c>
      <c r="L222" s="21" t="str">
        <f>VLOOKUP(A222,'Trips&amp;Operators'!$C$1:$G$99999,5,FALSE)</f>
        <v>ZEWDU DEREJE</v>
      </c>
      <c r="M222" s="6">
        <f t="shared" si="82"/>
        <v>5.810185190057382E-3</v>
      </c>
      <c r="N222" s="7">
        <f t="shared" si="93"/>
        <v>8.3666666736826301</v>
      </c>
      <c r="O222" s="7"/>
      <c r="P222" s="7"/>
      <c r="Q222" s="22"/>
      <c r="R222" s="22"/>
      <c r="S222" s="31">
        <f t="shared" si="94"/>
        <v>0</v>
      </c>
      <c r="T222" s="46" t="str">
        <f t="shared" si="83"/>
        <v>NorthBound</v>
      </c>
      <c r="U222" s="19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2" t="str">
        <f t="shared" si="84"/>
        <v>https://d0f6bd738d7f1b3e5a7ca70fe4ff75f0.us-east-1.aws.found.io/app/kibana#/discover/Steve-Slow-Train-Analysis-(2080s-and-2083s)?_g=(refreshInterval:(display:Off,pause:!f,section:0,value:0),time:(from:'2017-04-21T03:50:12-0600',mode:absolute,to:'2017-04-21T06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193" t="str">
        <f t="shared" si="85"/>
        <v>Y</v>
      </c>
      <c r="X222" s="193">
        <f t="shared" si="95"/>
        <v>586</v>
      </c>
      <c r="Y222" s="193">
        <f t="shared" si="86"/>
        <v>2.9851000000000001</v>
      </c>
      <c r="Z222" s="62">
        <f t="shared" si="87"/>
        <v>5.8983999999999996</v>
      </c>
      <c r="AA222" s="62">
        <f t="shared" si="88"/>
        <v>2.9132999999999996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9"/>
        <v>0901-21</v>
      </c>
      <c r="AE222" s="85" t="str">
        <f t="shared" si="90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222" s="82" t="str">
        <f t="shared" si="91"/>
        <v>"C:\Program Files (x86)\AstroGrep\AstroGrep.exe" /e /r /s /spath="%USERPROFILE%\AppData\Local\Temp\OnboardLogs" /stypes="app*4056*20170421*" /stext=" 11:.+((SYSTEM_STATE.+slice.+state.+changed )|(ment ac)|(multiple cpu faults)|(system.+state.+changed )|(\[timeout)|(PRM\|1\|D)|(kpr)|(kdp)|(\|lc)|(penalty))"</v>
      </c>
      <c r="AG222" s="1" t="str">
        <f t="shared" si="92"/>
        <v>Other</v>
      </c>
      <c r="AH222" s="86" t="str">
        <f t="shared" si="77"/>
        <v>"%USERPROFILE%\Documents\GitHub\eaglep3\Utilities\RefineRTDCRunTimes.py" --tripid 901-21 --locoid 4056 --swversion DE.1.0.9.0 --startMP 300:29851 --initTime 2017-04-21T04:50:12 --startdatetime 2017-04-21T04:58:48 --delay 8 --endMP 300:58984 --enddatetime 2017-04-21T05:07:10 --enforcementcount 1 &gt;&gt;C:\Users\stu\Documents\GitHub\eaglep3-reporting\EC\2017-04-21-refined-times.txt</v>
      </c>
      <c r="AI222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{"issue":{"subject":"","project_id":79,"tracker_id":40,"status_id":1,"priority_id":2,"assigned_to_id":23,"start_date":"2017-04-21","description":"","custom_fields":[{"id":1,"name":"Subdivision","value":"Other"},{"id":4,"name":"Milepost","value":"5.8984"},{"id":17,"name":"Train ID","value":"901-21"},{"id":16,"name":"Locomotive ID","value":"4056"},{"id":130,"name":"Impact","value":""},{"id":150,"name":"Time of Event (Mountain Time)","value":"05:07:10"},{"id":151,"name":"Denver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47" t="str">
        <f t="shared" si="79"/>
        <v>start /low /b %USERPROFILE%\Documents\GitHub\eaglep3\Utilities\DownloadLogsFromS3.py --loco 4056 --day 2017-04-21</v>
      </c>
      <c r="AN222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655</v>
      </c>
      <c r="B223" s="7">
        <v>4029</v>
      </c>
      <c r="C223" s="21" t="s">
        <v>212</v>
      </c>
      <c r="D223" s="21" t="s">
        <v>1002</v>
      </c>
      <c r="E223" s="13">
        <v>42846.24077546296</v>
      </c>
      <c r="F223" s="13">
        <v>42846.243634259263</v>
      </c>
      <c r="G223" s="7">
        <v>4</v>
      </c>
      <c r="H223" s="21" t="s">
        <v>966</v>
      </c>
      <c r="I223" s="13">
        <v>42846.248912037037</v>
      </c>
      <c r="J223" s="7">
        <v>1</v>
      </c>
      <c r="K223" s="97" t="str">
        <f t="shared" si="81"/>
        <v>4029/4030</v>
      </c>
      <c r="L223" s="21" t="str">
        <f>VLOOKUP(A223,'Trips&amp;Operators'!$C$1:$G$99999,5,FALSE)</f>
        <v>COOLAHAN JOHN</v>
      </c>
      <c r="M223" s="6">
        <f t="shared" si="82"/>
        <v>5.277777774608694E-3</v>
      </c>
      <c r="N223" s="7">
        <f t="shared" si="93"/>
        <v>7.5999999954365194</v>
      </c>
      <c r="O223" s="7"/>
      <c r="P223" s="7"/>
      <c r="Q223" s="22"/>
      <c r="R223" s="22"/>
      <c r="S223" s="31">
        <f t="shared" si="94"/>
        <v>1</v>
      </c>
      <c r="T223" s="46" t="str">
        <f t="shared" si="83"/>
        <v>Southbound</v>
      </c>
      <c r="U223" s="19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2" t="str">
        <f t="shared" si="84"/>
        <v>https://d0f6bd738d7f1b3e5a7ca70fe4ff75f0.us-east-1.aws.found.io/app/kibana#/discover/Steve-Slow-Train-Analysis-(2080s-and-2083s)?_g=(refreshInterval:(display:Off,pause:!f,section:0,value:0),time:(from:'2017-04-21T04:46:43-0600',mode:absolute,to:'2017-04-21T06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93" t="str">
        <f t="shared" si="85"/>
        <v>Y</v>
      </c>
      <c r="X223" s="193">
        <f t="shared" si="95"/>
        <v>1</v>
      </c>
      <c r="Y223" s="193">
        <f t="shared" si="86"/>
        <v>2.3555000000000001</v>
      </c>
      <c r="Z223" s="62">
        <f t="shared" si="87"/>
        <v>6.4299999999999996E-2</v>
      </c>
      <c r="AA223" s="62">
        <f t="shared" si="88"/>
        <v>2.2912000000000003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9"/>
        <v>0902-21</v>
      </c>
      <c r="AE223" s="85" t="str">
        <f t="shared" si="90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223" s="82" t="str">
        <f t="shared" si="91"/>
        <v>"C:\Program Files (x86)\AstroGrep\AstroGrep.exe" /e /r /s /spath="%USERPROFILE%\AppData\Local\Temp\OnboardLogs" /stypes="app*4029*20170421*" /stext=" 11:.+((SYSTEM_STATE.+slice.+state.+changed )|(ment ac)|(multiple cpu faults)|(system.+state.+changed )|(\[timeout)|(PRM\|1\|D)|(kpr)|(kdp)|(\|lc)|(penalty))"</v>
      </c>
      <c r="AG223" s="1" t="str">
        <f t="shared" si="92"/>
        <v>Other</v>
      </c>
      <c r="AH223" s="86" t="str">
        <f t="shared" si="77"/>
        <v>"%USERPROFILE%\Documents\GitHub\eaglep3\Utilities\RefineRTDCRunTimes.py" --tripid 902-21 --locoid 4029 --swversion DE.1.0.9.0 --startMP 300:23555 --initTime 2017-04-21T05:46:43 --startdatetime 2017-04-21T05:50:50 --delay 4 --endMP 204:643 --enddatetime 2017-04-21T05:58:26 --enforcementcount 1 &gt;&gt;C:\Users\stu\Documents\GitHub\eaglep3-reporting\EC\2017-04-21-refined-times.txt</v>
      </c>
      <c r="AI223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{"issue":{"subject":"","project_id":79,"tracker_id":40,"status_id":1,"priority_id":2,"assigned_to_id":23,"start_date":"2017-04-21","description":"","custom_fields":[{"id":1,"name":"Subdivision","value":"Other"},{"id":4,"name":"Milepost","value":"0.0643"},{"id":17,"name":"Train ID","value":"902-21"},{"id":16,"name":"Locomotive ID","value":"4029"},{"id":130,"name":"Impact","value":""},{"id":150,"name":"Time of Event (Mountain Time)","value":"05:58:26"},{"id":151,"name":"Denver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47" t="str">
        <f t="shared" si="79"/>
        <v>start /low /b %USERPROFILE%\Documents\GitHub\eaglep3\Utilities\DownloadLogsFromS3.py --loco 4029 --day 2017-04-21</v>
      </c>
      <c r="AN223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11:58:26"},{"id":29,"name":"Sharepoint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685</v>
      </c>
      <c r="B224" s="7">
        <v>4056</v>
      </c>
      <c r="C224" s="21" t="s">
        <v>212</v>
      </c>
      <c r="D224" s="21" t="s">
        <v>1003</v>
      </c>
      <c r="E224" s="13">
        <v>42846.35560185185</v>
      </c>
      <c r="F224" s="13">
        <v>42846.357766203706</v>
      </c>
      <c r="G224" s="7">
        <v>1</v>
      </c>
      <c r="H224" s="21" t="s">
        <v>1004</v>
      </c>
      <c r="I224" s="13">
        <v>42846.363935185182</v>
      </c>
      <c r="J224" s="7">
        <v>1</v>
      </c>
      <c r="K224" s="97" t="str">
        <f t="shared" si="81"/>
        <v>4055/4056</v>
      </c>
      <c r="L224" s="21" t="str">
        <f>VLOOKUP(A224,'Trips&amp;Operators'!$C$1:$G$99999,5,FALSE)</f>
        <v>ZEWDU DEREJE</v>
      </c>
      <c r="M224" s="6">
        <f t="shared" si="82"/>
        <v>6.168981475639157E-3</v>
      </c>
      <c r="N224" s="7">
        <f t="shared" si="93"/>
        <v>8.8833333249203861</v>
      </c>
      <c r="O224" s="7"/>
      <c r="P224" s="7"/>
      <c r="Q224" s="22"/>
      <c r="R224" s="22"/>
      <c r="S224" s="31">
        <f t="shared" si="94"/>
        <v>1</v>
      </c>
      <c r="T224" s="46" t="str">
        <f t="shared" si="83"/>
        <v>NorthBound</v>
      </c>
      <c r="U224" s="19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2" t="str">
        <f t="shared" si="84"/>
        <v>https://d0f6bd738d7f1b3e5a7ca70fe4ff75f0.us-east-1.aws.found.io/app/kibana#/discover/Steve-Slow-Train-Analysis-(2080s-and-2083s)?_g=(refreshInterval:(display:Off,pause:!f,section:0,value:0),time:(from:'2017-04-21T07:32:04-0600',mode:absolute,to:'2017-04-21T09:44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4" s="193" t="str">
        <f t="shared" si="85"/>
        <v>Y</v>
      </c>
      <c r="X224" s="193">
        <f t="shared" si="95"/>
        <v>1</v>
      </c>
      <c r="Y224" s="193">
        <f t="shared" si="86"/>
        <v>4.2799999999999998E-2</v>
      </c>
      <c r="Z224" s="62">
        <f t="shared" si="87"/>
        <v>2.4243999999999999</v>
      </c>
      <c r="AA224" s="62">
        <f t="shared" si="88"/>
        <v>2.3815999999999997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9"/>
        <v>0903-21</v>
      </c>
      <c r="AE224" s="85" t="str">
        <f t="shared" si="90"/>
        <v>aws s3 cp s3://rtdc.mdm.uploadarchive.raw/RTDC4056/ "%USERPROFILE%\AppData\Local\Temp\OnboardLogs"\RTDC4056\2017-04-21 --exclude "*" --recursive --include "*20170421*" &amp; "%USERPROFILE%\Documents\GitHub\mrs-test-scripts\Headless Mode &amp; Sideloading\WalkAndUnGZ.bat" "%USERPROFILE%\AppData\Local\Temp\OnboardLogs"\RTDC4056\2017-04-21 &amp; 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</v>
      </c>
      <c r="AF224" s="82" t="str">
        <f t="shared" si="91"/>
        <v>"C:\Program Files (x86)\AstroGrep\AstroGrep.exe" /e /r /s /spath="%USERPROFILE%\AppData\Local\Temp\OnboardLogs" /stypes="app*4056*20170421*" /stext=" 14:.+((SYSTEM_STATE.+slice.+state.+changed )|(ment ac)|(multiple cpu faults)|(system.+state.+changed )|(\[timeout)|(PRM\|1\|D)|(kpr)|(kdp)|(\|lc)|(penalty))"</v>
      </c>
      <c r="AG224" s="1" t="str">
        <f t="shared" si="92"/>
        <v>Other</v>
      </c>
      <c r="AH224" s="86" t="str">
        <f t="shared" si="77"/>
        <v>"%USERPROFILE%\Documents\GitHub\eaglep3\Utilities\RefineRTDCRunTimes.py" --tripid 903-21 --locoid 4056 --swversion DE.1.0.9.0 --startMP 204:428 --initTime 2017-04-21T08:32:04 --startdatetime 2017-04-21T08:35:11 --delay 1 --endMP 300:24244 --enddatetime 2017-04-21T08:44:04 --enforcementcount 1 &gt;&gt;C:\Users\stu\Documents\GitHub\eaglep3-reporting\EC\2017-04-21-refined-times.txt</v>
      </c>
      <c r="AI224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{"issue":{"subject":"","project_id":79,"tracker_id":40,"status_id":1,"priority_id":2,"assigned_to_id":23,"start_date":"2017-04-21","description":"","custom_fields":[{"id":1,"name":"Subdivision","value":"Other"},{"id":4,"name":"Milepost","value":"2.4244"},{"id":17,"name":"Train ID","value":"903-21"},{"id":16,"name":"Locomotive ID","value":"4056"},{"id":130,"name":"Impact","value":""},{"id":150,"name":"Time of Event (Mountain Time)","value":"08:44:04"},{"id":151,"name":"Denver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47" t="str">
        <f t="shared" si="79"/>
        <v>start /low /b %USERPROFILE%\Documents\GitHub\eaglep3\Utilities\DownloadLogsFromS3.py --loco 4056 --day 2017-04-21</v>
      </c>
      <c r="AN224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14:44:04"},{"id":29,"name":"Sharepoint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615</v>
      </c>
      <c r="B225" s="7">
        <v>4055</v>
      </c>
      <c r="C225" s="21" t="s">
        <v>212</v>
      </c>
      <c r="D225" s="21" t="s">
        <v>1005</v>
      </c>
      <c r="E225" s="13">
        <v>42846.63652777778</v>
      </c>
      <c r="F225" s="13">
        <v>42846.639097222222</v>
      </c>
      <c r="G225" s="7">
        <v>3</v>
      </c>
      <c r="H225" s="21" t="s">
        <v>1006</v>
      </c>
      <c r="I225" s="13">
        <v>42846.63921296296</v>
      </c>
      <c r="J225" s="7">
        <v>1</v>
      </c>
      <c r="K225" s="97" t="str">
        <f t="shared" si="81"/>
        <v>4055/4056</v>
      </c>
      <c r="L225" s="21" t="str">
        <f>VLOOKUP(A225,'Trips&amp;Operators'!$C$1:$G$99999,5,FALSE)</f>
        <v>SMITH MICHAEL</v>
      </c>
      <c r="M225" s="6">
        <f t="shared" si="82"/>
        <v>1.1574073869269341E-4</v>
      </c>
      <c r="N225" s="7"/>
      <c r="O225" s="7"/>
      <c r="P225" s="7">
        <f>24*60*SUM($M225:$M225)</f>
        <v>0.16666666371747851</v>
      </c>
      <c r="Q225" s="22"/>
      <c r="R225" s="22" t="s">
        <v>1040</v>
      </c>
      <c r="S225" s="31">
        <f t="shared" si="94"/>
        <v>1</v>
      </c>
      <c r="T225" s="46" t="str">
        <f t="shared" si="83"/>
        <v>Southbound</v>
      </c>
      <c r="U225" s="19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2" t="str">
        <f t="shared" si="84"/>
        <v>https://d0f6bd738d7f1b3e5a7ca70fe4ff75f0.us-east-1.aws.found.io/app/kibana#/discover/Steve-Slow-Train-Analysis-(2080s-and-2083s)?_g=(refreshInterval:(display:Off,pause:!f,section:0,value:0),time:(from:'2017-04-21T14:16:36-0600',mode:absolute,to:'2017-04-21T16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5" s="193" t="str">
        <f t="shared" si="85"/>
        <v>Y</v>
      </c>
      <c r="X225" s="193">
        <f t="shared" si="95"/>
        <v>1</v>
      </c>
      <c r="Y225" s="193">
        <f t="shared" si="86"/>
        <v>2.3357000000000001</v>
      </c>
      <c r="Z225" s="62">
        <f t="shared" si="87"/>
        <v>6.4899999999999999E-2</v>
      </c>
      <c r="AA225" s="62">
        <f t="shared" si="88"/>
        <v>2.2707999999999999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9"/>
        <v>0904-21</v>
      </c>
      <c r="AE225" s="85" t="str">
        <f t="shared" si="90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225" s="82" t="str">
        <f t="shared" si="91"/>
        <v>"C:\Program Files (x86)\AstroGrep\AstroGrep.exe" /e /r /s /spath="%USERPROFILE%\AppData\Local\Temp\OnboardLogs" /stypes="app*4055*20170421*" /stext=" 21:.+((SYSTEM_STATE.+slice.+state.+changed )|(ment ac)|(multiple cpu faults)|(system.+state.+changed )|(\[timeout)|(PRM\|1\|D)|(kpr)|(kdp)|(\|lc)|(penalty))"</v>
      </c>
      <c r="AG225" s="1" t="str">
        <f t="shared" si="92"/>
        <v>Other</v>
      </c>
      <c r="AH225" s="86" t="str">
        <f t="shared" si="77"/>
        <v>"%USERPROFILE%\Documents\GitHub\eaglep3\Utilities\RefineRTDCRunTimes.py" --tripid 904-21 --locoid 4055 --swversion DE.1.0.9.0 --startMP 300:23357 --initTime 2017-04-21T15:16:36 --startdatetime 2017-04-21T15:20:18 --delay 3 --endMP 204:649 --enddatetime 2017-04-21T15:20:28 --enforcementcount 1 &gt;&gt;C:\Users\stu\Documents\GitHub\eaglep3-reporting\EC\2017-04-21-refined-times.txt</v>
      </c>
      <c r="AI225" s="104" t="str">
        <f t="shared" si="78"/>
        <v>echo {"issue":{"subject":"Went active too close to signal","project_id":79,"tracker_id":40,"status_id":1,"priority_id":2,"assigned_to_id":23,"start_date":"2017-04-21","description":"","custom_fields":[{"id":1,"name":"Subdivision","value":"Other"},{"id":4,"name":"Milepost","value":"0.0649"},{"id":17,"name":"Train ID","value":"904-21"},{"id":16,"name":"Locomotive ID","value":"4055"},{"id":130,"name":"Impact","value":""},{"id":150,"name":"Time of Event (Mountain Time)","value":"15:20:28"},{"id":151,"name":"Denver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47" t="str">
        <f t="shared" si="79"/>
        <v>start /low /b %USERPROFILE%\Documents\GitHub\eaglep3\Utilities\DownloadLogsFromS3.py --loco 4055 --day 2017-04-21</v>
      </c>
      <c r="AN225" s="156" t="str">
        <f t="shared" si="80"/>
        <v>echo {"issue":{"subject":"Went active too close to signal","project_id":30,"tracker_id":4,"status_id":1,"priority_id":1,"assigned_to_id":10,"start_date":"2017-04-21","description":"","custom_fields":[{"id":30,"name":"Category","value":"Issue"},{"id":3,"name":"Functional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801</v>
      </c>
      <c r="B226" s="7">
        <v>4055</v>
      </c>
      <c r="C226" s="21" t="s">
        <v>212</v>
      </c>
      <c r="D226" s="21" t="s">
        <v>576</v>
      </c>
      <c r="E226" s="13">
        <v>42846.796817129631</v>
      </c>
      <c r="F226" s="13">
        <v>42846.798414351855</v>
      </c>
      <c r="G226" s="7">
        <v>1</v>
      </c>
      <c r="H226" s="21" t="s">
        <v>1007</v>
      </c>
      <c r="I226" s="13">
        <v>42846.80332175926</v>
      </c>
      <c r="J226" s="7">
        <v>1</v>
      </c>
      <c r="K226" s="97" t="str">
        <f t="shared" si="81"/>
        <v>4055/4056</v>
      </c>
      <c r="L226" s="21" t="str">
        <f>VLOOKUP(A226,'Trips&amp;Operators'!$C$1:$G$99999,5,FALSE)</f>
        <v>SMITH MICHAEL</v>
      </c>
      <c r="M226" s="6">
        <f t="shared" si="82"/>
        <v>4.907407404971309E-3</v>
      </c>
      <c r="N226" s="7">
        <f t="shared" ref="N226:N246" si="96">24*60*SUM($M226:$M226)</f>
        <v>7.066666663158685</v>
      </c>
      <c r="O226" s="7"/>
      <c r="P226" s="7"/>
      <c r="Q226" s="22"/>
      <c r="R226" s="22"/>
      <c r="S226" s="31">
        <f t="shared" si="94"/>
        <v>0</v>
      </c>
      <c r="T226" s="46" t="str">
        <f t="shared" si="83"/>
        <v>Southbound</v>
      </c>
      <c r="U226" s="19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2" t="str">
        <f t="shared" si="84"/>
        <v>https://d0f6bd738d7f1b3e5a7ca70fe4ff75f0.us-east-1.aws.found.io/app/kibana#/discover/Steve-Slow-Train-Analysis-(2080s-and-2083s)?_g=(refreshInterval:(display:Off,pause:!f,section:0,value:0),time:(from:'2017-04-21T18:07:25-0600',mode:absolute,to:'2017-04-21T20:16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6" s="193" t="str">
        <f t="shared" si="85"/>
        <v>Y</v>
      </c>
      <c r="X226" s="193">
        <f t="shared" si="95"/>
        <v>2</v>
      </c>
      <c r="Y226" s="193">
        <f t="shared" si="86"/>
        <v>5.8644999999999996</v>
      </c>
      <c r="Z226" s="62">
        <f t="shared" si="87"/>
        <v>2.8763000000000001</v>
      </c>
      <c r="AA226" s="62">
        <f t="shared" si="88"/>
        <v>2.9881999999999995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9"/>
        <v>0906-21</v>
      </c>
      <c r="AE226" s="85" t="str">
        <f t="shared" si="90"/>
        <v>aws s3 cp s3://rtdc.mdm.uploadarchive.raw/RTDC4055/ "%USERPROFILE%\AppData\Local\Temp\OnboardLogs"\RTDC4055\2017-04-21 --exclude "*" --recursive --include "*20170421*" &amp; "%USERPROFILE%\Documents\GitHub\mrs-test-scripts\Headless Mode &amp; Sideloading\WalkAndUnGZ.bat" "%USERPROFILE%\AppData\Local\Temp\OnboardLogs"\RTDC4055\2017-04-21 &amp; 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</v>
      </c>
      <c r="AF226" s="82" t="str">
        <f t="shared" si="91"/>
        <v>"C:\Program Files (x86)\AstroGrep\AstroGrep.exe" /e /r /s /spath="%USERPROFILE%\AppData\Local\Temp\OnboardLogs" /stypes="app*4055*20170422*" /stext=" 01:.+((SYSTEM_STATE.+slice.+state.+changed )|(ment ac)|(multiple cpu faults)|(system.+state.+changed )|(\[timeout)|(PRM\|1\|D)|(kpr)|(kdp)|(\|lc)|(penalty))"</v>
      </c>
      <c r="AG226" s="1" t="str">
        <f t="shared" si="92"/>
        <v>Other</v>
      </c>
      <c r="AH226" s="86" t="str">
        <f t="shared" si="77"/>
        <v>"%USERPROFILE%\Documents\GitHub\eaglep3\Utilities\RefineRTDCRunTimes.py" --tripid 906-21 --locoid 4055 --swversion DE.1.0.9.0 --startMP 300:58645 --initTime 2017-04-21T19:07:25 --startdatetime 2017-04-21T19:09:43 --delay 1 --endMP 300:28763 --enddatetime 2017-04-21T19:16:47 --enforcementcount 1 &gt;&gt;C:\Users\stu\Documents\GitHub\eaglep3-reporting\EC\2017-04-21-refined-times.txt</v>
      </c>
      <c r="AI226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{"issue":{"subject":"","project_id":79,"tracker_id":40,"status_id":1,"priority_id":2,"assigned_to_id":23,"start_date":"2017-04-21","description":"","custom_fields":[{"id":1,"name":"Subdivision","value":"Other"},{"id":4,"name":"Milepost","value":"2.8763"},{"id":17,"name":"Train ID","value":"906-21"},{"id":16,"name":"Locomotive ID","value":"4055"},{"id":130,"name":"Impact","value":""},{"id":150,"name":"Time of Event (Mountain Time)","value":"19:16:47"},{"id":151,"name":"Denver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47" t="str">
        <f t="shared" si="79"/>
        <v>start /low /b %USERPROFILE%\Documents\GitHub\eaglep3\Utilities\DownloadLogsFromS3.py --loco 4055 --day 2017-04-21</v>
      </c>
      <c r="AN226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01:16:47"},{"id":29,"name":"Sharepoint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823</v>
      </c>
      <c r="B227" s="7">
        <v>4029</v>
      </c>
      <c r="C227" s="21" t="s">
        <v>212</v>
      </c>
      <c r="D227" s="21" t="s">
        <v>1008</v>
      </c>
      <c r="E227" s="13">
        <v>42846.943425925929</v>
      </c>
      <c r="F227" s="13">
        <v>42846.955358796295</v>
      </c>
      <c r="G227" s="7">
        <v>1</v>
      </c>
      <c r="H227" s="21" t="s">
        <v>1009</v>
      </c>
      <c r="I227" s="13">
        <v>42846.955520833333</v>
      </c>
      <c r="J227" s="7">
        <v>1</v>
      </c>
      <c r="K227" s="97" t="str">
        <f t="shared" si="81"/>
        <v>4029/4030</v>
      </c>
      <c r="L227" s="21" t="str">
        <f>VLOOKUP(A227,'Trips&amp;Operators'!$C$1:$G$99999,5,FALSE)</f>
        <v>PERKINS DARREN</v>
      </c>
      <c r="M227" s="6">
        <f t="shared" si="82"/>
        <v>1.6203703853534535E-4</v>
      </c>
      <c r="N227" s="7">
        <f t="shared" si="96"/>
        <v>0.2333333354908973</v>
      </c>
      <c r="O227" s="7"/>
      <c r="P227" s="7"/>
      <c r="Q227" s="22"/>
      <c r="R227" s="22"/>
      <c r="S227" s="31">
        <f t="shared" si="94"/>
        <v>0</v>
      </c>
      <c r="T227" s="46" t="str">
        <f t="shared" si="83"/>
        <v>Southbound</v>
      </c>
      <c r="U227" s="19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2" t="str">
        <f t="shared" si="84"/>
        <v>https://d0f6bd738d7f1b3e5a7ca70fe4ff75f0.us-east-1.aws.found.io/app/kibana#/discover/Steve-Slow-Train-Analysis-(2080s-and-2083s)?_g=(refreshInterval:(display:Off,pause:!f,section:0,value:0),time:(from:'2017-04-21T21:38:32-0600',mode:absolute,to:'2017-04-21T23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193" t="str">
        <f t="shared" si="85"/>
        <v>Y</v>
      </c>
      <c r="X227" s="193">
        <f t="shared" si="95"/>
        <v>2</v>
      </c>
      <c r="Y227" s="193">
        <f t="shared" si="86"/>
        <v>5.8611000000000004</v>
      </c>
      <c r="Z227" s="62">
        <f t="shared" si="87"/>
        <v>2.1263000000000001</v>
      </c>
      <c r="AA227" s="62">
        <f t="shared" si="88"/>
        <v>3.7348000000000003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9"/>
        <v>0908-21</v>
      </c>
      <c r="AE227" s="85" t="str">
        <f t="shared" si="90"/>
        <v>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 &amp; 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</v>
      </c>
      <c r="AF227" s="82" t="str">
        <f t="shared" si="91"/>
        <v>"C:\Program Files (x86)\AstroGrep\AstroGrep.exe" /e /r /s /spath="%USERPROFILE%\AppData\Local\Temp\OnboardLogs" /stypes="app*4029*20170422*" /stext=" 04:.+((SYSTEM_STATE.+slice.+state.+changed )|(ment ac)|(multiple cpu faults)|(system.+state.+changed )|(\[timeout)|(PRM\|1\|D)|(kpr)|(kdp)|(\|lc)|(penalty))"</v>
      </c>
      <c r="AG227" s="1" t="str">
        <f t="shared" si="92"/>
        <v>Other</v>
      </c>
      <c r="AH227" s="86" t="str">
        <f t="shared" si="77"/>
        <v>"%USERPROFILE%\Documents\GitHub\eaglep3\Utilities\RefineRTDCRunTimes.py" --tripid 908-21 --locoid 4029 --swversion DE.1.0.9.0 --startMP 300:58611 --initTime 2017-04-21T22:38:32 --startdatetime 2017-04-21T22:55:43 --delay 1 --endMP 300:21263 --enddatetime 2017-04-21T22:55:57 --enforcementcount 1 &gt;&gt;C:\Users\stu\Documents\GitHub\eaglep3-reporting\EC\2017-04-21-refined-times.txt</v>
      </c>
      <c r="AI227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{"issue":{"subject":"","project_id":79,"tracker_id":40,"status_id":1,"priority_id":2,"assigned_to_id":23,"start_date":"2017-04-21","description":"","custom_fields":[{"id":1,"name":"Subdivision","value":"Other"},{"id":4,"name":"Milepost","value":"2.1263"},{"id":17,"name":"Train ID","value":"908-21"},{"id":16,"name":"Locomotive ID","value":"4029"},{"id":130,"name":"Impact","value":""},{"id":150,"name":"Time of Event (Mountain Time)","value":"22:55:57"},{"id":151,"name":"Denver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47" t="str">
        <f t="shared" si="79"/>
        <v>start /low /b %USERPROFILE%\Documents\GitHub\eaglep3\Utilities\DownloadLogsFromS3.py --loco 4029 --day 2017-04-21</v>
      </c>
      <c r="AN227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823</v>
      </c>
      <c r="B228" s="7">
        <v>4030</v>
      </c>
      <c r="C228" s="21" t="s">
        <v>212</v>
      </c>
      <c r="D228" s="21" t="s">
        <v>1010</v>
      </c>
      <c r="E228" s="13">
        <v>42846.9534375</v>
      </c>
      <c r="F228" s="13">
        <v>42846.955358796295</v>
      </c>
      <c r="G228" s="7">
        <v>1</v>
      </c>
      <c r="H228" s="21" t="s">
        <v>1011</v>
      </c>
      <c r="I228" s="13">
        <v>42846.955520833333</v>
      </c>
      <c r="J228" s="7">
        <v>1</v>
      </c>
      <c r="K228" s="97" t="str">
        <f t="shared" si="81"/>
        <v>4029/4030</v>
      </c>
      <c r="L228" s="21" t="str">
        <f>VLOOKUP(A228,'Trips&amp;Operators'!$C$1:$G$99999,5,FALSE)</f>
        <v>PERKINS DARREN</v>
      </c>
      <c r="M228" s="6">
        <f t="shared" si="82"/>
        <v>1.6203703853534535E-4</v>
      </c>
      <c r="N228" s="7">
        <f t="shared" si="96"/>
        <v>0.2333333354908973</v>
      </c>
      <c r="O228" s="7"/>
      <c r="P228" s="7"/>
      <c r="Q228" s="22"/>
      <c r="R228" s="22"/>
      <c r="S228" s="31">
        <f t="shared" si="94"/>
        <v>0</v>
      </c>
      <c r="T228" s="46" t="str">
        <f t="shared" si="83"/>
        <v>Southbound</v>
      </c>
      <c r="U228" s="19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2" t="str">
        <f t="shared" si="84"/>
        <v>https://d0f6bd738d7f1b3e5a7ca70fe4ff75f0.us-east-1.aws.found.io/app/kibana#/discover/Steve-Slow-Train-Analysis-(2080s-and-2083s)?_g=(refreshInterval:(display:Off,pause:!f,section:0,value:0),time:(from:'2017-04-21T21:52:57-0600',mode:absolute,to:'2017-04-21T23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3" t="str">
        <f t="shared" si="85"/>
        <v>Y</v>
      </c>
      <c r="X228" s="193">
        <f t="shared" si="95"/>
        <v>0</v>
      </c>
      <c r="Y228" s="193">
        <f t="shared" si="86"/>
        <v>2.1478999999999999</v>
      </c>
      <c r="Z228" s="62">
        <f t="shared" si="87"/>
        <v>2.3069999999999999</v>
      </c>
      <c r="AA228" s="62">
        <f t="shared" si="88"/>
        <v>0.15910000000000002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9"/>
        <v>0908-21</v>
      </c>
      <c r="AE228" s="85" t="str">
        <f t="shared" si="90"/>
        <v>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 &amp; aws s3 cp s3://rtdc.mdm.uploadarchive.raw/RTDC4030/ "%USERPROFILE%\AppData\Local\Temp\OnboardLogs"\RTDC4030\2017-04-22 --exclude "*" --recursive --include "*20170422*" &amp; "%USERPROFILE%\Documents\GitHub\mrs-test-scripts\Headless Mode &amp; Sideloading\WalkAndUnGZ.bat" "%USERPROFILE%\AppData\Local\Temp\OnboardLogs"\RTDC4030\2017-04-22</v>
      </c>
      <c r="AF228" s="82" t="str">
        <f t="shared" si="91"/>
        <v>"C:\Program Files (x86)\AstroGrep\AstroGrep.exe" /e /r /s /spath="%USERPROFILE%\AppData\Local\Temp\OnboardLogs" /stypes="app*4030*20170422*" /stext=" 04:.+((SYSTEM_STATE.+slice.+state.+changed )|(ment ac)|(multiple cpu faults)|(system.+state.+changed )|(\[timeout)|(PRM\|1\|D)|(kpr)|(kdp)|(\|lc)|(penalty))"</v>
      </c>
      <c r="AG228" s="1" t="str">
        <f t="shared" si="92"/>
        <v>Other</v>
      </c>
      <c r="AH228" s="86" t="str">
        <f t="shared" si="77"/>
        <v>"%USERPROFILE%\Documents\GitHub\eaglep3\Utilities\RefineRTDCRunTimes.py" --tripid 908-21 --locoid 4030 --swversion DE.1.0.9.0 --startMP 300:21479 --initTime 2017-04-21T22:52:57 --startdatetime 2017-04-21T22:55:43 --delay 1 --endMP 300:23070 --enddatetime 2017-04-21T22:55:57 --enforcementcount 1 &gt;&gt;C:\Users\stu\Documents\GitHub\eaglep3-reporting\EC\2017-04-21-refined-times.txt</v>
      </c>
      <c r="AI228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{"issue":{"subject":"","project_id":79,"tracker_id":40,"status_id":1,"priority_id":2,"assigned_to_id":23,"start_date":"2017-04-21","description":"","custom_fields":[{"id":1,"name":"Subdivision","value":"Other"},{"id":4,"name":"Milepost","value":"2.307"},{"id":17,"name":"Train ID","value":"908-21"},{"id":16,"name":"Locomotive ID","value":"4030"},{"id":130,"name":"Impact","value":""},{"id":150,"name":"Time of Event (Mountain Time)","value":"22:55:57"},{"id":151,"name":"Denver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47" t="str">
        <f t="shared" si="79"/>
        <v>start /low /b %USERPROFILE%\Documents\GitHub\eaglep3\Utilities\DownloadLogsFromS3.py --loco 4030 --day 2017-04-21</v>
      </c>
      <c r="AN228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04:55:57"},{"id":29,"name":"Sharepoint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604</v>
      </c>
      <c r="B229" s="7">
        <v>4064</v>
      </c>
      <c r="C229" s="21" t="s">
        <v>212</v>
      </c>
      <c r="D229" s="21" t="s">
        <v>932</v>
      </c>
      <c r="E229" s="13">
        <v>42846.469837962963</v>
      </c>
      <c r="F229" s="13">
        <v>42846.47079861111</v>
      </c>
      <c r="G229" s="7">
        <v>1</v>
      </c>
      <c r="H229" s="21" t="s">
        <v>933</v>
      </c>
      <c r="I229" s="13">
        <v>42846.478738425925</v>
      </c>
      <c r="J229" s="7">
        <v>1</v>
      </c>
      <c r="K229" s="97" t="str">
        <f t="shared" si="81"/>
        <v>4063/4064</v>
      </c>
      <c r="L229" s="21" t="str">
        <f>VLOOKUP(A229,'Trips&amp;Operators'!$C$1:$G$99999,5,FALSE)</f>
        <v>ROBINSON KADDIBA</v>
      </c>
      <c r="M229" s="6">
        <f t="shared" si="82"/>
        <v>7.9398148154723458E-3</v>
      </c>
      <c r="N229" s="7">
        <f t="shared" si="96"/>
        <v>11.433333334280178</v>
      </c>
      <c r="O229" s="7"/>
      <c r="P229" s="7"/>
      <c r="Q229" s="22"/>
      <c r="R229" s="22"/>
      <c r="S229" s="31">
        <f t="shared" si="94"/>
        <v>0</v>
      </c>
      <c r="T229" s="46" t="e">
        <f t="shared" si="83"/>
        <v>#VALUE!</v>
      </c>
      <c r="U229" s="19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2" t="str">
        <f t="shared" si="84"/>
        <v>https://d0f6bd738d7f1b3e5a7ca70fe4ff75f0.us-east-1.aws.found.io/app/kibana#/discover/Steve-Slow-Train-Analysis-(2080s-and-2083s)?_g=(refreshInterval:(display:Off,pause:!f,section:0,value:0),time:(from:'2017-04-21T10:16:34-0600',mode:absolute,to:'2017-04-21T12:29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9" s="193" t="str">
        <f t="shared" si="85"/>
        <v>Y</v>
      </c>
      <c r="X229" s="193" t="e">
        <f t="shared" si="95"/>
        <v>#VALUE!</v>
      </c>
      <c r="Y229" s="193">
        <f t="shared" si="86"/>
        <v>4.48E-2</v>
      </c>
      <c r="Z229" s="62">
        <f t="shared" si="87"/>
        <v>2.4216000000000002</v>
      </c>
      <c r="AA229" s="62">
        <f t="shared" si="88"/>
        <v>2.3768000000000002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9"/>
        <v>50-21</v>
      </c>
      <c r="AE229" s="85" t="str">
        <f t="shared" si="90"/>
        <v>aws s3 cp s3://rtdc.mdm.uploadarchive.raw/RTDC4064/ "%USERPROFILE%\AppData\Local\Temp\OnboardLogs"\RTDC4064\2017-04-21 --exclude "*" --recursive --include "*20170421*" &amp; "%USERPROFILE%\Documents\GitHub\mrs-test-scripts\Headless Mode &amp; Sideloading\WalkAndUnGZ.bat" "%USERPROFILE%\AppData\Local\Temp\OnboardLogs"\RTDC4064\2017-04-21 &amp; 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</v>
      </c>
      <c r="AF229" s="82" t="str">
        <f t="shared" si="91"/>
        <v>"C:\Program Files (x86)\AstroGrep\AstroGrep.exe" /e /r /s /spath="%USERPROFILE%\AppData\Local\Temp\OnboardLogs" /stypes="app*4064*20170421*" /stext=" 17:.+((SYSTEM_STATE.+slice.+state.+changed )|(ment ac)|(multiple cpu faults)|(system.+state.+changed )|(\[timeout)|(PRM\|1\|D)|(kpr)|(kdp)|(\|lc)|(penalty))"</v>
      </c>
      <c r="AG229" s="1" t="str">
        <f t="shared" si="92"/>
        <v>Other</v>
      </c>
      <c r="AH229" s="86" t="str">
        <f t="shared" si="77"/>
        <v>"%USERPROFILE%\Documents\GitHub\eaglep3\Utilities\RefineRTDCRunTimes.py" --tripid 50-21 --locoid 4064 --swversion DE.1.0.9.0 --startMP 204:448 --initTime 2017-04-21T11:16:34 --startdatetime 2017-04-21T11:17:57 --delay 1 --endMP 300:24216 --enddatetime 2017-04-21T11:29:23 --enforcementcount 1 &gt;&gt;C:\Users\stu\Documents\GitHub\eaglep3-reporting\EC\2017-04-21-refined-times.txt</v>
      </c>
      <c r="AI229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{"issue":{"subject":"","project_id":79,"tracker_id":40,"status_id":1,"priority_id":2,"assigned_to_id":23,"start_date":"2017-04-21","description":"","custom_fields":[{"id":1,"name":"Subdivision","value":"Other"},{"id":4,"name":"Milepost","value":"2.4216"},{"id":17,"name":"Train ID","value":"50-21"},{"id":16,"name":"Locomotive ID","value":"4064"},{"id":130,"name":"Impact","value":""},{"id":150,"name":"Time of Event (Mountain Time)","value":"11:29:23"},{"id":151,"name":"Denver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47" t="str">
        <f t="shared" si="79"/>
        <v>start /low /b %USERPROFILE%\Documents\GitHub\eaglep3\Utilities\DownloadLogsFromS3.py --loco 4064 --day 2017-04-21</v>
      </c>
      <c r="AN229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17:29:23"},{"id":29,"name":"Sharepoint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658</v>
      </c>
      <c r="B230" s="7">
        <v>4045</v>
      </c>
      <c r="C230" s="21" t="s">
        <v>212</v>
      </c>
      <c r="D230" s="21" t="s">
        <v>934</v>
      </c>
      <c r="E230" s="13">
        <v>42846.255243055559</v>
      </c>
      <c r="F230" s="13">
        <v>42846.257175925923</v>
      </c>
      <c r="G230" s="7">
        <v>1</v>
      </c>
      <c r="H230" s="21" t="s">
        <v>935</v>
      </c>
      <c r="I230" s="13">
        <v>42846.258310185185</v>
      </c>
      <c r="J230" s="7">
        <v>1</v>
      </c>
      <c r="K230" s="97" t="str">
        <f t="shared" si="81"/>
        <v>4045/4046</v>
      </c>
      <c r="L230" s="21" t="str">
        <f>VLOOKUP(A230,'Trips&amp;Operators'!$C$1:$G$99999,5,FALSE)</f>
        <v>SPECTOR MICHAEL</v>
      </c>
      <c r="M230" s="6">
        <f t="shared" si="82"/>
        <v>1.1342592624714598E-3</v>
      </c>
      <c r="N230" s="7">
        <f t="shared" si="96"/>
        <v>1.6333333379589021</v>
      </c>
      <c r="O230" s="7"/>
      <c r="P230" s="7"/>
      <c r="Q230" s="22"/>
      <c r="R230" s="22"/>
      <c r="S230" s="31">
        <f t="shared" si="94"/>
        <v>0</v>
      </c>
      <c r="T230" s="46" t="e">
        <f t="shared" si="83"/>
        <v>#VALUE!</v>
      </c>
      <c r="U230" s="19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2" t="str">
        <f t="shared" si="84"/>
        <v>https://d0f6bd738d7f1b3e5a7ca70fe4ff75f0.us-east-1.aws.found.io/app/kibana#/discover/Steve-Slow-Train-Analysis-(2080s-and-2083s)?_g=(refreshInterval:(display:Off,pause:!f,section:0,value:0),time:(from:'2017-04-21T05:07:33-0600',mode:absolute,to:'2017-04-21T07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93" t="str">
        <f t="shared" si="85"/>
        <v>Y</v>
      </c>
      <c r="X230" s="193" t="e">
        <f t="shared" si="95"/>
        <v>#VALUE!</v>
      </c>
      <c r="Y230" s="193">
        <f t="shared" si="86"/>
        <v>0.32490000000000002</v>
      </c>
      <c r="Z230" s="62">
        <f t="shared" si="87"/>
        <v>0.1169</v>
      </c>
      <c r="AA230" s="62">
        <f t="shared" si="88"/>
        <v>0.20800000000000002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9"/>
        <v>51-21</v>
      </c>
      <c r="AE230" s="85" t="str">
        <f t="shared" si="90"/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AF230" s="82" t="str">
        <f t="shared" si="91"/>
        <v>"C:\Program Files (x86)\AstroGrep\AstroGrep.exe" /e /r /s /spath="%USERPROFILE%\AppData\Local\Temp\OnboardLogs" /stypes="app*4045*20170421*" /stext=" 12:.+((SYSTEM_STATE.+slice.+state.+changed )|(ment ac)|(multiple cpu faults)|(system.+state.+changed )|(\[timeout)|(PRM\|1\|D)|(kpr)|(kdp)|(\|lc)|(penalty))"</v>
      </c>
      <c r="AG230" s="1" t="str">
        <f t="shared" si="92"/>
        <v>Other</v>
      </c>
      <c r="AH230" s="86" t="str">
        <f t="shared" si="77"/>
        <v>"%USERPROFILE%\Documents\GitHub\eaglep3\Utilities\RefineRTDCRunTimes.py" --tripid 51-21 --locoid 4045 --swversion DE.1.0.9.0 --startMP 204:3249 --initTime 2017-04-21T06:07:33 --startdatetime 2017-04-21T06:10:20 --delay 1 --endMP 204:1169 --enddatetime 2017-04-21T06:11:58 --enforcementcount 1 &gt;&gt;C:\Users\stu\Documents\GitHub\eaglep3-reporting\EC\2017-04-21-refined-times.txt</v>
      </c>
      <c r="AI230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{"issue":{"subject":"","project_id":79,"tracker_id":40,"status_id":1,"priority_id":2,"assigned_to_id":23,"start_date":"2017-04-21","description":"","custom_fields":[{"id":1,"name":"Subdivision","value":"Other"},{"id":4,"name":"Milepost","value":"0.1169"},{"id":17,"name":"Train ID","value":"51-21"},{"id":16,"name":"Locomotive ID","value":"4045"},{"id":130,"name":"Impact","value":""},{"id":150,"name":"Time of Event (Mountain Time)","value":"06:11:58"},{"id":151,"name":"Denver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47" t="str">
        <f t="shared" si="79"/>
        <v>start /low /b %USERPROFILE%\Documents\GitHub\eaglep3\Utilities\DownloadLogsFromS3.py --loco 4045 --day 2017-04-21</v>
      </c>
      <c r="AN230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658</v>
      </c>
      <c r="B231" s="7">
        <v>4046</v>
      </c>
      <c r="C231" s="21" t="s">
        <v>212</v>
      </c>
      <c r="D231" s="21" t="s">
        <v>203</v>
      </c>
      <c r="E231" s="13">
        <v>42846.251354166663</v>
      </c>
      <c r="F231" s="13">
        <v>42846.257175925923</v>
      </c>
      <c r="G231" s="7">
        <v>1</v>
      </c>
      <c r="H231" s="21" t="s">
        <v>936</v>
      </c>
      <c r="I231" s="13">
        <v>42846.258310185185</v>
      </c>
      <c r="J231" s="7">
        <v>1</v>
      </c>
      <c r="K231" s="97" t="str">
        <f t="shared" si="81"/>
        <v>4045/4046</v>
      </c>
      <c r="L231" s="21" t="str">
        <f>VLOOKUP(A231,'Trips&amp;Operators'!$C$1:$G$99999,5,FALSE)</f>
        <v>SPECTOR MICHAEL</v>
      </c>
      <c r="M231" s="6">
        <f t="shared" si="82"/>
        <v>1.1342592624714598E-3</v>
      </c>
      <c r="N231" s="7">
        <f t="shared" si="96"/>
        <v>1.6333333379589021</v>
      </c>
      <c r="O231" s="7"/>
      <c r="P231" s="7"/>
      <c r="Q231" s="22"/>
      <c r="R231" s="22"/>
      <c r="S231" s="31">
        <f t="shared" si="94"/>
        <v>0</v>
      </c>
      <c r="T231" s="46" t="e">
        <f t="shared" si="83"/>
        <v>#VALUE!</v>
      </c>
      <c r="U231" s="19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2" t="str">
        <f t="shared" si="84"/>
        <v>https://d0f6bd738d7f1b3e5a7ca70fe4ff75f0.us-east-1.aws.found.io/app/kibana#/discover/Steve-Slow-Train-Analysis-(2080s-and-2083s)?_g=(refreshInterval:(display:Off,pause:!f,section:0,value:0),time:(from:'2017-04-21T05:01:57-0600',mode:absolute,to:'2017-04-21T07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1" s="193" t="str">
        <f t="shared" si="85"/>
        <v>Y</v>
      </c>
      <c r="X231" s="193" t="e">
        <f t="shared" si="95"/>
        <v>#VALUE!</v>
      </c>
      <c r="Y231" s="193">
        <f t="shared" si="86"/>
        <v>4.5699999999999998E-2</v>
      </c>
      <c r="Z231" s="62">
        <f t="shared" si="87"/>
        <v>0.35720000000000002</v>
      </c>
      <c r="AA231" s="62">
        <f t="shared" si="88"/>
        <v>0.3115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9"/>
        <v>51-21</v>
      </c>
      <c r="AE231" s="85" t="str">
        <f t="shared" si="90"/>
        <v>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 &amp; aws s3 cp s3://rtdc.mdm.uploadarchive.raw/RTDC4046/ "%USERPROFILE%\AppData\Local\Temp\OnboardLogs"\RTDC4046\2017-04-22 --exclude "*" --recursive --include "*20170422*" &amp; "%USERPROFILE%\Documents\GitHub\mrs-test-scripts\Headless Mode &amp; Sideloading\WalkAndUnGZ.bat" "%USERPROFILE%\AppData\Local\Temp\OnboardLogs"\RTDC4046\2017-04-22</v>
      </c>
      <c r="AF231" s="82" t="str">
        <f t="shared" si="91"/>
        <v>"C:\Program Files (x86)\AstroGrep\AstroGrep.exe" /e /r /s /spath="%USERPROFILE%\AppData\Local\Temp\OnboardLogs" /stypes="app*4046*20170421*" /stext=" 12:.+((SYSTEM_STATE.+slice.+state.+changed )|(ment ac)|(multiple cpu faults)|(system.+state.+changed )|(\[timeout)|(PRM\|1\|D)|(kpr)|(kdp)|(\|lc)|(penalty))"</v>
      </c>
      <c r="AG231" s="1" t="str">
        <f t="shared" si="92"/>
        <v>Other</v>
      </c>
      <c r="AH231" s="86" t="str">
        <f t="shared" si="77"/>
        <v>"%USERPROFILE%\Documents\GitHub\eaglep3\Utilities\RefineRTDCRunTimes.py" --tripid 51-21 --locoid 4046 --swversion DE.1.0.9.0 --startMP 204:457 --initTime 2017-04-21T06:01:57 --startdatetime 2017-04-21T06:10:20 --delay 1 --endMP 204:3572 --enddatetime 2017-04-21T06:11:58 --enforcementcount 1 &gt;&gt;C:\Users\stu\Documents\GitHub\eaglep3-reporting\EC\2017-04-21-refined-times.txt</v>
      </c>
      <c r="AI231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{"issue":{"subject":"","project_id":79,"tracker_id":40,"status_id":1,"priority_id":2,"assigned_to_id":23,"start_date":"2017-04-21","description":"","custom_fields":[{"id":1,"name":"Subdivision","value":"Other"},{"id":4,"name":"Milepost","value":"0.3572"},{"id":17,"name":"Train ID","value":"51-21"},{"id":16,"name":"Locomotive ID","value":"4046"},{"id":130,"name":"Impact","value":""},{"id":150,"name":"Time of Event (Mountain Time)","value":"06:11:58"},{"id":151,"name":"Denver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47" t="str">
        <f t="shared" si="79"/>
        <v>start /low /b %USERPROFILE%\Documents\GitHub\eaglep3\Utilities\DownloadLogsFromS3.py --loco 4046 --day 2017-04-21</v>
      </c>
      <c r="AN231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12:11:58"},{"id":29,"name":"Sharepoint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701</v>
      </c>
      <c r="B232" s="7">
        <v>4063</v>
      </c>
      <c r="C232" s="21" t="s">
        <v>212</v>
      </c>
      <c r="D232" s="21" t="s">
        <v>937</v>
      </c>
      <c r="E232" s="13">
        <v>42846.434363425928</v>
      </c>
      <c r="F232" s="13">
        <v>42846.439733796295</v>
      </c>
      <c r="G232" s="7">
        <v>7</v>
      </c>
      <c r="H232" s="21" t="s">
        <v>938</v>
      </c>
      <c r="I232" s="13">
        <v>42846.445798611108</v>
      </c>
      <c r="J232" s="7">
        <v>1</v>
      </c>
      <c r="K232" s="97" t="str">
        <f t="shared" si="81"/>
        <v>4063/4064</v>
      </c>
      <c r="L232" s="21" t="str">
        <f>VLOOKUP(A232,'Trips&amp;Operators'!$C$1:$G$99999,5,FALSE)</f>
        <v>STEWART MICHAEL</v>
      </c>
      <c r="M232" s="6">
        <f t="shared" si="82"/>
        <v>6.064814813726116E-3</v>
      </c>
      <c r="N232" s="7">
        <f t="shared" si="96"/>
        <v>8.733333331765607</v>
      </c>
      <c r="O232" s="7"/>
      <c r="P232" s="7"/>
      <c r="Q232" s="22"/>
      <c r="R232" s="22"/>
      <c r="S232" s="31">
        <f t="shared" si="94"/>
        <v>0</v>
      </c>
      <c r="T232" s="46" t="e">
        <f t="shared" si="83"/>
        <v>#VALUE!</v>
      </c>
      <c r="U232" s="19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2" t="str">
        <f t="shared" si="84"/>
        <v>https://d0f6bd738d7f1b3e5a7ca70fe4ff75f0.us-east-1.aws.found.io/app/kibana#/discover/Steve-Slow-Train-Analysis-(2080s-and-2083s)?_g=(refreshInterval:(display:Off,pause:!f,section:0,value:0),time:(from:'2017-04-21T09:25:29-0600',mode:absolute,to:'2017-04-21T11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2" s="193" t="str">
        <f t="shared" si="85"/>
        <v>Y</v>
      </c>
      <c r="X232" s="193" t="e">
        <f t="shared" si="95"/>
        <v>#VALUE!</v>
      </c>
      <c r="Y232" s="193">
        <f t="shared" si="86"/>
        <v>2.2166000000000001</v>
      </c>
      <c r="Z232" s="62">
        <f t="shared" si="87"/>
        <v>6.4500000000000002E-2</v>
      </c>
      <c r="AA232" s="62">
        <f t="shared" si="88"/>
        <v>2.1520999999999999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9"/>
        <v>53-21</v>
      </c>
      <c r="AE232" s="85" t="str">
        <f t="shared" si="90"/>
        <v>aws s3 cp s3://rtdc.mdm.uploadarchive.raw/RTDC4063/ "%USERPROFILE%\AppData\Local\Temp\OnboardLogs"\RTDC4063\2017-04-21 --exclude "*" --recursive --include "*20170421*" &amp; "%USERPROFILE%\Documents\GitHub\mrs-test-scripts\Headless Mode &amp; Sideloading\WalkAndUnGZ.bat" "%USERPROFILE%\AppData\Local\Temp\OnboardLogs"\RTDC4063\2017-04-21 &amp; 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</v>
      </c>
      <c r="AF232" s="82" t="str">
        <f t="shared" si="91"/>
        <v>"C:\Program Files (x86)\AstroGrep\AstroGrep.exe" /e /r /s /spath="%USERPROFILE%\AppData\Local\Temp\OnboardLogs" /stypes="app*4063*20170421*" /stext=" 16:.+((SYSTEM_STATE.+slice.+state.+changed )|(ment ac)|(multiple cpu faults)|(system.+state.+changed )|(\[timeout)|(PRM\|1\|D)|(kpr)|(kdp)|(\|lc)|(penalty))"</v>
      </c>
      <c r="AG232" s="1" t="str">
        <f t="shared" si="92"/>
        <v>Other</v>
      </c>
      <c r="AH232" s="86" t="str">
        <f t="shared" si="77"/>
        <v>"%USERPROFILE%\Documents\GitHub\eaglep3\Utilities\RefineRTDCRunTimes.py" --tripid 53-21 --locoid 4063 --swversion DE.1.0.9.0 --startMP 300:22166 --initTime 2017-04-21T10:25:29 --startdatetime 2017-04-21T10:33:13 --delay 7 --endMP 204:645 --enddatetime 2017-04-21T10:41:57 --enforcementcount 1 &gt;&gt;C:\Users\stu\Documents\GitHub\eaglep3-reporting\EC\2017-04-21-refined-times.txt</v>
      </c>
      <c r="AI232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{"issue":{"subject":"","project_id":79,"tracker_id":40,"status_id":1,"priority_id":2,"assigned_to_id":23,"start_date":"2017-04-21","description":"","custom_fields":[{"id":1,"name":"Subdivision","value":"Other"},{"id":4,"name":"Milepost","value":"0.0645"},{"id":17,"name":"Train ID","value":"53-21"},{"id":16,"name":"Locomotive ID","value":"4063"},{"id":130,"name":"Impact","value":""},{"id":150,"name":"Time of Event (Mountain Time)","value":"10:41:57"},{"id":151,"name":"Denver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47" t="str">
        <f t="shared" si="79"/>
        <v>start /low /b %USERPROFILE%\Documents\GitHub\eaglep3\Utilities\DownloadLogsFromS3.py --loco 4063 --day 2017-04-21</v>
      </c>
      <c r="AN232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706</v>
      </c>
      <c r="B233" s="7">
        <v>4063</v>
      </c>
      <c r="C233" s="21" t="s">
        <v>212</v>
      </c>
      <c r="D233" s="21" t="s">
        <v>939</v>
      </c>
      <c r="E233" s="13">
        <v>42846.453981481478</v>
      </c>
      <c r="F233" s="13">
        <v>42846.455451388887</v>
      </c>
      <c r="G233" s="7">
        <v>1</v>
      </c>
      <c r="H233" s="21" t="s">
        <v>940</v>
      </c>
      <c r="I233" s="13">
        <v>42846.456909722219</v>
      </c>
      <c r="J233" s="7">
        <v>1</v>
      </c>
      <c r="K233" s="97" t="str">
        <f t="shared" si="81"/>
        <v>4063/4064</v>
      </c>
      <c r="L233" s="21" t="str">
        <f>VLOOKUP(A233,'Trips&amp;Operators'!$C$1:$G$99999,5,FALSE)</f>
        <v>DE LA ROSA ALEX</v>
      </c>
      <c r="M233" s="6">
        <f t="shared" si="82"/>
        <v>1.4583333322661929E-3</v>
      </c>
      <c r="N233" s="7">
        <f t="shared" si="96"/>
        <v>2.0999999984633178</v>
      </c>
      <c r="O233" s="7"/>
      <c r="P233" s="7"/>
      <c r="Q233" s="22"/>
      <c r="R233" s="22"/>
      <c r="S233" s="31">
        <f t="shared" si="94"/>
        <v>0</v>
      </c>
      <c r="T233" s="46" t="e">
        <f t="shared" si="83"/>
        <v>#VALUE!</v>
      </c>
      <c r="U233" s="19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2" t="str">
        <f t="shared" si="84"/>
        <v>https://d0f6bd738d7f1b3e5a7ca70fe4ff75f0.us-east-1.aws.found.io/app/kibana#/discover/Steve-Slow-Train-Analysis-(2080s-and-2083s)?_g=(refreshInterval:(display:Off,pause:!f,section:0,value:0),time:(from:'2017-04-21T09:53:44-0600',mode:absolute,to:'2017-04-21T11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3" s="193" t="str">
        <f t="shared" si="85"/>
        <v>Y</v>
      </c>
      <c r="X233" s="193" t="e">
        <f t="shared" si="95"/>
        <v>#VALUE!</v>
      </c>
      <c r="Y233" s="193">
        <f t="shared" si="86"/>
        <v>0.33</v>
      </c>
      <c r="Z233" s="62">
        <f t="shared" si="87"/>
        <v>1.44E-2</v>
      </c>
      <c r="AA233" s="62">
        <f t="shared" si="88"/>
        <v>0.31559999999999999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9"/>
        <v>54-21</v>
      </c>
      <c r="AE233" s="85" t="str">
        <f t="shared" si="90"/>
        <v>aws s3 cp s3://rtdc.mdm.uploadarchive.raw/RTDC4063/ "%USERPROFILE%\AppData\Local\Temp\OnboardLogs"\RTDC4063\2017-04-21 --exclude "*" --recursive --include "*20170421*" &amp; "%USERPROFILE%\Documents\GitHub\mrs-test-scripts\Headless Mode &amp; Sideloading\WalkAndUnGZ.bat" "%USERPROFILE%\AppData\Local\Temp\OnboardLogs"\RTDC4063\2017-04-21 &amp; 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</v>
      </c>
      <c r="AF233" s="82" t="str">
        <f t="shared" si="91"/>
        <v>"C:\Program Files (x86)\AstroGrep\AstroGrep.exe" /e /r /s /spath="%USERPROFILE%\AppData\Local\Temp\OnboardLogs" /stypes="app*4063*20170421*" /stext=" 16:.+((SYSTEM_STATE.+slice.+state.+changed )|(ment ac)|(multiple cpu faults)|(system.+state.+changed )|(\[timeout)|(PRM\|1\|D)|(kpr)|(kdp)|(\|lc)|(penalty))"</v>
      </c>
      <c r="AG233" s="1" t="str">
        <f t="shared" si="92"/>
        <v>Other</v>
      </c>
      <c r="AH233" s="86" t="str">
        <f t="shared" si="77"/>
        <v>"%USERPROFILE%\Documents\GitHub\eaglep3\Utilities\RefineRTDCRunTimes.py" --tripid 54-21 --locoid 4063 --swversion DE.1.0.9.0 --startMP 204:3300 --initTime 2017-04-21T10:53:44 --startdatetime 2017-04-21T10:55:51 --delay 1 --endMP 204:144 --enddatetime 2017-04-21T10:57:57 --enforcementcount 1 &gt;&gt;C:\Users\stu\Documents\GitHub\eaglep3-reporting\EC\2017-04-21-refined-times.txt</v>
      </c>
      <c r="AI233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{"issue":{"subject":"","project_id":79,"tracker_id":40,"status_id":1,"priority_id":2,"assigned_to_id":23,"start_date":"2017-04-21","description":"","custom_fields":[{"id":1,"name":"Subdivision","value":"Other"},{"id":4,"name":"Milepost","value":"0.0144"},{"id":17,"name":"Train ID","value":"54-21"},{"id":16,"name":"Locomotive ID","value":"4063"},{"id":130,"name":"Impact","value":""},{"id":150,"name":"Time of Event (Mountain Time)","value":"10:57:57"},{"id":151,"name":"Denver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47" t="str">
        <f t="shared" si="79"/>
        <v>start /low /b %USERPROFILE%\Documents\GitHub\eaglep3\Utilities\DownloadLogsFromS3.py --loco 4063 --day 2017-04-21</v>
      </c>
      <c r="AN233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706</v>
      </c>
      <c r="B234" s="7">
        <v>4064</v>
      </c>
      <c r="C234" s="21" t="s">
        <v>212</v>
      </c>
      <c r="D234" s="21" t="s">
        <v>941</v>
      </c>
      <c r="E234" s="13">
        <v>42846.450937499998</v>
      </c>
      <c r="F234" s="13">
        <v>42846.455451388887</v>
      </c>
      <c r="G234" s="7">
        <v>1</v>
      </c>
      <c r="H234" s="21" t="s">
        <v>942</v>
      </c>
      <c r="I234" s="13">
        <v>42846.456909722219</v>
      </c>
      <c r="J234" s="7">
        <v>1</v>
      </c>
      <c r="K234" s="97" t="str">
        <f t="shared" si="81"/>
        <v>4063/4064</v>
      </c>
      <c r="L234" s="21" t="str">
        <f>VLOOKUP(A234,'Trips&amp;Operators'!$C$1:$G$99999,5,FALSE)</f>
        <v>DE LA ROSA ALEX</v>
      </c>
      <c r="M234" s="6">
        <f t="shared" si="82"/>
        <v>1.4583333322661929E-3</v>
      </c>
      <c r="N234" s="7">
        <f t="shared" si="96"/>
        <v>2.0999999984633178</v>
      </c>
      <c r="O234" s="7"/>
      <c r="P234" s="7"/>
      <c r="Q234" s="22"/>
      <c r="R234" s="22"/>
      <c r="S234" s="31">
        <f t="shared" si="94"/>
        <v>0</v>
      </c>
      <c r="T234" s="46" t="e">
        <f t="shared" si="83"/>
        <v>#VALUE!</v>
      </c>
      <c r="U234" s="19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2" t="str">
        <f t="shared" si="84"/>
        <v>https://d0f6bd738d7f1b3e5a7ca70fe4ff75f0.us-east-1.aws.found.io/app/kibana#/discover/Steve-Slow-Train-Analysis-(2080s-and-2083s)?_g=(refreshInterval:(display:Off,pause:!f,section:0,value:0),time:(from:'2017-04-21T09:49:21-0600',mode:absolute,to:'2017-04-21T11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4" s="193" t="str">
        <f t="shared" si="85"/>
        <v>Y</v>
      </c>
      <c r="X234" s="193" t="e">
        <f t="shared" si="95"/>
        <v>#VALUE!</v>
      </c>
      <c r="Y234" s="193">
        <f t="shared" si="86"/>
        <v>9.4299999999999995E-2</v>
      </c>
      <c r="Z234" s="62">
        <f t="shared" si="87"/>
        <v>0.36459999999999998</v>
      </c>
      <c r="AA234" s="62">
        <f t="shared" si="88"/>
        <v>0.27029999999999998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9"/>
        <v>54-21</v>
      </c>
      <c r="AE234" s="85" t="str">
        <f t="shared" si="90"/>
        <v>aws s3 cp s3://rtdc.mdm.uploadarchive.raw/RTDC4064/ "%USERPROFILE%\AppData\Local\Temp\OnboardLogs"\RTDC4064\2017-04-21 --exclude "*" --recursive --include "*20170421*" &amp; "%USERPROFILE%\Documents\GitHub\mrs-test-scripts\Headless Mode &amp; Sideloading\WalkAndUnGZ.bat" "%USERPROFILE%\AppData\Local\Temp\OnboardLogs"\RTDC4064\2017-04-21 &amp; 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</v>
      </c>
      <c r="AF234" s="82" t="str">
        <f t="shared" si="91"/>
        <v>"C:\Program Files (x86)\AstroGrep\AstroGrep.exe" /e /r /s /spath="%USERPROFILE%\AppData\Local\Temp\OnboardLogs" /stypes="app*4064*20170421*" /stext=" 16:.+((SYSTEM_STATE.+slice.+state.+changed )|(ment ac)|(multiple cpu faults)|(system.+state.+changed )|(\[timeout)|(PRM\|1\|D)|(kpr)|(kdp)|(\|lc)|(penalty))"</v>
      </c>
      <c r="AG234" s="1" t="str">
        <f t="shared" si="92"/>
        <v>Other</v>
      </c>
      <c r="AH234" s="86" t="str">
        <f t="shared" si="77"/>
        <v>"%USERPROFILE%\Documents\GitHub\eaglep3\Utilities\RefineRTDCRunTimes.py" --tripid 54-21 --locoid 4064 --swversion DE.1.0.9.0 --startMP 204:943 --initTime 2017-04-21T10:49:21 --startdatetime 2017-04-21T10:55:51 --delay 1 --endMP 204:3646 --enddatetime 2017-04-21T10:57:57 --enforcementcount 1 &gt;&gt;C:\Users\stu\Documents\GitHub\eaglep3-reporting\EC\2017-04-21-refined-times.txt</v>
      </c>
      <c r="AI234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{"issue":{"subject":"","project_id":79,"tracker_id":40,"status_id":1,"priority_id":2,"assigned_to_id":23,"start_date":"2017-04-21","description":"","custom_fields":[{"id":1,"name":"Subdivision","value":"Other"},{"id":4,"name":"Milepost","value":"0.3646"},{"id":17,"name":"Train ID","value":"54-21"},{"id":16,"name":"Locomotive ID","value":"4064"},{"id":130,"name":"Impact","value":""},{"id":150,"name":"Time of Event (Mountain Time)","value":"10:57:57"},{"id":151,"name":"Denver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47" t="str">
        <f t="shared" si="79"/>
        <v>start /low /b %USERPROFILE%\Documents\GitHub\eaglep3\Utilities\DownloadLogsFromS3.py --loco 4064 --day 2017-04-21</v>
      </c>
      <c r="AN234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16:57:57"},{"id":29,"name":"Sharepoint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766</v>
      </c>
      <c r="B235" s="7">
        <v>4031</v>
      </c>
      <c r="C235" s="21" t="s">
        <v>212</v>
      </c>
      <c r="D235" s="21" t="s">
        <v>943</v>
      </c>
      <c r="E235" s="13">
        <v>42846.715138888889</v>
      </c>
      <c r="F235" s="13">
        <v>42846.716990740744</v>
      </c>
      <c r="G235" s="7">
        <v>1</v>
      </c>
      <c r="H235" s="21" t="s">
        <v>435</v>
      </c>
      <c r="I235" s="13">
        <v>42846.718506944446</v>
      </c>
      <c r="J235" s="7">
        <v>1</v>
      </c>
      <c r="K235" s="97" t="str">
        <f t="shared" si="81"/>
        <v>4031/4032</v>
      </c>
      <c r="L235" s="21" t="str">
        <f>VLOOKUP(A235,'Trips&amp;Operators'!$C$1:$G$99999,5,FALSE)</f>
        <v>DELGADO DIANAH</v>
      </c>
      <c r="M235" s="6">
        <f t="shared" si="82"/>
        <v>1.5162037016125396E-3</v>
      </c>
      <c r="N235" s="7">
        <f t="shared" si="96"/>
        <v>2.183333330322057</v>
      </c>
      <c r="O235" s="7"/>
      <c r="P235" s="7"/>
      <c r="Q235" s="22"/>
      <c r="R235" s="22"/>
      <c r="S235" s="31">
        <f t="shared" si="94"/>
        <v>0</v>
      </c>
      <c r="T235" s="46" t="e">
        <f t="shared" si="83"/>
        <v>#VALUE!</v>
      </c>
      <c r="U235" s="19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2" t="str">
        <f t="shared" si="84"/>
        <v>https://d0f6bd738d7f1b3e5a7ca70fe4ff75f0.us-east-1.aws.found.io/app/kibana#/discover/Steve-Slow-Train-Analysis-(2080s-and-2083s)?_g=(refreshInterval:(display:Off,pause:!f,section:0,value:0),time:(from:'2017-04-21T16:09:48-0600',mode:absolute,to:'2017-04-21T18:14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5" s="193" t="str">
        <f t="shared" si="85"/>
        <v>Y</v>
      </c>
      <c r="X235" s="193" t="e">
        <f t="shared" si="95"/>
        <v>#VALUE!</v>
      </c>
      <c r="Y235" s="193">
        <f t="shared" si="86"/>
        <v>0.3488</v>
      </c>
      <c r="Z235" s="62">
        <f t="shared" si="87"/>
        <v>1.3599999999999999E-2</v>
      </c>
      <c r="AA235" s="62">
        <f t="shared" si="88"/>
        <v>0.3352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9"/>
        <v>55-21</v>
      </c>
      <c r="AE235" s="85" t="str">
        <f t="shared" si="90"/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AF235" s="82" t="str">
        <f t="shared" si="91"/>
        <v>"C:\Program Files (x86)\AstroGrep\AstroGrep.exe" /e /r /s /spath="%USERPROFILE%\AppData\Local\Temp\OnboardLogs" /stypes="app*4031*20170421*" /stext=" 23:.+((SYSTEM_STATE.+slice.+state.+changed )|(ment ac)|(multiple cpu faults)|(system.+state.+changed )|(\[timeout)|(PRM\|1\|D)|(kpr)|(kdp)|(\|lc)|(penalty))"</v>
      </c>
      <c r="AG235" s="1" t="str">
        <f t="shared" si="92"/>
        <v>Other</v>
      </c>
      <c r="AH235" s="86" t="str">
        <f t="shared" si="77"/>
        <v>"%USERPROFILE%\Documents\GitHub\eaglep3\Utilities\RefineRTDCRunTimes.py" --tripid 55-21 --locoid 4031 --swversion DE.1.0.9.0 --startMP 204:3488 --initTime 2017-04-21T17:09:48 --startdatetime 2017-04-21T17:12:28 --delay 1 --endMP 204:136 --enddatetime 2017-04-21T17:14:39 --enforcementcount 1 &gt;&gt;C:\Users\stu\Documents\GitHub\eaglep3-reporting\EC\2017-04-21-refined-times.txt</v>
      </c>
      <c r="AI235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{"issue":{"subject":"","project_id":79,"tracker_id":40,"status_id":1,"priority_id":2,"assigned_to_id":23,"start_date":"2017-04-21","description":"","custom_fields":[{"id":1,"name":"Subdivision","value":"Other"},{"id":4,"name":"Milepost","value":"0.0136"},{"id":17,"name":"Train ID","value":"55-21"},{"id":16,"name":"Locomotive ID","value":"4031"},{"id":130,"name":"Impact","value":""},{"id":150,"name":"Time of Event (Mountain Time)","value":"17:14:39"},{"id":151,"name":"Denver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47" t="str">
        <f t="shared" si="79"/>
        <v>start /low /b %USERPROFILE%\Documents\GitHub\eaglep3\Utilities\DownloadLogsFromS3.py --loco 4031 --day 2017-04-21</v>
      </c>
      <c r="AN235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23:14:39"},{"id":29,"name":"Sharepoint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766</v>
      </c>
      <c r="B236" s="7">
        <v>4032</v>
      </c>
      <c r="C236" s="21" t="s">
        <v>212</v>
      </c>
      <c r="D236" s="21" t="s">
        <v>574</v>
      </c>
      <c r="E236" s="13">
        <v>42846.703738425924</v>
      </c>
      <c r="F236" s="13">
        <v>42846.716990740744</v>
      </c>
      <c r="G236" s="7">
        <v>1</v>
      </c>
      <c r="H236" s="21" t="s">
        <v>944</v>
      </c>
      <c r="I236" s="13">
        <v>42846.718506944446</v>
      </c>
      <c r="J236" s="7">
        <v>1</v>
      </c>
      <c r="K236" s="97" t="str">
        <f t="shared" si="81"/>
        <v>4031/4032</v>
      </c>
      <c r="L236" s="21" t="str">
        <f>VLOOKUP(A236,'Trips&amp;Operators'!$C$1:$G$99999,5,FALSE)</f>
        <v>DELGADO DIANAH</v>
      </c>
      <c r="M236" s="6">
        <f t="shared" si="82"/>
        <v>1.5162037016125396E-3</v>
      </c>
      <c r="N236" s="7">
        <f t="shared" si="96"/>
        <v>2.183333330322057</v>
      </c>
      <c r="O236" s="7"/>
      <c r="P236" s="7"/>
      <c r="Q236" s="22"/>
      <c r="R236" s="22"/>
      <c r="S236" s="31">
        <f t="shared" si="94"/>
        <v>0</v>
      </c>
      <c r="T236" s="46" t="e">
        <f t="shared" si="83"/>
        <v>#VALUE!</v>
      </c>
      <c r="U236" s="19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2" t="str">
        <f t="shared" si="84"/>
        <v>https://d0f6bd738d7f1b3e5a7ca70fe4ff75f0.us-east-1.aws.found.io/app/kibana#/discover/Steve-Slow-Train-Analysis-(2080s-and-2083s)?_g=(refreshInterval:(display:Off,pause:!f,section:0,value:0),time:(from:'2017-04-21T15:53:23-0600',mode:absolute,to:'2017-04-21T18:14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6" s="193" t="str">
        <f t="shared" si="85"/>
        <v>Y</v>
      </c>
      <c r="X236" s="193" t="e">
        <f t="shared" si="95"/>
        <v>#VALUE!</v>
      </c>
      <c r="Y236" s="193">
        <f t="shared" si="86"/>
        <v>0.1477</v>
      </c>
      <c r="Z236" s="62">
        <f t="shared" si="87"/>
        <v>0.37909999999999999</v>
      </c>
      <c r="AA236" s="62">
        <f t="shared" si="88"/>
        <v>0.23139999999999999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9"/>
        <v>55-21</v>
      </c>
      <c r="AE236" s="85" t="str">
        <f t="shared" si="90"/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AF236" s="82" t="str">
        <f t="shared" si="91"/>
        <v>"C:\Program Files (x86)\AstroGrep\AstroGrep.exe" /e /r /s /spath="%USERPROFILE%\AppData\Local\Temp\OnboardLogs" /stypes="app*4032*20170421*" /stext=" 23:.+((SYSTEM_STATE.+slice.+state.+changed )|(ment ac)|(multiple cpu faults)|(system.+state.+changed )|(\[timeout)|(PRM\|1\|D)|(kpr)|(kdp)|(\|lc)|(penalty))"</v>
      </c>
      <c r="AG236" s="1" t="str">
        <f t="shared" si="92"/>
        <v>Other</v>
      </c>
      <c r="AH236" s="86" t="str">
        <f t="shared" si="77"/>
        <v>"%USERPROFILE%\Documents\GitHub\eaglep3\Utilities\RefineRTDCRunTimes.py" --tripid 55-21 --locoid 4032 --swversion DE.1.0.9.0 --startMP 204:1477 --initTime 2017-04-21T16:53:23 --startdatetime 2017-04-21T17:12:28 --delay 1 --endMP 204:3791 --enddatetime 2017-04-21T17:14:39 --enforcementcount 1 &gt;&gt;C:\Users\stu\Documents\GitHub\eaglep3-reporting\EC\2017-04-21-refined-times.txt</v>
      </c>
      <c r="AI236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{"issue":{"subject":"","project_id":79,"tracker_id":40,"status_id":1,"priority_id":2,"assigned_to_id":23,"start_date":"2017-04-21","description":"","custom_fields":[{"id":1,"name":"Subdivision","value":"Other"},{"id":4,"name":"Milepost","value":"0.3791"},{"id":17,"name":"Train ID","value":"55-21"},{"id":16,"name":"Locomotive ID","value":"4032"},{"id":130,"name":"Impact","value":""},{"id":150,"name":"Time of Event (Mountain Time)","value":"17:14:39"},{"id":151,"name":"Denver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47" t="str">
        <f t="shared" si="79"/>
        <v>start /low /b %USERPROFILE%\Documents\GitHub\eaglep3\Utilities\DownloadLogsFromS3.py --loco 4032 --day 2017-04-21</v>
      </c>
      <c r="AN236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23:14:39"},{"id":29,"name":"Sharepoint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780</v>
      </c>
      <c r="B237" s="7">
        <v>4014</v>
      </c>
      <c r="C237" s="21" t="s">
        <v>212</v>
      </c>
      <c r="D237" s="21" t="s">
        <v>945</v>
      </c>
      <c r="E237" s="13">
        <v>42846.735335648147</v>
      </c>
      <c r="F237" s="13">
        <v>42846.73715277778</v>
      </c>
      <c r="G237" s="7">
        <v>1</v>
      </c>
      <c r="H237" s="21" t="s">
        <v>946</v>
      </c>
      <c r="I237" s="13">
        <v>42846.742476851854</v>
      </c>
      <c r="J237" s="7">
        <v>1</v>
      </c>
      <c r="K237" s="97" t="str">
        <f t="shared" si="81"/>
        <v>4013/4014</v>
      </c>
      <c r="L237" s="21" t="str">
        <f>VLOOKUP(A237,'Trips&amp;Operators'!$C$1:$G$99999,5,FALSE)</f>
        <v>BRANDNER MELINDA</v>
      </c>
      <c r="M237" s="6">
        <f t="shared" si="82"/>
        <v>5.324074074451346E-3</v>
      </c>
      <c r="N237" s="7">
        <f t="shared" si="96"/>
        <v>7.6666666672099382</v>
      </c>
      <c r="O237" s="7"/>
      <c r="P237" s="7"/>
      <c r="Q237" s="22"/>
      <c r="R237" s="22"/>
      <c r="S237" s="31">
        <f t="shared" si="94"/>
        <v>0</v>
      </c>
      <c r="T237" s="46" t="e">
        <f t="shared" si="83"/>
        <v>#VALUE!</v>
      </c>
      <c r="U237" s="19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2" t="str">
        <f t="shared" si="84"/>
        <v>https://d0f6bd738d7f1b3e5a7ca70fe4ff75f0.us-east-1.aws.found.io/app/kibana#/discover/Steve-Slow-Train-Analysis-(2080s-and-2083s)?_g=(refreshInterval:(display:Off,pause:!f,section:0,value:0),time:(from:'2017-04-21T16:38:53-0600',mode:absolute,to:'2017-04-21T18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7" s="193" t="str">
        <f t="shared" si="85"/>
        <v>Y</v>
      </c>
      <c r="X237" s="193" t="e">
        <f t="shared" si="95"/>
        <v>#VALUE!</v>
      </c>
      <c r="Y237" s="193">
        <f t="shared" si="86"/>
        <v>0.1158</v>
      </c>
      <c r="Z237" s="62">
        <f t="shared" si="87"/>
        <v>2.3029999999999999</v>
      </c>
      <c r="AA237" s="62">
        <f t="shared" si="88"/>
        <v>2.1871999999999998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9"/>
        <v>59-21</v>
      </c>
      <c r="AE237" s="85" t="str">
        <f t="shared" si="90"/>
        <v>aws s3 cp s3://rtdc.mdm.uploadarchive.raw/RTDC4014/ "%USERPROFILE%\AppData\Local\Temp\OnboardLogs"\RTDC4014\2017-04-21 --exclude "*" --recursive --include "*20170421*" &amp; "%USERPROFILE%\Documents\GitHub\mrs-test-scripts\Headless Mode &amp; Sideloading\WalkAndUnGZ.bat" "%USERPROFILE%\AppData\Local\Temp\OnboardLogs"\RTDC4014\2017-04-21 &amp; 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</v>
      </c>
      <c r="AF237" s="82" t="str">
        <f t="shared" si="91"/>
        <v>"C:\Program Files (x86)\AstroGrep\AstroGrep.exe" /e /r /s /spath="%USERPROFILE%\AppData\Local\Temp\OnboardLogs" /stypes="app*4014*20170421*" /stext=" 23:.+((SYSTEM_STATE.+slice.+state.+changed )|(ment ac)|(multiple cpu faults)|(system.+state.+changed )|(\[timeout)|(PRM\|1\|D)|(kpr)|(kdp)|(\|lc)|(penalty))"</v>
      </c>
      <c r="AG237" s="1" t="str">
        <f t="shared" si="92"/>
        <v>Other</v>
      </c>
      <c r="AH237" s="86" t="str">
        <f t="shared" si="77"/>
        <v>"%USERPROFILE%\Documents\GitHub\eaglep3\Utilities\RefineRTDCRunTimes.py" --tripid 59-21 --locoid 4014 --swversion DE.1.0.9.0 --startMP 204:1158 --initTime 2017-04-21T17:38:53 --startdatetime 2017-04-21T17:41:30 --delay 1 --endMP 300:23030 --enddatetime 2017-04-21T17:49:10 --enforcementcount 1 &gt;&gt;C:\Users\stu\Documents\GitHub\eaglep3-reporting\EC\2017-04-21-refined-times.txt</v>
      </c>
      <c r="AI237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{"issue":{"subject":"","project_id":79,"tracker_id":40,"status_id":1,"priority_id":2,"assigned_to_id":23,"start_date":"2017-04-21","description":"","custom_fields":[{"id":1,"name":"Subdivision","value":"Other"},{"id":4,"name":"Milepost","value":"2.303"},{"id":17,"name":"Train ID","value":"59-21"},{"id":16,"name":"Locomotive ID","value":"4014"},{"id":130,"name":"Impact","value":""},{"id":150,"name":"Time of Event (Mountain Time)","value":"17:49:10"},{"id":151,"name":"Denver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47" t="str">
        <f t="shared" si="79"/>
        <v>start /low /b %USERPROFILE%\Documents\GitHub\eaglep3\Utilities\DownloadLogsFromS3.py --loco 4014 --day 2017-04-21</v>
      </c>
      <c r="AN237" s="156" t="str">
        <f t="shared" si="80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23:49:10"},{"id":29,"name":"Sharepoint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783</v>
      </c>
      <c r="B238" s="7">
        <v>4007</v>
      </c>
      <c r="C238" s="21" t="s">
        <v>212</v>
      </c>
      <c r="D238" s="21" t="s">
        <v>947</v>
      </c>
      <c r="E238" s="13">
        <v>42846.738240740742</v>
      </c>
      <c r="F238" s="13">
        <v>42846.746759259258</v>
      </c>
      <c r="G238" s="7">
        <v>12</v>
      </c>
      <c r="H238" s="21" t="s">
        <v>583</v>
      </c>
      <c r="I238" s="13">
        <v>42846.754988425928</v>
      </c>
      <c r="J238" s="7">
        <v>1</v>
      </c>
      <c r="K238" s="97" t="str">
        <f t="shared" si="81"/>
        <v>4007/4008</v>
      </c>
      <c r="L238" s="21" t="str">
        <f>VLOOKUP(A238,'Trips&amp;Operators'!$C$1:$G$99999,5,FALSE)</f>
        <v>SAFIEF AEIMEN</v>
      </c>
      <c r="M238" s="6">
        <f t="shared" si="82"/>
        <v>8.2291666694800369E-3</v>
      </c>
      <c r="N238" s="7">
        <f t="shared" si="96"/>
        <v>11.850000004051253</v>
      </c>
      <c r="O238" s="7"/>
      <c r="P238" s="7"/>
      <c r="Q238" s="22"/>
      <c r="R238" s="22"/>
      <c r="S238" s="31">
        <f t="shared" si="94"/>
        <v>0</v>
      </c>
      <c r="T238" s="46" t="e">
        <f t="shared" si="83"/>
        <v>#VALUE!</v>
      </c>
      <c r="U238" s="19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2" t="str">
        <f t="shared" si="84"/>
        <v>https://d0f6bd738d7f1b3e5a7ca70fe4ff75f0.us-east-1.aws.found.io/app/kibana#/discover/Steve-Slow-Train-Analysis-(2080s-and-2083s)?_g=(refreshInterval:(display:Off,pause:!f,section:0,value:0),time:(from:'2017-04-21T16:43:04-0600',mode:absolute,to:'2017-04-21T19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8" s="193" t="str">
        <f t="shared" si="85"/>
        <v>Y</v>
      </c>
      <c r="X238" s="193" t="e">
        <f t="shared" si="95"/>
        <v>#VALUE!</v>
      </c>
      <c r="Y238" s="193">
        <f t="shared" si="86"/>
        <v>2.3552</v>
      </c>
      <c r="Z238" s="62">
        <f t="shared" si="87"/>
        <v>9.69E-2</v>
      </c>
      <c r="AA238" s="62">
        <f t="shared" si="88"/>
        <v>2.2582999999999998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9"/>
        <v>70-21</v>
      </c>
      <c r="AE238" s="85" t="str">
        <f t="shared" si="90"/>
        <v>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 &amp; aws s3 cp s3://rtdc.mdm.uploadarchive.raw/RTDC4007/ "%USERPROFILE%\AppData\Local\Temp\OnboardLogs"\RTDC4007\2017-04-22 --exclude "*" --recursive --include "*20170422*" &amp; "%USERPROFILE%\Documents\GitHub\mrs-test-scripts\Headless Mode &amp; Sideloading\WalkAndUnGZ.bat" "%USERPROFILE%\AppData\Local\Temp\OnboardLogs"\RTDC4007\2017-04-22</v>
      </c>
      <c r="AF238" s="82" t="str">
        <f t="shared" si="91"/>
        <v>"C:\Program Files (x86)\AstroGrep\AstroGrep.exe" /e /r /s /spath="%USERPROFILE%\AppData\Local\Temp\OnboardLogs" /stypes="app*4007*20170422*" /stext=" 00:.+((SYSTEM_STATE.+slice.+state.+changed )|(ment ac)|(multiple cpu faults)|(system.+state.+changed )|(\[timeout)|(PRM\|1\|D)|(kpr)|(kdp)|(\|lc)|(penalty))"</v>
      </c>
      <c r="AG238" s="1" t="str">
        <f t="shared" si="92"/>
        <v>Other</v>
      </c>
      <c r="AH238" s="86" t="str">
        <f t="shared" si="77"/>
        <v>"%USERPROFILE%\Documents\GitHub\eaglep3\Utilities\RefineRTDCRunTimes.py" --tripid 70-21 --locoid 4007 --swversion DE.1.0.9.0 --startMP 300:23552 --initTime 2017-04-21T17:43:04 --startdatetime 2017-04-21T17:55:20 --delay 12 --endMP 204:969 --enddatetime 2017-04-21T18:07:11 --enforcementcount 1 &gt;&gt;C:\Users\stu\Documents\GitHub\eaglep3-reporting\EC\2017-04-21-refined-times.txt</v>
      </c>
      <c r="AI238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{"issue":{"subject":"","project_id":79,"tracker_id":40,"status_id":1,"priority_id":2,"assigned_to_id":23,"start_date":"2017-04-21","description":"","custom_fields":[{"id":1,"name":"Subdivision","value":"Other"},{"id":4,"name":"Milepost","value":"0.0969"},{"id":17,"name":"Train ID","value":"70-21"},{"id":16,"name":"Locomotive ID","value":"4007"},{"id":130,"name":"Impact","value":""},{"id":150,"name":"Time of Event (Mountain Time)","value":"18:07:11"},{"id":151,"name":"Denver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47" t="str">
        <f t="shared" si="79"/>
        <v>start /low /b %USERPROFILE%\Documents\GitHub\eaglep3\Utilities\DownloadLogsFromS3.py --loco 4007 --day 2017-04-21</v>
      </c>
      <c r="AN238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626</v>
      </c>
      <c r="B239" s="7">
        <v>4027</v>
      </c>
      <c r="C239" s="21" t="s">
        <v>212</v>
      </c>
      <c r="D239" s="21" t="s">
        <v>948</v>
      </c>
      <c r="E239" s="13">
        <v>42846.894212962965</v>
      </c>
      <c r="F239" s="13">
        <v>42846.902453703704</v>
      </c>
      <c r="G239" s="7">
        <v>1</v>
      </c>
      <c r="H239" s="21" t="s">
        <v>949</v>
      </c>
      <c r="I239" s="13">
        <v>42846.907557870371</v>
      </c>
      <c r="J239" s="7">
        <v>1</v>
      </c>
      <c r="K239" s="97" t="str">
        <f t="shared" si="81"/>
        <v>4027/4028</v>
      </c>
      <c r="L239" s="21" t="str">
        <f>VLOOKUP(A239,'Trips&amp;Operators'!$C$1:$G$99999,5,FALSE)</f>
        <v>DUNCAN SHEILA</v>
      </c>
      <c r="M239" s="6">
        <f t="shared" si="82"/>
        <v>5.1041666665696539E-3</v>
      </c>
      <c r="N239" s="7">
        <f t="shared" si="96"/>
        <v>7.3499999998603016</v>
      </c>
      <c r="O239" s="7"/>
      <c r="P239" s="7"/>
      <c r="Q239" s="22"/>
      <c r="R239" s="22"/>
      <c r="S239" s="31">
        <f t="shared" si="94"/>
        <v>0</v>
      </c>
      <c r="T239" s="46" t="e">
        <f t="shared" si="83"/>
        <v>#VALUE!</v>
      </c>
      <c r="U239" s="19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2" t="str">
        <f t="shared" si="84"/>
        <v>https://d0f6bd738d7f1b3e5a7ca70fe4ff75f0.us-east-1.aws.found.io/app/kibana#/discover/Steve-Slow-Train-Analysis-(2080s-and-2083s)?_g=(refreshInterval:(display:Off,pause:!f,section:0,value:0),time:(from:'2017-04-21T20:27:40-0600',mode:absolute,to:'2017-04-21T22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9" s="193" t="str">
        <f t="shared" si="85"/>
        <v>Y</v>
      </c>
      <c r="X239" s="193" t="e">
        <f t="shared" si="95"/>
        <v>#VALUE!</v>
      </c>
      <c r="Y239" s="193">
        <f t="shared" si="86"/>
        <v>23.235099999999999</v>
      </c>
      <c r="Z239" s="62">
        <f t="shared" si="87"/>
        <v>18.950299999999999</v>
      </c>
      <c r="AA239" s="62">
        <f t="shared" si="88"/>
        <v>4.2848000000000006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9"/>
        <v>80-21</v>
      </c>
      <c r="AE239" s="85" t="str">
        <f t="shared" si="90"/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239" s="82" t="str">
        <f t="shared" si="91"/>
        <v>"C:\Program Files (x86)\AstroGrep\AstroGrep.exe" /e /r /s /spath="%USERPROFILE%\AppData\Local\Temp\OnboardLogs" /stypes="app*4027*20170422*" /stext=" 03:.+((SYSTEM_STATE.+slice.+state.+changed )|(ment ac)|(multiple cpu faults)|(system.+state.+changed )|(\[timeout)|(PRM\|1\|D)|(kpr)|(kdp)|(\|lc)|(penalty))"</v>
      </c>
      <c r="AG239" s="1" t="str">
        <f t="shared" si="92"/>
        <v>Other</v>
      </c>
      <c r="AH239" s="86" t="str">
        <f t="shared" si="77"/>
        <v>"%USERPROFILE%\Documents\GitHub\eaglep3\Utilities\RefineRTDCRunTimes.py" --tripid 80-21 --locoid 4027 --swversion DE.1.0.9.0 --startMP 204:232351 --initTime 2017-04-21T21:27:40 --startdatetime 2017-04-21T21:39:32 --delay 1 --endMP 204:189503 --enddatetime 2017-04-21T21:46:53 --enforcementcount 1 &gt;&gt;C:\Users\stu\Documents\GitHub\eaglep3-reporting\EC\2017-04-21-refined-times.txt</v>
      </c>
      <c r="AI239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{"issue":{"subject":"","project_id":79,"tracker_id":40,"status_id":1,"priority_id":2,"assigned_to_id":23,"start_date":"2017-04-21","description":"","custom_fields":[{"id":1,"name":"Subdivision","value":"Other"},{"id":4,"name":"Milepost","value":"18.9503"},{"id":17,"name":"Train ID","value":"80-21"},{"id":16,"name":"Locomotive ID","value":"4027"},{"id":130,"name":"Impact","value":""},{"id":150,"name":"Time of Event (Mountain Time)","value":"21:46:53"},{"id":151,"name":"Denver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47" t="str">
        <f t="shared" si="79"/>
        <v>start /low /b %USERPROFILE%\Documents\GitHub\eaglep3\Utilities\DownloadLogsFromS3.py --loco 4027 --day 2017-04-21</v>
      </c>
      <c r="AN239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03:46:53"},{"id":29,"name":"Sharepoint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626</v>
      </c>
      <c r="B240" s="7">
        <v>4027</v>
      </c>
      <c r="C240" s="21" t="s">
        <v>212</v>
      </c>
      <c r="D240" s="21" t="s">
        <v>950</v>
      </c>
      <c r="E240" s="13">
        <v>42846.868645833332</v>
      </c>
      <c r="F240" s="13">
        <v>42846.902453703704</v>
      </c>
      <c r="G240" s="7">
        <v>2</v>
      </c>
      <c r="H240" s="21" t="s">
        <v>951</v>
      </c>
      <c r="I240" s="13">
        <v>42846.907557870371</v>
      </c>
      <c r="J240" s="7">
        <v>1</v>
      </c>
      <c r="K240" s="97" t="str">
        <f t="shared" si="81"/>
        <v>4027/4028</v>
      </c>
      <c r="L240" s="21" t="str">
        <f>VLOOKUP(A240,'Trips&amp;Operators'!$C$1:$G$99999,5,FALSE)</f>
        <v>DUNCAN SHEILA</v>
      </c>
      <c r="M240" s="6">
        <f t="shared" si="82"/>
        <v>5.1041666665696539E-3</v>
      </c>
      <c r="N240" s="7">
        <f t="shared" si="96"/>
        <v>7.3499999998603016</v>
      </c>
      <c r="O240" s="7"/>
      <c r="P240" s="7"/>
      <c r="Q240" s="22"/>
      <c r="R240" s="22"/>
      <c r="S240" s="31">
        <f t="shared" si="94"/>
        <v>0</v>
      </c>
      <c r="T240" s="46" t="e">
        <f t="shared" si="83"/>
        <v>#VALUE!</v>
      </c>
      <c r="U240" s="19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2" t="str">
        <f t="shared" si="84"/>
        <v>https://d0f6bd738d7f1b3e5a7ca70fe4ff75f0.us-east-1.aws.found.io/app/kibana#/discover/Steve-Slow-Train-Analysis-(2080s-and-2083s)?_g=(refreshInterval:(display:Off,pause:!f,section:0,value:0),time:(from:'2017-04-21T19:50:51-0600',mode:absolute,to:'2017-04-21T22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0" s="193" t="str">
        <f t="shared" si="85"/>
        <v>Y</v>
      </c>
      <c r="X240" s="193" t="e">
        <f t="shared" si="95"/>
        <v>#VALUE!</v>
      </c>
      <c r="Y240" s="193">
        <f t="shared" si="86"/>
        <v>23.2669</v>
      </c>
      <c r="Z240" s="62">
        <f t="shared" si="87"/>
        <v>18.873899999999999</v>
      </c>
      <c r="AA240" s="62">
        <f t="shared" si="88"/>
        <v>4.3930000000000007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9"/>
        <v>80-21</v>
      </c>
      <c r="AE240" s="85" t="str">
        <f t="shared" si="90"/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240" s="82" t="str">
        <f t="shared" si="91"/>
        <v>"C:\Program Files (x86)\AstroGrep\AstroGrep.exe" /e /r /s /spath="%USERPROFILE%\AppData\Local\Temp\OnboardLogs" /stypes="app*4027*20170422*" /stext=" 03:.+((SYSTEM_STATE.+slice.+state.+changed )|(ment ac)|(multiple cpu faults)|(system.+state.+changed )|(\[timeout)|(PRM\|1\|D)|(kpr)|(kdp)|(\|lc)|(penalty))"</v>
      </c>
      <c r="AG240" s="1" t="str">
        <f t="shared" si="92"/>
        <v>Other</v>
      </c>
      <c r="AH240" s="86" t="str">
        <f t="shared" si="77"/>
        <v>"%USERPROFILE%\Documents\GitHub\eaglep3\Utilities\RefineRTDCRunTimes.py" --tripid 80-21 --locoid 4027 --swversion DE.1.0.9.0 --startMP 204:232669 --initTime 2017-04-21T20:50:51 --startdatetime 2017-04-21T21:39:32 --delay 2 --endMP 204:188739 --enddatetime 2017-04-21T21:46:53 --enforcementcount 1 &gt;&gt;C:\Users\stu\Documents\GitHub\eaglep3-reporting\EC\2017-04-21-refined-times.txt</v>
      </c>
      <c r="AI240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{"issue":{"subject":"","project_id":79,"tracker_id":40,"status_id":1,"priority_id":2,"assigned_to_id":23,"start_date":"2017-04-21","description":"","custom_fields":[{"id":1,"name":"Subdivision","value":"Other"},{"id":4,"name":"Milepost","value":"18.8739"},{"id":17,"name":"Train ID","value":"80-21"},{"id":16,"name":"Locomotive ID","value":"4027"},{"id":130,"name":"Impact","value":""},{"id":150,"name":"Time of Event (Mountain Time)","value":"21:46:53"},{"id":151,"name":"Denver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47" t="str">
        <f t="shared" si="79"/>
        <v>start /low /b %USERPROFILE%\Documents\GitHub\eaglep3\Utilities\DownloadLogsFromS3.py --loco 4027 --day 2017-04-21</v>
      </c>
      <c r="AN240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03:46:53"},{"id":29,"name":"Sharepoint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626</v>
      </c>
      <c r="B241" s="7">
        <v>4027</v>
      </c>
      <c r="C241" s="21" t="s">
        <v>212</v>
      </c>
      <c r="D241" s="21" t="s">
        <v>952</v>
      </c>
      <c r="E241" s="13">
        <v>42846.950312499997</v>
      </c>
      <c r="F241" s="13">
        <v>42846.998067129629</v>
      </c>
      <c r="G241" s="7">
        <v>1</v>
      </c>
      <c r="H241" s="21">
        <v>8.5222222222222221</v>
      </c>
      <c r="I241" s="13">
        <v>42847.005023148151</v>
      </c>
      <c r="J241" s="7">
        <v>1</v>
      </c>
      <c r="K241" s="97" t="str">
        <f t="shared" si="81"/>
        <v>4027/4028</v>
      </c>
      <c r="L241" s="21" t="str">
        <f>VLOOKUP(A241,'Trips&amp;Operators'!$C$1:$G$99999,5,FALSE)</f>
        <v>DUNCAN SHEILA</v>
      </c>
      <c r="M241" s="6">
        <f t="shared" si="82"/>
        <v>6.9560185220325366E-3</v>
      </c>
      <c r="N241" s="7">
        <f t="shared" si="96"/>
        <v>10.016666671726853</v>
      </c>
      <c r="O241" s="7"/>
      <c r="P241" s="7"/>
      <c r="Q241" s="22"/>
      <c r="R241" s="22"/>
      <c r="S241" s="31">
        <f t="shared" si="94"/>
        <v>0</v>
      </c>
      <c r="T241" s="46" t="e">
        <f t="shared" si="83"/>
        <v>#VALUE!</v>
      </c>
      <c r="U241" s="19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2" t="str">
        <f t="shared" si="84"/>
        <v>https://d0f6bd738d7f1b3e5a7ca70fe4ff75f0.us-east-1.aws.found.io/app/kibana#/discover/Steve-Slow-Train-Analysis-(2080s-and-2083s)?_g=(refreshInterval:(display:Off,pause:!f,section:0,value:0),time:(from:'2017-04-21T21:48:27-0600',mode:absolute,to:'2017-04-22T01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1" s="193" t="str">
        <f t="shared" si="85"/>
        <v>N</v>
      </c>
      <c r="X241" s="193" t="e">
        <f t="shared" si="95"/>
        <v>#VALUE!</v>
      </c>
      <c r="Y241" s="193">
        <f t="shared" si="86"/>
        <v>23.309899999999999</v>
      </c>
      <c r="Z241" s="62">
        <f t="shared" si="87"/>
        <v>22222222.222199999</v>
      </c>
      <c r="AA241" s="62">
        <f t="shared" si="88"/>
        <v>22222198.912299998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9"/>
        <v>80-21</v>
      </c>
      <c r="AE241" s="85" t="str">
        <f t="shared" si="90"/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241" s="82" t="str">
        <f t="shared" si="91"/>
        <v>"C:\Program Files (x86)\AstroGrep\AstroGrep.exe" /e /r /s /spath="%USERPROFILE%\AppData\Local\Temp\OnboardLogs" /stypes="app*4027*20170422*" /stext=" 06:.+((SYSTEM_STATE.+slice.+state.+changed )|(ment ac)|(multiple cpu faults)|(system.+state.+changed )|(\[timeout)|(PRM\|1\|D)|(kpr)|(kdp)|(\|lc)|(penalty))"</v>
      </c>
      <c r="AG241" s="1" t="str">
        <f t="shared" si="92"/>
        <v>Other</v>
      </c>
      <c r="AH241" s="86" t="str">
        <f t="shared" si="77"/>
        <v>"%USERPROFILE%\Documents\GitHub\eaglep3\Utilities\RefineRTDCRunTimes.py" --tripid 80-21 --locoid 4027 --swversion DE.1.0.9.0 --startMP 204:233099 --initTime 2017-04-21T22:48:27 --startdatetime 2017-04-21T23:57:13 --delay 1 --endMP 8.52222222222222 --enddatetime 2017-04-22T00:07:14 --enforcementcount 1 &gt;&gt;C:\Users\stu\Documents\GitHub\eaglep3-reporting\EC\2017-04-21-refined-times.txt</v>
      </c>
      <c r="AI241" s="104" t="str">
        <f t="shared" si="78"/>
        <v>echo {"issue":{"subject":"","project_id":79,"tracker_id":40,"status_id":1,"priority_id":2,"assigned_to_id":23,"start_date":"2017-04-22","description":"","custom_fields":[{"id":1,"name":"Subdivision","value":"Other"},{"id":4,"name":"Milepost","value":"22222222.2222"},{"id":17,"name":"Train ID","value":"80-21"},{"id":16,"name":"Locomotive ID","value":"4027"},{"id":130,"name":"Impact","value":""},{"id":150,"name":"Time of Event (Mountain Time)","value":"00:07:14"},{"id":151,"name":"Denver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47" t="str">
        <f t="shared" si="79"/>
        <v>start /low /b %USERPROFILE%\Documents\GitHub\eaglep3\Utilities\DownloadLogsFromS3.py --loco 4027 --day 2017-04-21</v>
      </c>
      <c r="AN241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626</v>
      </c>
      <c r="B242" s="7">
        <v>4027</v>
      </c>
      <c r="C242" s="21" t="s">
        <v>212</v>
      </c>
      <c r="D242" s="21" t="s">
        <v>953</v>
      </c>
      <c r="E242" s="13">
        <v>42846.820104166669</v>
      </c>
      <c r="F242" s="13">
        <v>42846.822268518517</v>
      </c>
      <c r="G242" s="7">
        <v>3</v>
      </c>
      <c r="H242" s="21" t="s">
        <v>954</v>
      </c>
      <c r="I242" s="13">
        <v>42846.829155092593</v>
      </c>
      <c r="J242" s="7">
        <v>1</v>
      </c>
      <c r="K242" s="97" t="str">
        <f t="shared" si="81"/>
        <v>4027/4028</v>
      </c>
      <c r="L242" s="21" t="str">
        <f>VLOOKUP(A242,'Trips&amp;Operators'!$C$1:$G$99999,5,FALSE)</f>
        <v>DUNCAN SHEILA</v>
      </c>
      <c r="M242" s="6">
        <f t="shared" si="82"/>
        <v>6.8865740759065375E-3</v>
      </c>
      <c r="N242" s="7">
        <f t="shared" si="96"/>
        <v>9.916666669305414</v>
      </c>
      <c r="O242" s="7"/>
      <c r="P242" s="7"/>
      <c r="Q242" s="22"/>
      <c r="R242" s="22"/>
      <c r="S242" s="31">
        <f t="shared" si="94"/>
        <v>0</v>
      </c>
      <c r="T242" s="46" t="e">
        <f t="shared" si="83"/>
        <v>#VALUE!</v>
      </c>
      <c r="U242" s="19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2" t="str">
        <f t="shared" si="84"/>
        <v>https://d0f6bd738d7f1b3e5a7ca70fe4ff75f0.us-east-1.aws.found.io/app/kibana#/discover/Steve-Slow-Train-Analysis-(2080s-and-2083s)?_g=(refreshInterval:(display:Off,pause:!f,section:0,value:0),time:(from:'2017-04-21T18:40:57-0600',mode:absolute,to:'2017-04-21T20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2" s="193" t="str">
        <f t="shared" si="85"/>
        <v>Y</v>
      </c>
      <c r="X242" s="193" t="e">
        <f t="shared" si="95"/>
        <v>#VALUE!</v>
      </c>
      <c r="Y242" s="193">
        <f t="shared" si="86"/>
        <v>2.3534999999999999</v>
      </c>
      <c r="Z242" s="62">
        <f t="shared" si="87"/>
        <v>8.9300000000000004E-2</v>
      </c>
      <c r="AA242" s="62">
        <f t="shared" si="88"/>
        <v>2.2641999999999998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9"/>
        <v>80-21</v>
      </c>
      <c r="AE242" s="85" t="str">
        <f t="shared" si="90"/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242" s="82" t="str">
        <f t="shared" si="91"/>
        <v>"C:\Program Files (x86)\AstroGrep\AstroGrep.exe" /e /r /s /spath="%USERPROFILE%\AppData\Local\Temp\OnboardLogs" /stypes="app*4027*20170422*" /stext=" 01:.+((SYSTEM_STATE.+slice.+state.+changed )|(ment ac)|(multiple cpu faults)|(system.+state.+changed )|(\[timeout)|(PRM\|1\|D)|(kpr)|(kdp)|(\|lc)|(penalty))"</v>
      </c>
      <c r="AG242" s="1" t="str">
        <f t="shared" si="92"/>
        <v>Other</v>
      </c>
      <c r="AH242" s="86" t="str">
        <f t="shared" si="77"/>
        <v>"%USERPROFILE%\Documents\GitHub\eaglep3\Utilities\RefineRTDCRunTimes.py" --tripid 80-21 --locoid 4027 --swversion DE.1.0.9.0 --startMP 300:23535 --initTime 2017-04-21T19:40:57 --startdatetime 2017-04-21T19:44:04 --delay 3 --endMP 204:893 --enddatetime 2017-04-21T19:53:59 --enforcementcount 1 &gt;&gt;C:\Users\stu\Documents\GitHub\eaglep3-reporting\EC\2017-04-21-refined-times.txt</v>
      </c>
      <c r="AI242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{"issue":{"subject":"","project_id":79,"tracker_id":40,"status_id":1,"priority_id":2,"assigned_to_id":23,"start_date":"2017-04-21","description":"","custom_fields":[{"id":1,"name":"Subdivision","value":"Other"},{"id":4,"name":"Milepost","value":"0.0893"},{"id":17,"name":"Train ID","value":"80-21"},{"id":16,"name":"Locomotive ID","value":"4027"},{"id":130,"name":"Impact","value":""},{"id":150,"name":"Time of Event (Mountain Time)","value":"19:53:59"},{"id":151,"name":"Denver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47" t="str">
        <f t="shared" si="79"/>
        <v>start /low /b %USERPROFILE%\Documents\GitHub\eaglep3\Utilities\DownloadLogsFromS3.py --loco 4027 --day 2017-04-21</v>
      </c>
      <c r="AN242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626</v>
      </c>
      <c r="B243" s="7">
        <v>4028</v>
      </c>
      <c r="C243" s="21" t="s">
        <v>212</v>
      </c>
      <c r="D243" s="21" t="s">
        <v>955</v>
      </c>
      <c r="E243" s="13">
        <v>42846.996215277781</v>
      </c>
      <c r="F243" s="13">
        <v>42846.998067129629</v>
      </c>
      <c r="G243" s="7">
        <v>1</v>
      </c>
      <c r="H243" s="21" t="s">
        <v>956</v>
      </c>
      <c r="I243" s="13">
        <v>42847.005023148151</v>
      </c>
      <c r="J243" s="7">
        <v>1</v>
      </c>
      <c r="K243" s="97" t="str">
        <f t="shared" si="81"/>
        <v>4027/4028</v>
      </c>
      <c r="L243" s="21" t="str">
        <f>VLOOKUP(A243,'Trips&amp;Operators'!$C$1:$G$99999,5,FALSE)</f>
        <v>DUNCAN SHEILA</v>
      </c>
      <c r="M243" s="6">
        <f t="shared" si="82"/>
        <v>6.9560185220325366E-3</v>
      </c>
      <c r="N243" s="7">
        <f t="shared" si="96"/>
        <v>10.016666671726853</v>
      </c>
      <c r="O243" s="7"/>
      <c r="P243" s="7"/>
      <c r="Q243" s="22"/>
      <c r="R243" s="22"/>
      <c r="S243" s="31">
        <f t="shared" si="94"/>
        <v>0</v>
      </c>
      <c r="T243" s="46" t="e">
        <f t="shared" si="83"/>
        <v>#VALUE!</v>
      </c>
      <c r="U243" s="19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2" t="str">
        <f t="shared" si="84"/>
        <v>https://d0f6bd738d7f1b3e5a7ca70fe4ff75f0.us-east-1.aws.found.io/app/kibana#/discover/Steve-Slow-Train-Analysis-(2080s-and-2083s)?_g=(refreshInterval:(display:Off,pause:!f,section:0,value:0),time:(from:'2017-04-21T22:54:33-0600',mode:absolute,to:'2017-04-22T01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3" s="193" t="str">
        <f t="shared" si="85"/>
        <v>Y</v>
      </c>
      <c r="X243" s="193" t="e">
        <f t="shared" si="95"/>
        <v>#VALUE!</v>
      </c>
      <c r="Y243" s="193">
        <f t="shared" si="86"/>
        <v>3.4799999999999998E-2</v>
      </c>
      <c r="Z243" s="62">
        <f t="shared" si="87"/>
        <v>2.3308</v>
      </c>
      <c r="AA243" s="62">
        <f t="shared" si="88"/>
        <v>2.2959999999999998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9"/>
        <v>80-21</v>
      </c>
      <c r="AE243" s="85" t="str">
        <f t="shared" si="90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43" s="82" t="str">
        <f t="shared" si="91"/>
        <v>"C:\Program Files (x86)\AstroGrep\AstroGrep.exe" /e /r /s /spath="%USERPROFILE%\AppData\Local\Temp\OnboardLogs" /stypes="app*4028*20170422*" /stext=" 06:.+((SYSTEM_STATE.+slice.+state.+changed )|(ment ac)|(multiple cpu faults)|(system.+state.+changed )|(\[timeout)|(PRM\|1\|D)|(kpr)|(kdp)|(\|lc)|(penalty))"</v>
      </c>
      <c r="AG243" s="1" t="str">
        <f t="shared" si="92"/>
        <v>Other</v>
      </c>
      <c r="AH243" s="86" t="str">
        <f t="shared" si="77"/>
        <v>"%USERPROFILE%\Documents\GitHub\eaglep3\Utilities\RefineRTDCRunTimes.py" --tripid 80-21 --locoid 4028 --swversion DE.1.0.9.0 --startMP 204:348 --initTime 2017-04-21T23:54:33 --startdatetime 2017-04-21T23:57:13 --delay 1 --endMP 300:23308 --enddatetime 2017-04-22T00:07:14 --enforcementcount 1 &gt;&gt;C:\Users\stu\Documents\GitHub\eaglep3-reporting\EC\2017-04-21-refined-times.txt</v>
      </c>
      <c r="AI243" s="104" t="str">
        <f t="shared" si="78"/>
        <v>echo {"issue":{"subject":"","project_id":79,"tracker_id":40,"status_id":1,"priority_id":2,"assigned_to_id":23,"start_date":"2017-04-22","description":"","custom_fields":[{"id":1,"name":"Subdivision","value":"Other"},{"id":4,"name":"Milepost","value":"2.3308"},{"id":17,"name":"Train ID","value":"80-21"},{"id":16,"name":"Locomotive ID","value":"4028"},{"id":130,"name":"Impact","value":""},{"id":150,"name":"Time of Event (Mountain Time)","value":"00:07:14"},{"id":151,"name":"Denver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47" t="str">
        <f t="shared" si="79"/>
        <v>start /low /b %USERPROFILE%\Documents\GitHub\eaglep3\Utilities\DownloadLogsFromS3.py --loco 4028 --day 2017-04-21</v>
      </c>
      <c r="AN243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808</v>
      </c>
      <c r="B244" s="7">
        <v>4028</v>
      </c>
      <c r="C244" s="21" t="s">
        <v>212</v>
      </c>
      <c r="D244" s="21" t="s">
        <v>969</v>
      </c>
      <c r="E244" s="13">
        <v>42846.830358796295</v>
      </c>
      <c r="F244" s="13">
        <v>42846.888078703705</v>
      </c>
      <c r="G244" s="7">
        <v>1</v>
      </c>
      <c r="H244" s="21" t="s">
        <v>851</v>
      </c>
      <c r="I244" s="13">
        <v>42846.893379629626</v>
      </c>
      <c r="J244" s="7">
        <v>1</v>
      </c>
      <c r="K244" s="97" t="str">
        <f t="shared" si="81"/>
        <v>4027/4028</v>
      </c>
      <c r="L244" s="21" t="str">
        <f>VLOOKUP(A244,'Trips&amp;Operators'!$C$1:$G$99999,5,FALSE)</f>
        <v>DUNCAN SHEILA</v>
      </c>
      <c r="M244" s="6">
        <f t="shared" si="82"/>
        <v>5.3009259208920412E-3</v>
      </c>
      <c r="N244" s="7">
        <f t="shared" si="96"/>
        <v>7.6333333260845393</v>
      </c>
      <c r="O244" s="7"/>
      <c r="P244" s="7"/>
      <c r="Q244" s="22"/>
      <c r="R244" s="22"/>
      <c r="S244" s="31">
        <f t="shared" si="94"/>
        <v>0</v>
      </c>
      <c r="T244" s="46" t="e">
        <f t="shared" si="83"/>
        <v>#VALUE!</v>
      </c>
      <c r="U244" s="19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2" t="str">
        <f t="shared" si="84"/>
        <v>https://d0f6bd738d7f1b3e5a7ca70fe4ff75f0.us-east-1.aws.found.io/app/kibana#/discover/Steve-Slow-Train-Analysis-(2080s-and-2083s)?_g=(refreshInterval:(display:Off,pause:!f,section:0,value:0),time:(from:'2017-04-21T18:55:43-0600',mode:absolute,to:'2017-04-21T22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4" s="193" t="str">
        <f t="shared" si="85"/>
        <v>N</v>
      </c>
      <c r="X244" s="193" t="e">
        <f t="shared" si="95"/>
        <v>#VALUE!</v>
      </c>
      <c r="Y244" s="193">
        <f t="shared" si="86"/>
        <v>0.1203</v>
      </c>
      <c r="Z244" s="62">
        <f t="shared" si="87"/>
        <v>23.299600000000002</v>
      </c>
      <c r="AA244" s="62">
        <f t="shared" si="88"/>
        <v>23.179300000000001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9"/>
        <v>81-21</v>
      </c>
      <c r="AE244" s="85" t="str">
        <f t="shared" si="90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44" s="82" t="str">
        <f t="shared" si="91"/>
        <v>"C:\Program Files (x86)\AstroGrep\AstroGrep.exe" /e /r /s /spath="%USERPROFILE%\AppData\Local\Temp\OnboardLogs" /stypes="app*4028*20170422*" /stext=" 03:.+((SYSTEM_STATE.+slice.+state.+changed )|(ment ac)|(multiple cpu faults)|(system.+state.+changed )|(\[timeout)|(PRM\|1\|D)|(kpr)|(kdp)|(\|lc)|(penalty))"</v>
      </c>
      <c r="AG244" s="1" t="str">
        <f t="shared" si="92"/>
        <v>Other</v>
      </c>
      <c r="AH244" s="86" t="str">
        <f t="shared" si="77"/>
        <v>"%USERPROFILE%\Documents\GitHub\eaglep3\Utilities\RefineRTDCRunTimes.py" --tripid 81-21 --locoid 4028 --swversion DE.1.0.9.0 --startMP 204:1203 --initTime 2017-04-21T19:55:43 --startdatetime 2017-04-21T21:18:50 --delay 1 --endMP 204:232996 --enddatetime 2017-04-21T21:26:28 --enforcementcount 1 &gt;&gt;C:\Users\stu\Documents\GitHub\eaglep3-reporting\EC\2017-04-21-refined-times.txt</v>
      </c>
      <c r="AI244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{"issue":{"subject":"","project_id":79,"tracker_id":40,"status_id":1,"priority_id":2,"assigned_to_id":23,"start_date":"2017-04-21","description":"","custom_fields":[{"id":1,"name":"Subdivision","value":"Other"},{"id":4,"name":"Milepost","value":"23.2996"},{"id":17,"name":"Train ID","value":"81-21"},{"id":16,"name":"Locomotive ID","value":"4028"},{"id":130,"name":"Impact","value":""},{"id":150,"name":"Time of Event (Mountain Time)","value":"21:26:28"},{"id":151,"name":"Denver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47" t="str">
        <f t="shared" si="79"/>
        <v>start /low /b %USERPROFILE%\Documents\GitHub\eaglep3\Utilities\DownloadLogsFromS3.py --loco 4028 --day 2017-04-21</v>
      </c>
      <c r="AN244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808</v>
      </c>
      <c r="B245" s="7">
        <v>4028</v>
      </c>
      <c r="C245" s="21" t="s">
        <v>212</v>
      </c>
      <c r="D245" s="21" t="s">
        <v>970</v>
      </c>
      <c r="E245" s="13">
        <v>42846.886805555558</v>
      </c>
      <c r="F245" s="13">
        <v>42846.909456018519</v>
      </c>
      <c r="G245" s="7">
        <v>1</v>
      </c>
      <c r="H245" s="21" t="s">
        <v>971</v>
      </c>
      <c r="I245" s="13">
        <v>42846.914641203701</v>
      </c>
      <c r="J245" s="7">
        <v>1</v>
      </c>
      <c r="K245" s="97" t="str">
        <f t="shared" si="81"/>
        <v>4027/4028</v>
      </c>
      <c r="L245" s="21" t="str">
        <f>VLOOKUP(A245,'Trips&amp;Operators'!$C$1:$G$99999,5,FALSE)</f>
        <v>DUNCAN SHEILA</v>
      </c>
      <c r="M245" s="6">
        <f t="shared" si="82"/>
        <v>5.1851851821993478E-3</v>
      </c>
      <c r="N245" s="7">
        <f t="shared" si="96"/>
        <v>7.4666666623670608</v>
      </c>
      <c r="O245" s="7"/>
      <c r="P245" s="7"/>
      <c r="Q245" s="22"/>
      <c r="R245" s="22"/>
      <c r="S245" s="31">
        <f t="shared" si="94"/>
        <v>0</v>
      </c>
      <c r="T245" s="46" t="e">
        <f t="shared" si="83"/>
        <v>#VALUE!</v>
      </c>
      <c r="U245" s="19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2" t="str">
        <f t="shared" si="84"/>
        <v>https://d0f6bd738d7f1b3e5a7ca70fe4ff75f0.us-east-1.aws.found.io/app/kibana#/discover/Steve-Slow-Train-Analysis-(2080s-and-2083s)?_g=(refreshInterval:(display:Off,pause:!f,section:0,value:0),time:(from:'2017-04-21T20:17:00-0600',mode:absolute,to:'2017-04-21T22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5" s="193" t="str">
        <f t="shared" si="85"/>
        <v>Y</v>
      </c>
      <c r="X245" s="193" t="e">
        <f t="shared" si="95"/>
        <v>#VALUE!</v>
      </c>
      <c r="Y245" s="193">
        <f t="shared" si="86"/>
        <v>18.904800000000002</v>
      </c>
      <c r="Z245" s="62">
        <f t="shared" si="87"/>
        <v>23.2667</v>
      </c>
      <c r="AA245" s="62">
        <f t="shared" si="88"/>
        <v>4.3618999999999986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89"/>
        <v>81-21</v>
      </c>
      <c r="AE245" s="85" t="str">
        <f t="shared" si="90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45" s="82" t="str">
        <f t="shared" si="91"/>
        <v>"C:\Program Files (x86)\AstroGrep\AstroGrep.exe" /e /r /s /spath="%USERPROFILE%\AppData\Local\Temp\OnboardLogs" /stypes="app*4028*20170422*" /stext=" 03:.+((SYSTEM_STATE.+slice.+state.+changed )|(ment ac)|(multiple cpu faults)|(system.+state.+changed )|(\[timeout)|(PRM\|1\|D)|(kpr)|(kdp)|(\|lc)|(penalty))"</v>
      </c>
      <c r="AG245" s="1" t="str">
        <f t="shared" si="92"/>
        <v>Other</v>
      </c>
      <c r="AH245" s="86" t="str">
        <f t="shared" si="77"/>
        <v>"%USERPROFILE%\Documents\GitHub\eaglep3\Utilities\RefineRTDCRunTimes.py" --tripid 81-21 --locoid 4028 --swversion DE.1.0.9.0 --startMP 204:189048 --initTime 2017-04-21T21:17:00 --startdatetime 2017-04-21T21:49:37 --delay 1 --endMP 204:232667 --enddatetime 2017-04-21T21:57:05 --enforcementcount 1 &gt;&gt;C:\Users\stu\Documents\GitHub\eaglep3-reporting\EC\2017-04-21-refined-times.txt</v>
      </c>
      <c r="AI245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{"issue":{"subject":"","project_id":79,"tracker_id":40,"status_id":1,"priority_id":2,"assigned_to_id":23,"start_date":"2017-04-21","description":"","custom_fields":[{"id":1,"name":"Subdivision","value":"Other"},{"id":4,"name":"Milepost","value":"23.2667"},{"id":17,"name":"Train ID","value":"81-21"},{"id":16,"name":"Locomotive ID","value":"4028"},{"id":130,"name":"Impact","value":""},{"id":150,"name":"Time of Event (Mountain Time)","value":"21:57:05"},{"id":151,"name":"Denver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47" t="str">
        <f t="shared" si="79"/>
        <v>start /low /b %USERPROFILE%\Documents\GitHub\eaglep3\Utilities\DownloadLogsFromS3.py --loco 4028 --day 2017-04-21</v>
      </c>
      <c r="AN245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808</v>
      </c>
      <c r="B246" s="7">
        <v>4028</v>
      </c>
      <c r="C246" s="21" t="s">
        <v>212</v>
      </c>
      <c r="D246" s="21" t="s">
        <v>972</v>
      </c>
      <c r="E246" s="13">
        <v>42846.90824074074</v>
      </c>
      <c r="F246" s="13">
        <v>42846.909456018519</v>
      </c>
      <c r="G246" s="7">
        <v>1</v>
      </c>
      <c r="H246" s="21" t="s">
        <v>572</v>
      </c>
      <c r="I246" s="13">
        <v>42846.914641203701</v>
      </c>
      <c r="J246" s="7">
        <v>1</v>
      </c>
      <c r="K246" s="97" t="str">
        <f t="shared" si="81"/>
        <v>4027/4028</v>
      </c>
      <c r="L246" s="21" t="str">
        <f>VLOOKUP(A246,'Trips&amp;Operators'!$C$1:$G$99999,5,FALSE)</f>
        <v>DUNCAN SHEILA</v>
      </c>
      <c r="M246" s="6">
        <f t="shared" si="82"/>
        <v>5.1851851821993478E-3</v>
      </c>
      <c r="N246" s="7">
        <f t="shared" si="96"/>
        <v>7.4666666623670608</v>
      </c>
      <c r="O246" s="7"/>
      <c r="P246" s="7"/>
      <c r="Q246" s="22"/>
      <c r="R246" s="22"/>
      <c r="S246" s="31">
        <f t="shared" si="94"/>
        <v>0</v>
      </c>
      <c r="T246" s="46" t="e">
        <f t="shared" si="83"/>
        <v>#VALUE!</v>
      </c>
      <c r="U246" s="19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2" t="str">
        <f t="shared" si="84"/>
        <v>https://d0f6bd738d7f1b3e5a7ca70fe4ff75f0.us-east-1.aws.found.io/app/kibana#/discover/Steve-Slow-Train-Analysis-(2080s-and-2083s)?_g=(refreshInterval:(display:Off,pause:!f,section:0,value:0),time:(from:'2017-04-21T20:47:52-0600',mode:absolute,to:'2017-04-21T22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6" s="193" t="str">
        <f t="shared" si="85"/>
        <v>Y</v>
      </c>
      <c r="X246" s="193" t="e">
        <f t="shared" si="95"/>
        <v>#VALUE!</v>
      </c>
      <c r="Y246" s="193">
        <f t="shared" si="86"/>
        <v>18.980499999999999</v>
      </c>
      <c r="Z246" s="62">
        <f t="shared" si="87"/>
        <v>23.337399999999999</v>
      </c>
      <c r="AA246" s="62">
        <f t="shared" si="88"/>
        <v>4.3568999999999996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89"/>
        <v>81-21</v>
      </c>
      <c r="AE246" s="85" t="str">
        <f t="shared" si="90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46" s="82" t="str">
        <f t="shared" si="91"/>
        <v>"C:\Program Files (x86)\AstroGrep\AstroGrep.exe" /e /r /s /spath="%USERPROFILE%\AppData\Local\Temp\OnboardLogs" /stypes="app*4028*20170422*" /stext=" 03:.+((SYSTEM_STATE.+slice.+state.+changed )|(ment ac)|(multiple cpu faults)|(system.+state.+changed )|(\[timeout)|(PRM\|1\|D)|(kpr)|(kdp)|(\|lc)|(penalty))"</v>
      </c>
      <c r="AG246" s="1" t="str">
        <f t="shared" si="92"/>
        <v>Other</v>
      </c>
      <c r="AH246" s="86" t="str">
        <f t="shared" si="77"/>
        <v>"%USERPROFILE%\Documents\GitHub\eaglep3\Utilities\RefineRTDCRunTimes.py" --tripid 81-21 --locoid 4028 --swversion DE.1.0.9.0 --startMP 204:189805 --initTime 2017-04-21T21:47:52 --startdatetime 2017-04-21T21:49:37 --delay 1 --endMP 204:233374 --enddatetime 2017-04-21T21:57:05 --enforcementcount 1 &gt;&gt;C:\Users\stu\Documents\GitHub\eaglep3-reporting\EC\2017-04-21-refined-times.txt</v>
      </c>
      <c r="AI246" s="104" t="str">
        <f t="shared" si="78"/>
        <v>echo {"issue":{"subject":"","project_id":79,"tracker_id":40,"status_id":1,"priority_id":2,"assigned_to_id":23,"start_date":"2017-04-21","description":"","custom_fields":[{"id":1,"name":"Subdivision","value":"Other"},{"id":4,"name":"Milepost","value":"23.3374"},{"id":17,"name":"Train ID","value":"81-21"},{"id":16,"name":"Locomotive ID","value":"4028"},{"id":130,"name":"Impact","value":""},{"id":150,"name":"Time of Event (Mountain Time)","value":"21:57:05"},{"id":151,"name":"Denver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47" t="str">
        <f t="shared" si="79"/>
        <v>start /low /b %USERPROFILE%\Documents\GitHub\eaglep3\Utilities\DownloadLogsFromS3.py --loco 4028 --day 2017-04-21</v>
      </c>
      <c r="AN246" s="156" t="str">
        <f t="shared" si="80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03:57:05"},{"id":29,"name":"Sharepoint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 s="174"/>
      <c r="W247" s="174"/>
      <c r="X247" s="174"/>
      <c r="Y247" s="174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 s="174"/>
      <c r="W248" s="174"/>
      <c r="X248" s="174"/>
      <c r="Y248" s="174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 s="174"/>
      <c r="W249" s="174"/>
      <c r="X249" s="174"/>
      <c r="Y249" s="174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 s="174"/>
      <c r="W250" s="174"/>
      <c r="X250" s="174"/>
      <c r="Y250" s="174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 s="174"/>
      <c r="W251" s="174"/>
      <c r="X251" s="174"/>
      <c r="Y251" s="174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 s="174"/>
      <c r="W252" s="174"/>
      <c r="X252" s="174"/>
      <c r="Y252" s="174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 s="174"/>
      <c r="W253" s="174"/>
      <c r="X253" s="174"/>
      <c r="Y253" s="174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 s="174"/>
      <c r="W254" s="174"/>
      <c r="X254" s="174"/>
      <c r="Y254" s="17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 s="174"/>
      <c r="W255" s="174"/>
      <c r="X255" s="174"/>
      <c r="Y255" s="174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 s="174"/>
      <c r="W256" s="174"/>
      <c r="X256" s="174"/>
      <c r="Y256" s="174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 s="174"/>
      <c r="W257" s="174"/>
      <c r="X257" s="174"/>
      <c r="Y257" s="174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 s="174"/>
      <c r="W258" s="174"/>
      <c r="X258" s="174"/>
      <c r="Y258" s="174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 s="174"/>
      <c r="W259" s="174"/>
      <c r="X259" s="174"/>
      <c r="Y259" s="174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 s="174"/>
      <c r="W260" s="174"/>
      <c r="X260" s="174"/>
      <c r="Y260" s="174"/>
      <c r="Z260"/>
      <c r="AA260"/>
      <c r="AB260"/>
      <c r="AC260"/>
      <c r="AD260"/>
      <c r="AE260"/>
      <c r="AF260"/>
      <c r="AH260"/>
      <c r="AI260"/>
      <c r="AM260"/>
    </row>
  </sheetData>
  <autoFilter ref="A12:AG254">
    <sortState ref="A13:AG256">
      <sortCondition ref="AG13:AG248"/>
      <sortCondition ref="AD13:AD248"/>
    </sortState>
  </autoFilter>
  <sortState ref="A13:AH200">
    <sortCondition ref="AG13:AG200"/>
    <sortCondition ref="AD13:AD200"/>
  </sortState>
  <mergeCells count="1">
    <mergeCell ref="A11:P11"/>
  </mergeCells>
  <conditionalFormatting sqref="W11:W12 W261:X1048576 W13:X246">
    <cfRule type="cellIs" dxfId="10" priority="374" operator="equal">
      <formula>"Y"</formula>
    </cfRule>
  </conditionalFormatting>
  <conditionalFormatting sqref="X261:X1048576 X13:X246">
    <cfRule type="cellIs" dxfId="9" priority="357" operator="greaterThan">
      <formula>1</formula>
    </cfRule>
  </conditionalFormatting>
  <conditionalFormatting sqref="X261:X1048576 X12:X246">
    <cfRule type="cellIs" dxfId="8" priority="354" operator="equal">
      <formula>0</formula>
    </cfRule>
  </conditionalFormatting>
  <conditionalFormatting sqref="A13:S246">
    <cfRule type="expression" dxfId="7" priority="348" stopIfTrue="1">
      <formula>$P13&gt;0</formula>
    </cfRule>
    <cfRule type="expression" dxfId="6" priority="349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3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G14" sqref="G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21" customWidth="1"/>
    <col min="5" max="5" width="17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7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16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47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74"/>
      <c r="P1" s="121"/>
      <c r="R1" s="83"/>
      <c r="S1" s="90"/>
      <c r="T1" s="80"/>
      <c r="V1" s="44"/>
      <c r="Z1" s="166"/>
      <c r="AC1" s="123"/>
      <c r="AE1" s="147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95">
        <f>COUNTIF($O$7:$O$294,"=Y")</f>
        <v>2</v>
      </c>
      <c r="P2" s="118"/>
      <c r="R2" s="83"/>
      <c r="S2" s="90"/>
      <c r="T2" s="80"/>
      <c r="V2" s="44"/>
      <c r="Z2" s="166"/>
      <c r="AC2" s="124"/>
      <c r="AE2" s="147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96">
        <f>COUNTA($O$7:$O$294)-O2</f>
        <v>36</v>
      </c>
      <c r="P3" s="118"/>
      <c r="R3" s="83"/>
      <c r="S3" s="90"/>
      <c r="T3" s="80"/>
      <c r="V3" s="44"/>
      <c r="Z3" s="166"/>
      <c r="AC3" s="124"/>
      <c r="AE3" s="147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74"/>
      <c r="P4" s="121"/>
      <c r="R4" s="83"/>
      <c r="S4" s="90"/>
      <c r="T4" s="80"/>
      <c r="V4" s="44"/>
      <c r="Z4" s="166"/>
      <c r="AC4" s="124"/>
      <c r="AE4" s="147"/>
    </row>
    <row r="5" spans="1:32" s="10" customFormat="1" ht="15" customHeight="1" x14ac:dyDescent="0.25">
      <c r="A5" s="200" t="str">
        <f>"Eagle P3 Braking Events - "&amp;TEXT(Variables!$A$2,"YYYY-mm-dd")</f>
        <v>Eagle P3 Braking Events - 2017-04-21</v>
      </c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136"/>
      <c r="R5" s="88"/>
      <c r="S5" s="91"/>
      <c r="T5" s="93"/>
      <c r="V5" s="45"/>
      <c r="AC5" s="125"/>
      <c r="AE5" s="149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97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16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48" t="s">
        <v>199</v>
      </c>
    </row>
    <row r="7" spans="1:32" s="1" customFormat="1" x14ac:dyDescent="0.25">
      <c r="A7" s="32">
        <v>42846.667222222219</v>
      </c>
      <c r="B7" s="30" t="s">
        <v>466</v>
      </c>
      <c r="C7" s="30" t="s">
        <v>617</v>
      </c>
      <c r="D7" s="30" t="s">
        <v>98</v>
      </c>
      <c r="E7" s="30" t="s">
        <v>191</v>
      </c>
      <c r="F7" s="43">
        <v>160</v>
      </c>
      <c r="G7" s="43">
        <v>214</v>
      </c>
      <c r="H7" s="43">
        <v>27048</v>
      </c>
      <c r="I7" s="43">
        <v>26431</v>
      </c>
      <c r="J7" s="30" t="s">
        <v>192</v>
      </c>
      <c r="K7" s="43">
        <v>27350</v>
      </c>
      <c r="L7" s="138" t="s">
        <v>51</v>
      </c>
      <c r="M7" s="139">
        <f t="shared" ref="M7:M44" si="0">CONVERT((I7-K7)/10000,"mi","ft")*IF(L7="Increasing Mileposts (1)",-1,1)</f>
        <v>-485.23200000000003</v>
      </c>
      <c r="N7" s="140" t="str">
        <f>VLOOKUP(C7,'Trips&amp;Operators'!$C$1:$G$99999,5,FALSE)</f>
        <v>STEWART MICHAEL</v>
      </c>
      <c r="O7" s="198" t="s">
        <v>184</v>
      </c>
      <c r="P7" s="141" t="s">
        <v>448</v>
      </c>
      <c r="Q7" s="30"/>
      <c r="R7" s="89" t="str">
        <f>IF(VLOOKUP(C7,'Train Runs'!$A$13:$AE$9930,1,1)=C7,VLOOKUP(C7,'Train Runs'!$A$13:$AE$9930,31,1),NA())</f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S7" s="92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-04-21T14:18:09-0600',mode:absolute,to:'2017-04-21T17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94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/stypes="*4039*201704212*" /stext=" 22:.+((SYSTEM_STATE.+slice.+state.+changed )|(ment ac)|(multiple cpu faults)|(system.+state.+changed )|(\[timeout)|(PRM\|1\|D)|(kpr)|(kdp)|(\|lc)|(penalty))"</v>
      </c>
      <c r="U7" s="9" t="str">
        <f t="shared" ref="U7:U44" si="2">MID(B7,13,4)</f>
        <v>4039</v>
      </c>
      <c r="V7" s="32">
        <f t="shared" ref="V7:V44" si="3">A7-utc_offset/24</f>
        <v>42846.917222222219</v>
      </c>
      <c r="W7" s="46" t="str">
        <f t="shared" ref="W7:W44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4" si="5">IF(AND(E7="TRACK WARRANT AUTHORITY",G7&lt;10),"OMIT","KEEP")</f>
        <v>KEEP</v>
      </c>
      <c r="Y7" s="104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arrival","project_id":79,"tracker_id":40,"status_id":1,"priority_id":2,"assigned_to_id":23,"start_date":"2017-04-21","description":"","custom_fields":[{"id":1,"name":"Subdivision","value":"EC"},{"id":4,"name":"Milepost","value":"2.735"},{"id":17,"name":"Train ID","value":"188-21"},{"id":16,"name":"Locomotive ID","value":"4039"},{"id":130,"name":"Impact","value":""},{"id":150,"name":"Time of Event (Mountain Time)","value":"16:00:48"},{"id":151,"name":"Denver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8"/>
      <c r="AA7" s="48"/>
      <c r="AB7" s="48"/>
      <c r="AC7" s="123" t="str">
        <f t="shared" ref="AC7:AC4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"%USERPROFILE%\AppData\Local\Temp\OnboardLogs"\RTDC4039\*4039*201704212*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"%USERPROFILE%\AppData\Local\Temp\OnboardLogs"\RTDC4039\*4039*201704212* &gt;&gt; 2017-04-21-SliceDisagreementCheck.txt</v>
      </c>
      <c r="AE7" s="150" t="str">
        <f t="shared" ref="AE7" si="8">"start /low /b "&amp;dls3logs&amp;" --loco "&amp;U7&amp;" --day "&amp;TEXT(V7,"YYYY-MM-DD")</f>
        <v>start /low /b %USERPROFILE%\Documents\GitHub\eaglep3\Utilities\DownloadLogsFromS3.py --loco 4039 --day 2017-04-21</v>
      </c>
    </row>
    <row r="8" spans="1:32" s="1" customFormat="1" x14ac:dyDescent="0.25">
      <c r="A8" s="32">
        <v>42846.393194444441</v>
      </c>
      <c r="B8" s="30" t="s">
        <v>469</v>
      </c>
      <c r="C8" s="30" t="s">
        <v>596</v>
      </c>
      <c r="D8" s="30" t="s">
        <v>98</v>
      </c>
      <c r="E8" s="30" t="s">
        <v>191</v>
      </c>
      <c r="F8" s="43">
        <v>0</v>
      </c>
      <c r="G8" s="43">
        <v>316</v>
      </c>
      <c r="H8" s="43">
        <v>42819</v>
      </c>
      <c r="I8" s="43">
        <v>43508</v>
      </c>
      <c r="J8" s="30" t="s">
        <v>192</v>
      </c>
      <c r="K8" s="43">
        <v>42779</v>
      </c>
      <c r="L8" s="138" t="s">
        <v>50</v>
      </c>
      <c r="M8" s="139">
        <f t="shared" si="0"/>
        <v>-384.91199999999998</v>
      </c>
      <c r="N8" s="140" t="str">
        <f>VLOOKUP(C8,'Trips&amp;Operators'!$C$1:$G$99999,5,FALSE)</f>
        <v>DAVIS WENDY</v>
      </c>
      <c r="O8" s="198" t="s">
        <v>184</v>
      </c>
      <c r="P8" s="141" t="s">
        <v>448</v>
      </c>
      <c r="Q8" s="30"/>
      <c r="R8" s="89" t="str">
        <f>IF(VLOOKUP(C8,'Train Runs'!$A$13:$AE$9930,1,1)=C8,VLOOKUP(C8,'Train Runs'!$A$13:$AE$9930,31,1),NA())</f>
        <v>aws s3 cp s3://rtdc.mdm.uploadarchive.raw/RTDC4040/ "%USERPROFILE%\AppData\Local\Temp\OnboardLogs"\RTDC4040\2017-04-21 --exclude "*" --recursive --include "*20170421*" &amp; "%USERPROFILE%\Documents\GitHub\mrs-test-scripts\Headless Mode &amp; Sideloading\WalkAndUnGZ.bat" "%USERPROFILE%\AppData\Local\Temp\OnboardLogs"\RTDC4040\2017-04-21 &amp; aws s3 cp s3://rtdc.mdm.uploadarchive.raw/RTDC4040/ "%USERPROFILE%\AppData\Local\Temp\OnboardLogs"\RTDC4040\2017-04-22 --exclude "*" --recursive --include "*20170422*" &amp; "%USERPROFILE%\Documents\GitHub\mrs-test-scripts\Headless Mode &amp; Sideloading\WalkAndUnGZ.bat" "%USERPROFILE%\AppData\Local\Temp\OnboardLogs"\RTDC4040\2017-04-22</v>
      </c>
      <c r="S8" s="92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-04-21T08:08:02-0600',mode:absolute,to:'2017-04-21T10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8" s="94" t="str">
        <f t="shared" si="1"/>
        <v>"C:\Program Files (x86)\AstroGrep\AstroGrep.exe" /e /r /s /spath="%USERPROFILE%\AppData\Local\Temp\OnboardLogs" /stypes="*4040*201704211*" /stext=" 15:.+((SYSTEM_STATE.+slice.+state.+changed )|(ment ac)|(multiple cpu faults)|(system.+state.+changed )|(\[timeout)|(PRM\|1\|D)|(kpr)|(kdp)|(\|lc)|(penalty))"</v>
      </c>
      <c r="U8" s="9" t="str">
        <f t="shared" si="2"/>
        <v>4040</v>
      </c>
      <c r="V8" s="32">
        <f t="shared" si="3"/>
        <v>42846.643194444441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arrival","project_id":79,"tracker_id":40,"status_id":1,"priority_id":2,"assigned_to_id":23,"start_date":"2017-04-21","description":"","custom_fields":[{"id":1,"name":"Subdivision","value":"EC"},{"id":4,"name":"Milepost","value":"4.2779"},{"id":17,"name":"Train ID","value":"145-21"},{"id":16,"name":"Locomotive ID","value":"4040"},{"id":130,"name":"Impact","value":""},{"id":150,"name":"Time of Event (Mountain Time)","value":"09:26:12"},{"id":151,"name":"Denver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8"/>
      <c r="AA8" s="48"/>
      <c r="AB8" s="48"/>
      <c r="AC8" s="123" t="str">
        <f t="shared" si="7"/>
        <v>grep -hSE -A400 "Enforcement Action" "%USERPROFILE%\AppData\Local\Temp\OnboardLogs"\RTDC4040\*4040*201704211*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"%USERPROFILE%\AppData\Local\Temp\OnboardLogs"\RTDC4040\*4040*201704211* &gt;&gt; 2017-04-21-SliceDisagreementCheck.txt</v>
      </c>
      <c r="AE8" s="150" t="str">
        <f t="shared" ref="AE8:AE44" si="9">"start /low /b "&amp;dls3logs&amp;" --loco "&amp;U8&amp;" --day "&amp;TEXT(V8,"YYYY-MM-DD")</f>
        <v>start /low /b %USERPROFILE%\Documents\GitHub\eaglep3\Utilities\DownloadLogsFromS3.py --loco 4040 --day 2017-04-21</v>
      </c>
    </row>
    <row r="9" spans="1:32" s="1" customFormat="1" x14ac:dyDescent="0.25">
      <c r="A9" s="32">
        <v>42846.45417824074</v>
      </c>
      <c r="B9" s="30" t="s">
        <v>394</v>
      </c>
      <c r="C9" s="30" t="s">
        <v>601</v>
      </c>
      <c r="D9" s="30" t="s">
        <v>49</v>
      </c>
      <c r="E9" s="30" t="s">
        <v>191</v>
      </c>
      <c r="F9" s="43">
        <v>470</v>
      </c>
      <c r="G9" s="43">
        <v>537</v>
      </c>
      <c r="H9" s="43">
        <v>49073</v>
      </c>
      <c r="I9" s="43">
        <v>47662</v>
      </c>
      <c r="J9" s="30" t="s">
        <v>192</v>
      </c>
      <c r="K9" s="43">
        <v>48048</v>
      </c>
      <c r="L9" s="138" t="s">
        <v>51</v>
      </c>
      <c r="M9" s="139">
        <f t="shared" si="0"/>
        <v>-203.80799999999999</v>
      </c>
      <c r="N9" s="140" t="str">
        <f>VLOOKUP(C9,'Trips&amp;Operators'!$C$1:$G$99999,5,FALSE)</f>
        <v>ROBINSON KADDIBA</v>
      </c>
      <c r="O9" s="198" t="s">
        <v>184</v>
      </c>
      <c r="P9" s="141" t="s">
        <v>448</v>
      </c>
      <c r="Q9" s="30"/>
      <c r="R9" s="89" t="str">
        <f>IF(VLOOKUP(C9,'Train Runs'!$A$13:$AE$9930,1,1)=C9,VLOOKUP(C9,'Train Runs'!$A$13:$AE$9930,31,1),NA())</f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S9" s="92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-04-21T09:23:35-0600',mode:absolute,to:'2017-04-21T12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94" t="str">
        <f t="shared" si="1"/>
        <v>"C:\Program Files (x86)\AstroGrep\AstroGrep.exe" /e /r /s /spath="%USERPROFILE%\AppData\Local\Temp\OnboardLogs" /stypes="*4003*201704211*" /stext=" 16:.+((SYSTEM_STATE.+slice.+state.+changed )|(ment ac)|(multiple cpu faults)|(system.+state.+changed )|(\[timeout)|(PRM\|1\|D)|(kpr)|(kdp)|(\|lc)|(penalty))"</v>
      </c>
      <c r="U9" s="9" t="str">
        <f t="shared" si="2"/>
        <v>4003</v>
      </c>
      <c r="V9" s="32">
        <f t="shared" si="3"/>
        <v>42846.70417824074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arrival","project_id":79,"tracker_id":40,"status_id":1,"priority_id":2,"assigned_to_id":23,"start_date":"2017-04-21","description":"","custom_fields":[{"id":1,"name":"Subdivision","value":"EC"},{"id":4,"name":"Milepost","value":"4.8048"},{"id":17,"name":"Train ID","value":"148-21"},{"id":16,"name":"Locomotive ID","value":"4003"},{"id":130,"name":"Impact","value":""},{"id":150,"name":"Time of Event (Mountain Time)","value":"10:54:01"},{"id":151,"name":"Denver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8"/>
      <c r="AA9" s="48"/>
      <c r="AB9" s="48"/>
      <c r="AC9" s="123" t="str">
        <f t="shared" si="7"/>
        <v>grep -hSE -A400 "Enforcement Action" "%USERPROFILE%\AppData\Local\Temp\OnboardLogs"\RTDC4003\*4003*201704211*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"%USERPROFILE%\AppData\Local\Temp\OnboardLogs"\RTDC4003\*4003*201704211* &gt;&gt; 2017-04-21-SliceDisagreementCheck.txt</v>
      </c>
      <c r="AE9" s="150" t="str">
        <f t="shared" si="9"/>
        <v>start /low /b %USERPROFILE%\Documents\GitHub\eaglep3\Utilities\DownloadLogsFromS3.py --loco 4003 --day 2017-04-21</v>
      </c>
    </row>
    <row r="10" spans="1:32" s="1" customFormat="1" x14ac:dyDescent="0.25">
      <c r="A10" s="32">
        <v>42846.535752314812</v>
      </c>
      <c r="B10" s="30" t="s">
        <v>543</v>
      </c>
      <c r="C10" s="30" t="s">
        <v>605</v>
      </c>
      <c r="D10" s="30" t="s">
        <v>49</v>
      </c>
      <c r="E10" s="30" t="s">
        <v>191</v>
      </c>
      <c r="F10" s="43">
        <v>480</v>
      </c>
      <c r="G10" s="43">
        <v>538</v>
      </c>
      <c r="H10" s="43">
        <v>107407</v>
      </c>
      <c r="I10" s="43">
        <v>109244</v>
      </c>
      <c r="J10" s="30" t="s">
        <v>192</v>
      </c>
      <c r="K10" s="43">
        <v>108954</v>
      </c>
      <c r="L10" s="138" t="s">
        <v>50</v>
      </c>
      <c r="M10" s="139">
        <f t="shared" si="0"/>
        <v>-153.12</v>
      </c>
      <c r="N10" s="140" t="str">
        <f>VLOOKUP(C10,'Trips&amp;Operators'!$C$1:$G$99999,5,FALSE)</f>
        <v>GRASTON MATHEU</v>
      </c>
      <c r="O10" s="198" t="s">
        <v>184</v>
      </c>
      <c r="P10" s="141" t="s">
        <v>448</v>
      </c>
      <c r="Q10" s="30"/>
      <c r="R10" s="89" t="str">
        <f>IF(VLOOKUP(C10,'Train Runs'!$A$13:$AE$9930,1,1)=C10,VLOOKUP(C10,'Train Runs'!$A$13:$AE$9930,31,1),NA())</f>
        <v>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 &amp; 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</v>
      </c>
      <c r="S10" s="92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-04-21T11:22:12-0600',mode:absolute,to:'2017-04-21T14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94" t="str">
        <f t="shared" si="1"/>
        <v>"C:\Program Files (x86)\AstroGrep\AstroGrep.exe" /e /r /s /spath="%USERPROFILE%\AppData\Local\Temp\OnboardLogs" /stypes="*4044*201704211*" /stext=" 18:.+((SYSTEM_STATE.+slice.+state.+changed )|(ment ac)|(multiple cpu faults)|(system.+state.+changed )|(\[timeout)|(PRM\|1\|D)|(kpr)|(kdp)|(\|lc)|(penalty))"</v>
      </c>
      <c r="U10" s="9" t="str">
        <f t="shared" si="2"/>
        <v>4044</v>
      </c>
      <c r="V10" s="32">
        <f t="shared" si="3"/>
        <v>42846.785752314812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arrival","project_id":79,"tracker_id":40,"status_id":1,"priority_id":2,"assigned_to_id":23,"start_date":"2017-04-21","description":"","custom_fields":[{"id":1,"name":"Subdivision","value":"EC"},{"id":4,"name":"Milepost","value":"10.8954"},{"id":17,"name":"Train ID","value":"171-21"},{"id":16,"name":"Locomotive ID","value":"4044"},{"id":130,"name":"Impact","value":""},{"id":150,"name":"Time of Event (Mountain Time)","value":"12:51:29"},{"id":151,"name":"Denver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8"/>
      <c r="AA10" s="48"/>
      <c r="AB10" s="48"/>
      <c r="AC10" s="123" t="str">
        <f t="shared" si="7"/>
        <v>grep -hSE -A400 "Enforcement Action" "%USERPROFILE%\AppData\Local\Temp\OnboardLogs"\RTDC4044\*4044*201704211*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"%USERPROFILE%\AppData\Local\Temp\OnboardLogs"\RTDC4044\*4044*201704211* &gt;&gt; 2017-04-21-SliceDisagreementCheck.txt</v>
      </c>
      <c r="AE10" s="150" t="str">
        <f t="shared" si="9"/>
        <v>start /low /b %USERPROFILE%\Documents\GitHub\eaglep3\Utilities\DownloadLogsFromS3.py --loco 4044 --day 2017-04-21</v>
      </c>
    </row>
    <row r="11" spans="1:32" s="1" customFormat="1" x14ac:dyDescent="0.25">
      <c r="A11" s="32">
        <v>42846.437442129631</v>
      </c>
      <c r="B11" s="30" t="s">
        <v>466</v>
      </c>
      <c r="C11" s="30" t="s">
        <v>600</v>
      </c>
      <c r="D11" s="30" t="s">
        <v>49</v>
      </c>
      <c r="E11" s="30" t="s">
        <v>191</v>
      </c>
      <c r="F11" s="43">
        <v>0</v>
      </c>
      <c r="G11" s="43">
        <v>333</v>
      </c>
      <c r="H11" s="43">
        <v>109312</v>
      </c>
      <c r="I11" s="43">
        <v>108919</v>
      </c>
      <c r="J11" s="30" t="s">
        <v>192</v>
      </c>
      <c r="K11" s="43">
        <v>109135</v>
      </c>
      <c r="L11" s="138" t="s">
        <v>51</v>
      </c>
      <c r="M11" s="139">
        <f t="shared" si="0"/>
        <v>-114.048</v>
      </c>
      <c r="N11" s="140" t="str">
        <f>VLOOKUP(C11,'Trips&amp;Operators'!$C$1:$G$99999,5,FALSE)</f>
        <v>DAVIS WENDY</v>
      </c>
      <c r="O11" s="198" t="s">
        <v>184</v>
      </c>
      <c r="P11" s="141" t="s">
        <v>448</v>
      </c>
      <c r="Q11" s="30"/>
      <c r="R11" s="89" t="str">
        <f>IF(VLOOKUP(C11,'Train Runs'!$A$13:$AE$9930,1,1)=C11,VLOOKUP(C11,'Train Runs'!$A$13:$AE$9930,31,1),NA())</f>
        <v>aws s3 cp s3://rtdc.mdm.uploadarchive.raw/RTDC4039/ "%USERPROFILE%\AppData\Local\Temp\OnboardLogs"\RTDC4039\2017-04-21 --exclude "*" --recursive --include "*20170421*" &amp; "%USERPROFILE%\Documents\GitHub\mrs-test-scripts\Headless Mode &amp; Sideloading\WalkAndUnGZ.bat" "%USERPROFILE%\AppData\Local\Temp\OnboardLogs"\RTDC4039\2017-04-21 &amp; aws s3 cp s3://rtdc.mdm.uploadarchive.raw/RTDC4039/ "%USERPROFILE%\AppData\Local\Temp\OnboardLogs"\RTDC4039\2017-04-22 --exclude "*" --recursive --include "*20170422*" &amp; "%USERPROFILE%\Documents\GitHub\mrs-test-scripts\Headless Mode &amp; Sideloading\WalkAndUnGZ.bat" "%USERPROFILE%\AppData\Local\Temp\OnboardLogs"\RTDC4039\2017-04-22</v>
      </c>
      <c r="S11" s="92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-04-21T09:07:07-0600',mode:absolute,to:'2017-04-21T11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94" t="str">
        <f t="shared" si="1"/>
        <v>"C:\Program Files (x86)\AstroGrep\AstroGrep.exe" /e /r /s /spath="%USERPROFILE%\AppData\Local\Temp\OnboardLogs" /stypes="*4039*201704211*" /stext=" 16:.+((SYSTEM_STATE.+slice.+state.+changed )|(ment ac)|(multiple cpu faults)|(system.+state.+changed )|(\[timeout)|(PRM\|1\|D)|(kpr)|(kdp)|(\|lc)|(penalty))"</v>
      </c>
      <c r="U11" s="9" t="str">
        <f t="shared" si="2"/>
        <v>4039</v>
      </c>
      <c r="V11" s="32">
        <f t="shared" si="3"/>
        <v>42846.687442129631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arrival","project_id":79,"tracker_id":40,"status_id":1,"priority_id":2,"assigned_to_id":23,"start_date":"2017-04-21","description":"","custom_fields":[{"id":1,"name":"Subdivision","value":"EC"},{"id":4,"name":"Milepost","value":"10.9135"},{"id":17,"name":"Train ID","value":"146-21"},{"id":16,"name":"Locomotive ID","value":"4039"},{"id":130,"name":"Impact","value":""},{"id":150,"name":"Time of Event (Mountain Time)","value":"10:29:55"},{"id":151,"name":"Denver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8"/>
      <c r="AA11" s="48"/>
      <c r="AB11" s="48"/>
      <c r="AC11" s="123" t="str">
        <f t="shared" si="7"/>
        <v>grep -hSE -A400 "Enforcement Action" "%USERPROFILE%\AppData\Local\Temp\OnboardLogs"\RTDC4039\*4039*201704211*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"%USERPROFILE%\AppData\Local\Temp\OnboardLogs"\RTDC4039\*4039*201704211* &gt;&gt; 2017-04-21-SliceDisagreementCheck.txt</v>
      </c>
      <c r="AE11" s="150" t="str">
        <f t="shared" si="9"/>
        <v>start /low /b %USERPROFILE%\Documents\GitHub\eaglep3\Utilities\DownloadLogsFromS3.py --loco 4039 --day 2017-04-21</v>
      </c>
    </row>
    <row r="12" spans="1:32" s="1" customFormat="1" x14ac:dyDescent="0.25">
      <c r="A12" s="32">
        <v>42846.385162037041</v>
      </c>
      <c r="B12" s="30" t="s">
        <v>451</v>
      </c>
      <c r="C12" s="30" t="s">
        <v>595</v>
      </c>
      <c r="D12" s="30" t="s">
        <v>98</v>
      </c>
      <c r="E12" s="30" t="s">
        <v>191</v>
      </c>
      <c r="F12" s="43">
        <v>350</v>
      </c>
      <c r="G12" s="43">
        <v>404</v>
      </c>
      <c r="H12" s="43">
        <v>109053</v>
      </c>
      <c r="I12" s="43">
        <v>107695</v>
      </c>
      <c r="J12" s="30" t="s">
        <v>192</v>
      </c>
      <c r="K12" s="43">
        <v>109135</v>
      </c>
      <c r="L12" s="138" t="s">
        <v>51</v>
      </c>
      <c r="M12" s="139">
        <f t="shared" si="0"/>
        <v>-760.32</v>
      </c>
      <c r="N12" s="140" t="str">
        <f>VLOOKUP(C12,'Trips&amp;Operators'!$C$1:$G$99999,5,FALSE)</f>
        <v>STARKS ANGELINA</v>
      </c>
      <c r="O12" s="198" t="s">
        <v>184</v>
      </c>
      <c r="P12" s="141" t="s">
        <v>448</v>
      </c>
      <c r="Q12" s="30"/>
      <c r="R12" s="89" t="str">
        <f>IF(VLOOKUP(C12,'Train Runs'!$A$13:$AE$9930,1,1)=C12,VLOOKUP(C12,'Train Runs'!$A$13:$AE$9930,31,1),NA())</f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S12" s="92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-04-21T07:52:10-0600',mode:absolute,to:'2017-04-21T10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94" t="str">
        <f t="shared" si="1"/>
        <v>"C:\Program Files (x86)\AstroGrep\AstroGrep.exe" /e /r /s /spath="%USERPROFILE%\AppData\Local\Temp\OnboardLogs" /stypes="*4001*201704211*" /stext=" 15:.+((SYSTEM_STATE.+slice.+state.+changed )|(ment ac)|(multiple cpu faults)|(system.+state.+changed )|(\[timeout)|(PRM\|1\|D)|(kpr)|(kdp)|(\|lc)|(penalty))"</v>
      </c>
      <c r="U12" s="9" t="str">
        <f t="shared" si="2"/>
        <v>4001</v>
      </c>
      <c r="V12" s="32">
        <f t="shared" si="3"/>
        <v>42846.635162037041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arrival","project_id":79,"tracker_id":40,"status_id":1,"priority_id":2,"assigned_to_id":23,"start_date":"2017-04-21","description":"","custom_fields":[{"id":1,"name":"Subdivision","value":"EC"},{"id":4,"name":"Milepost","value":"10.9135"},{"id":17,"name":"Train ID","value":"136-21"},{"id":16,"name":"Locomotive ID","value":"4001"},{"id":130,"name":"Impact","value":""},{"id":150,"name":"Time of Event (Mountain Time)","value":"09:14:38"},{"id":151,"name":"Denver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8"/>
      <c r="AA12" s="48"/>
      <c r="AB12" s="48"/>
      <c r="AC12" s="123" t="str">
        <f t="shared" si="7"/>
        <v>grep -hSE -A400 "Enforcement Action" "%USERPROFILE%\AppData\Local\Temp\OnboardLogs"\RTDC4001\*4001*201704211*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"%USERPROFILE%\AppData\Local\Temp\OnboardLogs"\RTDC4001\*4001*201704211* &gt;&gt; 2017-04-21-SliceDisagreementCheck.txt</v>
      </c>
      <c r="AE12" s="150" t="str">
        <f t="shared" si="9"/>
        <v>start /low /b %USERPROFILE%\Documents\GitHub\eaglep3\Utilities\DownloadLogsFromS3.py --loco 4001 --day 2017-04-21</v>
      </c>
    </row>
    <row r="13" spans="1:32" s="1" customFormat="1" x14ac:dyDescent="0.25">
      <c r="A13" s="32">
        <v>42846.661446759259</v>
      </c>
      <c r="B13" s="30" t="s">
        <v>443</v>
      </c>
      <c r="C13" s="30" t="s">
        <v>616</v>
      </c>
      <c r="D13" s="30" t="s">
        <v>49</v>
      </c>
      <c r="E13" s="30" t="s">
        <v>210</v>
      </c>
      <c r="F13" s="43">
        <v>400</v>
      </c>
      <c r="G13" s="43">
        <v>536</v>
      </c>
      <c r="H13" s="43">
        <v>115322</v>
      </c>
      <c r="I13" s="43">
        <v>117044</v>
      </c>
      <c r="J13" s="30" t="s">
        <v>211</v>
      </c>
      <c r="K13" s="43">
        <v>116838</v>
      </c>
      <c r="L13" s="138" t="s">
        <v>50</v>
      </c>
      <c r="M13" s="139">
        <f t="shared" si="0"/>
        <v>-108.768</v>
      </c>
      <c r="N13" s="140" t="str">
        <f>VLOOKUP(C13,'Trips&amp;Operators'!$C$1:$G$99999,5,FALSE)</f>
        <v>LAMAR NEKESHA</v>
      </c>
      <c r="O13" s="198" t="s">
        <v>184</v>
      </c>
      <c r="P13" s="141"/>
      <c r="Q13" s="30"/>
      <c r="R13" s="89" t="str">
        <f>IF(VLOOKUP(C13,'Train Runs'!$A$13:$AE$9930,1,1)=C13,VLOOKUP(C13,'Train Runs'!$A$13:$AE$9930,31,1),NA())</f>
        <v>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 &amp; 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</v>
      </c>
      <c r="S13" s="92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-04-21T14:25:13-0600',mode:absolute,to:'2017-04-21T17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3" s="94" t="str">
        <f t="shared" si="1"/>
        <v>"C:\Program Files (x86)\AstroGrep\AstroGrep.exe" /e /r /s /spath="%USERPROFILE%\AppData\Local\Temp\OnboardLogs" /stypes="*4024*201704212*" /stext=" 21:.+((SYSTEM_STATE.+slice.+state.+changed )|(ment ac)|(multiple cpu faults)|(system.+state.+changed )|(\[timeout)|(PRM\|1\|D)|(kpr)|(kdp)|(\|lc)|(penalty))"</v>
      </c>
      <c r="U13" s="9" t="str">
        <f t="shared" si="2"/>
        <v>4024</v>
      </c>
      <c r="V13" s="32">
        <f t="shared" si="3"/>
        <v>42846.911446759259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{"issue":{"subject":"","project_id":79,"tracker_id":40,"status_id":1,"priority_id":2,"assigned_to_id":23,"start_date":"2017-04-21","description":"","custom_fields":[{"id":1,"name":"Subdivision","value":"EC"},{"id":4,"name":"Milepost","value":"11.6838"},{"id":17,"name":"Train ID","value":"195-21"},{"id":16,"name":"Locomotive ID","value":"4024"},{"id":130,"name":"Impact","value":""},{"id":150,"name":"Time of Event (Mountain Time)","value":"15:52:29"},{"id":151,"name":"Denver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8"/>
      <c r="AA13" s="48"/>
      <c r="AB13" s="48"/>
      <c r="AC13" s="123" t="str">
        <f t="shared" si="7"/>
        <v>grep -hSE -A400 "Enforcement Action" "%USERPROFILE%\AppData\Local\Temp\OnboardLogs"\RTDC4024\*4024*201704212*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"%USERPROFILE%\AppData\Local\Temp\OnboardLogs"\RTDC4024\*4024*201704212* &gt;&gt; 2017-04-21-SliceDisagreementCheck.txt</v>
      </c>
      <c r="AE13" s="150" t="str">
        <f t="shared" si="9"/>
        <v>start /low /b %USERPROFILE%\Documents\GitHub\eaglep3\Utilities\DownloadLogsFromS3.py --loco 4024 --day 2017-04-21</v>
      </c>
    </row>
    <row r="14" spans="1:32" x14ac:dyDescent="0.25">
      <c r="A14" s="32">
        <v>42846.988449074073</v>
      </c>
      <c r="B14" s="30" t="s">
        <v>451</v>
      </c>
      <c r="C14" s="30" t="s">
        <v>625</v>
      </c>
      <c r="D14" s="30" t="s">
        <v>49</v>
      </c>
      <c r="E14" s="30" t="s">
        <v>210</v>
      </c>
      <c r="F14" s="43">
        <v>400</v>
      </c>
      <c r="G14" s="43">
        <v>588</v>
      </c>
      <c r="H14" s="43">
        <v>122453</v>
      </c>
      <c r="I14" s="43">
        <v>119862</v>
      </c>
      <c r="J14" s="30" t="s">
        <v>211</v>
      </c>
      <c r="K14" s="43">
        <v>119716</v>
      </c>
      <c r="L14" s="138" t="s">
        <v>51</v>
      </c>
      <c r="M14" s="139">
        <f t="shared" si="0"/>
        <v>77.087999999999994</v>
      </c>
      <c r="N14" s="140" t="str">
        <f>VLOOKUP(C14,'Trips&amp;Operators'!$C$1:$G$99999,5,FALSE)</f>
        <v>MAGEE KENYA</v>
      </c>
      <c r="O14" s="198" t="s">
        <v>184</v>
      </c>
      <c r="P14" s="141"/>
      <c r="Q14" s="30"/>
      <c r="R14" s="89" t="str">
        <f>IF(VLOOKUP(C14,'Train Runs'!$A$13:$AE$9930,1,1)=C14,VLOOKUP(C14,'Train Runs'!$A$13:$AE$9930,31,1),NA())</f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S14" s="92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-04-21T22:18:02-0600',mode:absolute,to:'2017-04-22T01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94" t="str">
        <f t="shared" si="1"/>
        <v>"C:\Program Files (x86)\AstroGrep\AstroGrep.exe" /e /r /s /spath="%USERPROFILE%\AppData\Local\Temp\OnboardLogs" /stypes="*4001*201704220*" /stext=" 05:.+((SYSTEM_STATE.+slice.+state.+changed )|(ment ac)|(multiple cpu faults)|(system.+state.+changed )|(\[timeout)|(PRM\|1\|D)|(kpr)|(kdp)|(\|lc)|(penalty))"</v>
      </c>
      <c r="U14" s="9" t="str">
        <f t="shared" si="2"/>
        <v>4001</v>
      </c>
      <c r="V14" s="32">
        <f t="shared" si="3"/>
        <v>42847.238449074073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{"issue":{"subject":"","project_id":79,"tracker_id":40,"status_id":1,"priority_id":2,"assigned_to_id":23,"start_date":"2017-04-21","description":"","custom_fields":[{"id":1,"name":"Subdivision","value":"EC"},{"id":4,"name":"Milepost","value":"11.9716"},{"id":17,"name":"Train ID","value":"236-21"},{"id":16,"name":"Locomotive ID","value":"4001"},{"id":130,"name":"Impact","value":""},{"id":150,"name":"Time of Event (Mountain Time)","value":"23:43:22"},{"id":151,"name":"Denver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8"/>
      <c r="AA14" s="48"/>
      <c r="AB14" s="48"/>
      <c r="AC14" s="123" t="str">
        <f t="shared" si="7"/>
        <v>grep -hSE -A400 "Enforcement Action" "%USERPROFILE%\AppData\Local\Temp\OnboardLogs"\RTDC4001\*4001*201704220*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"%USERPROFILE%\AppData\Local\Temp\OnboardLogs"\RTDC4001\*4001*201704220* &gt;&gt; 2017-04-21-SliceDisagreementCheck.txt</v>
      </c>
      <c r="AE14" s="150" t="str">
        <f t="shared" si="9"/>
        <v>start /low /b %USERPROFILE%\Documents\GitHub\eaglep3\Utilities\DownloadLogsFromS3.py --loco 4001 --day 2017-04-22</v>
      </c>
      <c r="AF14" s="1"/>
    </row>
    <row r="15" spans="1:32" x14ac:dyDescent="0.25">
      <c r="A15" s="32">
        <v>42846.581932870373</v>
      </c>
      <c r="B15" s="30" t="s">
        <v>394</v>
      </c>
      <c r="C15" s="30" t="s">
        <v>611</v>
      </c>
      <c r="D15" s="30" t="s">
        <v>49</v>
      </c>
      <c r="E15" s="30" t="s">
        <v>210</v>
      </c>
      <c r="F15" s="43">
        <v>150</v>
      </c>
      <c r="G15" s="43">
        <v>205</v>
      </c>
      <c r="H15" s="43">
        <v>229253</v>
      </c>
      <c r="I15" s="43">
        <v>229003</v>
      </c>
      <c r="J15" s="30" t="s">
        <v>211</v>
      </c>
      <c r="K15" s="43">
        <v>229055</v>
      </c>
      <c r="L15" s="138" t="s">
        <v>51</v>
      </c>
      <c r="M15" s="139">
        <f t="shared" si="0"/>
        <v>-27.456</v>
      </c>
      <c r="N15" s="140" t="str">
        <f>VLOOKUP(C15,'Trips&amp;Operators'!$C$1:$G$99999,5,FALSE)</f>
        <v>ROMERO CHAD</v>
      </c>
      <c r="O15" s="198" t="s">
        <v>184</v>
      </c>
      <c r="P15" s="141"/>
      <c r="Q15" s="30"/>
      <c r="R15" s="89" t="str">
        <f>IF(VLOOKUP(C15,'Train Runs'!$A$13:$AE$9930,1,1)=C15,VLOOKUP(C15,'Train Runs'!$A$13:$AE$9930,31,1),NA())</f>
        <v>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 &amp; aws s3 cp s3://rtdc.mdm.uploadarchive.raw/RTDC4003/ "%USERPROFILE%\AppData\Local\Temp\OnboardLogs"\RTDC4003\2017-04-22 --exclude "*" --recursive --include "*20170422*" &amp; "%USERPROFILE%\Documents\GitHub\mrs-test-scripts\Headless Mode &amp; Sideloading\WalkAndUnGZ.bat" "%USERPROFILE%\AppData\Local\Temp\OnboardLogs"\RTDC4003\2017-04-22</v>
      </c>
      <c r="S15" s="92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-04-21T12:39:12-0600',mode:absolute,to:'2017-04-21T15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94" t="str">
        <f t="shared" si="1"/>
        <v>"C:\Program Files (x86)\AstroGrep\AstroGrep.exe" /e /r /s /spath="%USERPROFILE%\AppData\Local\Temp\OnboardLogs" /stypes="*4003*201704211*" /stext=" 19:.+((SYSTEM_STATE.+slice.+state.+changed )|(ment ac)|(multiple cpu faults)|(system.+state.+changed )|(\[timeout)|(PRM\|1\|D)|(kpr)|(kdp)|(\|lc)|(penalty))"</v>
      </c>
      <c r="U15" s="9" t="str">
        <f t="shared" si="2"/>
        <v>4003</v>
      </c>
      <c r="V15" s="32">
        <f t="shared" si="3"/>
        <v>42846.831932870373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{"issue":{"subject":"","project_id":79,"tracker_id":40,"status_id":1,"priority_id":2,"assigned_to_id":23,"start_date":"2017-04-21","description":"","custom_fields":[{"id":1,"name":"Subdivision","value":"EC"},{"id":4,"name":"Milepost","value":"22.9055"},{"id":17,"name":"Train ID","value":"176-21"},{"id":16,"name":"Locomotive ID","value":"4003"},{"id":130,"name":"Impact","value":""},{"id":150,"name":"Time of Event (Mountain Time)","value":"13:57:59"},{"id":151,"name":"Denver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8"/>
      <c r="AA15" s="48"/>
      <c r="AB15" s="48"/>
      <c r="AC15" s="123" t="str">
        <f t="shared" si="7"/>
        <v>grep -hSE -A400 "Enforcement Action" "%USERPROFILE%\AppData\Local\Temp\OnboardLogs"\RTDC4003\*4003*201704211*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"%USERPROFILE%\AppData\Local\Temp\OnboardLogs"\RTDC4003\*4003*201704211* &gt;&gt; 2017-04-21-SliceDisagreementCheck.txt</v>
      </c>
      <c r="AE15" s="150" t="str">
        <f t="shared" si="9"/>
        <v>start /low /b %USERPROFILE%\Documents\GitHub\eaglep3\Utilities\DownloadLogsFromS3.py --loco 4003 --day 2017-04-21</v>
      </c>
      <c r="AF15" s="1"/>
    </row>
    <row r="16" spans="1:32" x14ac:dyDescent="0.25">
      <c r="A16" s="32">
        <v>42846.405266203707</v>
      </c>
      <c r="B16" s="30" t="s">
        <v>439</v>
      </c>
      <c r="C16" s="30" t="s">
        <v>597</v>
      </c>
      <c r="D16" s="30" t="s">
        <v>98</v>
      </c>
      <c r="E16" s="30" t="s">
        <v>210</v>
      </c>
      <c r="F16" s="43">
        <v>350</v>
      </c>
      <c r="G16" s="43">
        <v>400</v>
      </c>
      <c r="H16" s="43">
        <v>224676</v>
      </c>
      <c r="I16" s="43">
        <v>223263</v>
      </c>
      <c r="J16" s="30" t="s">
        <v>211</v>
      </c>
      <c r="K16" s="43">
        <v>232107</v>
      </c>
      <c r="L16" s="138" t="s">
        <v>51</v>
      </c>
      <c r="M16" s="139">
        <f t="shared" si="0"/>
        <v>-4669.6319999999996</v>
      </c>
      <c r="N16" s="140" t="str">
        <f>VLOOKUP(C16,'Trips&amp;Operators'!$C$1:$G$99999,5,FALSE)</f>
        <v>BADERTSCHER DIANE</v>
      </c>
      <c r="O16" s="198" t="s">
        <v>184</v>
      </c>
      <c r="P16" s="141"/>
      <c r="Q16" s="30"/>
      <c r="R16" s="89" t="str">
        <f>IF(VLOOKUP(C16,'Train Runs'!$A$13:$AE$9930,1,1)=C16,VLOOKUP(C16,'Train Runs'!$A$13:$AE$9930,31,1),NA())</f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S16" s="92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-04-21T08:33:38-0600',mode:absolute,to:'2017-04-21T11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6" s="94" t="str">
        <f t="shared" si="1"/>
        <v>"C:\Program Files (x86)\AstroGrep\AstroGrep.exe" /e /r /s /spath="%USERPROFILE%\AppData\Local\Temp\OnboardLogs" /stypes="*4015*201704211*" /stext=" 15:.+((SYSTEM_STATE.+slice.+state.+changed )|(ment ac)|(multiple cpu faults)|(system.+state.+changed )|(\[timeout)|(PRM\|1\|D)|(kpr)|(kdp)|(\|lc)|(penalty))"</v>
      </c>
      <c r="U16" s="9" t="str">
        <f t="shared" si="2"/>
        <v>4015</v>
      </c>
      <c r="V16" s="32">
        <f t="shared" si="3"/>
        <v>42846.655266203707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{"issue":{"subject":"","project_id":79,"tracker_id":40,"status_id":1,"priority_id":2,"assigned_to_id":23,"start_date":"2017-04-21","description":"","custom_fields":[{"id":1,"name":"Subdivision","value":"EC"},{"id":4,"name":"Milepost","value":"23.2107"},{"id":17,"name":"Train ID","value":"142-21"},{"id":16,"name":"Locomotive ID","value":"4015"},{"id":130,"name":"Impact","value":""},{"id":150,"name":"Time of Event (Mountain Time)","value":"09:43:35"},{"id":151,"name":"Denver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8"/>
      <c r="AA16" s="48"/>
      <c r="AB16" s="48"/>
      <c r="AC16" s="123" t="str">
        <f t="shared" si="7"/>
        <v>grep -hSE -A400 "Enforcement Action" "%USERPROFILE%\AppData\Local\Temp\OnboardLogs"\RTDC4015\*4015*201704211*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"%USERPROFILE%\AppData\Local\Temp\OnboardLogs"\RTDC4015\*4015*201704211* &gt;&gt; 2017-04-21-SliceDisagreementCheck.txt</v>
      </c>
      <c r="AE16" s="150" t="str">
        <f t="shared" si="9"/>
        <v>start /low /b %USERPROFILE%\Documents\GitHub\eaglep3\Utilities\DownloadLogsFromS3.py --loco 4015 --day 2017-04-21</v>
      </c>
      <c r="AF16" s="1"/>
    </row>
    <row r="17" spans="1:32" x14ac:dyDescent="0.25">
      <c r="A17" s="32">
        <v>42846.720752314817</v>
      </c>
      <c r="B17" s="30" t="s">
        <v>439</v>
      </c>
      <c r="C17" s="30" t="s">
        <v>619</v>
      </c>
      <c r="D17" s="30" t="s">
        <v>49</v>
      </c>
      <c r="E17" s="30" t="s">
        <v>449</v>
      </c>
      <c r="F17" s="43">
        <v>0</v>
      </c>
      <c r="G17" s="43">
        <v>163</v>
      </c>
      <c r="H17" s="43">
        <v>4752</v>
      </c>
      <c r="I17" s="43">
        <v>4456</v>
      </c>
      <c r="J17" s="30" t="s">
        <v>450</v>
      </c>
      <c r="K17" s="43">
        <v>4677</v>
      </c>
      <c r="L17" s="138" t="s">
        <v>51</v>
      </c>
      <c r="M17" s="139">
        <f t="shared" si="0"/>
        <v>-116.688</v>
      </c>
      <c r="N17" s="140" t="str">
        <f>VLOOKUP(C17,'Trips&amp;Operators'!$C$1:$G$99999,5,FALSE)</f>
        <v>LOPES KIMBERLY</v>
      </c>
      <c r="O17" s="198" t="s">
        <v>430</v>
      </c>
      <c r="P17" s="141" t="s">
        <v>529</v>
      </c>
      <c r="Q17" s="30"/>
      <c r="R17" s="89" t="str">
        <f>IF(VLOOKUP(C17,'Train Runs'!$A$13:$AE$9930,1,1)=C17,VLOOKUP(C17,'Train Runs'!$A$13:$AE$9930,31,1),NA())</f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S17" s="92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-04-21T15:34:44-0600',mode:absolute,to:'2017-04-21T18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 t="shared" si="1"/>
        <v>"C:\Program Files (x86)\AstroGrep\AstroGrep.exe" /e /r /s /spath="%USERPROFILE%\AppData\Local\Temp\OnboardLogs" /stypes="*4015*201704212*" /stext=" 23:.+((SYSTEM_STATE.+slice.+state.+changed )|(ment ac)|(multiple cpu faults)|(system.+state.+changed )|(\[timeout)|(PRM\|1\|D)|(kpr)|(kdp)|(\|lc)|(penalty))"</v>
      </c>
      <c r="U17" s="9" t="str">
        <f t="shared" si="2"/>
        <v>4015</v>
      </c>
      <c r="V17" s="32">
        <f t="shared" si="3"/>
        <v>42846.970752314817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{"issue":{"subject":"Wi-MAX data drop","project_id":79,"tracker_id":40,"status_id":1,"priority_id":2,"assigned_to_id":23,"start_date":"2017-04-21","description":"http://stevetu21.github.io/eaglep3/load_kml.html?kml=http://rtdc.gmaps-snips.s3.amazonaws.com/3ff1f32f-5bdc-47ba-b7f7-7dd5a28a4e90.kml","custom_fields":[{"id":1,"name":"Subdivision","value":"EC"},{"id":4,"name":"Milepost","value":"0.4677"},{"id":17,"name":"Train ID","value":"198-21"},{"id":16,"name":"Locomotive ID","value":"4015"},{"id":130,"name":"Impact","value":"Enforcement"},{"id":150,"name":"Time of Event (Mountain Time)","value":"17:17:53"},{"id":151,"name":"Denver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t="s">
        <v>1039</v>
      </c>
      <c r="AA17" s="48" t="s">
        <v>124</v>
      </c>
      <c r="AB17" s="48" t="s">
        <v>137</v>
      </c>
      <c r="AC17" s="123" t="str">
        <f t="shared" si="7"/>
        <v>grep -hSE -A400 "Enforcement Action" "%USERPROFILE%\AppData\Local\Temp\OnboardLogs"\RTDC4015\*4015*201704212*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"%USERPROFILE%\AppData\Local\Temp\OnboardLogs"\RTDC4015\*4015*201704212* &gt;&gt; 2017-04-21-SliceDisagreementCheck.txt</v>
      </c>
      <c r="AE17" s="150" t="str">
        <f t="shared" si="9"/>
        <v>start /low /b %USERPROFILE%\Documents\GitHub\eaglep3\Utilities\DownloadLogsFromS3.py --loco 4015 --day 2017-04-21</v>
      </c>
      <c r="AF17" s="1"/>
    </row>
    <row r="18" spans="1:32" x14ac:dyDescent="0.25">
      <c r="A18" s="32">
        <v>42846.149456018517</v>
      </c>
      <c r="B18" s="30" t="s">
        <v>491</v>
      </c>
      <c r="C18" s="30" t="s">
        <v>587</v>
      </c>
      <c r="D18" s="30" t="s">
        <v>98</v>
      </c>
      <c r="E18" s="30" t="s">
        <v>449</v>
      </c>
      <c r="F18" s="43">
        <v>200</v>
      </c>
      <c r="G18" s="43">
        <v>273</v>
      </c>
      <c r="H18" s="43">
        <v>65445</v>
      </c>
      <c r="I18" s="43">
        <v>66268</v>
      </c>
      <c r="J18" s="30" t="s">
        <v>450</v>
      </c>
      <c r="K18" s="43">
        <v>63995</v>
      </c>
      <c r="L18" s="138" t="s">
        <v>50</v>
      </c>
      <c r="M18" s="139">
        <f t="shared" si="0"/>
        <v>-1200.144</v>
      </c>
      <c r="N18" s="140" t="str">
        <f>VLOOKUP(C18,'Trips&amp;Operators'!$C$1:$G$99999,5,FALSE)</f>
        <v>BADERTSCHER DIANE</v>
      </c>
      <c r="O18" s="198" t="s">
        <v>184</v>
      </c>
      <c r="P18" s="141" t="s">
        <v>586</v>
      </c>
      <c r="Q18" s="30"/>
      <c r="R18" s="89" t="str">
        <f>IF(VLOOKUP(C18,'Train Runs'!$A$13:$AE$9930,1,1)=C18,VLOOKUP(C18,'Train Runs'!$A$13:$AE$9930,31,1),NA())</f>
        <v>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 &amp; 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</v>
      </c>
      <c r="S18" s="92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-04-21T02:32:58-0600',mode:absolute,to:'2017-04-21T04:59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94" t="str">
        <f t="shared" si="1"/>
        <v>"C:\Program Files (x86)\AstroGrep\AstroGrep.exe" /e /r /s /spath="%USERPROFILE%\AppData\Local\Temp\OnboardLogs" /stypes="*4032*201704210*" /stext=" 09:.+((SYSTEM_STATE.+slice.+state.+changed )|(ment ac)|(multiple cpu faults)|(system.+state.+changed )|(\[timeout)|(PRM\|1\|D)|(kpr)|(kdp)|(\|lc)|(penalty))"</v>
      </c>
      <c r="U18" s="9" t="str">
        <f t="shared" si="2"/>
        <v>4032</v>
      </c>
      <c r="V18" s="32">
        <f t="shared" si="3"/>
        <v>42846.399456018517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Overspeed","project_id":79,"tracker_id":40,"status_id":1,"priority_id":2,"assigned_to_id":23,"start_date":"2017-04-21","description":"","custom_fields":[{"id":1,"name":"Subdivision","value":"EC"},{"id":4,"name":"Milepost","value":"6.3995"},{"id":17,"name":"Train ID","value":"101-21"},{"id":16,"name":"Locomotive ID","value":"4032"},{"id":130,"name":"Impact","value":""},{"id":150,"name":"Time of Event (Mountain Time)","value":"03:35:13"},{"id":151,"name":"Denver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8"/>
      <c r="AA18" s="48"/>
      <c r="AB18" s="48"/>
      <c r="AC18" s="123" t="str">
        <f t="shared" si="7"/>
        <v>grep -hSE -A400 "Enforcement Action" "%USERPROFILE%\AppData\Local\Temp\OnboardLogs"\RTDC4032\*4032*201704210*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"%USERPROFILE%\AppData\Local\Temp\OnboardLogs"\RTDC4032\*4032*201704210* &gt;&gt; 2017-04-21-SliceDisagreementCheck.txt</v>
      </c>
      <c r="AE18" s="150" t="str">
        <f t="shared" si="9"/>
        <v>start /low /b %USERPROFILE%\Documents\GitHub\eaglep3\Utilities\DownloadLogsFromS3.py --loco 4032 --day 2017-04-21</v>
      </c>
      <c r="AF18" s="1"/>
    </row>
    <row r="19" spans="1:32" x14ac:dyDescent="0.25">
      <c r="A19" s="32">
        <v>42846.415370370371</v>
      </c>
      <c r="B19" s="30" t="s">
        <v>354</v>
      </c>
      <c r="C19" s="30" t="s">
        <v>599</v>
      </c>
      <c r="D19" s="30" t="s">
        <v>98</v>
      </c>
      <c r="E19" s="30" t="s">
        <v>449</v>
      </c>
      <c r="F19" s="43">
        <v>0</v>
      </c>
      <c r="G19" s="43">
        <v>138</v>
      </c>
      <c r="H19" s="43">
        <v>63776</v>
      </c>
      <c r="I19" s="43">
        <v>63560</v>
      </c>
      <c r="J19" s="30" t="s">
        <v>450</v>
      </c>
      <c r="K19" s="43">
        <v>64008</v>
      </c>
      <c r="L19" s="138" t="s">
        <v>51</v>
      </c>
      <c r="M19" s="139">
        <f t="shared" si="0"/>
        <v>-236.54400000000001</v>
      </c>
      <c r="N19" s="140" t="str">
        <f>VLOOKUP(C19,'Trips&amp;Operators'!$C$1:$G$99999,5,FALSE)</f>
        <v>BIRENBAUM THOMAS</v>
      </c>
      <c r="O19" s="198" t="s">
        <v>184</v>
      </c>
      <c r="P19" s="141" t="s">
        <v>1040</v>
      </c>
      <c r="Q19" s="30"/>
      <c r="R19" s="89" t="str">
        <f>IF(VLOOKUP(C19,'Train Runs'!$A$13:$AE$9930,1,1)=C19,VLOOKUP(C19,'Train Runs'!$A$13:$AE$9930,31,1),NA())</f>
        <v>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 &amp; 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</v>
      </c>
      <c r="S19" s="92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-04-21T08:10:15-0600',mode:absolute,to:'2017-04-21T10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94" t="str">
        <f t="shared" si="1"/>
        <v>"C:\Program Files (x86)\AstroGrep\AstroGrep.exe" /e /r /s /spath="%USERPROFILE%\AppData\Local\Temp\OnboardLogs" /stypes="*4031*201704211*" /stext=" 15:.+((SYSTEM_STATE.+slice.+state.+changed )|(ment ac)|(multiple cpu faults)|(system.+state.+changed )|(\[timeout)|(PRM\|1\|D)|(kpr)|(kdp)|(\|lc)|(penalty))"</v>
      </c>
      <c r="U19" s="9" t="str">
        <f t="shared" si="2"/>
        <v>4031</v>
      </c>
      <c r="V19" s="32">
        <f t="shared" si="3"/>
        <v>42846.665370370371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{"issue":{"subject":"Went active too close to signal","project_id":79,"tracker_id":40,"status_id":1,"priority_id":2,"assigned_to_id":23,"start_date":"2017-04-21","description":"","custom_fields":[{"id":1,"name":"Subdivision","value":"EC"},{"id":4,"name":"Milepost","value":"6.4008"},{"id":17,"name":"Train ID","value":"140-21"},{"id":16,"name":"Locomotive ID","value":"4031"},{"id":130,"name":"Impact","value":""},{"id":150,"name":"Time of Event (Mountain Time)","value":"09:58:08"},{"id":151,"name":"Denver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8"/>
      <c r="AA19" s="48"/>
      <c r="AB19" s="48"/>
      <c r="AC19" s="123" t="str">
        <f t="shared" si="7"/>
        <v>grep -hSE -A400 "Enforcement Action" "%USERPROFILE%\AppData\Local\Temp\OnboardLogs"\RTDC4031\*4031*201704211*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"%USERPROFILE%\AppData\Local\Temp\OnboardLogs"\RTDC4031\*4031*201704211* &gt;&gt; 2017-04-21-SliceDisagreementCheck.txt</v>
      </c>
      <c r="AE19" s="150" t="str">
        <f t="shared" si="9"/>
        <v>start /low /b %USERPROFILE%\Documents\GitHub\eaglep3\Utilities\DownloadLogsFromS3.py --loco 4031 --day 2017-04-21</v>
      </c>
      <c r="AF19" s="1"/>
    </row>
    <row r="20" spans="1:32" x14ac:dyDescent="0.25">
      <c r="A20" s="32">
        <v>42846.637141203704</v>
      </c>
      <c r="B20" s="30" t="s">
        <v>393</v>
      </c>
      <c r="C20" s="30" t="s">
        <v>613</v>
      </c>
      <c r="D20" s="30" t="s">
        <v>49</v>
      </c>
      <c r="E20" s="30" t="s">
        <v>449</v>
      </c>
      <c r="F20" s="43">
        <v>0</v>
      </c>
      <c r="G20" s="43">
        <v>426</v>
      </c>
      <c r="H20" s="43">
        <v>214715</v>
      </c>
      <c r="I20" s="43">
        <v>216167</v>
      </c>
      <c r="J20" s="30" t="s">
        <v>450</v>
      </c>
      <c r="K20" s="43">
        <v>217106</v>
      </c>
      <c r="L20" s="138" t="s">
        <v>50</v>
      </c>
      <c r="M20" s="139">
        <f t="shared" si="0"/>
        <v>495.79199999999997</v>
      </c>
      <c r="N20" s="140" t="str">
        <f>VLOOKUP(C20,'Trips&amp;Operators'!$C$1:$G$99999,5,FALSE)</f>
        <v>ROMERO CHAD</v>
      </c>
      <c r="O20" s="198" t="s">
        <v>430</v>
      </c>
      <c r="P20" s="141" t="s">
        <v>529</v>
      </c>
      <c r="Q20" s="30"/>
      <c r="R20" s="89" t="str">
        <f>IF(VLOOKUP(C20,'Train Runs'!$A$13:$AE$9930,1,1)=C20,VLOOKUP(C20,'Train Runs'!$A$13:$AE$9930,31,1),NA())</f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S20" s="92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-04-21T13:41:58-0600',mode:absolute,to:'2017-04-21T16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/stypes="*4004*201704212*" /stext=" 21:.+((SYSTEM_STATE.+slice.+state.+changed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42846.887141203704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{"issue":{"subject":"Wi-MAX data drop","project_id":79,"tracker_id":40,"status_id":1,"priority_id":2,"assigned_to_id":23,"start_date":"2017-04-21","description":"http://stevetu21.github.io/eaglep3/load_kml.html?kml=http://rtdc.gmaps-snips.s3.amazonaws.com/dc5f2777-e025-48e0-8ce8-95ce016fe2f7.kml","custom_fields":[{"id":1,"name":"Subdivision","value":"EC"},{"id":4,"name":"Milepost","value":"21.7106"},{"id":17,"name":"Train ID","value":"189-21"},{"id":16,"name":"Locomotive ID","value":"4004"},{"id":130,"name":"Impact","value":"Enforcement"},{"id":150,"name":"Time of Event (Mountain Time)","value":"15:17:29"},{"id":151,"name":"Denver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t="s">
        <v>1041</v>
      </c>
      <c r="AA20" s="48" t="s">
        <v>124</v>
      </c>
      <c r="AB20" s="48" t="s">
        <v>137</v>
      </c>
      <c r="AC20" s="123" t="str">
        <f t="shared" si="7"/>
        <v>grep -hSE -A400 "Enforcement Action" "%USERPROFILE%\AppData\Local\Temp\OnboardLogs"\RTDC4004\*4004*201704212*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"%USERPROFILE%\AppData\Local\Temp\OnboardLogs"\RTDC4004\*4004*201704212* &gt;&gt; 2017-04-21-SliceDisagreementCheck.txt</v>
      </c>
      <c r="AE20" s="150" t="str">
        <f t="shared" si="9"/>
        <v>start /low /b %USERPROFILE%\Documents\GitHub\eaglep3\Utilities\DownloadLogsFromS3.py --loco 4004 --day 2017-04-21</v>
      </c>
      <c r="AF20" s="1"/>
    </row>
    <row r="21" spans="1:32" x14ac:dyDescent="0.25">
      <c r="A21" s="32">
        <v>42846.287662037037</v>
      </c>
      <c r="B21" s="30" t="s">
        <v>531</v>
      </c>
      <c r="C21" s="30" t="s">
        <v>591</v>
      </c>
      <c r="D21" s="30" t="s">
        <v>98</v>
      </c>
      <c r="E21" s="30" t="s">
        <v>592</v>
      </c>
      <c r="F21" s="43">
        <v>150</v>
      </c>
      <c r="G21" s="43">
        <v>216</v>
      </c>
      <c r="H21" s="43">
        <v>47550</v>
      </c>
      <c r="I21" s="43">
        <v>47065</v>
      </c>
      <c r="J21" s="30" t="s">
        <v>192</v>
      </c>
      <c r="K21" s="43">
        <v>48099</v>
      </c>
      <c r="L21" s="138" t="s">
        <v>51</v>
      </c>
      <c r="M21" s="139">
        <f t="shared" si="0"/>
        <v>-545.952</v>
      </c>
      <c r="N21" s="140" t="str">
        <f>VLOOKUP(C21,'Trips&amp;Operators'!$C$1:$G$99999,5,FALSE)</f>
        <v>ROCHA YAOTL</v>
      </c>
      <c r="O21" s="198" t="s">
        <v>184</v>
      </c>
      <c r="P21" s="141"/>
      <c r="Q21" s="30"/>
      <c r="R21" s="89" t="str">
        <f>IF(VLOOKUP(C21,'Train Runs'!$A$13:$AE$9930,1,1)=C21,VLOOKUP(C21,'Train Runs'!$A$13:$AE$9930,31,1),NA())</f>
        <v>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 &amp; aws s3 cp s3://rtdc.mdm.uploadarchive.raw/RTDC4043/ "%USERPROFILE%\AppData\Local\Temp\OnboardLogs"\RTDC4043\2017-04-22 --exclude "*" --recursive --include "*20170422*" &amp; "%USERPROFILE%\Documents\GitHub\mrs-test-scripts\Headless Mode &amp; Sideloading\WalkAndUnGZ.bat" "%USERPROFILE%\AppData\Local\Temp\OnboardLogs"\RTDC4043\2017-04-22</v>
      </c>
      <c r="S21" s="92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-04-21T05:23:12-0600',mode:absolute,to:'2017-04-21T08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1" s="94" t="str">
        <f t="shared" si="1"/>
        <v>"C:\Program Files (x86)\AstroGrep\AstroGrep.exe" /e /r /s /spath="%USERPROFILE%\AppData\Local\Temp\OnboardLogs" /stypes="*4043*201704211*" /stext=" 12:.+((SYSTEM_STATE.+slice.+state.+changed )|(ment ac)|(multiple cpu faults)|(system.+state.+changed )|(\[timeout)|(PRM\|1\|D)|(kpr)|(kdp)|(\|lc)|(penalty))"</v>
      </c>
      <c r="U21" s="9" t="str">
        <f t="shared" si="2"/>
        <v>4043</v>
      </c>
      <c r="V21" s="32">
        <f t="shared" si="3"/>
        <v>42846.537662037037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{"issue":{"subject":"","project_id":79,"tracker_id":40,"status_id":1,"priority_id":2,"assigned_to_id":23,"start_date":"2017-04-21","description":"","custom_fields":[{"id":1,"name":"Subdivision","value":"EC"},{"id":4,"name":"Milepost","value":"4.8099"},{"id":17,"name":"Train ID","value":"116-21"},{"id":16,"name":"Locomotive ID","value":"4043"},{"id":130,"name":"Impact","value":""},{"id":150,"name":"Time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8"/>
      <c r="AA21" s="48"/>
      <c r="AB21" s="48"/>
      <c r="AC21" s="123" t="str">
        <f t="shared" si="7"/>
        <v>grep -hSE -A400 "Enforcement Action" "%USERPROFILE%\AppData\Local\Temp\OnboardLogs"\RTDC4043\*4043*201704211*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"%USERPROFILE%\AppData\Local\Temp\OnboardLogs"\RTDC4043\*4043*201704211* &gt;&gt; 2017-04-21-SliceDisagreementCheck.txt</v>
      </c>
      <c r="AE21" s="150" t="str">
        <f t="shared" si="9"/>
        <v>start /low /b %USERPROFILE%\Documents\GitHub\eaglep3\Utilities\DownloadLogsFromS3.py --loco 4043 --day 2017-04-21</v>
      </c>
      <c r="AF21" s="1"/>
    </row>
    <row r="22" spans="1:32" x14ac:dyDescent="0.25">
      <c r="A22" s="32">
        <v>42846.546550925923</v>
      </c>
      <c r="B22" s="30" t="s">
        <v>451</v>
      </c>
      <c r="C22" s="30" t="s">
        <v>607</v>
      </c>
      <c r="D22" s="30" t="s">
        <v>49</v>
      </c>
      <c r="E22" s="30" t="s">
        <v>185</v>
      </c>
      <c r="F22" s="43">
        <v>0</v>
      </c>
      <c r="G22" s="43">
        <v>85</v>
      </c>
      <c r="H22" s="43">
        <v>298</v>
      </c>
      <c r="I22" s="43">
        <v>196</v>
      </c>
      <c r="J22" s="30" t="s">
        <v>186</v>
      </c>
      <c r="K22" s="43">
        <v>1</v>
      </c>
      <c r="L22" s="138" t="s">
        <v>51</v>
      </c>
      <c r="M22" s="139">
        <f t="shared" si="0"/>
        <v>102.96</v>
      </c>
      <c r="N22" s="140" t="str">
        <f>VLOOKUP(C22,'Trips&amp;Operators'!$C$1:$G$99999,5,FALSE)</f>
        <v>CLARK KATHLEEN</v>
      </c>
      <c r="O22" s="198" t="s">
        <v>184</v>
      </c>
      <c r="P22" s="141"/>
      <c r="Q22" s="30"/>
      <c r="R22" s="89" t="str">
        <f>IF(VLOOKUP(C22,'Train Runs'!$A$13:$AE$9930,1,1)=C22,VLOOKUP(C22,'Train Runs'!$A$13:$AE$9930,31,1),NA())</f>
        <v>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 &amp; aws s3 cp s3://rtdc.mdm.uploadarchive.raw/RTDC4001/ "%USERPROFILE%\AppData\Local\Temp\OnboardLogs"\RTDC4001\2017-04-22 --exclude "*" --recursive --include "*20170422*" &amp; "%USERPROFILE%\Documents\GitHub\mrs-test-scripts\Headless Mode &amp; Sideloading\WalkAndUnGZ.bat" "%USERPROFILE%\AppData\Local\Temp\OnboardLogs"\RTDC4001\2017-04-22</v>
      </c>
      <c r="S22" s="92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-04-21T11:18:13-0600',mode:absolute,to:'2017-04-21T14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/e /r /s /spath="%USERPROFILE%\AppData\Local\Temp\OnboardLogs" /stypes="*4001*201704211*" /stext=" 19:.+((SYSTEM_STATE.+slice.+state.+changed )|(ment ac)|(multiple cpu faults)|(system.+state.+changed )|(\[timeout)|(PRM\|1\|D)|(kpr)|(kdp)|(\|lc)|(penalty))"</v>
      </c>
      <c r="U22" s="9" t="str">
        <f t="shared" si="2"/>
        <v>4001</v>
      </c>
      <c r="V22" s="32">
        <f t="shared" si="3"/>
        <v>42846.796550925923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{"issue":{"subject":"","project_id":79,"tracker_id":40,"status_id":1,"priority_id":2,"assigned_to_id":23,"start_date":"2017-04-21","description":"","custom_fields":[{"id":1,"name":"Subdivision","value":"EC"},{"id":4,"name":"Milepost","value":"0.0001"},{"id":17,"name":"Train ID","value":"164-21"},{"id":16,"name":"Locomotive ID","value":"4001"},{"id":130,"name":"Impact","value":""},{"id":150,"name":"Time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8"/>
      <c r="AA22" s="48"/>
      <c r="AB22" s="48"/>
      <c r="AC22" s="123" t="str">
        <f t="shared" si="7"/>
        <v>grep -hSE -A400 "Enforcement Action" "%USERPROFILE%\AppData\Local\Temp\OnboardLogs"\RTDC4001\*4001*201704211*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"%USERPROFILE%\AppData\Local\Temp\OnboardLogs"\RTDC4001\*4001*201704211* &gt;&gt; 2017-04-21-SliceDisagreementCheck.txt</v>
      </c>
      <c r="AE22" s="150" t="str">
        <f t="shared" si="9"/>
        <v>start /low /b %USERPROFILE%\Documents\GitHub\eaglep3\Utilities\DownloadLogsFromS3.py --loco 4001 --day 2017-04-21</v>
      </c>
      <c r="AF22" s="1"/>
    </row>
    <row r="23" spans="1:32" x14ac:dyDescent="0.25">
      <c r="A23" s="32">
        <v>42846.556516203702</v>
      </c>
      <c r="B23" s="30" t="s">
        <v>387</v>
      </c>
      <c r="C23" s="30" t="s">
        <v>608</v>
      </c>
      <c r="D23" s="30" t="s">
        <v>49</v>
      </c>
      <c r="E23" s="30" t="s">
        <v>185</v>
      </c>
      <c r="F23" s="43">
        <v>0</v>
      </c>
      <c r="G23" s="43">
        <v>40</v>
      </c>
      <c r="H23" s="43">
        <v>149</v>
      </c>
      <c r="I23" s="43">
        <v>119</v>
      </c>
      <c r="J23" s="30" t="s">
        <v>186</v>
      </c>
      <c r="K23" s="43">
        <v>1</v>
      </c>
      <c r="L23" s="138" t="s">
        <v>51</v>
      </c>
      <c r="M23" s="139">
        <f t="shared" si="0"/>
        <v>62.304000000000002</v>
      </c>
      <c r="N23" s="140" t="str">
        <f>VLOOKUP(C23,'Trips&amp;Operators'!$C$1:$G$99999,5,FALSE)</f>
        <v>BRUDER RICHARD</v>
      </c>
      <c r="O23" s="198" t="s">
        <v>184</v>
      </c>
      <c r="P23" s="141"/>
      <c r="Q23" s="30"/>
      <c r="R23" s="89" t="str">
        <f>IF(VLOOKUP(C23,'Train Runs'!$A$13:$AE$9930,1,1)=C23,VLOOKUP(C23,'Train Runs'!$A$13:$AE$9930,31,1),NA())</f>
        <v>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 &amp; aws s3 cp s3://rtdc.mdm.uploadarchive.raw/RTDC4045/ "%USERPROFILE%\AppData\Local\Temp\OnboardLogs"\RTDC4045\2017-04-22 --exclude "*" --recursive --include "*20170422*" &amp; "%USERPROFILE%\Documents\GitHub\mrs-test-scripts\Headless Mode &amp; Sideloading\WalkAndUnGZ.bat" "%USERPROFILE%\AppData\Local\Temp\OnboardLogs"\RTDC4045\2017-04-22</v>
      </c>
      <c r="S23" s="92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-04-21T11:35:36-0600',mode:absolute,to:'2017-04-21T14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94" t="str">
        <f t="shared" si="1"/>
        <v>"C:\Program Files (x86)\AstroGrep\AstroGrep.exe" /e /r /s /spath="%USERPROFILE%\AppData\Local\Temp\OnboardLogs" /stypes="*4045*201704211*" /stext=" 19:.+((SYSTEM_STATE.+slice.+state.+changed )|(ment ac)|(multiple cpu faults)|(system.+state.+changed )|(\[timeout)|(PRM\|1\|D)|(kpr)|(kdp)|(\|lc)|(penalty))"</v>
      </c>
      <c r="U23" s="9" t="str">
        <f t="shared" si="2"/>
        <v>4045</v>
      </c>
      <c r="V23" s="32">
        <f t="shared" si="3"/>
        <v>42846.806516203702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{"issue":{"subject":"","project_id":79,"tracker_id":40,"status_id":1,"priority_id":2,"assigned_to_id":23,"start_date":"2017-04-21","description":"","custom_fields":[{"id":1,"name":"Subdivision","value":"EC"},{"id":4,"name":"Milepost","value":"0.0001"},{"id":17,"name":"Train ID","value":"166-21"},{"id":16,"name":"Locomotive ID","value":"4045"},{"id":130,"name":"Impact","value":""},{"id":150,"name":"Time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8"/>
      <c r="AA23" s="48"/>
      <c r="AB23" s="48"/>
      <c r="AC23" s="123" t="str">
        <f t="shared" si="7"/>
        <v>grep -hSE -A400 "Enforcement Action" "%USERPROFILE%\AppData\Local\Temp\OnboardLogs"\RTDC4045\*4045*201704211*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"%USERPROFILE%\AppData\Local\Temp\OnboardLogs"\RTDC4045\*4045*201704211* &gt;&gt; 2017-04-21-SliceDisagreementCheck.txt</v>
      </c>
      <c r="AE23" s="150" t="str">
        <f t="shared" si="9"/>
        <v>start /low /b %USERPROFILE%\Documents\GitHub\eaglep3\Utilities\DownloadLogsFromS3.py --loco 4045 --day 2017-04-21</v>
      </c>
      <c r="AF23" s="1"/>
    </row>
    <row r="24" spans="1:32" x14ac:dyDescent="0.25">
      <c r="A24" s="32">
        <v>42846.578125</v>
      </c>
      <c r="B24" s="30" t="s">
        <v>439</v>
      </c>
      <c r="C24" s="30" t="s">
        <v>610</v>
      </c>
      <c r="D24" s="30" t="s">
        <v>49</v>
      </c>
      <c r="E24" s="30" t="s">
        <v>185</v>
      </c>
      <c r="F24" s="43">
        <v>0</v>
      </c>
      <c r="G24" s="43">
        <v>36</v>
      </c>
      <c r="H24" s="43">
        <v>129</v>
      </c>
      <c r="I24" s="43">
        <v>112</v>
      </c>
      <c r="J24" s="30" t="s">
        <v>186</v>
      </c>
      <c r="K24" s="43">
        <v>1</v>
      </c>
      <c r="L24" s="138" t="s">
        <v>51</v>
      </c>
      <c r="M24" s="139">
        <f t="shared" si="0"/>
        <v>58.607999999999997</v>
      </c>
      <c r="N24" s="140" t="str">
        <f>VLOOKUP(C24,'Trips&amp;Operators'!$C$1:$G$99999,5,FALSE)</f>
        <v>DELGADO DIANAH</v>
      </c>
      <c r="O24" s="198" t="s">
        <v>184</v>
      </c>
      <c r="P24" s="141"/>
      <c r="Q24" s="30"/>
      <c r="R24" s="89" t="str">
        <f>IF(VLOOKUP(C24,'Train Runs'!$A$13:$AE$9930,1,1)=C24,VLOOKUP(C24,'Train Runs'!$A$13:$AE$9930,31,1),NA())</f>
        <v>aws s3 cp s3://rtdc.mdm.uploadarchive.raw/RTDC4015/ "%USERPROFILE%\AppData\Local\Temp\OnboardLogs"\RTDC4015\2017-04-21 --exclude "*" --recursive --include "*20170421*" &amp; "%USERPROFILE%\Documents\GitHub\mrs-test-scripts\Headless Mode &amp; Sideloading\WalkAndUnGZ.bat" "%USERPROFILE%\AppData\Local\Temp\OnboardLogs"\RTDC4015\2017-04-21 &amp; 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</v>
      </c>
      <c r="S24" s="92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-04-21T12:02:43-0600',mode:absolute,to:'2017-04-21T14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94" t="str">
        <f t="shared" si="1"/>
        <v>"C:\Program Files (x86)\AstroGrep\AstroGrep.exe" /e /r /s /spath="%USERPROFILE%\AppData\Local\Temp\OnboardLogs" /stypes="*4015*201704211*" /stext=" 19:.+((SYSTEM_STATE.+slice.+state.+changed )|(ment ac)|(multiple cpu faults)|(system.+state.+changed )|(\[timeout)|(PRM\|1\|D)|(kpr)|(kdp)|(\|lc)|(penalty))"</v>
      </c>
      <c r="U24" s="9" t="str">
        <f t="shared" si="2"/>
        <v>4015</v>
      </c>
      <c r="V24" s="32">
        <f t="shared" si="3"/>
        <v>42846.828125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{"issue":{"subject":"","project_id":79,"tracker_id":40,"status_id":1,"priority_id":2,"assigned_to_id":23,"start_date":"2017-04-21","description":"","custom_fields":[{"id":1,"name":"Subdivision","value":"EC"},{"id":4,"name":"Milepost","value":"0.0001"},{"id":17,"name":"Train ID","value":"170-21"},{"id":16,"name":"Locomotive ID","value":"4015"},{"id":130,"name":"Impact","value":""},{"id":150,"name":"Time of Event (Mountain Time)","value":"13:52:30"},{"id":151,"name":"Denver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8"/>
      <c r="AA24" s="48"/>
      <c r="AB24" s="48"/>
      <c r="AC24" s="123" t="str">
        <f t="shared" si="7"/>
        <v>grep -hSE -A400 "Enforcement Action" "%USERPROFILE%\AppData\Local\Temp\OnboardLogs"\RTDC4015\*4015*201704211*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"%USERPROFILE%\AppData\Local\Temp\OnboardLogs"\RTDC4015\*4015*201704211* &gt;&gt; 2017-04-21-SliceDisagreementCheck.txt</v>
      </c>
      <c r="AE24" s="150" t="str">
        <f t="shared" si="9"/>
        <v>start /low /b %USERPROFILE%\Documents\GitHub\eaglep3\Utilities\DownloadLogsFromS3.py --loco 4015 --day 2017-04-21</v>
      </c>
      <c r="AF24" s="1"/>
    </row>
    <row r="25" spans="1:32" x14ac:dyDescent="0.25">
      <c r="A25" s="32">
        <v>42846.860127314816</v>
      </c>
      <c r="B25" s="30" t="s">
        <v>442</v>
      </c>
      <c r="C25" s="30" t="s">
        <v>623</v>
      </c>
      <c r="D25" s="30" t="s">
        <v>49</v>
      </c>
      <c r="E25" s="30" t="s">
        <v>185</v>
      </c>
      <c r="F25" s="43">
        <v>0</v>
      </c>
      <c r="G25" s="43">
        <v>60</v>
      </c>
      <c r="H25" s="43">
        <v>216</v>
      </c>
      <c r="I25" s="43">
        <v>149</v>
      </c>
      <c r="J25" s="30" t="s">
        <v>186</v>
      </c>
      <c r="K25" s="43">
        <v>1</v>
      </c>
      <c r="L25" s="138" t="s">
        <v>51</v>
      </c>
      <c r="M25" s="139">
        <f t="shared" si="0"/>
        <v>78.144000000000005</v>
      </c>
      <c r="N25" s="140" t="str">
        <f>VLOOKUP(C25,'Trips&amp;Operators'!$C$1:$G$99999,5,FALSE)</f>
        <v>BROWN JACOB</v>
      </c>
      <c r="O25" s="198" t="s">
        <v>184</v>
      </c>
      <c r="P25" s="141"/>
      <c r="Q25" s="30"/>
      <c r="R25" s="89" t="str">
        <f>IF(VLOOKUP(C25,'Train Runs'!$A$13:$AE$9930,1,1)=C25,VLOOKUP(C25,'Train Runs'!$A$13:$AE$9930,31,1),NA())</f>
        <v>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 &amp; aws s3 cp s3://rtdc.mdm.uploadarchive.raw/RTDC4023/ "%USERPROFILE%\AppData\Local\Temp\OnboardLogs"\RTDC4023\2017-04-22 --exclude "*" --recursive --include "*20170422*" &amp; "%USERPROFILE%\Documents\GitHub\mrs-test-scripts\Headless Mode &amp; Sideloading\WalkAndUnGZ.bat" "%USERPROFILE%\AppData\Local\Temp\OnboardLogs"\RTDC4023\2017-04-22</v>
      </c>
      <c r="S25" s="92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-04-21T18:52:59-0600',mode:absolute,to:'2017-04-21T21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94" t="str">
        <f t="shared" si="1"/>
        <v>"C:\Program Files (x86)\AstroGrep\AstroGrep.exe" /e /r /s /spath="%USERPROFILE%\AppData\Local\Temp\OnboardLogs" /stypes="*4023*201704220*" /stext=" 02:.+((SYSTEM_STATE.+slice.+state.+changed )|(ment ac)|(multiple cpu faults)|(system.+state.+changed )|(\[timeout)|(PRM\|1\|D)|(kpr)|(kdp)|(\|lc)|(penalty))"</v>
      </c>
      <c r="U25" s="9" t="str">
        <f t="shared" si="2"/>
        <v>4023</v>
      </c>
      <c r="V25" s="32">
        <f t="shared" si="3"/>
        <v>42847.110127314816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{"issue":{"subject":"","project_id":79,"tracker_id":40,"status_id":1,"priority_id":2,"assigned_to_id":23,"start_date":"2017-04-21","description":"","custom_fields":[{"id":1,"name":"Subdivision","value":"EC"},{"id":4,"name":"Milepost","value":"0.0001"},{"id":17,"name":"Train ID","value":"222-21"},{"id":16,"name":"Locomotive ID","value":"4023"},{"id":130,"name":"Impact","value":""},{"id":150,"name":"Time of Event (Mountain Time)","value":"20:38:35"},{"id":151,"name":"Denver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8"/>
      <c r="AA25" s="48"/>
      <c r="AB25" s="48"/>
      <c r="AC25" s="123" t="str">
        <f t="shared" si="7"/>
        <v>grep -hSE -A400 "Enforcement Action" "%USERPROFILE%\AppData\Local\Temp\OnboardLogs"\RTDC4023\*4023*201704220*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"%USERPROFILE%\AppData\Local\Temp\OnboardLogs"\RTDC4023\*4023*201704220* &gt;&gt; 2017-04-21-SliceDisagreementCheck.txt</v>
      </c>
      <c r="AE25" s="150" t="str">
        <f t="shared" si="9"/>
        <v>start /low /b %USERPROFILE%\Documents\GitHub\eaglep3\Utilities\DownloadLogsFromS3.py --loco 4023 --day 2017-04-22</v>
      </c>
      <c r="AF25" s="1"/>
    </row>
    <row r="26" spans="1:32" x14ac:dyDescent="0.25">
      <c r="A26" s="32">
        <v>42846.712962962964</v>
      </c>
      <c r="B26" s="30" t="s">
        <v>393</v>
      </c>
      <c r="C26" s="30" t="s">
        <v>618</v>
      </c>
      <c r="D26" s="30" t="s">
        <v>49</v>
      </c>
      <c r="E26" s="30" t="s">
        <v>185</v>
      </c>
      <c r="F26" s="43">
        <v>0</v>
      </c>
      <c r="G26" s="43">
        <v>28</v>
      </c>
      <c r="H26" s="43">
        <v>233408</v>
      </c>
      <c r="I26" s="43">
        <v>233412</v>
      </c>
      <c r="J26" s="30" t="s">
        <v>186</v>
      </c>
      <c r="K26" s="43">
        <v>233491</v>
      </c>
      <c r="L26" s="138" t="s">
        <v>50</v>
      </c>
      <c r="M26" s="139">
        <f t="shared" si="0"/>
        <v>41.712000000000003</v>
      </c>
      <c r="N26" s="140" t="str">
        <f>VLOOKUP(C26,'Trips&amp;Operators'!$C$1:$G$99999,5,FALSE)</f>
        <v>ROMERO CHAD</v>
      </c>
      <c r="O26" s="198" t="s">
        <v>184</v>
      </c>
      <c r="P26" s="141"/>
      <c r="Q26" s="30"/>
      <c r="R26" s="89" t="str">
        <f>IF(VLOOKUP(C26,'Train Runs'!$A$13:$AE$9930,1,1)=C26,VLOOKUP(C26,'Train Runs'!$A$13:$AE$9930,31,1),NA())</f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S26" s="92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-04-21T15:23:07-0600',mode:absolute,to:'2017-04-21T18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94" t="str">
        <f t="shared" si="1"/>
        <v>"C:\Program Files (x86)\AstroGrep\AstroGrep.exe" /e /r /s /spath="%USERPROFILE%\AppData\Local\Temp\OnboardLogs" /stypes="*4004*201704212*" /stext=" 23:.+((SYSTEM_STATE.+slice.+state.+changed )|(ment ac)|(multiple cpu faults)|(system.+state.+changed )|(\[timeout)|(PRM\|1\|D)|(kpr)|(kdp)|(\|lc)|(penalty))"</v>
      </c>
      <c r="U26" s="9" t="str">
        <f t="shared" si="2"/>
        <v>4004</v>
      </c>
      <c r="V26" s="32">
        <f t="shared" si="3"/>
        <v>42846.962962962964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{"issue":{"subject":"","project_id":79,"tracker_id":40,"status_id":1,"priority_id":2,"assigned_to_id":23,"start_date":"2017-04-21","description":"","custom_fields":[{"id":1,"name":"Subdivision","value":"EC"},{"id":4,"name":"Milepost","value":"23.3491"},{"id":17,"name":"Train ID","value":"203-21"},{"id":16,"name":"Locomotive ID","value":"4004"},{"id":130,"name":"Impact","value":""},{"id":150,"name":"Time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8"/>
      <c r="AA26" s="48"/>
      <c r="AB26" s="48"/>
      <c r="AC26" s="123" t="str">
        <f t="shared" si="7"/>
        <v>grep -hSE -A400 "Enforcement Action" "%USERPROFILE%\AppData\Local\Temp\OnboardLogs"\RTDC4004\*4004*201704212*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"%USERPROFILE%\AppData\Local\Temp\OnboardLogs"\RTDC4004\*4004*201704212* &gt;&gt; 2017-04-21-SliceDisagreementCheck.txt</v>
      </c>
      <c r="AE26" s="150" t="str">
        <f t="shared" si="9"/>
        <v>start /low /b %USERPROFILE%\Documents\GitHub\eaglep3\Utilities\DownloadLogsFromS3.py --loco 4004 --day 2017-04-21</v>
      </c>
      <c r="AF26" s="1"/>
    </row>
    <row r="27" spans="1:32" x14ac:dyDescent="0.25">
      <c r="A27" s="32">
        <v>42846.78528935185</v>
      </c>
      <c r="B27" s="30" t="s">
        <v>393</v>
      </c>
      <c r="C27" s="30" t="s">
        <v>622</v>
      </c>
      <c r="D27" s="30" t="s">
        <v>49</v>
      </c>
      <c r="E27" s="30" t="s">
        <v>185</v>
      </c>
      <c r="F27" s="43">
        <v>0</v>
      </c>
      <c r="G27" s="43">
        <v>54</v>
      </c>
      <c r="H27" s="43">
        <v>233364</v>
      </c>
      <c r="I27" s="43">
        <v>233410</v>
      </c>
      <c r="J27" s="30" t="s">
        <v>186</v>
      </c>
      <c r="K27" s="43">
        <v>233491</v>
      </c>
      <c r="L27" s="138" t="s">
        <v>50</v>
      </c>
      <c r="M27" s="139">
        <f t="shared" si="0"/>
        <v>42.768000000000001</v>
      </c>
      <c r="N27" s="140" t="str">
        <f>VLOOKUP(C27,'Trips&amp;Operators'!$C$1:$G$99999,5,FALSE)</f>
        <v>STAMBAUGH JAMES</v>
      </c>
      <c r="O27" s="198" t="s">
        <v>184</v>
      </c>
      <c r="P27" s="141"/>
      <c r="Q27" s="30"/>
      <c r="R27" s="89" t="str">
        <f>IF(VLOOKUP(C27,'Train Runs'!$A$13:$AE$9930,1,1)=C27,VLOOKUP(C27,'Train Runs'!$A$13:$AE$9930,31,1),NA())</f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S27" s="92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-04-21T17:07:54-0600',mode:absolute,to:'2017-04-21T19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94" t="str">
        <f t="shared" si="1"/>
        <v>"C:\Program Files (x86)\AstroGrep\AstroGrep.exe" /e /r /s /spath="%USERPROFILE%\AppData\Local\Temp\OnboardLogs" /stypes="*4004*201704220*" /stext=" 00:.+((SYSTEM_STATE.+slice.+state.+changed )|(ment ac)|(multiple cpu faults)|(system.+state.+changed )|(\[timeout)|(PRM\|1\|D)|(kpr)|(kdp)|(\|lc)|(penalty))"</v>
      </c>
      <c r="U27" s="9" t="str">
        <f t="shared" si="2"/>
        <v>4004</v>
      </c>
      <c r="V27" s="32">
        <f t="shared" si="3"/>
        <v>42847.03528935185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{"issue":{"subject":"","project_id":79,"tracker_id":40,"status_id":1,"priority_id":2,"assigned_to_id":23,"start_date":"2017-04-21","description":"","custom_fields":[{"id":1,"name":"Subdivision","value":"EC"},{"id":4,"name":"Milepost","value":"23.3491"},{"id":17,"name":"Train ID","value":"217-21"},{"id":16,"name":"Locomotive ID","value":"4004"},{"id":130,"name":"Impact","value":""},{"id":150,"name":"Time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8"/>
      <c r="AA27" s="48"/>
      <c r="AB27" s="48"/>
      <c r="AC27" s="123" t="str">
        <f t="shared" si="7"/>
        <v>grep -hSE -A400 "Enforcement Action" "%USERPROFILE%\AppData\Local\Temp\OnboardLogs"\RTDC4004\*4004*201704220*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"%USERPROFILE%\AppData\Local\Temp\OnboardLogs"\RTDC4004\*4004*201704220* &gt;&gt; 2017-04-21-SliceDisagreementCheck.txt</v>
      </c>
      <c r="AE27" s="150" t="str">
        <f t="shared" si="9"/>
        <v>start /low /b %USERPROFILE%\Documents\GitHub\eaglep3\Utilities\DownloadLogsFromS3.py --loco 4004 --day 2017-04-22</v>
      </c>
      <c r="AF27" s="1"/>
    </row>
    <row r="28" spans="1:32" x14ac:dyDescent="0.25">
      <c r="A28" s="32">
        <v>42846.941979166666</v>
      </c>
      <c r="B28" s="30" t="s">
        <v>393</v>
      </c>
      <c r="C28" s="30" t="s">
        <v>624</v>
      </c>
      <c r="D28" s="30" t="s">
        <v>49</v>
      </c>
      <c r="E28" s="30" t="s">
        <v>185</v>
      </c>
      <c r="F28" s="43">
        <v>0</v>
      </c>
      <c r="G28" s="43">
        <v>25</v>
      </c>
      <c r="H28" s="43">
        <v>233415</v>
      </c>
      <c r="I28" s="43">
        <v>233419</v>
      </c>
      <c r="J28" s="30" t="s">
        <v>186</v>
      </c>
      <c r="K28" s="43">
        <v>233491</v>
      </c>
      <c r="L28" s="138" t="s">
        <v>50</v>
      </c>
      <c r="M28" s="139">
        <f t="shared" si="0"/>
        <v>38.015999999999998</v>
      </c>
      <c r="N28" s="140" t="str">
        <f>VLOOKUP(C28,'Trips&amp;Operators'!$C$1:$G$99999,5,FALSE)</f>
        <v>STAMBAUGH JAMES</v>
      </c>
      <c r="O28" s="198" t="s">
        <v>184</v>
      </c>
      <c r="P28" s="141"/>
      <c r="Q28" s="30"/>
      <c r="R28" s="89" t="str">
        <f>IF(VLOOKUP(C28,'Train Runs'!$A$13:$AE$9930,1,1)=C28,VLOOKUP(C28,'Train Runs'!$A$13:$AE$9930,31,1),NA())</f>
        <v>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 &amp; 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</v>
      </c>
      <c r="S28" s="92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-04-21T20:40:34-0600',mode:absolute,to:'2017-04-21T23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8" s="94" t="str">
        <f t="shared" si="1"/>
        <v>"C:\Program Files (x86)\AstroGrep\AstroGrep.exe" /e /r /s /spath="%USERPROFILE%\AppData\Local\Temp\OnboardLogs" /stypes="*4004*201704220*" /stext=" 04:.+((SYSTEM_STATE.+slice.+state.+changed )|(ment ac)|(multiple cpu faults)|(system.+state.+changed )|(\[timeout)|(PRM\|1\|D)|(kpr)|(kdp)|(\|lc)|(penalty))"</v>
      </c>
      <c r="U28" s="9" t="str">
        <f t="shared" si="2"/>
        <v>4004</v>
      </c>
      <c r="V28" s="32">
        <f t="shared" si="3"/>
        <v>42847.191979166666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{"issue":{"subject":"","project_id":79,"tracker_id":40,"status_id":1,"priority_id":2,"assigned_to_id":23,"start_date":"2017-04-21","description":"","custom_fields":[{"id":1,"name":"Subdivision","value":"EC"},{"id":4,"name":"Milepost","value":"23.3491"},{"id":17,"name":"Train ID","value":"233-21"},{"id":16,"name":"Locomotive ID","value":"4004"},{"id":130,"name":"Impact","value":""},{"id":150,"name":"Time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8"/>
      <c r="AA28" s="48"/>
      <c r="AB28" s="48"/>
      <c r="AC28" s="123" t="str">
        <f t="shared" si="7"/>
        <v>grep -hSE -A400 "Enforcement Action" "%USERPROFILE%\AppData\Local\Temp\OnboardLogs"\RTDC4004\*4004*201704220*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"%USERPROFILE%\AppData\Local\Temp\OnboardLogs"\RTDC4004\*4004*201704220* &gt;&gt; 2017-04-21-SliceDisagreementCheck.txt</v>
      </c>
      <c r="AE28" s="150" t="str">
        <f t="shared" si="9"/>
        <v>start /low /b %USERPROFILE%\Documents\GitHub\eaglep3\Utilities\DownloadLogsFromS3.py --loco 4004 --day 2017-04-22</v>
      </c>
      <c r="AF28" s="1"/>
    </row>
    <row r="29" spans="1:32" x14ac:dyDescent="0.25">
      <c r="A29" s="32">
        <v>42847.025034722225</v>
      </c>
      <c r="B29" s="30" t="s">
        <v>393</v>
      </c>
      <c r="C29" s="30" t="s">
        <v>627</v>
      </c>
      <c r="D29" s="30" t="s">
        <v>49</v>
      </c>
      <c r="E29" s="30" t="s">
        <v>185</v>
      </c>
      <c r="F29" s="43">
        <v>0</v>
      </c>
      <c r="G29" s="43">
        <v>28</v>
      </c>
      <c r="H29" s="43">
        <v>233419</v>
      </c>
      <c r="I29" s="43">
        <v>233440</v>
      </c>
      <c r="J29" s="30" t="s">
        <v>186</v>
      </c>
      <c r="K29" s="43">
        <v>233491</v>
      </c>
      <c r="L29" s="138" t="s">
        <v>50</v>
      </c>
      <c r="M29" s="139">
        <f t="shared" si="0"/>
        <v>26.928000000000001</v>
      </c>
      <c r="N29" s="140" t="str">
        <f>VLOOKUP(C29,'Trips&amp;Operators'!$C$1:$G$99999,5,FALSE)</f>
        <v>STAMBAUGH JAMES</v>
      </c>
      <c r="O29" s="198" t="s">
        <v>184</v>
      </c>
      <c r="P29" s="141"/>
      <c r="Q29" s="30"/>
      <c r="R29" s="89" t="str">
        <f>IF(VLOOKUP(C29,'Train Runs'!$A$13:$AE$9930,1,1)=C29,VLOOKUP(C29,'Train Runs'!$A$13:$AE$9930,31,1),NA())</f>
        <v>aws s3 cp s3://rtdc.mdm.uploadarchive.raw/RTDC4004/ "%USERPROFILE%\AppData\Local\Temp\OnboardLogs"\RTDC4004\2017-04-22 --exclude "*" --recursive --include "*20170422*" &amp; "%USERPROFILE%\Documents\GitHub\mrs-test-scripts\Headless Mode &amp; Sideloading\WalkAndUnGZ.bat" "%USERPROFILE%\AppData\Local\Temp\OnboardLogs"\RTDC4004\2017-04-22 &amp; 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</v>
      </c>
      <c r="S29" s="92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-04-21T22:39:11-0600',mode:absolute,to:'2017-04-22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/stypes="*4004*201704220*" /stext=" 06:.+((SYSTEM_STATE.+slice.+state.+changed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42847.275034722225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{"issue":{"subject":"","project_id":79,"tracker_id":40,"status_id":1,"priority_id":2,"assigned_to_id":23,"start_date":"2017-04-22","description":"","custom_fields":[{"id":1,"name":"Subdivision","value":"EC"},{"id":4,"name":"Milepost","value":"23.3491"},{"id":17,"name":"Train ID","value":"241-21"},{"id":16,"name":"Locomotive ID","value":"4004"},{"id":130,"name":"Impact","value":""},{"id":150,"name":"Time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8"/>
      <c r="AA29" s="48"/>
      <c r="AB29" s="48"/>
      <c r="AC29" s="123" t="str">
        <f t="shared" si="7"/>
        <v>grep -hSE -A400 "Enforcement Action" "%USERPROFILE%\AppData\Local\Temp\OnboardLogs"\RTDC4004\*4004*201704220*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"%USERPROFILE%\AppData\Local\Temp\OnboardLogs"\RTDC4004\*4004*201704220* &gt;&gt; 2017-04-21-SliceDisagreementCheck.txt</v>
      </c>
      <c r="AE29" s="150" t="str">
        <f t="shared" si="9"/>
        <v>start /low /b %USERPROFILE%\Documents\GitHub\eaglep3\Utilities\DownloadLogsFromS3.py --loco 4004 --day 2017-04-22</v>
      </c>
      <c r="AF29" s="1"/>
    </row>
    <row r="30" spans="1:32" x14ac:dyDescent="0.25">
      <c r="A30" s="32">
        <v>42846.783217592594</v>
      </c>
      <c r="B30" s="30" t="s">
        <v>360</v>
      </c>
      <c r="C30" s="30" t="s">
        <v>621</v>
      </c>
      <c r="D30" s="30" t="s">
        <v>98</v>
      </c>
      <c r="E30" s="30" t="s">
        <v>210</v>
      </c>
      <c r="F30" s="43">
        <v>400</v>
      </c>
      <c r="G30" s="43">
        <v>454</v>
      </c>
      <c r="H30" s="43">
        <v>38662</v>
      </c>
      <c r="I30" s="43">
        <v>37295</v>
      </c>
      <c r="J30" s="30" t="s">
        <v>211</v>
      </c>
      <c r="K30" s="43">
        <v>40977</v>
      </c>
      <c r="L30" s="138" t="s">
        <v>51</v>
      </c>
      <c r="M30" s="139">
        <f t="shared" si="0"/>
        <v>-1944.096</v>
      </c>
      <c r="N30" s="140" t="str">
        <f>VLOOKUP(C30,'Trips&amp;Operators'!$C$1:$G$99999,5,FALSE)</f>
        <v>THOMPSON LESTER</v>
      </c>
      <c r="O30" s="198" t="s">
        <v>184</v>
      </c>
      <c r="P30" s="141"/>
      <c r="Q30" s="30"/>
      <c r="R30" s="89" t="e">
        <f>IF(VLOOKUP(C30,'Train Runs'!$A$13:$AE$9930,1,1)=C30,VLOOKUP(C30,'Train Runs'!$A$13:$AE$9930,31,1),NA())</f>
        <v>#N/A</v>
      </c>
      <c r="S30" s="92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-04-21T17:38:06-0600',mode:absolute,to:'2017-04-21T19:58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94" t="str">
        <f t="shared" si="1"/>
        <v>"C:\Program Files (x86)\AstroGrep\AstroGrep.exe" /e /r /s /spath="%USERPROFILE%\AppData\Local\Temp\OnboardLogs" /stypes="*4029*201704220*" /stext=" 00:.+((SYSTEM_STATE.+slice.+state.+changed )|(ment ac)|(multiple cpu faults)|(system.+state.+changed )|(\[timeout)|(PRM\|1\|D)|(kpr)|(kdp)|(\|lc)|(penalty))"</v>
      </c>
      <c r="U30" s="9" t="str">
        <f t="shared" si="2"/>
        <v>4029</v>
      </c>
      <c r="V30" s="32">
        <f t="shared" si="3"/>
        <v>42847.033217592594</v>
      </c>
      <c r="W30" s="46" t="str">
        <f t="shared" si="4"/>
        <v>NW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{"issue":{"subject":"","project_id":79,"tracker_id":40,"status_id":1,"priority_id":2,"assigned_to_id":23,"start_date":"2017-04-21","description":"","custom_fields":[{"id":1,"name":"Subdivision","value":"NW"},{"id":4,"name":"Milepost","value":"4.0977"},{"id":17,"name":"Train ID","value":"838-21"},{"id":16,"name":"Locomotive ID","value":"4029"},{"id":130,"name":"Impact","value":""},{"id":150,"name":"Time of Event (Mountain Time)","value":"18:47:50"},{"id":151,"name":"Denver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8"/>
      <c r="AA30" s="48"/>
      <c r="AB30" s="48"/>
      <c r="AC30" s="123" t="str">
        <f t="shared" si="7"/>
        <v>grep -hSE -A400 "Enforcement Action" "%USERPROFILE%\AppData\Local\Temp\OnboardLogs"\RTDC4029\*4029*201704220*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"%USERPROFILE%\AppData\Local\Temp\OnboardLogs"\RTDC4029\*4029*201704220* &gt;&gt; 2017-04-21-SliceDisagreementCheck.txt</v>
      </c>
      <c r="AE30" s="150" t="str">
        <f t="shared" si="9"/>
        <v>start /low /b %USERPROFILE%\Documents\GitHub\eaglep3\Utilities\DownloadLogsFromS3.py --loco 4029 --day 2017-04-22</v>
      </c>
      <c r="AF30" s="1"/>
    </row>
    <row r="31" spans="1:32" x14ac:dyDescent="0.25">
      <c r="A31" s="32">
        <v>42846.563206018516</v>
      </c>
      <c r="B31" s="30" t="s">
        <v>198</v>
      </c>
      <c r="C31" s="30" t="s">
        <v>609</v>
      </c>
      <c r="D31" s="30" t="s">
        <v>49</v>
      </c>
      <c r="E31" s="30" t="s">
        <v>210</v>
      </c>
      <c r="F31" s="43">
        <v>400</v>
      </c>
      <c r="G31" s="43">
        <v>453</v>
      </c>
      <c r="H31" s="43">
        <v>46171</v>
      </c>
      <c r="I31" s="43">
        <v>47425</v>
      </c>
      <c r="J31" s="30" t="s">
        <v>211</v>
      </c>
      <c r="K31" s="43">
        <v>47810</v>
      </c>
      <c r="L31" s="138" t="s">
        <v>50</v>
      </c>
      <c r="M31" s="139">
        <f t="shared" si="0"/>
        <v>203.28</v>
      </c>
      <c r="N31" s="140" t="str">
        <f>VLOOKUP(C31,'Trips&amp;Operators'!$C$1:$G$99999,5,FALSE)</f>
        <v>THOMPSON LESTER</v>
      </c>
      <c r="O31" s="198" t="s">
        <v>184</v>
      </c>
      <c r="P31" s="141"/>
      <c r="Q31" s="30"/>
      <c r="R31" s="89" t="e">
        <f>IF(VLOOKUP(C31,'Train Runs'!$A$13:$AE$9930,1,1)=C31,VLOOKUP(C31,'Train Runs'!$A$13:$AE$9930,31,1),NA())</f>
        <v>#N/A</v>
      </c>
      <c r="S31" s="92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-04-21T12:12:31-0600',mode:absolute,to:'2017-04-21T14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94" t="str">
        <f t="shared" si="1"/>
        <v>"C:\Program Files (x86)\AstroGrep\AstroGrep.exe" /e /r /s /spath="%USERPROFILE%\AppData\Local\Temp\OnboardLogs" /stypes="*4030*201704211*" /stext=" 19:.+((SYSTEM_STATE.+slice.+state.+changed )|(ment ac)|(multiple cpu faults)|(system.+state.+changed )|(\[timeout)|(PRM\|1\|D)|(kpr)|(kdp)|(\|lc)|(penalty))"</v>
      </c>
      <c r="U31" s="9" t="str">
        <f t="shared" si="2"/>
        <v>4030</v>
      </c>
      <c r="V31" s="32">
        <f t="shared" si="3"/>
        <v>42846.813206018516</v>
      </c>
      <c r="W31" s="46" t="str">
        <f t="shared" si="4"/>
        <v>NW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{"issue":{"subject":"","project_id":79,"tracker_id":40,"status_id":1,"priority_id":2,"assigned_to_id":23,"start_date":"2017-04-21","description":"","custom_fields":[{"id":1,"name":"Subdivision","value":"NW"},{"id":4,"name":"Milepost","value":"4.781"},{"id":17,"name":"Train ID","value":"821-21"},{"id":16,"name":"Locomotive ID","value":"4030"},{"id":130,"name":"Impact","value":""},{"id":150,"name":"Time of Event (Mountain Time)","value":"13:31:01"},{"id":151,"name":"Denver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8"/>
      <c r="AA31" s="48"/>
      <c r="AB31" s="48"/>
      <c r="AC31" s="123" t="str">
        <f t="shared" si="7"/>
        <v>grep -hSE -A400 "Enforcement Action" "%USERPROFILE%\AppData\Local\Temp\OnboardLogs"\RTDC4030\*4030*201704211*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"%USERPROFILE%\AppData\Local\Temp\OnboardLogs"\RTDC4030\*4030*201704211* &gt;&gt; 2017-04-21-SliceDisagreementCheck.txt</v>
      </c>
      <c r="AE31" s="150" t="str">
        <f t="shared" si="9"/>
        <v>start /low /b %USERPROFILE%\Documents\GitHub\eaglep3\Utilities\DownloadLogsFromS3.py --loco 4030 --day 2017-04-21</v>
      </c>
      <c r="AF31" s="1"/>
    </row>
    <row r="32" spans="1:32" x14ac:dyDescent="0.25">
      <c r="A32" s="32">
        <v>42846.28833333333</v>
      </c>
      <c r="B32" s="30" t="s">
        <v>360</v>
      </c>
      <c r="C32" s="30" t="s">
        <v>593</v>
      </c>
      <c r="D32" s="30" t="s">
        <v>49</v>
      </c>
      <c r="E32" s="30" t="s">
        <v>185</v>
      </c>
      <c r="F32" s="43">
        <v>0</v>
      </c>
      <c r="G32" s="43">
        <v>29</v>
      </c>
      <c r="H32" s="43">
        <v>673</v>
      </c>
      <c r="I32" s="43">
        <v>659</v>
      </c>
      <c r="J32" s="30" t="s">
        <v>186</v>
      </c>
      <c r="K32" s="43">
        <v>575</v>
      </c>
      <c r="L32" s="138" t="s">
        <v>51</v>
      </c>
      <c r="M32" s="139">
        <f t="shared" si="0"/>
        <v>44.351999999999997</v>
      </c>
      <c r="N32" s="140" t="str">
        <f>VLOOKUP(C32,'Trips&amp;Operators'!$C$1:$G$99999,5,FALSE)</f>
        <v>COOLAHAN JOHN</v>
      </c>
      <c r="O32" s="198" t="s">
        <v>184</v>
      </c>
      <c r="P32" s="141"/>
      <c r="Q32" s="30"/>
      <c r="R32" s="89" t="e">
        <f>IF(VLOOKUP(C32,'Train Runs'!$A$13:$AE$9930,1,1)=C32,VLOOKUP(C32,'Train Runs'!$A$13:$AE$9930,31,1),NA())</f>
        <v>#N/A</v>
      </c>
      <c r="S32" s="92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-04-21T05:36:18-0600',mode:absolute,to:'2017-04-21T07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94" t="str">
        <f t="shared" si="1"/>
        <v>"C:\Program Files (x86)\AstroGrep\AstroGrep.exe" /e /r /s /spath="%USERPROFILE%\AppData\Local\Temp\OnboardLogs" /stypes="*4029*201704211*" /stext=" 12:.+((SYSTEM_STATE.+slice.+state.+changed )|(ment ac)|(multiple cpu faults)|(system.+state.+changed )|(\[timeout)|(PRM\|1\|D)|(kpr)|(kdp)|(\|lc)|(penalty))"</v>
      </c>
      <c r="U32" s="9" t="str">
        <f t="shared" si="2"/>
        <v>4029</v>
      </c>
      <c r="V32" s="32">
        <f t="shared" si="3"/>
        <v>42846.53833333333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{"issue":{"subject":"","project_id":79,"tracker_id":40,"status_id":1,"priority_id":2,"assigned_to_id":23,"start_date":"2017-04-21","description":"","custom_fields":[{"id":1,"name":"Subdivision","value":"NW"},{"id":4,"name":"Milepost","value":"0.0575"},{"id":17,"name":"Train ID","value":"804-21"},{"id":16,"name":"Locomotive ID","value":"4029"},{"id":130,"name":"Impact","value":""},{"id":150,"name":"Time of Event (Mountain Time)","value":"06:55:12"},{"id":151,"name":"Denver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8"/>
      <c r="AA32" s="48"/>
      <c r="AB32" s="48"/>
      <c r="AC32" s="123" t="str">
        <f t="shared" si="7"/>
        <v>grep -hSE -A400 "Enforcement Action" "%USERPROFILE%\AppData\Local\Temp\OnboardLogs"\RTDC4029\*4029*201704211*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"%USERPROFILE%\AppData\Local\Temp\OnboardLogs"\RTDC4029\*4029*201704211* &gt;&gt; 2017-04-21-SliceDisagreementCheck.txt</v>
      </c>
      <c r="AE32" s="150" t="str">
        <f t="shared" si="9"/>
        <v>start /low /b %USERPROFILE%\Documents\GitHub\eaglep3\Utilities\DownloadLogsFromS3.py --loco 4029 --day 2017-04-21</v>
      </c>
      <c r="AF32" s="1"/>
    </row>
    <row r="33" spans="1:32" x14ac:dyDescent="0.25">
      <c r="A33" s="32">
        <v>42846.412962962961</v>
      </c>
      <c r="B33" s="30" t="s">
        <v>360</v>
      </c>
      <c r="C33" s="30" t="s">
        <v>598</v>
      </c>
      <c r="D33" s="30" t="s">
        <v>49</v>
      </c>
      <c r="E33" s="30" t="s">
        <v>185</v>
      </c>
      <c r="F33" s="43">
        <v>0</v>
      </c>
      <c r="G33" s="43">
        <v>59</v>
      </c>
      <c r="H33" s="43">
        <v>776</v>
      </c>
      <c r="I33" s="43">
        <v>726</v>
      </c>
      <c r="J33" s="30" t="s">
        <v>186</v>
      </c>
      <c r="K33" s="43">
        <v>575</v>
      </c>
      <c r="L33" s="138" t="s">
        <v>51</v>
      </c>
      <c r="M33" s="139">
        <f t="shared" si="0"/>
        <v>79.727999999999994</v>
      </c>
      <c r="N33" s="140" t="str">
        <f>VLOOKUP(C33,'Trips&amp;Operators'!$C$1:$G$99999,5,FALSE)</f>
        <v>COOLAHAN JOHN</v>
      </c>
      <c r="O33" s="198" t="s">
        <v>184</v>
      </c>
      <c r="P33" s="141"/>
      <c r="Q33" s="30"/>
      <c r="R33" s="89" t="e">
        <f>IF(VLOOKUP(C33,'Train Runs'!$A$13:$AE$9930,1,1)=C33,VLOOKUP(C33,'Train Runs'!$A$13:$AE$9930,31,1),NA())</f>
        <v>#N/A</v>
      </c>
      <c r="S33" s="92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-04-21T08:36:08-0600',mode:absolute,to:'2017-04-21T10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94" t="str">
        <f t="shared" si="1"/>
        <v>"C:\Program Files (x86)\AstroGrep\AstroGrep.exe" /e /r /s /spath="%USERPROFILE%\AppData\Local\Temp\OnboardLogs" /stypes="*4029*201704211*" /stext=" 15:.+((SYSTEM_STATE.+slice.+state.+changed )|(ment ac)|(multiple cpu faults)|(system.+state.+changed )|(\[timeout)|(PRM\|1\|D)|(kpr)|(kdp)|(\|lc)|(penalty))"</v>
      </c>
      <c r="U33" s="9" t="str">
        <f t="shared" si="2"/>
        <v>4029</v>
      </c>
      <c r="V33" s="32">
        <f t="shared" si="3"/>
        <v>42846.662962962961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{"issue":{"subject":"","project_id":79,"tracker_id":40,"status_id":1,"priority_id":2,"assigned_to_id":23,"start_date":"2017-04-21","description":"","custom_fields":[{"id":1,"name":"Subdivision","value":"NW"},{"id":4,"name":"Milepost","value":"0.0575"},{"id":17,"name":"Train ID","value":"814-21"},{"id":16,"name":"Locomotive ID","value":"4029"},{"id":130,"name":"Impact","value":""},{"id":150,"name":"Time of Event (Mountain Time)","value":"09:54:40"},{"id":151,"name":"Denver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8"/>
      <c r="AA33" s="48"/>
      <c r="AB33" s="48"/>
      <c r="AC33" s="123" t="str">
        <f t="shared" si="7"/>
        <v>grep -hSE -A400 "Enforcement Action" "%USERPROFILE%\AppData\Local\Temp\OnboardLogs"\RTDC4029\*4029*201704211*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"%USERPROFILE%\AppData\Local\Temp\OnboardLogs"\RTDC4029\*4029*201704211* &gt;&gt; 2017-04-21-SliceDisagreementCheck.txt</v>
      </c>
      <c r="AE33" s="150" t="str">
        <f t="shared" si="9"/>
        <v>start /low /b %USERPROFILE%\Documents\GitHub\eaglep3\Utilities\DownloadLogsFromS3.py --loco 4029 --day 2017-04-21</v>
      </c>
      <c r="AF33" s="1"/>
    </row>
    <row r="34" spans="1:32" x14ac:dyDescent="0.25">
      <c r="A34" s="32">
        <v>42846.459872685184</v>
      </c>
      <c r="B34" s="30" t="s">
        <v>360</v>
      </c>
      <c r="C34" s="30" t="s">
        <v>602</v>
      </c>
      <c r="D34" s="30" t="s">
        <v>49</v>
      </c>
      <c r="E34" s="30" t="s">
        <v>185</v>
      </c>
      <c r="F34" s="43">
        <v>0</v>
      </c>
      <c r="G34" s="43">
        <v>83</v>
      </c>
      <c r="H34" s="43">
        <v>885</v>
      </c>
      <c r="I34" s="43">
        <v>797</v>
      </c>
      <c r="J34" s="30" t="s">
        <v>186</v>
      </c>
      <c r="K34" s="43">
        <v>575</v>
      </c>
      <c r="L34" s="138" t="s">
        <v>51</v>
      </c>
      <c r="M34" s="139">
        <f t="shared" si="0"/>
        <v>117.21599999999999</v>
      </c>
      <c r="N34" s="140" t="str">
        <f>VLOOKUP(C34,'Trips&amp;Operators'!$C$1:$G$99999,5,FALSE)</f>
        <v>COOLAHAN JOHN</v>
      </c>
      <c r="O34" s="198" t="s">
        <v>184</v>
      </c>
      <c r="P34" s="141"/>
      <c r="Q34" s="30"/>
      <c r="R34" s="89" t="e">
        <f>IF(VLOOKUP(C34,'Train Runs'!$A$13:$AE$9930,1,1)=C34,VLOOKUP(C34,'Train Runs'!$A$13:$AE$9930,31,1),NA())</f>
        <v>#N/A</v>
      </c>
      <c r="S34" s="92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-04-21T09:35:41-0600',mode:absolute,to:'2017-04-21T12:02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4" s="94" t="str">
        <f t="shared" si="1"/>
        <v>"C:\Program Files (x86)\AstroGrep\AstroGrep.exe" /e /r /s /spath="%USERPROFILE%\AppData\Local\Temp\OnboardLogs" /stypes="*4029*201704211*" /stext=" 17:.+((SYSTEM_STATE.+slice.+state.+changed )|(ment ac)|(multiple cpu faults)|(system.+state.+changed )|(\[timeout)|(PRM\|1\|D)|(kpr)|(kdp)|(\|lc)|(penalty))"</v>
      </c>
      <c r="U34" s="9" t="str">
        <f t="shared" si="2"/>
        <v>4029</v>
      </c>
      <c r="V34" s="32">
        <f t="shared" si="3"/>
        <v>42846.709872685184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{"issue":{"subject":"","project_id":79,"tracker_id":40,"status_id":1,"priority_id":2,"assigned_to_id":23,"start_date":"2017-04-21","description":"","custom_fields":[{"id":1,"name":"Subdivision","value":"NW"},{"id":4,"name":"Milepost","value":"0.0575"},{"id":17,"name":"Train ID","value":"816-21"},{"id":16,"name":"Locomotive ID","value":"4029"},{"id":130,"name":"Impact","value":""},{"id":150,"name":"Time of Event (Mountain Time)","value":"11:02:13"},{"id":151,"name":"Denver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8"/>
      <c r="AA34" s="48"/>
      <c r="AB34" s="48"/>
      <c r="AC34" s="123" t="str">
        <f t="shared" si="7"/>
        <v>grep -hSE -A400 "Enforcement Action" "%USERPROFILE%\AppData\Local\Temp\OnboardLogs"\RTDC4029\*4029*201704211*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"%USERPROFILE%\AppData\Local\Temp\OnboardLogs"\RTDC4029\*4029*201704211* &gt;&gt; 2017-04-21-SliceDisagreementCheck.txt</v>
      </c>
      <c r="AE34" s="150" t="str">
        <f t="shared" si="9"/>
        <v>start /low /b %USERPROFILE%\Documents\GitHub\eaglep3\Utilities\DownloadLogsFromS3.py --loco 4029 --day 2017-04-21</v>
      </c>
      <c r="AF34" s="1"/>
    </row>
    <row r="35" spans="1:32" x14ac:dyDescent="0.25">
      <c r="A35" s="32">
        <v>42846.537928240738</v>
      </c>
      <c r="B35" s="30" t="s">
        <v>360</v>
      </c>
      <c r="C35" s="30" t="s">
        <v>606</v>
      </c>
      <c r="D35" s="30" t="s">
        <v>49</v>
      </c>
      <c r="E35" s="30" t="s">
        <v>185</v>
      </c>
      <c r="F35" s="43">
        <v>0</v>
      </c>
      <c r="G35" s="43">
        <v>55</v>
      </c>
      <c r="H35" s="43">
        <v>738</v>
      </c>
      <c r="I35" s="43">
        <v>699</v>
      </c>
      <c r="J35" s="30" t="s">
        <v>186</v>
      </c>
      <c r="K35" s="43">
        <v>575</v>
      </c>
      <c r="L35" s="138" t="s">
        <v>51</v>
      </c>
      <c r="M35" s="139">
        <f t="shared" si="0"/>
        <v>65.471999999999994</v>
      </c>
      <c r="N35" s="140" t="str">
        <f>VLOOKUP(C35,'Trips&amp;Operators'!$C$1:$G$99999,5,FALSE)</f>
        <v>COOLAHAN JOHN</v>
      </c>
      <c r="O35" s="198" t="s">
        <v>184</v>
      </c>
      <c r="P35" s="141"/>
      <c r="Q35" s="30"/>
      <c r="R35" s="89" t="e">
        <f>IF(VLOOKUP(C35,'Train Runs'!$A$13:$AE$9930,1,1)=C35,VLOOKUP(C35,'Train Runs'!$A$13:$AE$9930,31,1),NA())</f>
        <v>#N/A</v>
      </c>
      <c r="S35" s="92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-04-21T11:35:55-0600',mode:absolute,to:'2017-04-21T13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94" t="str">
        <f t="shared" si="1"/>
        <v>"C:\Program Files (x86)\AstroGrep\AstroGrep.exe" /e /r /s /spath="%USERPROFILE%\AppData\Local\Temp\OnboardLogs" /stypes="*4029*201704211*" /stext=" 18:.+((SYSTEM_STATE.+slice.+state.+changed )|(ment ac)|(multiple cpu faults)|(system.+state.+changed )|(\[timeout)|(PRM\|1\|D)|(kpr)|(kdp)|(\|lc)|(penalty))"</v>
      </c>
      <c r="U35" s="9" t="str">
        <f t="shared" si="2"/>
        <v>4029</v>
      </c>
      <c r="V35" s="32">
        <f t="shared" si="3"/>
        <v>42846.787928240738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{"issue":{"subject":"","project_id":79,"tracker_id":40,"status_id":1,"priority_id":2,"assigned_to_id":23,"start_date":"2017-04-21","description":"","custom_fields":[{"id":1,"name":"Subdivision","value":"NW"},{"id":4,"name":"Milepost","value":"0.0575"},{"id":17,"name":"Train ID","value":"820-21"},{"id":16,"name":"Locomotive ID","value":"4029"},{"id":130,"name":"Impact","value":""},{"id":150,"name":"Time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8"/>
      <c r="AA35" s="48"/>
      <c r="AB35" s="48"/>
      <c r="AC35" s="123" t="str">
        <f t="shared" si="7"/>
        <v>grep -hSE -A400 "Enforcement Action" "%USERPROFILE%\AppData\Local\Temp\OnboardLogs"\RTDC4029\*4029*201704211*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"%USERPROFILE%\AppData\Local\Temp\OnboardLogs"\RTDC4029\*4029*201704211* &gt;&gt; 2017-04-21-SliceDisagreementCheck.txt</v>
      </c>
      <c r="AE35" s="150" t="str">
        <f t="shared" si="9"/>
        <v>start /low /b %USERPROFILE%\Documents\GitHub\eaglep3\Utilities\DownloadLogsFromS3.py --loco 4029 --day 2017-04-21</v>
      </c>
      <c r="AF35" s="1"/>
    </row>
    <row r="36" spans="1:32" x14ac:dyDescent="0.25">
      <c r="A36" s="32">
        <v>42846.62158564815</v>
      </c>
      <c r="B36" s="30" t="s">
        <v>360</v>
      </c>
      <c r="C36" s="30" t="s">
        <v>612</v>
      </c>
      <c r="D36" s="30" t="s">
        <v>49</v>
      </c>
      <c r="E36" s="30" t="s">
        <v>185</v>
      </c>
      <c r="F36" s="43">
        <v>0</v>
      </c>
      <c r="G36" s="43">
        <v>59</v>
      </c>
      <c r="H36" s="43">
        <v>764</v>
      </c>
      <c r="I36" s="43">
        <v>712</v>
      </c>
      <c r="J36" s="30" t="s">
        <v>186</v>
      </c>
      <c r="K36" s="43">
        <v>575</v>
      </c>
      <c r="L36" s="138" t="s">
        <v>51</v>
      </c>
      <c r="M36" s="139">
        <f t="shared" si="0"/>
        <v>72.335999999999999</v>
      </c>
      <c r="N36" s="140" t="str">
        <f>VLOOKUP(C36,'Trips&amp;Operators'!$C$1:$G$99999,5,FALSE)</f>
        <v>THOMPSON LESTER</v>
      </c>
      <c r="O36" s="198" t="s">
        <v>184</v>
      </c>
      <c r="P36" s="141"/>
      <c r="Q36" s="30"/>
      <c r="R36" s="89" t="e">
        <f>IF(VLOOKUP(C36,'Train Runs'!$A$13:$AE$9930,1,1)=C36,VLOOKUP(C36,'Train Runs'!$A$13:$AE$9930,31,1),NA())</f>
        <v>#N/A</v>
      </c>
      <c r="S36" s="92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-04-21T13:35:36-0600',mode:absolute,to:'2017-04-21T15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94" t="str">
        <f t="shared" si="1"/>
        <v>"C:\Program Files (x86)\AstroGrep\AstroGrep.exe" /e /r /s /spath="%USERPROFILE%\AppData\Local\Temp\OnboardLogs" /stypes="*4029*201704212*" /stext=" 20:.+((SYSTEM_STATE.+slice.+state.+changed )|(ment ac)|(multiple cpu faults)|(system.+state.+changed )|(\[timeout)|(PRM\|1\|D)|(kpr)|(kdp)|(\|lc)|(penalty))"</v>
      </c>
      <c r="U36" s="9" t="str">
        <f t="shared" si="2"/>
        <v>4029</v>
      </c>
      <c r="V36" s="32">
        <f t="shared" si="3"/>
        <v>42846.87158564815</v>
      </c>
      <c r="W36" s="46" t="str">
        <f t="shared" si="4"/>
        <v>NW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{"issue":{"subject":"","project_id":79,"tracker_id":40,"status_id":1,"priority_id":2,"assigned_to_id":23,"start_date":"2017-04-21","description":"","custom_fields":[{"id":1,"name":"Subdivision","value":"NW"},{"id":4,"name":"Milepost","value":"0.0575"},{"id":17,"name":"Train ID","value":"824-21"},{"id":16,"name":"Locomotive ID","value":"4029"},{"id":130,"name":"Impact","value":""},{"id":150,"name":"Time of Event (Mountain Time)","value":"14:55:05"},{"id":151,"name":"Denver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8"/>
      <c r="AA36" s="48"/>
      <c r="AB36" s="48"/>
      <c r="AC36" s="123" t="str">
        <f t="shared" si="7"/>
        <v>grep -hSE -A400 "Enforcement Action" "%USERPROFILE%\AppData\Local\Temp\OnboardLogs"\RTDC4029\*4029*201704212*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"%USERPROFILE%\AppData\Local\Temp\OnboardLogs"\RTDC4029\*4029*201704212* &gt;&gt; 2017-04-21-SliceDisagreementCheck.txt</v>
      </c>
      <c r="AE36" s="150" t="str">
        <f t="shared" si="9"/>
        <v>start /low /b %USERPROFILE%\Documents\GitHub\eaglep3\Utilities\DownloadLogsFromS3.py --loco 4029 --day 2017-04-21</v>
      </c>
      <c r="AF36" s="1"/>
    </row>
    <row r="37" spans="1:32" x14ac:dyDescent="0.25">
      <c r="A37" s="32">
        <v>42846.357291666667</v>
      </c>
      <c r="B37" s="30" t="s">
        <v>198</v>
      </c>
      <c r="C37" s="30" t="s">
        <v>594</v>
      </c>
      <c r="D37" s="30" t="s">
        <v>49</v>
      </c>
      <c r="E37" s="30" t="s">
        <v>185</v>
      </c>
      <c r="F37" s="43">
        <v>0</v>
      </c>
      <c r="G37" s="43">
        <v>32</v>
      </c>
      <c r="H37" s="43">
        <v>58948</v>
      </c>
      <c r="I37" s="43">
        <v>58976</v>
      </c>
      <c r="J37" s="30" t="s">
        <v>186</v>
      </c>
      <c r="K37" s="43">
        <v>59048</v>
      </c>
      <c r="L37" s="138" t="s">
        <v>50</v>
      </c>
      <c r="M37" s="139">
        <f t="shared" si="0"/>
        <v>38.015999999999998</v>
      </c>
      <c r="N37" s="140" t="str">
        <f>VLOOKUP(C37,'Trips&amp;Operators'!$C$1:$G$99999,5,FALSE)</f>
        <v>COOLAHAN JOHN</v>
      </c>
      <c r="O37" s="198" t="s">
        <v>184</v>
      </c>
      <c r="P37" s="141"/>
      <c r="Q37" s="30"/>
      <c r="R37" s="89" t="e">
        <f>IF(VLOOKUP(C37,'Train Runs'!$A$13:$AE$9930,1,1)=C37,VLOOKUP(C37,'Train Runs'!$A$13:$AE$9930,31,1),NA())</f>
        <v>#N/A</v>
      </c>
      <c r="S37" s="92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-04-21T07:15:46-0600',mode:absolute,to:'2017-04-21T09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94" t="str">
        <f t="shared" si="1"/>
        <v>"C:\Program Files (x86)\AstroGrep\AstroGrep.exe" /e /r /s /spath="%USERPROFILE%\AppData\Local\Temp\OnboardLogs" /stypes="*4030*201704211*" /stext=" 14:.+((SYSTEM_STATE.+slice.+state.+changed )|(ment ac)|(multiple cpu faults)|(system.+state.+changed )|(\[timeout)|(PRM\|1\|D)|(kpr)|(kdp)|(\|lc)|(penalty))"</v>
      </c>
      <c r="U37" s="9" t="str">
        <f t="shared" si="2"/>
        <v>4030</v>
      </c>
      <c r="V37" s="32">
        <f t="shared" si="3"/>
        <v>42846.607291666667</v>
      </c>
      <c r="W37" s="46" t="str">
        <f t="shared" si="4"/>
        <v>NW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{"issue":{"subject":"","project_id":79,"tracker_id":40,"status_id":1,"priority_id":2,"assigned_to_id":23,"start_date":"2017-04-21","description":"","custom_fields":[{"id":1,"name":"Subdivision","value":"NW"},{"id":4,"name":"Milepost","value":"5.9048"},{"id":17,"name":"Train ID","value":"811-21"},{"id":16,"name":"Locomotive ID","value":"4030"},{"id":130,"name":"Impact","value":""},{"id":150,"name":"Time of Event (Mountain Time)","value":"08:34:30"},{"id":151,"name":"Denver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8"/>
      <c r="AA37" s="48"/>
      <c r="AB37" s="48"/>
      <c r="AC37" s="123" t="str">
        <f t="shared" si="7"/>
        <v>grep -hSE -A400 "Enforcement Action" "%USERPROFILE%\AppData\Local\Temp\OnboardLogs"\RTDC4030\*4030*201704211*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"%USERPROFILE%\AppData\Local\Temp\OnboardLogs"\RTDC4030\*4030*201704211* &gt;&gt; 2017-04-21-SliceDisagreementCheck.txt</v>
      </c>
      <c r="AE37" s="150" t="str">
        <f t="shared" si="9"/>
        <v>start /low /b %USERPROFILE%\Documents\GitHub\eaglep3\Utilities\DownloadLogsFromS3.py --loco 4030 --day 2017-04-21</v>
      </c>
      <c r="AF37" s="1"/>
    </row>
    <row r="38" spans="1:32" x14ac:dyDescent="0.25">
      <c r="A38" s="32">
        <v>42846.472129629627</v>
      </c>
      <c r="B38" s="30" t="s">
        <v>603</v>
      </c>
      <c r="C38" s="30" t="s">
        <v>604</v>
      </c>
      <c r="D38" s="30" t="s">
        <v>98</v>
      </c>
      <c r="E38" s="30" t="s">
        <v>210</v>
      </c>
      <c r="F38" s="43">
        <v>150</v>
      </c>
      <c r="G38" s="43">
        <v>202</v>
      </c>
      <c r="H38" s="43">
        <v>4996</v>
      </c>
      <c r="I38" s="43">
        <v>5418</v>
      </c>
      <c r="J38" s="30" t="s">
        <v>211</v>
      </c>
      <c r="K38" s="43">
        <v>0</v>
      </c>
      <c r="L38" s="138" t="s">
        <v>50</v>
      </c>
      <c r="M38" s="139">
        <f t="shared" si="0"/>
        <v>-2860.7039999999997</v>
      </c>
      <c r="N38" s="140" t="str">
        <f>VLOOKUP(C38,'Trips&amp;Operators'!$C$1:$G$99999,5,FALSE)</f>
        <v>ROBINSON KADDIBA</v>
      </c>
      <c r="O38" s="198" t="s">
        <v>184</v>
      </c>
      <c r="P38" s="141"/>
      <c r="Q38" s="30"/>
      <c r="R38" s="89" t="e">
        <f>IF(VLOOKUP(C38,'Train Runs'!$A$13:$AE$9930,1,1)=C38,VLOOKUP(C38,'Train Runs'!$A$13:$AE$9930,31,1),NA())</f>
        <v>#N/A</v>
      </c>
      <c r="S38" s="92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-04-21T10:16:34-0600',mode:absolute,to:'2017-04-21T12:29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8" s="94" t="str">
        <f t="shared" si="1"/>
        <v>"C:\Program Files (x86)\AstroGrep\AstroGrep.exe" /e /r /s /spath="%USERPROFILE%\AppData\Local\Temp\OnboardLogs" /stypes="*4064*201704211*" /stext=" 17:.+((SYSTEM_STATE.+slice.+state.+changed )|(ment ac)|(multiple cpu faults)|(system.+state.+changed )|(\[timeout)|(PRM\|1\|D)|(kpr)|(kdp)|(\|lc)|(penalty))"</v>
      </c>
      <c r="U38" s="9" t="str">
        <f t="shared" si="2"/>
        <v>4064</v>
      </c>
      <c r="V38" s="32">
        <f t="shared" si="3"/>
        <v>42846.722129629627</v>
      </c>
      <c r="W38" s="46" t="str">
        <f t="shared" si="4"/>
        <v>Other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{"issue":{"subject":"","project_id":79,"tracker_id":40,"status_id":1,"priority_id":2,"assigned_to_id":23,"start_date":"2017-04-21","description":"","custom_fields":[{"id":1,"name":"Subdivision","value":"Other"},{"id":4,"name":"Milepost","value":"0"},{"id":17,"name":"Train ID","value":"50-21"},{"id":16,"name":"Locomotive ID","value":"4064"},{"id":130,"name":"Impact","value":""},{"id":150,"name":"Time of Event (Mountain Time)","value":"11:19:52"},{"id":151,"name":"Denver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8"/>
      <c r="AA38" s="48"/>
      <c r="AB38" s="48"/>
      <c r="AC38" s="123" t="str">
        <f t="shared" si="7"/>
        <v>grep -hSE -A400 "Enforcement Action" "%USERPROFILE%\AppData\Local\Temp\OnboardLogs"\RTDC4064\*4064*201704211*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"%USERPROFILE%\AppData\Local\Temp\OnboardLogs"\RTDC4064\*4064*201704211* &gt;&gt; 2017-04-21-SliceDisagreementCheck.txt</v>
      </c>
      <c r="AE38" s="150" t="str">
        <f t="shared" si="9"/>
        <v>start /low /b %USERPROFILE%\Documents\GitHub\eaglep3\Utilities\DownloadLogsFromS3.py --loco 4064 --day 2017-04-21</v>
      </c>
      <c r="AF38" s="1"/>
    </row>
    <row r="39" spans="1:32" x14ac:dyDescent="0.25">
      <c r="A39" s="32">
        <v>42846.782812500001</v>
      </c>
      <c r="B39" s="30" t="s">
        <v>355</v>
      </c>
      <c r="C39" s="30" t="s">
        <v>620</v>
      </c>
      <c r="D39" s="30" t="s">
        <v>98</v>
      </c>
      <c r="E39" s="30" t="s">
        <v>449</v>
      </c>
      <c r="F39" s="43">
        <v>0</v>
      </c>
      <c r="G39" s="43">
        <v>103</v>
      </c>
      <c r="H39" s="43">
        <v>22442</v>
      </c>
      <c r="I39" s="43">
        <v>22614</v>
      </c>
      <c r="J39" s="30" t="s">
        <v>450</v>
      </c>
      <c r="K39" s="43">
        <v>22314</v>
      </c>
      <c r="L39" s="138" t="s">
        <v>50</v>
      </c>
      <c r="M39" s="139">
        <f t="shared" si="0"/>
        <v>-158.4</v>
      </c>
      <c r="N39" s="140" t="str">
        <f>VLOOKUP(C39,'Trips&amp;Operators'!$C$1:$G$99999,5,FALSE)</f>
        <v>BRUDER RICHARD</v>
      </c>
      <c r="O39" s="198" t="s">
        <v>184</v>
      </c>
      <c r="P39" s="141"/>
      <c r="Q39" s="30"/>
      <c r="R39" s="89" t="e">
        <f>IF(VLOOKUP(C39,'Train Runs'!$A$13:$AE$9930,1,1)=C39,VLOOKUP(C39,'Train Runs'!$A$13:$AE$9930,31,1),NA())</f>
        <v>#N/A</v>
      </c>
      <c r="S39" s="92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-04-21T17:38:00-0600',mode:absolute,to:'2017-04-21T19:47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9" s="94" t="str">
        <f t="shared" si="1"/>
        <v>"C:\Program Files (x86)\AstroGrep\AstroGrep.exe" /e /r /s /spath="%USERPROFILE%\AppData\Local\Temp\OnboardLogs" /stypes="*4046*201704220*" /stext=" 00:.+((SYSTEM_STATE.+slice.+state.+changed )|(ment ac)|(multiple cpu faults)|(system.+state.+changed )|(\[timeout)|(PRM\|1\|D)|(kpr)|(kdp)|(\|lc)|(penalty))"</v>
      </c>
      <c r="U39" s="9" t="str">
        <f t="shared" si="2"/>
        <v>4046</v>
      </c>
      <c r="V39" s="32">
        <f t="shared" si="3"/>
        <v>42847.032812500001</v>
      </c>
      <c r="W39" s="46" t="str">
        <f t="shared" si="4"/>
        <v>Other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{"issue":{"subject":"","project_id":79,"tracker_id":40,"status_id":1,"priority_id":2,"assigned_to_id":23,"start_date":"2017-04-21","description":"","custom_fields":[{"id":1,"name":"Subdivision","value":"Other"},{"id":4,"name":"Milepost","value":"2.2314"},{"id":17,"name":"Train ID","value":"303-21"},{"id":16,"name":"Locomotive ID","value":"4046"},{"id":130,"name":"Impact","value":""},{"id":150,"name":"Time of Event (Mountain Time)","value":"18:47:15"},{"id":151,"name":"Denver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8"/>
      <c r="AA39" s="48"/>
      <c r="AB39" s="48"/>
      <c r="AC39" s="123" t="str">
        <f t="shared" si="7"/>
        <v>grep -hSE -A400 "Enforcement Action" "%USERPROFILE%\AppData\Local\Temp\OnboardLogs"\RTDC4046\*4046*201704220*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"%USERPROFILE%\AppData\Local\Temp\OnboardLogs"\RTDC4046\*4046*201704220* &gt;&gt; 2017-04-21-SliceDisagreementCheck.txt</v>
      </c>
      <c r="AE39" s="150" t="str">
        <f t="shared" si="9"/>
        <v>start /low /b %USERPROFILE%\Documents\GitHub\eaglep3\Utilities\DownloadLogsFromS3.py --loco 4046 --day 2017-04-22</v>
      </c>
      <c r="AF39" s="1"/>
    </row>
    <row r="40" spans="1:32" x14ac:dyDescent="0.25">
      <c r="A40" s="32">
        <v>42846.639224537037</v>
      </c>
      <c r="B40" s="30" t="s">
        <v>614</v>
      </c>
      <c r="C40" s="30" t="s">
        <v>615</v>
      </c>
      <c r="D40" s="30" t="s">
        <v>98</v>
      </c>
      <c r="E40" s="30" t="s">
        <v>449</v>
      </c>
      <c r="F40" s="43">
        <v>0</v>
      </c>
      <c r="G40" s="43">
        <v>84</v>
      </c>
      <c r="H40" s="43">
        <v>22961</v>
      </c>
      <c r="I40" s="43">
        <v>22894</v>
      </c>
      <c r="J40" s="30" t="s">
        <v>450</v>
      </c>
      <c r="K40" s="43">
        <v>24161</v>
      </c>
      <c r="L40" s="138" t="s">
        <v>51</v>
      </c>
      <c r="M40" s="139">
        <f t="shared" si="0"/>
        <v>-668.976</v>
      </c>
      <c r="N40" s="140" t="str">
        <f>VLOOKUP(C40,'Trips&amp;Operators'!$C$1:$G$99999,5,FALSE)</f>
        <v>SMITH MICHAEL</v>
      </c>
      <c r="O40" s="198" t="s">
        <v>184</v>
      </c>
      <c r="P40" s="141"/>
      <c r="Q40" s="30"/>
      <c r="R40" s="89" t="e">
        <f>IF(VLOOKUP(C40,'Train Runs'!$A$13:$AE$9930,1,1)=C40,VLOOKUP(C40,'Train Runs'!$A$13:$AE$9930,31,1),NA())</f>
        <v>#N/A</v>
      </c>
      <c r="S40" s="92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-04-21T14:16:36-0600',mode:absolute,to:'2017-04-21T16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0" s="94" t="str">
        <f t="shared" si="1"/>
        <v>"C:\Program Files (x86)\AstroGrep\AstroGrep.exe" /e /r /s /spath="%USERPROFILE%\AppData\Local\Temp\OnboardLogs" /stypes="*4055*201704212*" /stext=" 21:.+((SYSTEM_STATE.+slice.+state.+changed )|(ment ac)|(multiple cpu faults)|(system.+state.+changed )|(\[timeout)|(PRM\|1\|D)|(kpr)|(kdp)|(\|lc)|(penalty))"</v>
      </c>
      <c r="U40" s="9" t="str">
        <f t="shared" si="2"/>
        <v>4055</v>
      </c>
      <c r="V40" s="32">
        <f t="shared" si="3"/>
        <v>42846.889224537037</v>
      </c>
      <c r="W40" s="46" t="str">
        <f t="shared" si="4"/>
        <v>Other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{"issue":{"subject":"","project_id":79,"tracker_id":40,"status_id":1,"priority_id":2,"assigned_to_id":23,"start_date":"2017-04-21","description":"","custom_fields":[{"id":1,"name":"Subdivision","value":"Other"},{"id":4,"name":"Milepost","value":"2.4161"},{"id":17,"name":"Train ID","value":"904-21"},{"id":16,"name":"Locomotive ID","value":"4055"},{"id":130,"name":"Impact","value":""},{"id":150,"name":"Time of Event (Mountain Time)","value":"15:20:29"},{"id":151,"name":"Denver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8"/>
      <c r="AA40" s="48"/>
      <c r="AB40" s="48"/>
      <c r="AC40" s="123" t="str">
        <f t="shared" si="7"/>
        <v>grep -hSE -A400 "Enforcement Action" "%USERPROFILE%\AppData\Local\Temp\OnboardLogs"\RTDC4055\*4055*201704212*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"%USERPROFILE%\AppData\Local\Temp\OnboardLogs"\RTDC4055\*4055*201704212* &gt;&gt; 2017-04-21-SliceDisagreementCheck.txt</v>
      </c>
      <c r="AE40" s="150" t="str">
        <f t="shared" si="9"/>
        <v>start /low /b %USERPROFILE%\Documents\GitHub\eaglep3\Utilities\DownloadLogsFromS3.py --loco 4055 --day 2017-04-21</v>
      </c>
      <c r="AF40" s="1"/>
    </row>
    <row r="41" spans="1:32" x14ac:dyDescent="0.25">
      <c r="A41" s="32">
        <v>42846.185023148151</v>
      </c>
      <c r="B41" s="30" t="s">
        <v>442</v>
      </c>
      <c r="C41" s="30" t="s">
        <v>588</v>
      </c>
      <c r="D41" s="30" t="s">
        <v>98</v>
      </c>
      <c r="E41" s="30" t="s">
        <v>440</v>
      </c>
      <c r="F41" s="43">
        <v>0</v>
      </c>
      <c r="G41" s="43">
        <v>112</v>
      </c>
      <c r="H41" s="43">
        <v>23074</v>
      </c>
      <c r="I41" s="43">
        <v>0</v>
      </c>
      <c r="J41" s="30" t="s">
        <v>441</v>
      </c>
      <c r="K41" s="43">
        <v>24235</v>
      </c>
      <c r="L41" s="138" t="s">
        <v>51</v>
      </c>
      <c r="M41" s="139">
        <f t="shared" si="0"/>
        <v>-12796.08</v>
      </c>
      <c r="N41" s="140" t="str">
        <f>VLOOKUP(C41,'Trips&amp;Operators'!$C$1:$G$99999,5,FALSE)</f>
        <v>LOZA FIDEL</v>
      </c>
      <c r="O41" s="198" t="s">
        <v>184</v>
      </c>
      <c r="P41" s="141"/>
      <c r="Q41" s="30"/>
      <c r="R41" s="89" t="e">
        <f>IF(VLOOKUP(C41,'Train Runs'!$A$13:$AE$9930,1,1)=C41,VLOOKUP(C41,'Train Runs'!$A$13:$AE$9930,31,1),NA())</f>
        <v>#N/A</v>
      </c>
      <c r="S41" s="92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-04-21T03:22:24-0600',mode:absolute,to:'2017-04-21T05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1" s="94" t="str">
        <f t="shared" si="1"/>
        <v>"C:\Program Files (x86)\AstroGrep\AstroGrep.exe" /e /r /s /spath="%USERPROFILE%\AppData\Local\Temp\OnboardLogs" /stypes="*4023*201704211*" /stext=" 10:.+((SYSTEM_STATE.+slice.+state.+changed )|(ment ac)|(multiple cpu faults)|(system.+state.+changed )|(\[timeout)|(PRM\|1\|D)|(kpr)|(kdp)|(\|lc)|(penalty))"</v>
      </c>
      <c r="U41" s="9" t="str">
        <f t="shared" si="2"/>
        <v>4023</v>
      </c>
      <c r="V41" s="32">
        <f t="shared" si="3"/>
        <v>42846.435023148151</v>
      </c>
      <c r="W41" s="46" t="str">
        <f t="shared" si="4"/>
        <v>Other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{"issue":{"subject":"","project_id":79,"tracker_id":40,"status_id":1,"priority_id":2,"assigned_to_id":23,"start_date":"2017-04-21","description":"","custom_fields":[{"id":1,"name":"Subdivision","value":"Other"},{"id":4,"name":"Milepost","value":"2.4235"},{"id":17,"name":"Train ID","value":"310-21"},{"id":16,"name":"Locomotive ID","value":"4023"},{"id":130,"name":"Impact","value":""},{"id":150,"name":"Time of Event (Mountain Time)","value":"04:26:26"},{"id":151,"name":"Denver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8"/>
      <c r="AA41" s="48"/>
      <c r="AB41" s="48"/>
      <c r="AC41" s="123" t="str">
        <f t="shared" si="7"/>
        <v>grep -hSE -A400 "Enforcement Action" "%USERPROFILE%\AppData\Local\Temp\OnboardLogs"\RTDC4023\*4023*201704211*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"%USERPROFILE%\AppData\Local\Temp\OnboardLogs"\RTDC4023\*4023*201704211* &gt;&gt; 2017-04-21-SliceDisagreementCheck.txt</v>
      </c>
      <c r="AE41" s="150" t="str">
        <f t="shared" si="9"/>
        <v>start /low /b %USERPROFILE%\Documents\GitHub\eaglep3\Utilities\DownloadLogsFromS3.py --loco 4023 --day 2017-04-21</v>
      </c>
      <c r="AF41" s="1"/>
    </row>
    <row r="42" spans="1:32" x14ac:dyDescent="0.25">
      <c r="A42" s="32">
        <v>42846.123680555553</v>
      </c>
      <c r="B42" s="30" t="s">
        <v>439</v>
      </c>
      <c r="C42" s="30" t="s">
        <v>551</v>
      </c>
      <c r="D42" s="30" t="s">
        <v>49</v>
      </c>
      <c r="E42" s="30" t="s">
        <v>185</v>
      </c>
      <c r="F42" s="43">
        <v>0</v>
      </c>
      <c r="G42" s="43">
        <v>33</v>
      </c>
      <c r="H42" s="43">
        <v>129</v>
      </c>
      <c r="I42" s="43">
        <v>110</v>
      </c>
      <c r="J42" s="30" t="s">
        <v>186</v>
      </c>
      <c r="K42" s="43">
        <v>1</v>
      </c>
      <c r="L42" s="138" t="s">
        <v>51</v>
      </c>
      <c r="M42" s="139">
        <f t="shared" si="0"/>
        <v>57.552</v>
      </c>
      <c r="N42" s="140" t="str">
        <f>VLOOKUP(C42,'Trips&amp;Operators'!$C$1:$G$99999,5,FALSE)</f>
        <v>BADERTSCHER DIANE</v>
      </c>
      <c r="O42" s="198" t="s">
        <v>184</v>
      </c>
      <c r="P42" s="141"/>
      <c r="Q42" s="30"/>
      <c r="R42" s="89" t="e">
        <f>IF(VLOOKUP(C42,'Train Runs'!$A$13:$AE$9930,1,1)=C42,VLOOKUP(C42,'Train Runs'!$A$13:$AE$9930,31,1),NA())</f>
        <v>#N/A</v>
      </c>
      <c r="S42" s="92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-04-21T01:43:31-0600',mode:absolute,to:'2017-04-21T03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2" s="94" t="str">
        <f t="shared" si="1"/>
        <v>"C:\Program Files (x86)\AstroGrep\AstroGrep.exe" /e /r /s /spath="%USERPROFILE%\AppData\Local\Temp\OnboardLogs" /stypes="*4015*201704210*" /stext=" 08:.+((SYSTEM_STATE.+slice.+state.+changed )|(ment ac)|(multiple cpu faults)|(system.+state.+changed )|(\[timeout)|(PRM\|1\|D)|(kpr)|(kdp)|(\|lc)|(penalty))"</v>
      </c>
      <c r="U42" s="9" t="str">
        <f t="shared" si="2"/>
        <v>4015</v>
      </c>
      <c r="V42" s="32">
        <f t="shared" si="3"/>
        <v>42846.373680555553</v>
      </c>
      <c r="W42" s="46" t="str">
        <f t="shared" si="4"/>
        <v>Other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{"issue":{"subject":"","project_id":79,"tracker_id":40,"status_id":1,"priority_id":2,"assigned_to_id":23,"start_date":"2017-04-21","description":"","custom_fields":[{"id":1,"name":"Subdivision","value":"Other"},{"id":4,"name":"Milepost","value":"0.0001"},{"id":17,"name":"Train ID","value":"302-21"},{"id":16,"name":"Locomotive ID","value":"4015"},{"id":130,"name":"Impact","value":""},{"id":150,"name":"Time of Event (Mountain Time)","value":"02:58:06"},{"id":151,"name":"Denver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8"/>
      <c r="AA42" s="48"/>
      <c r="AB42" s="48"/>
      <c r="AC42" s="123" t="str">
        <f t="shared" si="7"/>
        <v>grep -hSE -A400 "Enforcement Action" "%USERPROFILE%\AppData\Local\Temp\OnboardLogs"\RTDC4015\*4015*201704210*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"%USERPROFILE%\AppData\Local\Temp\OnboardLogs"\RTDC4015\*4015*201704210* &gt;&gt; 2017-04-21-SliceDisagreementCheck.txt</v>
      </c>
      <c r="AE42" s="150" t="str">
        <f t="shared" si="9"/>
        <v>start /low /b %USERPROFILE%\Documents\GitHub\eaglep3\Utilities\DownloadLogsFromS3.py --loco 4015 --day 2017-04-21</v>
      </c>
      <c r="AF42" s="1"/>
    </row>
    <row r="43" spans="1:32" x14ac:dyDescent="0.25">
      <c r="A43" s="32">
        <v>42846.994212962964</v>
      </c>
      <c r="B43" s="30" t="s">
        <v>352</v>
      </c>
      <c r="C43" s="30" t="s">
        <v>626</v>
      </c>
      <c r="D43" s="30" t="s">
        <v>49</v>
      </c>
      <c r="E43" s="30" t="s">
        <v>185</v>
      </c>
      <c r="F43" s="43">
        <v>0</v>
      </c>
      <c r="G43" s="43">
        <v>8</v>
      </c>
      <c r="H43" s="43">
        <v>5</v>
      </c>
      <c r="I43" s="43">
        <v>1</v>
      </c>
      <c r="J43" s="30" t="s">
        <v>186</v>
      </c>
      <c r="K43" s="43">
        <v>1</v>
      </c>
      <c r="L43" s="138" t="s">
        <v>51</v>
      </c>
      <c r="M43" s="139">
        <f t="shared" si="0"/>
        <v>0</v>
      </c>
      <c r="N43" s="140" t="str">
        <f>VLOOKUP(C43,'Trips&amp;Operators'!$C$1:$G$99999,5,FALSE)</f>
        <v>DUNCAN SHEILA</v>
      </c>
      <c r="O43" s="198" t="s">
        <v>184</v>
      </c>
      <c r="P43" s="141"/>
      <c r="Q43" s="30"/>
      <c r="R43" s="89" t="e">
        <f>IF(VLOOKUP(C43,'Train Runs'!$A$13:$AE$9930,1,1)=C43,VLOOKUP(C43,'Train Runs'!$A$13:$AE$9930,31,1),NA())</f>
        <v>#N/A</v>
      </c>
      <c r="S43" s="92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-04-21T20:27:40-0600',mode:absolute,to:'2017-04-21T22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3" s="94" t="str">
        <f t="shared" si="1"/>
        <v>"C:\Program Files (x86)\AstroGrep\AstroGrep.exe" /e /r /s /spath="%USERPROFILE%\AppData\Local\Temp\OnboardLogs" /stypes="*4027*201704220*" /stext=" 05:.+((SYSTEM_STATE.+slice.+state.+changed )|(ment ac)|(multiple cpu faults)|(system.+state.+changed )|(\[timeout)|(PRM\|1\|D)|(kpr)|(kdp)|(\|lc)|(penalty))"</v>
      </c>
      <c r="U43" s="9" t="str">
        <f t="shared" si="2"/>
        <v>4027</v>
      </c>
      <c r="V43" s="32">
        <f t="shared" si="3"/>
        <v>42847.244212962964</v>
      </c>
      <c r="W43" s="46" t="str">
        <f t="shared" si="4"/>
        <v>Other</v>
      </c>
      <c r="X43" s="46" t="str">
        <f t="shared" si="5"/>
        <v>OMIT</v>
      </c>
      <c r="Y43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{"issue":{"subject":"","project_id":79,"tracker_id":40,"status_id":1,"priority_id":2,"assigned_to_id":23,"start_date":"2017-04-21","description":"","custom_fields":[{"id":1,"name":"Subdivision","value":"Other"},{"id":4,"name":"Milepost","value":"0.0001"},{"id":17,"name":"Train ID","value":"80-21"},{"id":16,"name":"Locomotive ID","value":"4027"},{"id":130,"name":"Impact","value":""},{"id":150,"name":"Time of Event (Mountain Time)","value":"23:51:40"},{"id":151,"name":"Denver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8"/>
      <c r="AA43" s="48"/>
      <c r="AB43" s="48"/>
      <c r="AC43" s="123" t="str">
        <f t="shared" si="7"/>
        <v>grep -hSE -A400 "Enforcement Action" "%USERPROFILE%\AppData\Local\Temp\OnboardLogs"\RTDC4027\*4027*201704220*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"%USERPROFILE%\AppData\Local\Temp\OnboardLogs"\RTDC4027\*4027*201704220* &gt;&gt; 2017-04-21-SliceDisagreementCheck.txt</v>
      </c>
      <c r="AE43" s="150" t="str">
        <f t="shared" si="9"/>
        <v>start /low /b %USERPROFILE%\Documents\GitHub\eaglep3\Utilities\DownloadLogsFromS3.py --loco 4027 --day 2017-04-22</v>
      </c>
      <c r="AF43" s="1"/>
    </row>
    <row r="44" spans="1:32" x14ac:dyDescent="0.25">
      <c r="A44" s="32">
        <v>42846.213321759256</v>
      </c>
      <c r="B44" s="30" t="s">
        <v>589</v>
      </c>
      <c r="C44" s="30" t="s">
        <v>590</v>
      </c>
      <c r="D44" s="30" t="s">
        <v>49</v>
      </c>
      <c r="E44" s="30" t="s">
        <v>185</v>
      </c>
      <c r="F44" s="43">
        <v>0</v>
      </c>
      <c r="G44" s="43">
        <v>17</v>
      </c>
      <c r="H44" s="43">
        <v>59014</v>
      </c>
      <c r="I44" s="43">
        <v>59020</v>
      </c>
      <c r="J44" s="30" t="s">
        <v>186</v>
      </c>
      <c r="K44" s="43">
        <v>59048</v>
      </c>
      <c r="L44" s="138" t="s">
        <v>50</v>
      </c>
      <c r="M44" s="139">
        <f t="shared" si="0"/>
        <v>14.784000000000001</v>
      </c>
      <c r="N44" s="140" t="str">
        <f>VLOOKUP(C44,'Trips&amp;Operators'!$C$1:$G$99999,5,FALSE)</f>
        <v>ZEWDU DEREJE</v>
      </c>
      <c r="O44" s="198" t="s">
        <v>184</v>
      </c>
      <c r="P44" s="141"/>
      <c r="Q44" s="30"/>
      <c r="R44" s="89" t="e">
        <f>IF(VLOOKUP(C44,'Train Runs'!$A$13:$AE$9930,1,1)=C44,VLOOKUP(C44,'Train Runs'!$A$13:$AE$9930,31,1),NA())</f>
        <v>#N/A</v>
      </c>
      <c r="S44" s="92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-04-21T03:50:12-0600',mode:absolute,to:'2017-04-21T06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4" s="94" t="str">
        <f t="shared" si="1"/>
        <v>"C:\Program Files (x86)\AstroGrep\AstroGrep.exe" /e /r /s /spath="%USERPROFILE%\AppData\Local\Temp\OnboardLogs" /stypes="*4056*201704211*" /stext=" 11:.+((SYSTEM_STATE.+slice.+state.+changed )|(ment ac)|(multiple cpu faults)|(system.+state.+changed )|(\[timeout)|(PRM\|1\|D)|(kpr)|(kdp)|(\|lc)|(penalty))"</v>
      </c>
      <c r="U44" s="9" t="str">
        <f t="shared" si="2"/>
        <v>4056</v>
      </c>
      <c r="V44" s="32">
        <f t="shared" si="3"/>
        <v>42846.463321759256</v>
      </c>
      <c r="W44" s="46" t="str">
        <f t="shared" si="4"/>
        <v>Other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{"issue":{"subject":"","project_id":79,"tracker_id":40,"status_id":1,"priority_id":2,"assigned_to_id":23,"start_date":"2017-04-21","description":"","custom_fields":[{"id":1,"name":"Subdivision","value":"Other"},{"id":4,"name":"Milepost","value":"5.9048"},{"id":17,"name":"Train ID","value":"901-21"},{"id":16,"name":"Locomotive ID","value":"4056"},{"id":130,"name":"Impact","value":""},{"id":150,"name":"Time of Event (Mountain Time)","value":"05:07:11"},{"id":151,"name":"Denver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8"/>
      <c r="AA44" s="48"/>
      <c r="AB44" s="48"/>
      <c r="AC44" s="123" t="str">
        <f t="shared" si="7"/>
        <v>grep -hSE -A400 "Enforcement Action" "%USERPROFILE%\AppData\Local\Temp\OnboardLogs"\RTDC4056\*4056*201704211*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"%USERPROFILE%\AppData\Local\Temp\OnboardLogs"\RTDC4056\*4056*201704211* &gt;&gt; 2017-04-21-SliceDisagreementCheck.txt</v>
      </c>
      <c r="AE44" s="150" t="str">
        <f t="shared" si="9"/>
        <v>start /low /b %USERPROFILE%\Documents\GitHub\eaglep3\Utilities\DownloadLogsFromS3.py --loco 4056 --day 2017-04-21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Z66"/>
      <c r="AC66"/>
      <c r="AE66"/>
    </row>
  </sheetData>
  <autoFilter ref="A6:AC66">
    <sortState ref="A7:AC66">
      <sortCondition ref="W7:W44"/>
      <sortCondition ref="E7:E44"/>
      <sortCondition ref="K7:K44"/>
      <sortCondition ref="F7:F4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I3" sqref="I3"/>
    </sheetView>
  </sheetViews>
  <sheetFormatPr defaultRowHeight="15" x14ac:dyDescent="0.25"/>
  <cols>
    <col min="1" max="1" width="9.140625" style="159"/>
    <col min="2" max="2" width="9.140625" style="2" customWidth="1"/>
    <col min="3" max="3" width="8" style="96" bestFit="1" customWidth="1"/>
    <col min="4" max="4" width="9.85546875" style="145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59"/>
      <c r="B1" s="201" t="str">
        <f>"Trips that did not appear in PTC Data "&amp;TEXT(Variables!$A$2,"YYYY-mm-dd")</f>
        <v>Trips that did not appear in PTC Data 2017-04-21</v>
      </c>
      <c r="C1" s="201"/>
      <c r="D1" s="201"/>
      <c r="E1" s="201"/>
      <c r="F1" s="201"/>
    </row>
    <row r="2" spans="1:10" s="23" customFormat="1" ht="45" x14ac:dyDescent="0.25">
      <c r="A2" s="162" t="s">
        <v>152</v>
      </c>
      <c r="B2" s="98" t="s">
        <v>58</v>
      </c>
      <c r="C2" s="95" t="s">
        <v>59</v>
      </c>
      <c r="D2" s="157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61">
        <v>197</v>
      </c>
      <c r="B3" s="43" t="str">
        <f>A3&amp;"-"&amp;IF(DAY(Variables!$A$2)&lt;10,0,"")&amp;DAY(Variables!$A$2)</f>
        <v>197-21</v>
      </c>
      <c r="C3" s="142"/>
      <c r="D3" s="158"/>
      <c r="E3" s="30"/>
      <c r="F3" s="21" t="str">
        <f>VLOOKUP(B3,'Trips&amp;Operators'!$C$2:$E$10000,3,FALSE)</f>
        <v>LOPES</v>
      </c>
      <c r="G3" s="21" t="str">
        <f>VLOOKUP(B3,'Trips&amp;Operators'!$C$1:$F$10000,4,FALSE)</f>
        <v>KIMBERLY</v>
      </c>
      <c r="H3" s="29" t="str">
        <f>VLOOKUP(B3,'Trips&amp;Operators'!$C$1:$H$10000,5,FALSE)</f>
        <v>LOPES KIMBERLY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22197-21%22)),sort:!(Time.ISO8601,asc))</v>
      </c>
      <c r="J3" s="30" t="str">
        <f>VLOOKUP(B3,'Train Runs'!$A$13:$A$99927,1,FALSE)</f>
        <v>197-21</v>
      </c>
    </row>
    <row r="4" spans="1:10" x14ac:dyDescent="0.25">
      <c r="A4" s="161"/>
      <c r="B4" s="43" t="str">
        <f>A4&amp;"-"&amp;IF(DAY(Variables!$A$2)&lt;10,0,"")&amp;DAY(Variables!$A$2)</f>
        <v>-21</v>
      </c>
      <c r="C4" s="142"/>
      <c r="D4" s="158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Runs'!$A$13:$A$99927,1,FALSE)</f>
        <v>#N/A</v>
      </c>
    </row>
    <row r="5" spans="1:10" x14ac:dyDescent="0.25">
      <c r="A5" s="161"/>
      <c r="B5" s="43" t="str">
        <f>A5&amp;"-"&amp;IF(DAY(Variables!$A$2)&lt;10,0,"")&amp;DAY(Variables!$A$2)</f>
        <v>-21</v>
      </c>
      <c r="C5" s="142"/>
      <c r="D5" s="158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Runs'!$A$13:$A$99927,1,FALSE)</f>
        <v>#N/A</v>
      </c>
    </row>
    <row r="6" spans="1:10" x14ac:dyDescent="0.25">
      <c r="A6" s="161"/>
      <c r="B6" s="43" t="str">
        <f>A6&amp;"-"&amp;IF(DAY(Variables!$A$2)&lt;10,0,"")&amp;DAY(Variables!$A$2)</f>
        <v>-21</v>
      </c>
      <c r="C6" s="142"/>
      <c r="D6" s="158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Runs'!$A$13:$A$99927,1,FALSE)</f>
        <v>#N/A</v>
      </c>
    </row>
    <row r="7" spans="1:10" x14ac:dyDescent="0.25">
      <c r="A7" s="161"/>
      <c r="B7" s="43" t="str">
        <f>A7&amp;"-"&amp;IF(DAY(Variables!$A$2)&lt;10,0,"")&amp;DAY(Variables!$A$2)</f>
        <v>-21</v>
      </c>
      <c r="C7" s="142"/>
      <c r="D7" s="158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Runs'!$A$13:$A$99927,1,FALSE)</f>
        <v>#N/A</v>
      </c>
    </row>
    <row r="8" spans="1:10" x14ac:dyDescent="0.25">
      <c r="A8" s="161"/>
      <c r="B8" s="43" t="str">
        <f>A8&amp;"-"&amp;IF(DAY(Variables!$A$2)&lt;10,0,"")&amp;DAY(Variables!$A$2)</f>
        <v>-21</v>
      </c>
      <c r="C8" s="142"/>
      <c r="D8" s="158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Runs'!$A$13:$A$99927,1,FALSE)</f>
        <v>#N/A</v>
      </c>
    </row>
    <row r="9" spans="1:10" x14ac:dyDescent="0.25">
      <c r="A9" s="161"/>
      <c r="B9" s="43" t="str">
        <f>A9&amp;"-"&amp;IF(DAY(Variables!$A$2)&lt;10,0,"")&amp;DAY(Variables!$A$2)</f>
        <v>-21</v>
      </c>
      <c r="C9" s="142"/>
      <c r="D9" s="158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Runs'!$A$13:$A$99927,1,FALSE)</f>
        <v>#N/A</v>
      </c>
    </row>
    <row r="10" spans="1:10" x14ac:dyDescent="0.25">
      <c r="A10" s="161"/>
      <c r="B10" s="43" t="str">
        <f>A10&amp;"-"&amp;IF(DAY(Variables!$A$2)&lt;10,0,"")&amp;DAY(Variables!$A$2)</f>
        <v>-21</v>
      </c>
      <c r="C10" s="142"/>
      <c r="D10" s="158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Runs'!$A$13:$A$99927,1,FALSE)</f>
        <v>#N/A</v>
      </c>
    </row>
    <row r="11" spans="1:10" x14ac:dyDescent="0.25">
      <c r="A11" s="161"/>
      <c r="B11" s="43" t="str">
        <f>A11&amp;"-"&amp;IF(DAY(Variables!$A$2)&lt;10,0,"")&amp;DAY(Variables!$A$2)</f>
        <v>-21</v>
      </c>
      <c r="C11" s="142"/>
      <c r="D11" s="158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Runs'!$A$13:$A$99927,1,FALSE)</f>
        <v>#N/A</v>
      </c>
    </row>
    <row r="12" spans="1:10" x14ac:dyDescent="0.25">
      <c r="A12" s="161"/>
      <c r="B12" s="43" t="str">
        <f>A12&amp;"-"&amp;IF(DAY(Variables!$A$2)&lt;10,0,"")&amp;DAY(Variables!$A$2)</f>
        <v>-21</v>
      </c>
      <c r="C12" s="142"/>
      <c r="D12" s="158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Runs'!$A$13:$A$99927,1,FALSE)</f>
        <v>#N/A</v>
      </c>
    </row>
    <row r="13" spans="1:10" x14ac:dyDescent="0.25">
      <c r="A13" s="161"/>
      <c r="B13" s="43" t="str">
        <f>A13&amp;"-"&amp;IF(DAY(Variables!$A$2)&lt;10,0,"")&amp;DAY(Variables!$A$2)</f>
        <v>-21</v>
      </c>
      <c r="C13" s="142"/>
      <c r="D13" s="158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Runs'!$A$13:$A$99927,1,FALSE)</f>
        <v>#N/A</v>
      </c>
    </row>
    <row r="14" spans="1:10" x14ac:dyDescent="0.25">
      <c r="A14" s="161"/>
      <c r="B14" s="43" t="str">
        <f>A14&amp;"-"&amp;IF(DAY(Variables!$A$2)&lt;10,0,"")&amp;DAY(Variables!$A$2)</f>
        <v>-21</v>
      </c>
      <c r="C14" s="142"/>
      <c r="D14" s="158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Runs'!$A$13:$A$99927,1,FALSE)</f>
        <v>#N/A</v>
      </c>
    </row>
    <row r="15" spans="1:10" x14ac:dyDescent="0.25">
      <c r="A15" s="161"/>
      <c r="B15" s="43" t="str">
        <f>A15&amp;"-"&amp;IF(DAY(Variables!$A$2)&lt;10,0,"")&amp;DAY(Variables!$A$2)</f>
        <v>-21</v>
      </c>
      <c r="C15" s="142"/>
      <c r="D15" s="158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Runs'!$A$13:$A$99927,1,FALSE)</f>
        <v>#N/A</v>
      </c>
    </row>
    <row r="16" spans="1:10" x14ac:dyDescent="0.25">
      <c r="A16" s="161"/>
      <c r="B16" s="43" t="str">
        <f>A16&amp;"-"&amp;IF(DAY(Variables!$A$2)&lt;10,0,"")&amp;DAY(Variables!$A$2)</f>
        <v>-21</v>
      </c>
      <c r="C16" s="142"/>
      <c r="D16" s="158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Runs'!$A$13:$A$99927,1,FALSE)</f>
        <v>#N/A</v>
      </c>
    </row>
    <row r="17" spans="1:10" x14ac:dyDescent="0.25">
      <c r="A17" s="161"/>
      <c r="B17" s="43" t="str">
        <f>A17&amp;"-"&amp;IF(DAY(Variables!$A$2)&lt;10,0,"")&amp;DAY(Variables!$A$2)</f>
        <v>-21</v>
      </c>
      <c r="C17" s="142"/>
      <c r="D17" s="158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Runs'!$A$13:$A$99927,1,FALSE)</f>
        <v>#N/A</v>
      </c>
    </row>
    <row r="18" spans="1:10" x14ac:dyDescent="0.25">
      <c r="A18" s="161"/>
      <c r="B18" s="43" t="str">
        <f>A18&amp;"-"&amp;IF(DAY(Variables!$A$2)&lt;10,0,"")&amp;DAY(Variables!$A$2)</f>
        <v>-21</v>
      </c>
      <c r="C18" s="142"/>
      <c r="D18" s="158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Runs'!$A$13:$A$99927,1,FALSE)</f>
        <v>#N/A</v>
      </c>
    </row>
    <row r="19" spans="1:10" x14ac:dyDescent="0.25">
      <c r="A19" s="161"/>
      <c r="B19" s="43" t="str">
        <f>A19&amp;"-"&amp;IF(DAY(Variables!$A$2)&lt;10,0,"")&amp;DAY(Variables!$A$2)</f>
        <v>-21</v>
      </c>
      <c r="C19" s="142"/>
      <c r="D19" s="158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Runs'!$A$13:$A$99927,1,FALSE)</f>
        <v>#N/A</v>
      </c>
    </row>
    <row r="20" spans="1:10" x14ac:dyDescent="0.25">
      <c r="A20" s="161"/>
      <c r="B20" s="43" t="str">
        <f>A20&amp;"-"&amp;IF(DAY(Variables!$A$2)&lt;10,0,"")&amp;DAY(Variables!$A$2)</f>
        <v>-21</v>
      </c>
      <c r="C20" s="142"/>
      <c r="D20" s="158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Runs'!$A$13:$A$99927,1,FALSE)</f>
        <v>#N/A</v>
      </c>
    </row>
    <row r="21" spans="1:10" x14ac:dyDescent="0.25">
      <c r="A21" s="161"/>
      <c r="B21" s="43" t="str">
        <f>A21&amp;"-"&amp;IF(DAY(Variables!$A$2)&lt;10,0,"")&amp;DAY(Variables!$A$2)</f>
        <v>-21</v>
      </c>
      <c r="C21" s="142"/>
      <c r="D21" s="158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Runs'!$A$13:$A$99927,1,FALSE)</f>
        <v>#N/A</v>
      </c>
    </row>
    <row r="22" spans="1:10" x14ac:dyDescent="0.25">
      <c r="A22" s="161"/>
      <c r="B22" s="43" t="str">
        <f>A22&amp;"-"&amp;IF(DAY(Variables!$A$2)&lt;10,0,"")&amp;DAY(Variables!$A$2)</f>
        <v>-21</v>
      </c>
      <c r="C22" s="142"/>
      <c r="D22" s="158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Runs'!$A$13:$A$99927,1,FALSE)</f>
        <v>#N/A</v>
      </c>
    </row>
    <row r="23" spans="1:10" x14ac:dyDescent="0.25">
      <c r="A23" s="161"/>
      <c r="B23" s="43" t="str">
        <f>A23&amp;"-"&amp;IF(DAY(Variables!$A$2)&lt;10,0,"")&amp;DAY(Variables!$A$2)</f>
        <v>-21</v>
      </c>
      <c r="C23" s="142"/>
      <c r="D23" s="158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Runs'!$A$13:$A$99927,1,FALSE)</f>
        <v>#N/A</v>
      </c>
    </row>
    <row r="24" spans="1:10" x14ac:dyDescent="0.25">
      <c r="A24" s="161"/>
      <c r="B24" s="43" t="str">
        <f>A24&amp;"-"&amp;IF(DAY(Variables!$A$2)&lt;10,0,"")&amp;DAY(Variables!$A$2)</f>
        <v>-21</v>
      </c>
      <c r="C24" s="142"/>
      <c r="D24" s="158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Runs'!$A$13:$A$99927,1,FALSE)</f>
        <v>#N/A</v>
      </c>
    </row>
    <row r="25" spans="1:10" x14ac:dyDescent="0.25">
      <c r="A25" s="161"/>
      <c r="B25" s="43" t="str">
        <f>A25&amp;"-"&amp;IF(DAY(Variables!$A$2)&lt;10,0,"")&amp;DAY(Variables!$A$2)</f>
        <v>-21</v>
      </c>
      <c r="C25" s="142"/>
      <c r="D25" s="158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Runs'!$A$13:$A$99927,1,FALSE)</f>
        <v>#N/A</v>
      </c>
    </row>
    <row r="26" spans="1:10" x14ac:dyDescent="0.25">
      <c r="A26" s="161"/>
      <c r="B26" s="43" t="str">
        <f>A26&amp;"-"&amp;IF(DAY(Variables!$A$2)&lt;10,0,"")&amp;DAY(Variables!$A$2)</f>
        <v>-21</v>
      </c>
      <c r="C26" s="142"/>
      <c r="D26" s="158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0" t="e">
        <f>VLOOKUP(B26,'Train Runs'!$A$13:$A$99927,1,FALSE)</f>
        <v>#N/A</v>
      </c>
    </row>
    <row r="27" spans="1:10" x14ac:dyDescent="0.25">
      <c r="A27" s="161"/>
      <c r="B27" s="43" t="str">
        <f>A27&amp;"-"&amp;IF(DAY(Variables!$A$2)&lt;10,0,"")&amp;DAY(Variables!$A$2)</f>
        <v>-21</v>
      </c>
      <c r="C27" s="142"/>
      <c r="D27" s="158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0" t="e">
        <f>VLOOKUP(B27,'Train Runs'!$A$13:$A$99927,1,FALSE)</f>
        <v>#N/A</v>
      </c>
    </row>
    <row r="28" spans="1:10" x14ac:dyDescent="0.25">
      <c r="A28" s="161"/>
      <c r="B28" s="43" t="str">
        <f>A28&amp;"-"&amp;IF(DAY(Variables!$A$2)&lt;10,0,"")&amp;DAY(Variables!$A$2)</f>
        <v>-21</v>
      </c>
      <c r="C28" s="142"/>
      <c r="D28" s="158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0" t="e">
        <f>VLOOKUP(B28,'Train Runs'!$A$13:$A$99927,1,FALSE)</f>
        <v>#N/A</v>
      </c>
    </row>
    <row r="29" spans="1:10" x14ac:dyDescent="0.25">
      <c r="A29" s="161"/>
      <c r="B29" s="43" t="str">
        <f>A29&amp;"-"&amp;IF(DAY(Variables!$A$2)&lt;10,0,"")&amp;DAY(Variables!$A$2)</f>
        <v>-21</v>
      </c>
      <c r="C29" s="142"/>
      <c r="D29" s="158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0" t="e">
        <f>VLOOKUP(B29,'Train Runs'!$A$13:$A$99927,1,FALSE)</f>
        <v>#N/A</v>
      </c>
    </row>
    <row r="30" spans="1:10" x14ac:dyDescent="0.25">
      <c r="A30" s="161"/>
      <c r="B30" s="43" t="str">
        <f>A30&amp;"-"&amp;IF(DAY(Variables!$A$2)&lt;10,0,"")&amp;DAY(Variables!$A$2)</f>
        <v>-21</v>
      </c>
      <c r="C30" s="142"/>
      <c r="D30" s="158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0" t="e">
        <f>VLOOKUP(B30,'Train Runs'!$A$13:$A$99927,1,FALSE)</f>
        <v>#N/A</v>
      </c>
    </row>
    <row r="31" spans="1:10" x14ac:dyDescent="0.25">
      <c r="A31" s="161"/>
      <c r="B31" s="43" t="str">
        <f>A31&amp;"-"&amp;IF(DAY(Variables!$A$2)&lt;10,0,"")&amp;DAY(Variables!$A$2)</f>
        <v>-21</v>
      </c>
      <c r="C31" s="142"/>
      <c r="D31" s="158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0" t="e">
        <f>VLOOKUP(B31,'Train Runs'!$A$13:$A$99927,1,FALSE)</f>
        <v>#N/A</v>
      </c>
    </row>
    <row r="32" spans="1:10" x14ac:dyDescent="0.25">
      <c r="A32" s="161"/>
      <c r="B32" s="43" t="str">
        <f>A32&amp;"-"&amp;IF(DAY(Variables!$A$2)&lt;10,0,"")&amp;DAY(Variables!$A$2)</f>
        <v>-21</v>
      </c>
      <c r="C32" s="142"/>
      <c r="D32" s="158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0" t="e">
        <f>VLOOKUP(B32,'Train Runs'!$A$13:$A$99927,1,FALSE)</f>
        <v>#N/A</v>
      </c>
    </row>
    <row r="33" spans="1:10" x14ac:dyDescent="0.25">
      <c r="A33" s="161"/>
      <c r="B33" s="43" t="str">
        <f>A33&amp;"-"&amp;IF(DAY(Variables!$A$2)&lt;10,0,"")&amp;DAY(Variables!$A$2)</f>
        <v>-21</v>
      </c>
      <c r="C33" s="142"/>
      <c r="D33" s="158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0" t="e">
        <f>VLOOKUP(B33,'Train Runs'!$A$13:$A$99927,1,FALSE)</f>
        <v>#N/A</v>
      </c>
    </row>
    <row r="34" spans="1:10" x14ac:dyDescent="0.25">
      <c r="A34" s="161"/>
      <c r="B34" s="43" t="str">
        <f>A34&amp;"-"&amp;IF(DAY(Variables!$A$2)&lt;10,0,"")&amp;DAY(Variables!$A$2)</f>
        <v>-21</v>
      </c>
      <c r="C34" s="142"/>
      <c r="D34" s="158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0" t="e">
        <f>VLOOKUP(B34,'Train Runs'!$A$13:$A$99927,1,FALSE)</f>
        <v>#N/A</v>
      </c>
    </row>
    <row r="35" spans="1:10" x14ac:dyDescent="0.25">
      <c r="A35" s="161"/>
      <c r="B35" s="43" t="str">
        <f>A35&amp;"-"&amp;IF(DAY(Variables!$A$2)&lt;10,0,"")&amp;DAY(Variables!$A$2)</f>
        <v>-21</v>
      </c>
      <c r="C35" s="142"/>
      <c r="D35" s="158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0" t="e">
        <f>VLOOKUP(B35,'Train Runs'!$A$13:$A$99927,1,FALSE)</f>
        <v>#N/A</v>
      </c>
    </row>
    <row r="36" spans="1:10" x14ac:dyDescent="0.25">
      <c r="A36" s="161"/>
      <c r="B36" s="43" t="str">
        <f>A36&amp;"-"&amp;IF(DAY(Variables!$A$2)&lt;10,0,"")&amp;DAY(Variables!$A$2)</f>
        <v>-21</v>
      </c>
      <c r="C36" s="142"/>
      <c r="D36" s="158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0" t="e">
        <f>VLOOKUP(B36,'Train Runs'!$A$13:$A$99927,1,FALSE)</f>
        <v>#N/A</v>
      </c>
    </row>
    <row r="37" spans="1:10" x14ac:dyDescent="0.25">
      <c r="A37" s="161"/>
      <c r="B37" s="43" t="str">
        <f>A37&amp;"-"&amp;IF(DAY(Variables!$A$2)&lt;10,0,"")&amp;DAY(Variables!$A$2)</f>
        <v>-21</v>
      </c>
      <c r="C37" s="142"/>
      <c r="D37" s="158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0" t="e">
        <f>VLOOKUP(B37,'Train Runs'!$A$13:$A$99927,1,FALSE)</f>
        <v>#N/A</v>
      </c>
    </row>
    <row r="38" spans="1:10" x14ac:dyDescent="0.25">
      <c r="A38" s="161"/>
      <c r="B38" s="43" t="str">
        <f>A38&amp;"-"&amp;IF(DAY(Variables!$A$2)&lt;10,0,"")&amp;DAY(Variables!$A$2)</f>
        <v>-21</v>
      </c>
      <c r="C38" s="142"/>
      <c r="D38" s="158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0" t="e">
        <f>VLOOKUP(B38,'Train Runs'!$A$13:$A$99927,1,FALSE)</f>
        <v>#N/A</v>
      </c>
    </row>
    <row r="39" spans="1:10" x14ac:dyDescent="0.25">
      <c r="A39" s="161"/>
      <c r="B39" s="43" t="str">
        <f>A39&amp;"-"&amp;IF(DAY(Variables!$A$2)&lt;10,0,"")&amp;DAY(Variables!$A$2)</f>
        <v>-21</v>
      </c>
      <c r="C39" s="142"/>
      <c r="D39" s="158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0" t="e">
        <f>VLOOKUP(B39,'Train Runs'!$A$13:$A$99927,1,FALSE)</f>
        <v>#N/A</v>
      </c>
    </row>
    <row r="40" spans="1:10" x14ac:dyDescent="0.25">
      <c r="A40" s="161"/>
      <c r="B40" s="43" t="str">
        <f>A40&amp;"-"&amp;IF(DAY(Variables!$A$2)&lt;10,0,"")&amp;DAY(Variables!$A$2)</f>
        <v>-21</v>
      </c>
      <c r="C40" s="142"/>
      <c r="D40" s="158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0" t="e">
        <f>VLOOKUP(B40,'Train Runs'!$A$13:$A$99927,1,FALSE)</f>
        <v>#N/A</v>
      </c>
    </row>
    <row r="41" spans="1:10" x14ac:dyDescent="0.25">
      <c r="A41" s="161"/>
      <c r="B41" s="43" t="str">
        <f>A41&amp;"-"&amp;IF(DAY(Variables!$A$2)&lt;10,0,"")&amp;DAY(Variables!$A$2)</f>
        <v>-21</v>
      </c>
      <c r="C41" s="142"/>
      <c r="D41" s="158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0" t="e">
        <f>VLOOKUP(B41,'Train Runs'!$A$13:$A$99927,1,FALSE)</f>
        <v>#N/A</v>
      </c>
    </row>
    <row r="42" spans="1:10" x14ac:dyDescent="0.25">
      <c r="A42" s="161"/>
      <c r="B42" s="43" t="str">
        <f>A42&amp;"-"&amp;IF(DAY(Variables!$A$2)&lt;10,0,"")&amp;DAY(Variables!$A$2)</f>
        <v>-21</v>
      </c>
      <c r="C42" s="142"/>
      <c r="D42" s="158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0" t="e">
        <f>VLOOKUP(B42,'Train Runs'!$A$13:$A$99927,1,FALSE)</f>
        <v>#N/A</v>
      </c>
    </row>
    <row r="43" spans="1:10" x14ac:dyDescent="0.25">
      <c r="A43" s="161"/>
      <c r="B43" s="43" t="str">
        <f>A43&amp;"-"&amp;IF(DAY(Variables!$A$2)&lt;10,0,"")&amp;DAY(Variables!$A$2)</f>
        <v>-21</v>
      </c>
      <c r="C43" s="142"/>
      <c r="D43" s="158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0" t="e">
        <f>VLOOKUP(B43,'Train Runs'!$A$13:$A$99927,1,FALSE)</f>
        <v>#N/A</v>
      </c>
    </row>
    <row r="44" spans="1:10" x14ac:dyDescent="0.25">
      <c r="A44" s="161"/>
      <c r="B44" s="43" t="str">
        <f>A44&amp;"-"&amp;IF(DAY(Variables!$A$2)&lt;10,0,"")&amp;DAY(Variables!$A$2)</f>
        <v>-21</v>
      </c>
      <c r="C44" s="142"/>
      <c r="D44" s="158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0" t="e">
        <f>VLOOKUP(B44,'Train Runs'!$A$13:$A$99927,1,FALSE)</f>
        <v>#N/A</v>
      </c>
    </row>
    <row r="45" spans="1:10" x14ac:dyDescent="0.25">
      <c r="A45" s="161"/>
      <c r="B45" s="43" t="str">
        <f>A45&amp;"-"&amp;IF(DAY(Variables!$A$2)&lt;10,0,"")&amp;DAY(Variables!$A$2)</f>
        <v>-21</v>
      </c>
      <c r="C45" s="142"/>
      <c r="D45" s="158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0" t="e">
        <f>VLOOKUP(B45,'Train Runs'!$A$13:$A$99927,1,FALSE)</f>
        <v>#N/A</v>
      </c>
    </row>
    <row r="46" spans="1:10" x14ac:dyDescent="0.25">
      <c r="A46" s="161"/>
      <c r="B46" s="43" t="str">
        <f>A46&amp;"-"&amp;IF(DAY(Variables!$A$2)&lt;10,0,"")&amp;DAY(Variables!$A$2)</f>
        <v>-21</v>
      </c>
      <c r="C46" s="142"/>
      <c r="D46" s="158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0" t="e">
        <f>VLOOKUP(B46,'Train Runs'!$A$13:$A$99927,1,FALSE)</f>
        <v>#N/A</v>
      </c>
    </row>
    <row r="47" spans="1:10" x14ac:dyDescent="0.25">
      <c r="A47" s="161"/>
      <c r="B47" s="43" t="str">
        <f>A47&amp;"-"&amp;IF(DAY(Variables!$A$2)&lt;10,0,"")&amp;DAY(Variables!$A$2)</f>
        <v>-21</v>
      </c>
      <c r="C47" s="142"/>
      <c r="D47" s="158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0" t="e">
        <f>VLOOKUP(B47,'Train Runs'!$A$13:$A$99927,1,FALSE)</f>
        <v>#N/A</v>
      </c>
    </row>
    <row r="48" spans="1:10" x14ac:dyDescent="0.25">
      <c r="A48" s="161"/>
      <c r="B48" s="43" t="str">
        <f>A48&amp;"-"&amp;IF(DAY(Variables!$A$2)&lt;10,0,"")&amp;DAY(Variables!$A$2)</f>
        <v>-21</v>
      </c>
      <c r="C48" s="142"/>
      <c r="D48" s="158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8" s="30" t="e">
        <f>VLOOKUP(B48,'Train Runs'!$A$13:$A$99927,1,FALSE)</f>
        <v>#N/A</v>
      </c>
    </row>
    <row r="49" spans="1:10" x14ac:dyDescent="0.25">
      <c r="A49" s="161"/>
      <c r="B49" s="43" t="str">
        <f>A49&amp;"-"&amp;IF(DAY(Variables!$A$2)&lt;10,0,"")&amp;DAY(Variables!$A$2)</f>
        <v>-21</v>
      </c>
      <c r="C49" s="142"/>
      <c r="D49" s="158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9" s="30" t="e">
        <f>VLOOKUP(B49,'Train Runs'!$A$13:$A$99927,1,FALSE)</f>
        <v>#N/A</v>
      </c>
    </row>
    <row r="50" spans="1:10" x14ac:dyDescent="0.25">
      <c r="A50" s="161"/>
      <c r="B50" s="43" t="str">
        <f>A50&amp;"-"&amp;IF(DAY(Variables!$A$2)&lt;10,0,"")&amp;DAY(Variables!$A$2)</f>
        <v>-21</v>
      </c>
      <c r="C50" s="142"/>
      <c r="D50" s="158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0" s="30" t="e">
        <f>VLOOKUP(B50,'Train Runs'!$A$13:$A$99927,1,FALSE)</f>
        <v>#N/A</v>
      </c>
    </row>
    <row r="51" spans="1:10" x14ac:dyDescent="0.25">
      <c r="A51" s="161"/>
      <c r="B51" s="43" t="str">
        <f>A51&amp;"-"&amp;IF(DAY(Variables!$A$2)&lt;10,0,"")&amp;DAY(Variables!$A$2)</f>
        <v>-21</v>
      </c>
      <c r="C51" s="142"/>
      <c r="D51" s="158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1" s="30" t="e">
        <f>VLOOKUP(B51,'Train Runs'!$A$13:$A$99927,1,FALSE)</f>
        <v>#N/A</v>
      </c>
    </row>
    <row r="52" spans="1:10" x14ac:dyDescent="0.25">
      <c r="A52" s="161"/>
      <c r="B52" s="43" t="str">
        <f>A52&amp;"-"&amp;IF(DAY(Variables!$A$2)&lt;10,0,"")&amp;DAY(Variables!$A$2)</f>
        <v>-21</v>
      </c>
      <c r="C52" s="142"/>
      <c r="D52" s="158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2" s="30" t="e">
        <f>VLOOKUP(B52,'Train Runs'!$A$13:$A$99927,1,FALSE)</f>
        <v>#N/A</v>
      </c>
    </row>
    <row r="53" spans="1:10" x14ac:dyDescent="0.25">
      <c r="A53" s="161"/>
      <c r="B53" s="43" t="str">
        <f>A53&amp;"-"&amp;IF(DAY(Variables!$A$2)&lt;10,0,"")&amp;DAY(Variables!$A$2)</f>
        <v>-21</v>
      </c>
      <c r="C53" s="142"/>
      <c r="D53" s="158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3" s="30" t="e">
        <f>VLOOKUP(B53,'Train Runs'!$A$13:$A$99927,1,FALSE)</f>
        <v>#N/A</v>
      </c>
    </row>
    <row r="54" spans="1:10" x14ac:dyDescent="0.25">
      <c r="A54" s="161"/>
      <c r="B54" s="43" t="str">
        <f>A54&amp;"-"&amp;IF(DAY(Variables!$A$2)&lt;10,0,"")&amp;DAY(Variables!$A$2)</f>
        <v>-21</v>
      </c>
      <c r="C54" s="142"/>
      <c r="D54" s="158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4" s="30" t="e">
        <f>VLOOKUP(B54,'Train Runs'!$A$13:$A$99927,1,FALSE)</f>
        <v>#N/A</v>
      </c>
    </row>
    <row r="55" spans="1:10" x14ac:dyDescent="0.25">
      <c r="A55" s="161"/>
      <c r="B55" s="43" t="str">
        <f>A55&amp;"-"&amp;IF(DAY(Variables!$A$2)&lt;10,0,"")&amp;DAY(Variables!$A$2)</f>
        <v>-21</v>
      </c>
      <c r="C55" s="142"/>
      <c r="D55" s="158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5" s="30" t="e">
        <f>VLOOKUP(B55,'Train Runs'!$A$13:$A$99927,1,FALSE)</f>
        <v>#N/A</v>
      </c>
    </row>
    <row r="56" spans="1:10" x14ac:dyDescent="0.25">
      <c r="A56" s="161"/>
      <c r="B56" s="43" t="str">
        <f>A56&amp;"-"&amp;IF(DAY(Variables!$A$2)&lt;10,0,"")&amp;DAY(Variables!$A$2)</f>
        <v>-21</v>
      </c>
      <c r="C56" s="142"/>
      <c r="D56" s="158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6" s="30" t="e">
        <f>VLOOKUP(B56,'Train Runs'!$A$13:$A$99927,1,FALSE)</f>
        <v>#N/A</v>
      </c>
    </row>
    <row r="57" spans="1:10" x14ac:dyDescent="0.25">
      <c r="A57" s="161"/>
      <c r="B57" s="43" t="str">
        <f>A57&amp;"-"&amp;IF(DAY(Variables!$A$2)&lt;10,0,"")&amp;DAY(Variables!$A$2)</f>
        <v>-21</v>
      </c>
      <c r="C57" s="142"/>
      <c r="D57" s="158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7" s="30" t="e">
        <f>VLOOKUP(B57,'Train Runs'!$A$13:$A$99927,1,FALSE)</f>
        <v>#N/A</v>
      </c>
    </row>
    <row r="58" spans="1:10" x14ac:dyDescent="0.25">
      <c r="A58" s="161"/>
      <c r="B58" s="43" t="str">
        <f>A58&amp;"-"&amp;IF(DAY(Variables!$A$2)&lt;10,0,"")&amp;DAY(Variables!$A$2)</f>
        <v>-21</v>
      </c>
      <c r="C58" s="142"/>
      <c r="D58" s="158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8" s="30" t="e">
        <f>VLOOKUP(B58,'Train Runs'!$A$13:$A$99927,1,FALSE)</f>
        <v>#N/A</v>
      </c>
    </row>
    <row r="59" spans="1:10" x14ac:dyDescent="0.25">
      <c r="A59" s="161"/>
      <c r="B59" s="43" t="str">
        <f>A59&amp;"-"&amp;IF(DAY(Variables!$A$2)&lt;10,0,"")&amp;DAY(Variables!$A$2)</f>
        <v>-21</v>
      </c>
      <c r="C59" s="142"/>
      <c r="D59" s="158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9" s="30" t="e">
        <f>VLOOKUP(B59,'Train Runs'!$A$13:$A$99927,1,FALSE)</f>
        <v>#N/A</v>
      </c>
    </row>
    <row r="60" spans="1:10" x14ac:dyDescent="0.25">
      <c r="A60" s="161"/>
      <c r="B60" s="43" t="str">
        <f>A60&amp;"-"&amp;IF(DAY(Variables!$A$2)&lt;10,0,"")&amp;DAY(Variables!$A$2)</f>
        <v>-21</v>
      </c>
      <c r="C60" s="142"/>
      <c r="D60" s="158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0" s="30" t="e">
        <f>VLOOKUP(B60,'Train Runs'!$A$13:$A$99927,1,FALSE)</f>
        <v>#N/A</v>
      </c>
    </row>
    <row r="61" spans="1:10" x14ac:dyDescent="0.25">
      <c r="A61" s="161"/>
      <c r="B61" s="43" t="str">
        <f>A61&amp;"-"&amp;IF(DAY(Variables!$A$2)&lt;10,0,"")&amp;DAY(Variables!$A$2)</f>
        <v>-21</v>
      </c>
      <c r="C61" s="142"/>
      <c r="D61" s="158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1" s="30" t="e">
        <f>VLOOKUP(B61,'Train Runs'!$A$13:$A$99927,1,FALSE)</f>
        <v>#N/A</v>
      </c>
    </row>
    <row r="62" spans="1:10" x14ac:dyDescent="0.25">
      <c r="A62" s="161"/>
      <c r="B62" s="43" t="str">
        <f>A62&amp;"-"&amp;IF(DAY(Variables!$A$2)&lt;10,0,"")&amp;DAY(Variables!$A$2)</f>
        <v>-21</v>
      </c>
      <c r="C62" s="142"/>
      <c r="D62" s="158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2" s="30" t="e">
        <f>VLOOKUP(B62,'Train Runs'!$A$13:$A$99927,1,FALSE)</f>
        <v>#N/A</v>
      </c>
    </row>
    <row r="63" spans="1:10" x14ac:dyDescent="0.25">
      <c r="A63" s="161"/>
      <c r="B63" s="43" t="str">
        <f>A63&amp;"-"&amp;IF(DAY(Variables!$A$2)&lt;10,0,"")&amp;DAY(Variables!$A$2)</f>
        <v>-21</v>
      </c>
      <c r="C63" s="142"/>
      <c r="D63" s="158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3" s="30" t="e">
        <f>VLOOKUP(B63,'Train Runs'!$A$13:$A$99927,1,FALSE)</f>
        <v>#N/A</v>
      </c>
    </row>
    <row r="64" spans="1:10" x14ac:dyDescent="0.25">
      <c r="A64" s="161"/>
      <c r="B64" s="43" t="str">
        <f>A64&amp;"-"&amp;IF(DAY(Variables!$A$2)&lt;10,0,"")&amp;DAY(Variables!$A$2)</f>
        <v>-21</v>
      </c>
      <c r="C64" s="142"/>
      <c r="D64" s="158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4" s="30" t="e">
        <f>VLOOKUP(B64,'Train Runs'!$A$13:$A$99927,1,FALSE)</f>
        <v>#N/A</v>
      </c>
    </row>
    <row r="65" spans="1:10" x14ac:dyDescent="0.25">
      <c r="A65" s="161"/>
      <c r="B65" s="43" t="str">
        <f>A65&amp;"-"&amp;IF(DAY(Variables!$A$2)&lt;10,0,"")&amp;DAY(Variables!$A$2)</f>
        <v>-21</v>
      </c>
      <c r="C65" s="142"/>
      <c r="D65" s="158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5" s="30" t="e">
        <f>VLOOKUP(B65,'Train Runs'!$A$13:$A$99927,1,FALSE)</f>
        <v>#N/A</v>
      </c>
    </row>
    <row r="66" spans="1:10" x14ac:dyDescent="0.25">
      <c r="A66" s="161"/>
      <c r="B66" s="43" t="str">
        <f>A66&amp;"-"&amp;IF(DAY(Variables!$A$2)&lt;10,0,"")&amp;DAY(Variables!$A$2)</f>
        <v>-21</v>
      </c>
      <c r="C66" s="142"/>
      <c r="D66" s="158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6" s="30" t="e">
        <f>VLOOKUP(B66,'Train Runs'!$A$13:$A$99927,1,FALSE)</f>
        <v>#N/A</v>
      </c>
    </row>
    <row r="67" spans="1:10" x14ac:dyDescent="0.25">
      <c r="A67" s="161"/>
      <c r="B67" s="43" t="str">
        <f>A67&amp;"-"&amp;IF(DAY(Variables!$A$2)&lt;10,0,"")&amp;DAY(Variables!$A$2)</f>
        <v>-21</v>
      </c>
      <c r="C67" s="142"/>
      <c r="D67" s="158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7" s="30" t="e">
        <f>VLOOKUP(B67,'Train Runs'!$A$13:$A$99927,1,FALSE)</f>
        <v>#N/A</v>
      </c>
    </row>
    <row r="68" spans="1:10" x14ac:dyDescent="0.25">
      <c r="A68" s="161"/>
      <c r="B68" s="43" t="str">
        <f>A68&amp;"-"&amp;IF(DAY(Variables!$A$2)&lt;10,0,"")&amp;DAY(Variables!$A$2)</f>
        <v>-21</v>
      </c>
      <c r="C68" s="142"/>
      <c r="D68" s="158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8" s="30" t="e">
        <f>VLOOKUP(B68,'Train Runs'!$A$13:$A$99927,1,FALSE)</f>
        <v>#N/A</v>
      </c>
    </row>
    <row r="69" spans="1:10" x14ac:dyDescent="0.25">
      <c r="A69" s="161"/>
      <c r="B69" s="43" t="str">
        <f>A69&amp;"-"&amp;IF(DAY(Variables!$A$2)&lt;10,0,"")&amp;DAY(Variables!$A$2)</f>
        <v>-21</v>
      </c>
      <c r="C69" s="142"/>
      <c r="D69" s="158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9" s="30" t="e">
        <f>VLOOKUP(B69,'Train Runs'!$A$13:$A$99927,1,FALSE)</f>
        <v>#N/A</v>
      </c>
    </row>
    <row r="70" spans="1:10" x14ac:dyDescent="0.25">
      <c r="A70" s="161"/>
      <c r="B70" s="43" t="str">
        <f>A70&amp;"-"&amp;IF(DAY(Variables!$A$2)&lt;10,0,"")&amp;DAY(Variables!$A$2)</f>
        <v>-21</v>
      </c>
      <c r="C70" s="142"/>
      <c r="D70" s="158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0" s="30" t="e">
        <f>VLOOKUP(B70,'Train Runs'!$A$13:$A$99927,1,FALSE)</f>
        <v>#N/A</v>
      </c>
    </row>
    <row r="71" spans="1:10" x14ac:dyDescent="0.25">
      <c r="A71" s="161"/>
      <c r="B71" s="43" t="str">
        <f>A71&amp;"-"&amp;IF(DAY(Variables!$A$2)&lt;10,0,"")&amp;DAY(Variables!$A$2)</f>
        <v>-21</v>
      </c>
      <c r="C71" s="142"/>
      <c r="D71" s="158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1" s="30" t="e">
        <f>VLOOKUP(B71,'Train Runs'!$A$13:$A$99927,1,FALSE)</f>
        <v>#N/A</v>
      </c>
    </row>
    <row r="72" spans="1:10" x14ac:dyDescent="0.25">
      <c r="A72" s="161"/>
      <c r="B72" s="43" t="str">
        <f>A72&amp;"-"&amp;IF(DAY(Variables!$A$2)&lt;10,0,"")&amp;DAY(Variables!$A$2)</f>
        <v>-21</v>
      </c>
      <c r="C72" s="142"/>
      <c r="D72" s="158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2" s="30" t="e">
        <f>VLOOKUP(B72,'Train Runs'!$A$13:$A$99927,1,FALSE)</f>
        <v>#N/A</v>
      </c>
    </row>
    <row r="73" spans="1:10" x14ac:dyDescent="0.25">
      <c r="A73" s="161"/>
      <c r="B73" s="43" t="str">
        <f>A73&amp;"-"&amp;IF(DAY(Variables!$A$2)&lt;10,0,"")&amp;DAY(Variables!$A$2)</f>
        <v>-21</v>
      </c>
      <c r="C73" s="142"/>
      <c r="D73" s="158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3" s="30" t="e">
        <f>VLOOKUP(B73,'Train Runs'!$A$13:$A$99927,1,FALSE)</f>
        <v>#N/A</v>
      </c>
    </row>
    <row r="74" spans="1:10" x14ac:dyDescent="0.25">
      <c r="A74" s="161"/>
      <c r="B74" s="43" t="str">
        <f>A74&amp;"-"&amp;IF(DAY(Variables!$A$2)&lt;10,0,"")&amp;DAY(Variables!$A$2)</f>
        <v>-21</v>
      </c>
      <c r="C74" s="142"/>
      <c r="D74" s="158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4" s="30" t="e">
        <f>VLOOKUP(B74,'Train Runs'!$A$13:$A$99927,1,FALSE)</f>
        <v>#N/A</v>
      </c>
    </row>
    <row r="75" spans="1:10" x14ac:dyDescent="0.25">
      <c r="A75" s="161"/>
      <c r="B75" s="43" t="str">
        <f>A75&amp;"-"&amp;IF(DAY(Variables!$A$2)&lt;10,0,"")&amp;DAY(Variables!$A$2)</f>
        <v>-21</v>
      </c>
      <c r="C75" s="142"/>
      <c r="D75" s="158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5" s="30" t="e">
        <f>VLOOKUP(B75,'Train Runs'!$A$13:$A$99927,1,FALSE)</f>
        <v>#N/A</v>
      </c>
    </row>
    <row r="76" spans="1:10" x14ac:dyDescent="0.25">
      <c r="A76" s="161"/>
      <c r="B76" s="43" t="str">
        <f>A76&amp;"-"&amp;IF(DAY(Variables!$A$2)&lt;10,0,"")&amp;DAY(Variables!$A$2)</f>
        <v>-21</v>
      </c>
      <c r="C76" s="142"/>
      <c r="D76" s="158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6" s="30" t="e">
        <f>VLOOKUP(B76,'Train Runs'!$A$13:$A$99927,1,FALSE)</f>
        <v>#N/A</v>
      </c>
    </row>
    <row r="77" spans="1:10" x14ac:dyDescent="0.25">
      <c r="A77" s="161"/>
      <c r="B77" s="43" t="str">
        <f>A77&amp;"-"&amp;IF(DAY(Variables!$A$2)&lt;10,0,"")&amp;DAY(Variables!$A$2)</f>
        <v>-21</v>
      </c>
      <c r="C77" s="142"/>
      <c r="D77" s="158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7" s="30" t="e">
        <f>VLOOKUP(B77,'Train Runs'!$A$13:$A$99927,1,FALSE)</f>
        <v>#N/A</v>
      </c>
    </row>
    <row r="78" spans="1:10" x14ac:dyDescent="0.25">
      <c r="A78" s="161"/>
      <c r="B78" s="43" t="str">
        <f>A78&amp;"-"&amp;IF(DAY(Variables!$A$2)&lt;10,0,"")&amp;DAY(Variables!$A$2)</f>
        <v>-21</v>
      </c>
      <c r="C78" s="142"/>
      <c r="D78" s="158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8" s="30" t="e">
        <f>VLOOKUP(B78,'Train Runs'!$A$13:$A$99927,1,FALSE)</f>
        <v>#N/A</v>
      </c>
    </row>
    <row r="79" spans="1:10" x14ac:dyDescent="0.25">
      <c r="A79" s="161"/>
      <c r="B79" s="43" t="str">
        <f>A79&amp;"-"&amp;IF(DAY(Variables!$A$2)&lt;10,0,"")&amp;DAY(Variables!$A$2)</f>
        <v>-21</v>
      </c>
      <c r="C79" s="142"/>
      <c r="D79" s="158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9" s="30" t="e">
        <f>VLOOKUP(B79,'Train Runs'!$A$13:$A$99927,1,FALSE)</f>
        <v>#N/A</v>
      </c>
    </row>
    <row r="80" spans="1:10" x14ac:dyDescent="0.25">
      <c r="A80" s="161"/>
      <c r="B80" s="43" t="str">
        <f>A80&amp;"-"&amp;IF(DAY(Variables!$A$2)&lt;10,0,"")&amp;DAY(Variables!$A$2)</f>
        <v>-21</v>
      </c>
      <c r="C80" s="142"/>
      <c r="D80" s="158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0" s="30" t="e">
        <f>VLOOKUP(B80,'Train Runs'!$A$13:$A$99927,1,FALSE)</f>
        <v>#N/A</v>
      </c>
    </row>
    <row r="81" spans="1:10" x14ac:dyDescent="0.25">
      <c r="A81" s="161"/>
      <c r="B81" s="43" t="str">
        <f>A81&amp;"-"&amp;IF(DAY(Variables!$A$2)&lt;10,0,"")&amp;DAY(Variables!$A$2)</f>
        <v>-21</v>
      </c>
      <c r="C81" s="142"/>
      <c r="D81" s="158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1" s="30" t="e">
        <f>VLOOKUP(B81,'Train Runs'!$A$13:$A$99927,1,FALSE)</f>
        <v>#N/A</v>
      </c>
    </row>
    <row r="82" spans="1:10" x14ac:dyDescent="0.25">
      <c r="A82" s="161"/>
      <c r="B82" s="43" t="str">
        <f>A82&amp;"-"&amp;IF(DAY(Variables!$A$2)&lt;10,0,"")&amp;DAY(Variables!$A$2)</f>
        <v>-21</v>
      </c>
      <c r="C82" s="142"/>
      <c r="D82" s="158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2" s="30" t="e">
        <f>VLOOKUP(B82,'Train Runs'!$A$13:$A$99927,1,FALSE)</f>
        <v>#N/A</v>
      </c>
    </row>
    <row r="83" spans="1:10" x14ac:dyDescent="0.25">
      <c r="A83" s="161"/>
      <c r="B83" s="43" t="str">
        <f>A83&amp;"-"&amp;IF(DAY(Variables!$A$2)&lt;10,0,"")&amp;DAY(Variables!$A$2)</f>
        <v>-21</v>
      </c>
      <c r="C83" s="142"/>
      <c r="D83" s="158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3" s="30" t="e">
        <f>VLOOKUP(B83,'Train Runs'!$A$13:$A$99927,1,FALSE)</f>
        <v>#N/A</v>
      </c>
    </row>
    <row r="84" spans="1:10" x14ac:dyDescent="0.25">
      <c r="A84" s="161"/>
      <c r="B84" s="43" t="str">
        <f>A84&amp;"-"&amp;IF(DAY(Variables!$A$2)&lt;10,0,"")&amp;DAY(Variables!$A$2)</f>
        <v>-21</v>
      </c>
      <c r="C84" s="142"/>
      <c r="D84" s="158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4" s="30" t="e">
        <f>VLOOKUP(B84,'Train Runs'!$A$13:$A$99927,1,FALSE)</f>
        <v>#N/A</v>
      </c>
    </row>
    <row r="85" spans="1:10" x14ac:dyDescent="0.25">
      <c r="A85" s="161"/>
      <c r="B85" s="43" t="str">
        <f>A85&amp;"-"&amp;IF(DAY(Variables!$A$2)&lt;10,0,"")&amp;DAY(Variables!$A$2)</f>
        <v>-21</v>
      </c>
      <c r="C85" s="142"/>
      <c r="D85" s="158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5" s="30" t="e">
        <f>VLOOKUP(B85,'Train Runs'!$A$13:$A$99927,1,FALSE)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4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4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42846.038831018515</v>
      </c>
      <c r="B2" s="20" t="s">
        <v>352</v>
      </c>
      <c r="C2" s="20" t="s">
        <v>546</v>
      </c>
      <c r="D2" s="144">
        <v>2270000</v>
      </c>
      <c r="E2" s="20" t="s">
        <v>205</v>
      </c>
      <c r="F2" s="20" t="s">
        <v>206</v>
      </c>
      <c r="G2" s="8" t="str">
        <f>E2&amp;" "&amp;F2</f>
        <v>BROWN JACOB</v>
      </c>
    </row>
    <row r="3" spans="1:7" x14ac:dyDescent="0.25">
      <c r="A3" s="8">
        <v>42846.052951388891</v>
      </c>
      <c r="B3" s="20" t="s">
        <v>395</v>
      </c>
      <c r="C3" s="20" t="s">
        <v>547</v>
      </c>
      <c r="D3" s="144">
        <v>1810000</v>
      </c>
      <c r="E3" s="20" t="s">
        <v>370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42846.055810185186</v>
      </c>
      <c r="B4" s="20" t="s">
        <v>428</v>
      </c>
      <c r="C4" s="20" t="s">
        <v>548</v>
      </c>
      <c r="D4" s="144">
        <v>2730000</v>
      </c>
      <c r="E4" s="20" t="s">
        <v>472</v>
      </c>
      <c r="F4" s="20" t="s">
        <v>473</v>
      </c>
      <c r="G4" s="8" t="str">
        <f t="shared" si="0"/>
        <v>YANG JAN</v>
      </c>
    </row>
    <row r="5" spans="1:7" x14ac:dyDescent="0.25">
      <c r="A5" s="8">
        <v>42846.072175925925</v>
      </c>
      <c r="B5" s="20" t="s">
        <v>351</v>
      </c>
      <c r="C5" s="20" t="s">
        <v>549</v>
      </c>
      <c r="D5" s="144">
        <v>2270000</v>
      </c>
      <c r="E5" s="20" t="s">
        <v>205</v>
      </c>
      <c r="F5" s="20" t="s">
        <v>206</v>
      </c>
      <c r="G5" s="8" t="str">
        <f t="shared" si="0"/>
        <v>BROWN JACOB</v>
      </c>
    </row>
    <row r="6" spans="1:7" x14ac:dyDescent="0.25">
      <c r="A6" s="8">
        <v>42846.090555555558</v>
      </c>
      <c r="B6" s="20" t="s">
        <v>427</v>
      </c>
      <c r="C6" s="20" t="s">
        <v>550</v>
      </c>
      <c r="D6" s="144">
        <v>2730000</v>
      </c>
      <c r="E6" s="20" t="s">
        <v>472</v>
      </c>
      <c r="F6" s="20" t="s">
        <v>473</v>
      </c>
      <c r="G6" s="8" t="str">
        <f t="shared" si="0"/>
        <v>YANG JAN</v>
      </c>
    </row>
    <row r="7" spans="1:7" x14ac:dyDescent="0.25">
      <c r="A7" s="8">
        <v>42846.11414351852</v>
      </c>
      <c r="B7" s="20" t="s">
        <v>439</v>
      </c>
      <c r="C7" s="20" t="s">
        <v>551</v>
      </c>
      <c r="D7" s="144">
        <v>2550000</v>
      </c>
      <c r="E7" s="20" t="s">
        <v>493</v>
      </c>
      <c r="F7" s="20" t="s">
        <v>494</v>
      </c>
      <c r="G7" s="8" t="str">
        <f t="shared" si="0"/>
        <v>BADERTSCHER DIANE</v>
      </c>
    </row>
    <row r="8" spans="1:7" x14ac:dyDescent="0.25">
      <c r="A8" s="8">
        <v>42846.127199074072</v>
      </c>
      <c r="B8" s="20" t="s">
        <v>491</v>
      </c>
      <c r="C8" s="20" t="s">
        <v>587</v>
      </c>
      <c r="D8" s="144">
        <v>2550000</v>
      </c>
      <c r="E8" s="20" t="s">
        <v>493</v>
      </c>
      <c r="F8" s="20" t="s">
        <v>494</v>
      </c>
      <c r="G8" s="8" t="str">
        <f t="shared" si="0"/>
        <v>BADERTSCHER DIANE</v>
      </c>
    </row>
    <row r="9" spans="1:7" ht="15.75" thickBot="1" x14ac:dyDescent="0.3">
      <c r="A9" s="24">
        <v>42846.135393518518</v>
      </c>
      <c r="B9" s="20" t="s">
        <v>466</v>
      </c>
      <c r="C9" s="20" t="s">
        <v>628</v>
      </c>
      <c r="D9" s="144">
        <v>1990000</v>
      </c>
      <c r="E9" s="20" t="s">
        <v>629</v>
      </c>
      <c r="F9" s="20" t="s">
        <v>630</v>
      </c>
      <c r="G9" s="8" t="str">
        <f t="shared" si="0"/>
        <v>DAVIS WENDY</v>
      </c>
    </row>
    <row r="10" spans="1:7" x14ac:dyDescent="0.25">
      <c r="A10" s="8">
        <v>42846.146041666667</v>
      </c>
      <c r="B10" s="20" t="s">
        <v>543</v>
      </c>
      <c r="C10" s="20" t="s">
        <v>631</v>
      </c>
      <c r="D10" s="144">
        <v>1990000</v>
      </c>
      <c r="E10" s="20" t="s">
        <v>629</v>
      </c>
      <c r="F10" s="20" t="s">
        <v>630</v>
      </c>
      <c r="G10" s="8" t="str">
        <f t="shared" si="0"/>
        <v>DAVIS WENDY</v>
      </c>
    </row>
    <row r="11" spans="1:7" x14ac:dyDescent="0.25">
      <c r="A11" s="8">
        <v>42846.148275462961</v>
      </c>
      <c r="B11" s="20" t="s">
        <v>491</v>
      </c>
      <c r="C11" s="20" t="s">
        <v>587</v>
      </c>
      <c r="D11" s="144">
        <v>2550000</v>
      </c>
      <c r="E11" s="20" t="s">
        <v>493</v>
      </c>
      <c r="F11" s="20" t="s">
        <v>494</v>
      </c>
      <c r="G11" s="8" t="str">
        <f t="shared" si="0"/>
        <v>BADERTSCHER DIANE</v>
      </c>
    </row>
    <row r="12" spans="1:7" x14ac:dyDescent="0.25">
      <c r="A12" s="8">
        <v>42846.157187500001</v>
      </c>
      <c r="B12" s="20" t="s">
        <v>387</v>
      </c>
      <c r="C12" s="20" t="s">
        <v>632</v>
      </c>
      <c r="D12" s="144">
        <v>2420000</v>
      </c>
      <c r="E12" s="20" t="s">
        <v>544</v>
      </c>
      <c r="F12" s="20" t="s">
        <v>545</v>
      </c>
      <c r="G12" s="8" t="str">
        <f t="shared" si="0"/>
        <v>HOLCOMB KAMDEN</v>
      </c>
    </row>
    <row r="13" spans="1:7" x14ac:dyDescent="0.25">
      <c r="A13" s="8">
        <v>42846.171377314815</v>
      </c>
      <c r="B13" s="20" t="s">
        <v>451</v>
      </c>
      <c r="C13" s="20" t="s">
        <v>633</v>
      </c>
      <c r="D13" s="144">
        <v>1110000</v>
      </c>
      <c r="E13" s="20" t="s">
        <v>452</v>
      </c>
      <c r="F13" s="20" t="s">
        <v>453</v>
      </c>
      <c r="G13" s="8" t="str">
        <f t="shared" si="0"/>
        <v>STARKS ANGELINA</v>
      </c>
    </row>
    <row r="14" spans="1:7" x14ac:dyDescent="0.25">
      <c r="A14" s="8">
        <v>42846.173171296294</v>
      </c>
      <c r="B14" s="20" t="s">
        <v>393</v>
      </c>
      <c r="C14" s="20" t="s">
        <v>634</v>
      </c>
      <c r="D14" s="144">
        <v>2140000</v>
      </c>
      <c r="E14" s="20" t="s">
        <v>635</v>
      </c>
      <c r="F14" s="20" t="s">
        <v>636</v>
      </c>
      <c r="G14" s="8" t="str">
        <f t="shared" si="0"/>
        <v>ROBINSON KADDIBA</v>
      </c>
    </row>
    <row r="15" spans="1:7" x14ac:dyDescent="0.25">
      <c r="A15" s="8">
        <v>42846.173634259256</v>
      </c>
      <c r="B15" s="20" t="s">
        <v>439</v>
      </c>
      <c r="C15" s="20" t="s">
        <v>637</v>
      </c>
      <c r="D15" s="144">
        <v>2550000</v>
      </c>
      <c r="E15" s="20" t="s">
        <v>493</v>
      </c>
      <c r="F15" s="20" t="s">
        <v>494</v>
      </c>
      <c r="G15" s="8" t="str">
        <f t="shared" si="0"/>
        <v>BADERTSCHER DIANE</v>
      </c>
    </row>
    <row r="16" spans="1:7" x14ac:dyDescent="0.25">
      <c r="A16" s="8">
        <v>42846.182638888888</v>
      </c>
      <c r="B16" s="20" t="s">
        <v>442</v>
      </c>
      <c r="C16" s="20" t="s">
        <v>588</v>
      </c>
      <c r="D16" s="144">
        <v>890000</v>
      </c>
      <c r="E16" s="20" t="s">
        <v>470</v>
      </c>
      <c r="F16" s="20" t="s">
        <v>471</v>
      </c>
      <c r="G16" s="8" t="str">
        <f t="shared" si="0"/>
        <v>LOZA FIDEL</v>
      </c>
    </row>
    <row r="17" spans="1:7" x14ac:dyDescent="0.25">
      <c r="A17" s="8">
        <v>42846.183495370373</v>
      </c>
      <c r="B17" s="20" t="s">
        <v>530</v>
      </c>
      <c r="C17" s="20" t="s">
        <v>638</v>
      </c>
      <c r="D17" s="144">
        <v>1230000</v>
      </c>
      <c r="E17" s="20" t="s">
        <v>495</v>
      </c>
      <c r="F17" s="20" t="s">
        <v>496</v>
      </c>
      <c r="G17" s="8" t="str">
        <f t="shared" si="0"/>
        <v>YANAI IAN</v>
      </c>
    </row>
    <row r="18" spans="1:7" x14ac:dyDescent="0.25">
      <c r="A18" s="8">
        <v>42846.191157407404</v>
      </c>
      <c r="B18" s="20" t="s">
        <v>466</v>
      </c>
      <c r="C18" s="20" t="s">
        <v>639</v>
      </c>
      <c r="D18" s="144">
        <v>1990000</v>
      </c>
      <c r="E18" s="20" t="s">
        <v>629</v>
      </c>
      <c r="F18" s="20" t="s">
        <v>630</v>
      </c>
      <c r="G18" s="8" t="str">
        <f t="shared" si="0"/>
        <v>DAVIS WENDY</v>
      </c>
    </row>
    <row r="19" spans="1:7" x14ac:dyDescent="0.25">
      <c r="A19" s="8">
        <v>42846.195509259262</v>
      </c>
      <c r="B19" s="20" t="s">
        <v>443</v>
      </c>
      <c r="C19" s="20" t="s">
        <v>640</v>
      </c>
      <c r="D19" s="144">
        <v>890000</v>
      </c>
      <c r="E19" s="20" t="s">
        <v>470</v>
      </c>
      <c r="F19" s="20" t="s">
        <v>471</v>
      </c>
      <c r="G19" s="8" t="str">
        <f t="shared" si="0"/>
        <v>LOZA FIDEL</v>
      </c>
    </row>
    <row r="20" spans="1:7" x14ac:dyDescent="0.25">
      <c r="A20" s="8">
        <v>42846.202106481483</v>
      </c>
      <c r="B20" s="20" t="s">
        <v>589</v>
      </c>
      <c r="C20" s="20" t="s">
        <v>590</v>
      </c>
      <c r="D20" s="144">
        <v>3130000</v>
      </c>
      <c r="E20" s="20" t="s">
        <v>641</v>
      </c>
      <c r="F20" s="20" t="s">
        <v>642</v>
      </c>
      <c r="G20" s="8" t="str">
        <f t="shared" si="0"/>
        <v>ZEWDU DEREJE</v>
      </c>
    </row>
    <row r="21" spans="1:7" x14ac:dyDescent="0.25">
      <c r="A21" s="8">
        <v>42846.206157407411</v>
      </c>
      <c r="B21" s="20" t="s">
        <v>491</v>
      </c>
      <c r="C21" s="20" t="s">
        <v>643</v>
      </c>
      <c r="D21" s="144">
        <v>3030000</v>
      </c>
      <c r="E21" s="20" t="s">
        <v>644</v>
      </c>
      <c r="F21" s="20" t="s">
        <v>540</v>
      </c>
      <c r="G21" s="8" t="str">
        <f t="shared" si="0"/>
        <v>BIRENBAUM THOMAS</v>
      </c>
    </row>
    <row r="22" spans="1:7" x14ac:dyDescent="0.25">
      <c r="A22" s="26">
        <v>42846.210011574076</v>
      </c>
      <c r="B22" s="20" t="s">
        <v>645</v>
      </c>
      <c r="C22" s="20" t="s">
        <v>646</v>
      </c>
      <c r="D22" s="144">
        <v>2550000</v>
      </c>
      <c r="E22" s="20" t="s">
        <v>493</v>
      </c>
      <c r="F22" s="20" t="s">
        <v>494</v>
      </c>
      <c r="G22" s="8" t="str">
        <f t="shared" si="0"/>
        <v>BADERTSCHER DIANE</v>
      </c>
    </row>
    <row r="23" spans="1:7" x14ac:dyDescent="0.25">
      <c r="A23" s="8">
        <v>42846.211921296293</v>
      </c>
      <c r="B23" s="20" t="s">
        <v>387</v>
      </c>
      <c r="C23" s="20" t="s">
        <v>647</v>
      </c>
      <c r="D23" s="144">
        <v>2420000</v>
      </c>
      <c r="E23" s="20" t="s">
        <v>544</v>
      </c>
      <c r="F23" s="20" t="s">
        <v>545</v>
      </c>
      <c r="G23" s="8" t="str">
        <f t="shared" si="0"/>
        <v>HOLCOMB KAMDEN</v>
      </c>
    </row>
    <row r="24" spans="1:7" x14ac:dyDescent="0.25">
      <c r="A24" s="8">
        <v>42846.214641203704</v>
      </c>
      <c r="B24" s="20" t="s">
        <v>451</v>
      </c>
      <c r="C24" s="20" t="s">
        <v>648</v>
      </c>
      <c r="D24" s="144">
        <v>1230000</v>
      </c>
      <c r="E24" s="20" t="s">
        <v>495</v>
      </c>
      <c r="F24" s="20" t="s">
        <v>496</v>
      </c>
      <c r="G24" s="8" t="str">
        <f t="shared" si="0"/>
        <v>YANAI IAN</v>
      </c>
    </row>
    <row r="25" spans="1:7" x14ac:dyDescent="0.25">
      <c r="A25" s="8">
        <v>42846.216597222221</v>
      </c>
      <c r="B25" s="20" t="s">
        <v>614</v>
      </c>
      <c r="C25" s="20" t="s">
        <v>649</v>
      </c>
      <c r="D25" s="144">
        <v>3130000</v>
      </c>
      <c r="E25" s="20" t="s">
        <v>641</v>
      </c>
      <c r="F25" s="20" t="s">
        <v>642</v>
      </c>
      <c r="G25" s="8" t="str">
        <f t="shared" si="0"/>
        <v>ZEWDU DEREJE</v>
      </c>
    </row>
    <row r="26" spans="1:7" x14ac:dyDescent="0.25">
      <c r="A26" s="8">
        <v>42846.227187500001</v>
      </c>
      <c r="B26" s="20" t="s">
        <v>543</v>
      </c>
      <c r="C26" s="20" t="s">
        <v>650</v>
      </c>
      <c r="D26" s="144">
        <v>900000</v>
      </c>
      <c r="E26" s="20" t="s">
        <v>454</v>
      </c>
      <c r="F26" s="20" t="s">
        <v>455</v>
      </c>
      <c r="G26" s="8" t="str">
        <f t="shared" si="0"/>
        <v>ROCHA YAOTL</v>
      </c>
    </row>
    <row r="27" spans="1:7" x14ac:dyDescent="0.25">
      <c r="A27" s="8">
        <v>42846.229016203702</v>
      </c>
      <c r="B27" s="20" t="s">
        <v>589</v>
      </c>
      <c r="C27" s="20" t="s">
        <v>651</v>
      </c>
      <c r="D27" s="144">
        <v>3130000</v>
      </c>
      <c r="E27" s="20" t="s">
        <v>641</v>
      </c>
      <c r="F27" s="20" t="s">
        <v>642</v>
      </c>
      <c r="G27" s="8" t="str">
        <f t="shared" si="0"/>
        <v>ZEWDU DEREJE</v>
      </c>
    </row>
    <row r="28" spans="1:7" x14ac:dyDescent="0.25">
      <c r="A28" s="8">
        <v>42846.22965277778</v>
      </c>
      <c r="B28" s="20" t="s">
        <v>469</v>
      </c>
      <c r="C28" s="20" t="s">
        <v>652</v>
      </c>
      <c r="D28" s="144">
        <v>1990000</v>
      </c>
      <c r="E28" s="20" t="s">
        <v>629</v>
      </c>
      <c r="F28" s="20" t="s">
        <v>630</v>
      </c>
      <c r="G28" s="8" t="str">
        <f t="shared" si="0"/>
        <v>DAVIS WENDY</v>
      </c>
    </row>
    <row r="29" spans="1:7" x14ac:dyDescent="0.25">
      <c r="A29" s="8">
        <v>42846.233854166669</v>
      </c>
      <c r="B29" s="20" t="s">
        <v>442</v>
      </c>
      <c r="C29" s="20" t="s">
        <v>653</v>
      </c>
      <c r="D29" s="144">
        <v>890000</v>
      </c>
      <c r="E29" s="20" t="s">
        <v>470</v>
      </c>
      <c r="F29" s="20" t="s">
        <v>471</v>
      </c>
      <c r="G29" s="8" t="str">
        <f t="shared" si="0"/>
        <v>LOZA FIDEL</v>
      </c>
    </row>
    <row r="30" spans="1:7" x14ac:dyDescent="0.25">
      <c r="A30" s="8">
        <v>42846.237025462964</v>
      </c>
      <c r="B30" s="20" t="s">
        <v>354</v>
      </c>
      <c r="C30" s="20" t="s">
        <v>654</v>
      </c>
      <c r="D30" s="144">
        <v>3030000</v>
      </c>
      <c r="E30" s="20" t="s">
        <v>644</v>
      </c>
      <c r="F30" s="20" t="s">
        <v>540</v>
      </c>
      <c r="G30" s="8" t="str">
        <f t="shared" si="0"/>
        <v>BIRENBAUM THOMAS</v>
      </c>
    </row>
    <row r="31" spans="1:7" x14ac:dyDescent="0.25">
      <c r="A31" s="8">
        <v>42846.241400462961</v>
      </c>
      <c r="B31" s="20" t="s">
        <v>360</v>
      </c>
      <c r="C31" s="20" t="s">
        <v>655</v>
      </c>
      <c r="D31" s="144">
        <v>1290000</v>
      </c>
      <c r="E31" s="20" t="s">
        <v>532</v>
      </c>
      <c r="F31" s="20" t="s">
        <v>533</v>
      </c>
      <c r="G31" s="8" t="str">
        <f t="shared" si="0"/>
        <v>COOLAHAN JOHN</v>
      </c>
    </row>
    <row r="32" spans="1:7" x14ac:dyDescent="0.25">
      <c r="A32" s="8">
        <v>42846.242337962962</v>
      </c>
      <c r="B32" s="20" t="s">
        <v>354</v>
      </c>
      <c r="C32" s="20" t="s">
        <v>654</v>
      </c>
      <c r="D32" s="144">
        <v>3030000</v>
      </c>
      <c r="E32" s="20" t="s">
        <v>644</v>
      </c>
      <c r="F32" s="20" t="s">
        <v>540</v>
      </c>
      <c r="G32" s="8" t="str">
        <f t="shared" si="0"/>
        <v>BIRENBAUM THOMAS</v>
      </c>
    </row>
    <row r="33" spans="1:7" x14ac:dyDescent="0.25">
      <c r="A33" s="8">
        <v>42846.248298611114</v>
      </c>
      <c r="B33" s="20" t="s">
        <v>393</v>
      </c>
      <c r="C33" s="20" t="s">
        <v>656</v>
      </c>
      <c r="D33" s="144">
        <v>2140000</v>
      </c>
      <c r="E33" s="20" t="s">
        <v>635</v>
      </c>
      <c r="F33" s="20" t="s">
        <v>636</v>
      </c>
      <c r="G33" s="8" t="str">
        <f t="shared" si="0"/>
        <v>ROBINSON KADDIBA</v>
      </c>
    </row>
    <row r="34" spans="1:7" x14ac:dyDescent="0.25">
      <c r="A34" s="8">
        <v>42846.248344907406</v>
      </c>
      <c r="B34" s="20" t="s">
        <v>439</v>
      </c>
      <c r="C34" s="20" t="s">
        <v>657</v>
      </c>
      <c r="D34" s="144">
        <v>2550000</v>
      </c>
      <c r="E34" s="20" t="s">
        <v>493</v>
      </c>
      <c r="F34" s="20" t="s">
        <v>494</v>
      </c>
      <c r="G34" s="8" t="str">
        <f t="shared" si="0"/>
        <v>BADERTSCHER DIANE</v>
      </c>
    </row>
    <row r="35" spans="1:7" x14ac:dyDescent="0.25">
      <c r="A35" s="8">
        <v>42846.251967592594</v>
      </c>
      <c r="B35" s="20" t="s">
        <v>355</v>
      </c>
      <c r="C35" s="20" t="s">
        <v>658</v>
      </c>
      <c r="D35" s="144">
        <v>1090000</v>
      </c>
      <c r="E35" s="20" t="s">
        <v>492</v>
      </c>
      <c r="F35" s="20" t="s">
        <v>196</v>
      </c>
      <c r="G35" s="8" t="str">
        <f t="shared" si="0"/>
        <v>SPECTOR MICHAEL</v>
      </c>
    </row>
    <row r="36" spans="1:7" x14ac:dyDescent="0.25">
      <c r="A36" s="8">
        <v>42846.255324074074</v>
      </c>
      <c r="B36" s="20" t="s">
        <v>614</v>
      </c>
      <c r="C36" s="20" t="s">
        <v>659</v>
      </c>
      <c r="D36" s="144">
        <v>3130000</v>
      </c>
      <c r="E36" s="20" t="s">
        <v>641</v>
      </c>
      <c r="F36" s="20" t="s">
        <v>642</v>
      </c>
      <c r="G36" s="8" t="str">
        <f t="shared" si="0"/>
        <v>ZEWDU DEREJE</v>
      </c>
    </row>
    <row r="37" spans="1:7" x14ac:dyDescent="0.25">
      <c r="A37" s="8">
        <v>42846.255671296298</v>
      </c>
      <c r="B37" s="20" t="s">
        <v>387</v>
      </c>
      <c r="C37" s="20" t="s">
        <v>658</v>
      </c>
      <c r="D37" s="144">
        <v>1090000</v>
      </c>
      <c r="E37" s="20" t="s">
        <v>492</v>
      </c>
      <c r="F37" s="20" t="s">
        <v>196</v>
      </c>
      <c r="G37" s="8" t="str">
        <f t="shared" si="0"/>
        <v>SPECTOR MICHAEL</v>
      </c>
    </row>
    <row r="38" spans="1:7" x14ac:dyDescent="0.25">
      <c r="A38" s="8">
        <v>42846.257835648146</v>
      </c>
      <c r="B38" s="20" t="s">
        <v>530</v>
      </c>
      <c r="C38" s="20" t="s">
        <v>660</v>
      </c>
      <c r="D38" s="144">
        <v>1230000</v>
      </c>
      <c r="E38" s="20" t="s">
        <v>495</v>
      </c>
      <c r="F38" s="20" t="s">
        <v>496</v>
      </c>
      <c r="G38" s="8" t="str">
        <f t="shared" si="0"/>
        <v>YANAI IAN</v>
      </c>
    </row>
    <row r="39" spans="1:7" x14ac:dyDescent="0.25">
      <c r="A39" s="8">
        <v>42846.260520833333</v>
      </c>
      <c r="B39" s="20" t="s">
        <v>198</v>
      </c>
      <c r="C39" s="20" t="s">
        <v>661</v>
      </c>
      <c r="D39" s="144">
        <v>1290000</v>
      </c>
      <c r="E39" s="20" t="s">
        <v>532</v>
      </c>
      <c r="F39" s="20" t="s">
        <v>533</v>
      </c>
      <c r="G39" s="8" t="str">
        <f t="shared" si="0"/>
        <v>COOLAHAN JOHN</v>
      </c>
    </row>
    <row r="40" spans="1:7" x14ac:dyDescent="0.25">
      <c r="A40" s="8">
        <v>42846.266504629632</v>
      </c>
      <c r="B40" s="25" t="s">
        <v>531</v>
      </c>
      <c r="C40" s="20" t="s">
        <v>591</v>
      </c>
      <c r="D40" s="144">
        <v>900000</v>
      </c>
      <c r="E40" s="20" t="s">
        <v>454</v>
      </c>
      <c r="F40" s="20" t="s">
        <v>455</v>
      </c>
      <c r="G40" s="8" t="str">
        <f t="shared" si="0"/>
        <v>ROCHA YAOTL</v>
      </c>
    </row>
    <row r="41" spans="1:7" x14ac:dyDescent="0.25">
      <c r="A41" s="8">
        <v>42846.268321759257</v>
      </c>
      <c r="B41" s="20" t="s">
        <v>443</v>
      </c>
      <c r="C41" s="20" t="s">
        <v>662</v>
      </c>
      <c r="D41" s="144">
        <v>890000</v>
      </c>
      <c r="E41" s="20" t="s">
        <v>470</v>
      </c>
      <c r="F41" s="20" t="s">
        <v>471</v>
      </c>
      <c r="G41" s="8" t="str">
        <f t="shared" si="0"/>
        <v>LOZA FIDEL</v>
      </c>
    </row>
    <row r="42" spans="1:7" x14ac:dyDescent="0.25">
      <c r="A42" s="8">
        <v>42846.270740740743</v>
      </c>
      <c r="B42" s="20" t="s">
        <v>589</v>
      </c>
      <c r="C42" s="20" t="s">
        <v>663</v>
      </c>
      <c r="D42" s="144">
        <v>3130000</v>
      </c>
      <c r="E42" s="20" t="s">
        <v>641</v>
      </c>
      <c r="F42" s="20" t="s">
        <v>642</v>
      </c>
      <c r="G42" s="8" t="str">
        <f t="shared" si="0"/>
        <v>ZEWDU DEREJE</v>
      </c>
    </row>
    <row r="43" spans="1:7" x14ac:dyDescent="0.25">
      <c r="A43" s="8">
        <v>42846.275671296295</v>
      </c>
      <c r="B43" s="20" t="s">
        <v>360</v>
      </c>
      <c r="C43" s="20" t="s">
        <v>593</v>
      </c>
      <c r="D43" s="144">
        <v>1290000</v>
      </c>
      <c r="E43" s="20" t="s">
        <v>532</v>
      </c>
      <c r="F43" s="20" t="s">
        <v>533</v>
      </c>
      <c r="G43" s="8" t="str">
        <f t="shared" si="0"/>
        <v>COOLAHAN JOHN</v>
      </c>
    </row>
    <row r="44" spans="1:7" x14ac:dyDescent="0.25">
      <c r="A44" s="8">
        <v>42846.27679398148</v>
      </c>
      <c r="B44" s="20" t="s">
        <v>466</v>
      </c>
      <c r="C44" s="20" t="s">
        <v>664</v>
      </c>
      <c r="D44" s="144">
        <v>1990000</v>
      </c>
      <c r="E44" s="20" t="s">
        <v>629</v>
      </c>
      <c r="F44" s="20" t="s">
        <v>630</v>
      </c>
      <c r="G44" s="8" t="str">
        <f t="shared" si="0"/>
        <v>DAVIS WENDY</v>
      </c>
    </row>
    <row r="45" spans="1:7" x14ac:dyDescent="0.25">
      <c r="A45" s="8">
        <v>42846.278252314813</v>
      </c>
      <c r="B45" s="20" t="s">
        <v>491</v>
      </c>
      <c r="C45" s="20" t="s">
        <v>665</v>
      </c>
      <c r="D45" s="144">
        <v>3030000</v>
      </c>
      <c r="E45" s="20" t="s">
        <v>644</v>
      </c>
      <c r="F45" s="20" t="s">
        <v>540</v>
      </c>
      <c r="G45" s="8" t="str">
        <f t="shared" si="0"/>
        <v>BIRENBAUM THOMAS</v>
      </c>
    </row>
    <row r="46" spans="1:7" x14ac:dyDescent="0.25">
      <c r="A46" s="8">
        <v>42846.284062500003</v>
      </c>
      <c r="B46" s="20" t="s">
        <v>394</v>
      </c>
      <c r="C46" s="20" t="s">
        <v>666</v>
      </c>
      <c r="D46" s="144">
        <v>2140000</v>
      </c>
      <c r="E46" s="20" t="s">
        <v>635</v>
      </c>
      <c r="F46" s="20" t="s">
        <v>636</v>
      </c>
      <c r="G46" s="8" t="str">
        <f t="shared" si="0"/>
        <v>ROBINSON KADDIBA</v>
      </c>
    </row>
    <row r="47" spans="1:7" x14ac:dyDescent="0.25">
      <c r="A47" s="8">
        <v>42846.289629629631</v>
      </c>
      <c r="B47" s="20" t="s">
        <v>645</v>
      </c>
      <c r="C47" s="20" t="s">
        <v>667</v>
      </c>
      <c r="D47" s="144">
        <v>2550000</v>
      </c>
      <c r="E47" s="20" t="s">
        <v>493</v>
      </c>
      <c r="F47" s="20" t="s">
        <v>494</v>
      </c>
      <c r="G47" s="8" t="str">
        <f t="shared" si="0"/>
        <v>BADERTSCHER DIANE</v>
      </c>
    </row>
    <row r="48" spans="1:7" x14ac:dyDescent="0.25">
      <c r="A48" s="8">
        <v>42846.297210648147</v>
      </c>
      <c r="B48" s="20" t="s">
        <v>614</v>
      </c>
      <c r="C48" s="20" t="s">
        <v>668</v>
      </c>
      <c r="D48" s="144">
        <v>3130000</v>
      </c>
      <c r="E48" s="20" t="s">
        <v>641</v>
      </c>
      <c r="F48" s="20" t="s">
        <v>642</v>
      </c>
      <c r="G48" s="8" t="str">
        <f t="shared" si="0"/>
        <v>ZEWDU DEREJE</v>
      </c>
    </row>
    <row r="49" spans="1:7" x14ac:dyDescent="0.25">
      <c r="A49" s="8">
        <v>42846.298263888886</v>
      </c>
      <c r="B49" s="20" t="s">
        <v>451</v>
      </c>
      <c r="C49" s="20" t="s">
        <v>669</v>
      </c>
      <c r="D49" s="144">
        <v>1110000</v>
      </c>
      <c r="E49" s="20" t="s">
        <v>452</v>
      </c>
      <c r="F49" s="20" t="s">
        <v>453</v>
      </c>
      <c r="G49" s="8" t="str">
        <f t="shared" si="0"/>
        <v>STARKS ANGELINA</v>
      </c>
    </row>
    <row r="50" spans="1:7" x14ac:dyDescent="0.25">
      <c r="A50" s="8">
        <v>42846.298958333333</v>
      </c>
      <c r="B50" s="20" t="s">
        <v>543</v>
      </c>
      <c r="C50" s="20" t="s">
        <v>670</v>
      </c>
      <c r="D50" s="144">
        <v>900000</v>
      </c>
      <c r="E50" s="20" t="s">
        <v>454</v>
      </c>
      <c r="F50" s="20" t="s">
        <v>455</v>
      </c>
      <c r="G50" s="8" t="str">
        <f t="shared" si="0"/>
        <v>ROCHA YAOTL</v>
      </c>
    </row>
    <row r="51" spans="1:7" x14ac:dyDescent="0.25">
      <c r="A51" s="8">
        <v>42846.303738425922</v>
      </c>
      <c r="B51" s="20" t="s">
        <v>198</v>
      </c>
      <c r="C51" s="20" t="s">
        <v>671</v>
      </c>
      <c r="D51" s="144">
        <v>1290000</v>
      </c>
      <c r="E51" s="20" t="s">
        <v>532</v>
      </c>
      <c r="F51" s="20" t="s">
        <v>533</v>
      </c>
      <c r="G51" s="8" t="str">
        <f t="shared" si="0"/>
        <v>COOLAHAN JOHN</v>
      </c>
    </row>
    <row r="52" spans="1:7" x14ac:dyDescent="0.25">
      <c r="A52" s="8">
        <v>42846.304780092592</v>
      </c>
      <c r="B52" s="20" t="s">
        <v>442</v>
      </c>
      <c r="C52" s="20" t="s">
        <v>672</v>
      </c>
      <c r="D52" s="144">
        <v>890000</v>
      </c>
      <c r="E52" s="20" t="s">
        <v>470</v>
      </c>
      <c r="F52" s="20" t="s">
        <v>471</v>
      </c>
      <c r="G52" s="8" t="str">
        <f t="shared" si="0"/>
        <v>LOZA FIDEL</v>
      </c>
    </row>
    <row r="53" spans="1:7" x14ac:dyDescent="0.25">
      <c r="A53" s="8">
        <v>42846.310543981483</v>
      </c>
      <c r="B53" s="20" t="s">
        <v>469</v>
      </c>
      <c r="C53" s="20" t="s">
        <v>673</v>
      </c>
      <c r="D53" s="144">
        <v>1990000</v>
      </c>
      <c r="E53" s="20" t="s">
        <v>629</v>
      </c>
      <c r="F53" s="20" t="s">
        <v>630</v>
      </c>
      <c r="G53" s="8" t="str">
        <f t="shared" si="0"/>
        <v>DAVIS WENDY</v>
      </c>
    </row>
    <row r="54" spans="1:7" x14ac:dyDescent="0.25">
      <c r="A54" s="8">
        <v>42846.312280092592</v>
      </c>
      <c r="B54" s="20" t="s">
        <v>589</v>
      </c>
      <c r="C54" s="20" t="s">
        <v>674</v>
      </c>
      <c r="D54" s="144">
        <v>3130000</v>
      </c>
      <c r="E54" s="20" t="s">
        <v>641</v>
      </c>
      <c r="F54" s="20" t="s">
        <v>642</v>
      </c>
      <c r="G54" s="8" t="str">
        <f t="shared" si="0"/>
        <v>ZEWDU DEREJE</v>
      </c>
    </row>
    <row r="55" spans="1:7" x14ac:dyDescent="0.25">
      <c r="A55" s="8">
        <v>42846.312314814815</v>
      </c>
      <c r="B55" s="20" t="s">
        <v>354</v>
      </c>
      <c r="C55" s="20" t="s">
        <v>675</v>
      </c>
      <c r="D55" s="144">
        <v>3030000</v>
      </c>
      <c r="E55" s="20" t="s">
        <v>644</v>
      </c>
      <c r="F55" s="20" t="s">
        <v>540</v>
      </c>
      <c r="G55" s="8" t="str">
        <f t="shared" si="0"/>
        <v>BIRENBAUM THOMAS</v>
      </c>
    </row>
    <row r="56" spans="1:7" x14ac:dyDescent="0.25">
      <c r="A56" s="8">
        <v>42846.316631944443</v>
      </c>
      <c r="B56" s="20" t="s">
        <v>360</v>
      </c>
      <c r="C56" s="20" t="s">
        <v>676</v>
      </c>
      <c r="D56" s="144">
        <v>1290000</v>
      </c>
      <c r="E56" s="20" t="s">
        <v>532</v>
      </c>
      <c r="F56" s="20" t="s">
        <v>533</v>
      </c>
      <c r="G56" s="8" t="str">
        <f t="shared" si="0"/>
        <v>COOLAHAN JOHN</v>
      </c>
    </row>
    <row r="57" spans="1:7" x14ac:dyDescent="0.25">
      <c r="A57" s="8">
        <v>42846.3203587963</v>
      </c>
      <c r="B57" s="20" t="s">
        <v>393</v>
      </c>
      <c r="C57" s="20" t="s">
        <v>677</v>
      </c>
      <c r="D57" s="144">
        <v>2140000</v>
      </c>
      <c r="E57" s="20" t="s">
        <v>635</v>
      </c>
      <c r="F57" s="20" t="s">
        <v>636</v>
      </c>
      <c r="G57" s="8" t="str">
        <f t="shared" si="0"/>
        <v>ROBINSON KADDIBA</v>
      </c>
    </row>
    <row r="58" spans="1:7" x14ac:dyDescent="0.25">
      <c r="A58" s="8">
        <v>42846.329351851855</v>
      </c>
      <c r="B58" s="20" t="s">
        <v>439</v>
      </c>
      <c r="C58" s="20" t="s">
        <v>678</v>
      </c>
      <c r="D58" s="144">
        <v>2550000</v>
      </c>
      <c r="E58" s="20" t="s">
        <v>493</v>
      </c>
      <c r="F58" s="20" t="s">
        <v>494</v>
      </c>
      <c r="G58" s="8" t="str">
        <f t="shared" si="0"/>
        <v>BADERTSCHER DIANE</v>
      </c>
    </row>
    <row r="59" spans="1:7" x14ac:dyDescent="0.25">
      <c r="A59" s="8">
        <v>42846.331064814818</v>
      </c>
      <c r="B59" s="20" t="s">
        <v>530</v>
      </c>
      <c r="C59" s="20" t="s">
        <v>679</v>
      </c>
      <c r="D59" s="144">
        <v>1110000</v>
      </c>
      <c r="E59" s="20" t="s">
        <v>452</v>
      </c>
      <c r="F59" s="20" t="s">
        <v>453</v>
      </c>
      <c r="G59" s="8" t="str">
        <f t="shared" si="0"/>
        <v>STARKS ANGELINA</v>
      </c>
    </row>
    <row r="60" spans="1:7" x14ac:dyDescent="0.25">
      <c r="A60" s="8">
        <v>42846.339386574073</v>
      </c>
      <c r="B60" s="20" t="s">
        <v>614</v>
      </c>
      <c r="C60" s="20" t="s">
        <v>680</v>
      </c>
      <c r="D60" s="144">
        <v>3130000</v>
      </c>
      <c r="E60" s="20" t="s">
        <v>641</v>
      </c>
      <c r="F60" s="20" t="s">
        <v>642</v>
      </c>
      <c r="G60" s="8" t="str">
        <f t="shared" si="0"/>
        <v>ZEWDU DEREJE</v>
      </c>
    </row>
    <row r="61" spans="1:7" x14ac:dyDescent="0.25">
      <c r="A61" s="8">
        <v>42846.340682870374</v>
      </c>
      <c r="B61" s="20" t="s">
        <v>531</v>
      </c>
      <c r="C61" s="20" t="s">
        <v>681</v>
      </c>
      <c r="D61" s="144">
        <v>900000</v>
      </c>
      <c r="E61" s="20" t="s">
        <v>454</v>
      </c>
      <c r="F61" s="20" t="s">
        <v>455</v>
      </c>
      <c r="G61" s="8" t="str">
        <f t="shared" si="0"/>
        <v>ROCHA YAOTL</v>
      </c>
    </row>
    <row r="62" spans="1:7" x14ac:dyDescent="0.25">
      <c r="A62" s="8">
        <v>42846.342361111114</v>
      </c>
      <c r="B62" s="20" t="s">
        <v>443</v>
      </c>
      <c r="C62" s="20" t="s">
        <v>682</v>
      </c>
      <c r="D62" s="144">
        <v>890000</v>
      </c>
      <c r="E62" s="20" t="s">
        <v>470</v>
      </c>
      <c r="F62" s="20" t="s">
        <v>471</v>
      </c>
      <c r="G62" s="8" t="str">
        <f t="shared" si="0"/>
        <v>LOZA FIDEL</v>
      </c>
    </row>
    <row r="63" spans="1:7" x14ac:dyDescent="0.25">
      <c r="A63" s="8">
        <v>42846.344895833332</v>
      </c>
      <c r="B63" s="20" t="s">
        <v>198</v>
      </c>
      <c r="C63" s="20" t="s">
        <v>594</v>
      </c>
      <c r="D63" s="144">
        <v>1290000</v>
      </c>
      <c r="E63" s="20" t="s">
        <v>532</v>
      </c>
      <c r="F63" s="20" t="s">
        <v>533</v>
      </c>
      <c r="G63" s="8" t="str">
        <f t="shared" si="0"/>
        <v>COOLAHAN JOHN</v>
      </c>
    </row>
    <row r="64" spans="1:7" x14ac:dyDescent="0.25">
      <c r="A64" s="26">
        <v>42846.34915509259</v>
      </c>
      <c r="B64" s="20" t="s">
        <v>466</v>
      </c>
      <c r="C64" s="20" t="s">
        <v>683</v>
      </c>
      <c r="D64" s="144">
        <v>1990000</v>
      </c>
      <c r="E64" s="20" t="s">
        <v>629</v>
      </c>
      <c r="F64" s="20" t="s">
        <v>630</v>
      </c>
      <c r="G64" s="8" t="str">
        <f t="shared" si="0"/>
        <v>DAVIS WENDY</v>
      </c>
    </row>
    <row r="65" spans="1:7" x14ac:dyDescent="0.25">
      <c r="A65" s="8">
        <v>42846.351157407407</v>
      </c>
      <c r="B65" s="20" t="s">
        <v>491</v>
      </c>
      <c r="C65" s="20" t="s">
        <v>684</v>
      </c>
      <c r="D65" s="144">
        <v>3030000</v>
      </c>
      <c r="E65" s="20" t="s">
        <v>644</v>
      </c>
      <c r="F65" s="20" t="s">
        <v>540</v>
      </c>
      <c r="G65" s="8" t="str">
        <f t="shared" si="0"/>
        <v>BIRENBAUM THOMAS</v>
      </c>
    </row>
    <row r="66" spans="1:7" x14ac:dyDescent="0.25">
      <c r="A66" s="8">
        <v>42846.356180555558</v>
      </c>
      <c r="B66" s="20" t="s">
        <v>589</v>
      </c>
      <c r="C66" s="20" t="s">
        <v>685</v>
      </c>
      <c r="D66" s="144">
        <v>3130000</v>
      </c>
      <c r="E66" s="20" t="s">
        <v>641</v>
      </c>
      <c r="F66" s="20" t="s">
        <v>642</v>
      </c>
      <c r="G66" s="8" t="str">
        <f t="shared" si="0"/>
        <v>ZEWDU DEREJE</v>
      </c>
    </row>
    <row r="67" spans="1:7" x14ac:dyDescent="0.25">
      <c r="A67" s="8">
        <v>42846.358796296299</v>
      </c>
      <c r="B67" s="20" t="s">
        <v>360</v>
      </c>
      <c r="C67" s="20" t="s">
        <v>686</v>
      </c>
      <c r="D67" s="144">
        <v>1290000</v>
      </c>
      <c r="E67" s="20" t="s">
        <v>532</v>
      </c>
      <c r="F67" s="20" t="s">
        <v>533</v>
      </c>
      <c r="G67" s="8" t="str">
        <f t="shared" ref="G67:G130" si="1">E67&amp;" "&amp;F67</f>
        <v>COOLAHAN JOHN</v>
      </c>
    </row>
    <row r="68" spans="1:7" x14ac:dyDescent="0.25">
      <c r="A68" s="8">
        <v>42846.359351851854</v>
      </c>
      <c r="B68" s="20" t="s">
        <v>394</v>
      </c>
      <c r="C68" s="20" t="s">
        <v>687</v>
      </c>
      <c r="D68" s="144">
        <v>2140000</v>
      </c>
      <c r="E68" s="20" t="s">
        <v>635</v>
      </c>
      <c r="F68" s="20" t="s">
        <v>636</v>
      </c>
      <c r="G68" s="8" t="str">
        <f t="shared" si="1"/>
        <v>ROBINSON KADDIBA</v>
      </c>
    </row>
    <row r="69" spans="1:7" x14ac:dyDescent="0.25">
      <c r="A69" s="8">
        <v>42846.360856481479</v>
      </c>
      <c r="B69" s="20" t="s">
        <v>645</v>
      </c>
      <c r="C69" s="20" t="s">
        <v>688</v>
      </c>
      <c r="D69" s="144">
        <v>2550000</v>
      </c>
      <c r="E69" s="20" t="s">
        <v>493</v>
      </c>
      <c r="F69" s="20" t="s">
        <v>494</v>
      </c>
      <c r="G69" s="8" t="str">
        <f t="shared" si="1"/>
        <v>BADERTSCHER DIANE</v>
      </c>
    </row>
    <row r="70" spans="1:7" x14ac:dyDescent="0.25">
      <c r="A70" s="8">
        <v>42846.370011574072</v>
      </c>
      <c r="B70" s="20" t="s">
        <v>451</v>
      </c>
      <c r="C70" s="20" t="s">
        <v>595</v>
      </c>
      <c r="D70" s="144">
        <v>1110000</v>
      </c>
      <c r="E70" s="20" t="s">
        <v>452</v>
      </c>
      <c r="F70" s="20" t="s">
        <v>453</v>
      </c>
      <c r="G70" s="8" t="str">
        <f t="shared" si="1"/>
        <v>STARKS ANGELINA</v>
      </c>
    </row>
    <row r="71" spans="1:7" x14ac:dyDescent="0.25">
      <c r="A71" s="8">
        <v>42846.373344907406</v>
      </c>
      <c r="B71" s="20" t="s">
        <v>543</v>
      </c>
      <c r="C71" s="20" t="s">
        <v>689</v>
      </c>
      <c r="D71" s="144">
        <v>900000</v>
      </c>
      <c r="E71" s="20" t="s">
        <v>454</v>
      </c>
      <c r="F71" s="20" t="s">
        <v>455</v>
      </c>
      <c r="G71" s="8" t="str">
        <f t="shared" si="1"/>
        <v>ROCHA YAOTL</v>
      </c>
    </row>
    <row r="72" spans="1:7" x14ac:dyDescent="0.25">
      <c r="A72" s="8">
        <v>42846.378923611112</v>
      </c>
      <c r="B72" s="20" t="s">
        <v>442</v>
      </c>
      <c r="C72" s="20" t="s">
        <v>690</v>
      </c>
      <c r="D72" s="144">
        <v>890000</v>
      </c>
      <c r="E72" s="20" t="s">
        <v>470</v>
      </c>
      <c r="F72" s="20" t="s">
        <v>471</v>
      </c>
      <c r="G72" s="8" t="str">
        <f t="shared" si="1"/>
        <v>LOZA FIDEL</v>
      </c>
    </row>
    <row r="73" spans="1:7" x14ac:dyDescent="0.25">
      <c r="A73" s="8">
        <v>42846.37972222222</v>
      </c>
      <c r="B73" s="20" t="s">
        <v>442</v>
      </c>
      <c r="C73" s="20" t="s">
        <v>690</v>
      </c>
      <c r="D73" s="144">
        <v>890000</v>
      </c>
      <c r="E73" s="20" t="s">
        <v>470</v>
      </c>
      <c r="F73" s="20" t="s">
        <v>471</v>
      </c>
      <c r="G73" s="8" t="str">
        <f t="shared" si="1"/>
        <v>LOZA FIDEL</v>
      </c>
    </row>
    <row r="74" spans="1:7" x14ac:dyDescent="0.25">
      <c r="A74" s="8">
        <v>42846.380879629629</v>
      </c>
      <c r="B74" s="20" t="s">
        <v>469</v>
      </c>
      <c r="C74" s="20" t="s">
        <v>596</v>
      </c>
      <c r="D74" s="144">
        <v>1990000</v>
      </c>
      <c r="E74" s="20" t="s">
        <v>629</v>
      </c>
      <c r="F74" s="20" t="s">
        <v>630</v>
      </c>
      <c r="G74" s="8" t="str">
        <f t="shared" si="1"/>
        <v>DAVIS WENDY</v>
      </c>
    </row>
    <row r="75" spans="1:7" x14ac:dyDescent="0.25">
      <c r="A75" s="8">
        <v>42846.3828587963</v>
      </c>
      <c r="B75" s="20" t="s">
        <v>354</v>
      </c>
      <c r="C75" s="20" t="s">
        <v>599</v>
      </c>
      <c r="D75" s="144">
        <v>3030000</v>
      </c>
      <c r="E75" s="20" t="s">
        <v>644</v>
      </c>
      <c r="F75" s="20" t="s">
        <v>540</v>
      </c>
      <c r="G75" s="8" t="str">
        <f t="shared" si="1"/>
        <v>BIRENBAUM THOMAS</v>
      </c>
    </row>
    <row r="76" spans="1:7" x14ac:dyDescent="0.25">
      <c r="A76" s="8">
        <v>42846.387164351851</v>
      </c>
      <c r="B76" s="20" t="s">
        <v>198</v>
      </c>
      <c r="C76" s="20" t="s">
        <v>691</v>
      </c>
      <c r="D76" s="144">
        <v>1290000</v>
      </c>
      <c r="E76" s="20" t="s">
        <v>532</v>
      </c>
      <c r="F76" s="20" t="s">
        <v>533</v>
      </c>
      <c r="G76" s="8" t="str">
        <f t="shared" si="1"/>
        <v>COOLAHAN JOHN</v>
      </c>
    </row>
    <row r="77" spans="1:7" x14ac:dyDescent="0.25">
      <c r="A77" s="8">
        <v>42846.391597222224</v>
      </c>
      <c r="B77" s="20" t="s">
        <v>393</v>
      </c>
      <c r="C77" s="20" t="s">
        <v>692</v>
      </c>
      <c r="D77" s="144">
        <v>2140000</v>
      </c>
      <c r="E77" s="20" t="s">
        <v>635</v>
      </c>
      <c r="F77" s="20" t="s">
        <v>636</v>
      </c>
      <c r="G77" s="8" t="str">
        <f t="shared" si="1"/>
        <v>ROBINSON KADDIBA</v>
      </c>
    </row>
    <row r="78" spans="1:7" x14ac:dyDescent="0.25">
      <c r="A78" s="8">
        <v>42846.398738425924</v>
      </c>
      <c r="B78" s="20" t="s">
        <v>439</v>
      </c>
      <c r="C78" s="20" t="s">
        <v>597</v>
      </c>
      <c r="D78" s="144">
        <v>2550000</v>
      </c>
      <c r="E78" s="20" t="s">
        <v>493</v>
      </c>
      <c r="F78" s="20" t="s">
        <v>494</v>
      </c>
      <c r="G78" s="8" t="str">
        <f t="shared" si="1"/>
        <v>BADERTSCHER DIANE</v>
      </c>
    </row>
    <row r="79" spans="1:7" x14ac:dyDescent="0.25">
      <c r="A79" s="8">
        <v>42846.400590277779</v>
      </c>
      <c r="B79" s="20" t="s">
        <v>360</v>
      </c>
      <c r="C79" s="20" t="s">
        <v>598</v>
      </c>
      <c r="D79" s="144">
        <v>1290000</v>
      </c>
      <c r="E79" s="20" t="s">
        <v>532</v>
      </c>
      <c r="F79" s="20" t="s">
        <v>533</v>
      </c>
      <c r="G79" s="8" t="str">
        <f t="shared" si="1"/>
        <v>COOLAHAN JOHN</v>
      </c>
    </row>
    <row r="80" spans="1:7" x14ac:dyDescent="0.25">
      <c r="A80" s="8">
        <v>42846.403819444444</v>
      </c>
      <c r="B80" s="20" t="s">
        <v>530</v>
      </c>
      <c r="C80" s="20" t="s">
        <v>693</v>
      </c>
      <c r="D80" s="144">
        <v>1110000</v>
      </c>
      <c r="E80" s="20" t="s">
        <v>452</v>
      </c>
      <c r="F80" s="20" t="s">
        <v>453</v>
      </c>
      <c r="G80" s="8" t="str">
        <f t="shared" si="1"/>
        <v>STARKS ANGELINA</v>
      </c>
    </row>
    <row r="81" spans="1:7" x14ac:dyDescent="0.25">
      <c r="A81" s="8">
        <v>42846.411770833336</v>
      </c>
      <c r="B81" s="20" t="s">
        <v>355</v>
      </c>
      <c r="C81" s="20" t="s">
        <v>694</v>
      </c>
      <c r="D81" s="144">
        <v>1260000</v>
      </c>
      <c r="E81" s="20" t="s">
        <v>695</v>
      </c>
      <c r="F81" s="20" t="s">
        <v>696</v>
      </c>
      <c r="G81" s="8" t="str">
        <f t="shared" si="1"/>
        <v>ACKERMAN JARED</v>
      </c>
    </row>
    <row r="82" spans="1:7" x14ac:dyDescent="0.25">
      <c r="A82" s="8">
        <v>42846.413287037038</v>
      </c>
      <c r="B82" s="20" t="s">
        <v>531</v>
      </c>
      <c r="C82" s="20" t="s">
        <v>697</v>
      </c>
      <c r="D82" s="144">
        <v>900000</v>
      </c>
      <c r="E82" s="20" t="s">
        <v>454</v>
      </c>
      <c r="F82" s="20" t="s">
        <v>455</v>
      </c>
      <c r="G82" s="8" t="str">
        <f t="shared" si="1"/>
        <v>ROCHA YAOTL</v>
      </c>
    </row>
    <row r="83" spans="1:7" x14ac:dyDescent="0.25">
      <c r="A83" s="8">
        <v>42846.414502314816</v>
      </c>
      <c r="B83" s="20" t="s">
        <v>354</v>
      </c>
      <c r="C83" s="20" t="s">
        <v>599</v>
      </c>
      <c r="D83" s="144">
        <v>3030000</v>
      </c>
      <c r="E83" s="20" t="s">
        <v>644</v>
      </c>
      <c r="F83" s="20" t="s">
        <v>540</v>
      </c>
      <c r="G83" s="8" t="str">
        <f t="shared" si="1"/>
        <v>BIRENBAUM THOMAS</v>
      </c>
    </row>
    <row r="84" spans="1:7" x14ac:dyDescent="0.25">
      <c r="A84" s="8">
        <v>42846.420428240737</v>
      </c>
      <c r="B84" s="20" t="s">
        <v>354</v>
      </c>
      <c r="C84" s="20" t="s">
        <v>599</v>
      </c>
      <c r="D84" s="144">
        <v>3030000</v>
      </c>
      <c r="E84" s="20" t="s">
        <v>644</v>
      </c>
      <c r="F84" s="20" t="s">
        <v>540</v>
      </c>
      <c r="G84" s="8" t="str">
        <f t="shared" si="1"/>
        <v>BIRENBAUM THOMAS</v>
      </c>
    </row>
    <row r="85" spans="1:7" x14ac:dyDescent="0.25">
      <c r="A85" s="8">
        <v>42846.422106481485</v>
      </c>
      <c r="B85" s="20" t="s">
        <v>466</v>
      </c>
      <c r="C85" s="20" t="s">
        <v>600</v>
      </c>
      <c r="D85" s="144">
        <v>1990000</v>
      </c>
      <c r="E85" s="20" t="s">
        <v>629</v>
      </c>
      <c r="F85" s="20" t="s">
        <v>630</v>
      </c>
      <c r="G85" s="8" t="str">
        <f t="shared" si="1"/>
        <v>DAVIS WENDY</v>
      </c>
    </row>
    <row r="86" spans="1:7" x14ac:dyDescent="0.25">
      <c r="A86" s="8">
        <v>42846.425185185188</v>
      </c>
      <c r="B86" s="20" t="s">
        <v>443</v>
      </c>
      <c r="C86" s="20" t="s">
        <v>698</v>
      </c>
      <c r="D86" s="144">
        <v>1340000</v>
      </c>
      <c r="E86" s="20" t="s">
        <v>534</v>
      </c>
      <c r="F86" s="20" t="s">
        <v>535</v>
      </c>
      <c r="G86" s="8" t="str">
        <f t="shared" si="1"/>
        <v>BEAM ROSS</v>
      </c>
    </row>
    <row r="87" spans="1:7" x14ac:dyDescent="0.25">
      <c r="A87" s="8">
        <v>42846.428796296299</v>
      </c>
      <c r="B87" s="20" t="s">
        <v>198</v>
      </c>
      <c r="C87" s="20" t="s">
        <v>699</v>
      </c>
      <c r="D87" s="144">
        <v>1290000</v>
      </c>
      <c r="E87" s="20" t="s">
        <v>532</v>
      </c>
      <c r="F87" s="20" t="s">
        <v>533</v>
      </c>
      <c r="G87" s="8" t="str">
        <f t="shared" si="1"/>
        <v>COOLAHAN JOHN</v>
      </c>
    </row>
    <row r="88" spans="1:7" x14ac:dyDescent="0.25">
      <c r="A88" s="8">
        <v>42846.43340277778</v>
      </c>
      <c r="B88" s="20" t="s">
        <v>700</v>
      </c>
      <c r="C88" s="20" t="s">
        <v>701</v>
      </c>
      <c r="D88" s="144">
        <v>880000</v>
      </c>
      <c r="E88" s="20" t="s">
        <v>702</v>
      </c>
      <c r="F88" s="20" t="s">
        <v>196</v>
      </c>
      <c r="G88" s="8" t="str">
        <f t="shared" si="1"/>
        <v>STEWART MICHAEL</v>
      </c>
    </row>
    <row r="89" spans="1:7" x14ac:dyDescent="0.25">
      <c r="A89" s="8">
        <v>42846.433634259258</v>
      </c>
      <c r="B89" s="20" t="s">
        <v>394</v>
      </c>
      <c r="C89" s="20" t="s">
        <v>601</v>
      </c>
      <c r="D89" s="144">
        <v>2140000</v>
      </c>
      <c r="E89" s="20" t="s">
        <v>635</v>
      </c>
      <c r="F89" s="20" t="s">
        <v>636</v>
      </c>
      <c r="G89" s="8" t="str">
        <f t="shared" si="1"/>
        <v>ROBINSON KADDIBA</v>
      </c>
    </row>
    <row r="90" spans="1:7" x14ac:dyDescent="0.25">
      <c r="A90" s="8">
        <v>42846.434756944444</v>
      </c>
      <c r="B90" s="20" t="s">
        <v>700</v>
      </c>
      <c r="C90" s="20" t="s">
        <v>701</v>
      </c>
      <c r="D90" s="144">
        <v>880000</v>
      </c>
      <c r="E90" s="20" t="s">
        <v>702</v>
      </c>
      <c r="F90" s="20" t="s">
        <v>196</v>
      </c>
      <c r="G90" s="8" t="str">
        <f t="shared" si="1"/>
        <v>STEWART MICHAEL</v>
      </c>
    </row>
    <row r="91" spans="1:7" x14ac:dyDescent="0.25">
      <c r="A91" s="8">
        <v>42846.435879629629</v>
      </c>
      <c r="B91" s="20" t="s">
        <v>645</v>
      </c>
      <c r="C91" s="20" t="s">
        <v>703</v>
      </c>
      <c r="D91" s="144">
        <v>3130000</v>
      </c>
      <c r="E91" s="20" t="s">
        <v>641</v>
      </c>
      <c r="F91" s="20" t="s">
        <v>642</v>
      </c>
      <c r="G91" s="8" t="str">
        <f t="shared" si="1"/>
        <v>ZEWDU DEREJE</v>
      </c>
    </row>
    <row r="92" spans="1:7" x14ac:dyDescent="0.25">
      <c r="A92" s="8">
        <v>42846.441840277781</v>
      </c>
      <c r="B92" s="20" t="s">
        <v>360</v>
      </c>
      <c r="C92" s="20" t="s">
        <v>602</v>
      </c>
      <c r="D92" s="144">
        <v>1290000</v>
      </c>
      <c r="E92" s="20" t="s">
        <v>532</v>
      </c>
      <c r="F92" s="20" t="s">
        <v>533</v>
      </c>
      <c r="G92" s="8" t="str">
        <f t="shared" si="1"/>
        <v>COOLAHAN JOHN</v>
      </c>
    </row>
    <row r="93" spans="1:7" x14ac:dyDescent="0.25">
      <c r="A93" s="8">
        <v>42846.442013888889</v>
      </c>
      <c r="B93" s="20" t="s">
        <v>451</v>
      </c>
      <c r="C93" s="20" t="s">
        <v>704</v>
      </c>
      <c r="D93" s="144">
        <v>1110000</v>
      </c>
      <c r="E93" s="20" t="s">
        <v>452</v>
      </c>
      <c r="F93" s="20" t="s">
        <v>453</v>
      </c>
      <c r="G93" s="8" t="str">
        <f t="shared" si="1"/>
        <v>STARKS ANGELINA</v>
      </c>
    </row>
    <row r="94" spans="1:7" x14ac:dyDescent="0.25">
      <c r="A94" s="8">
        <v>42846.443981481483</v>
      </c>
      <c r="B94" s="20" t="s">
        <v>543</v>
      </c>
      <c r="C94" s="20" t="s">
        <v>705</v>
      </c>
      <c r="D94" s="144">
        <v>900000</v>
      </c>
      <c r="E94" s="20" t="s">
        <v>454</v>
      </c>
      <c r="F94" s="20" t="s">
        <v>455</v>
      </c>
      <c r="G94" s="8" t="str">
        <f t="shared" si="1"/>
        <v>ROCHA YAOTL</v>
      </c>
    </row>
    <row r="95" spans="1:7" x14ac:dyDescent="0.25">
      <c r="A95" s="8">
        <v>42846.448796296296</v>
      </c>
      <c r="B95" s="20" t="s">
        <v>603</v>
      </c>
      <c r="C95" s="20" t="s">
        <v>706</v>
      </c>
      <c r="D95" s="144">
        <v>1780000</v>
      </c>
      <c r="E95" s="20" t="s">
        <v>707</v>
      </c>
      <c r="F95" s="20" t="s">
        <v>708</v>
      </c>
      <c r="G95" s="8" t="str">
        <f t="shared" si="1"/>
        <v>DE LA ROSA ALEX</v>
      </c>
    </row>
    <row r="96" spans="1:7" x14ac:dyDescent="0.25">
      <c r="A96" s="8">
        <v>42846.449664351851</v>
      </c>
      <c r="B96" s="20" t="s">
        <v>603</v>
      </c>
      <c r="C96" s="20" t="s">
        <v>706</v>
      </c>
      <c r="D96" s="144">
        <v>1780000</v>
      </c>
      <c r="E96" s="20" t="s">
        <v>707</v>
      </c>
      <c r="F96" s="20" t="s">
        <v>708</v>
      </c>
      <c r="G96" s="8" t="str">
        <f t="shared" si="1"/>
        <v>DE LA ROSA ALEX</v>
      </c>
    </row>
    <row r="97" spans="1:7" x14ac:dyDescent="0.25">
      <c r="A97" s="8">
        <v>42846.451261574075</v>
      </c>
      <c r="B97" s="20" t="s">
        <v>603</v>
      </c>
      <c r="C97" s="20" t="s">
        <v>706</v>
      </c>
      <c r="D97" s="144">
        <v>1780000</v>
      </c>
      <c r="E97" s="20" t="s">
        <v>707</v>
      </c>
      <c r="F97" s="20" t="s">
        <v>708</v>
      </c>
      <c r="G97" s="8" t="str">
        <f t="shared" si="1"/>
        <v>DE LA ROSA ALEX</v>
      </c>
    </row>
    <row r="98" spans="1:7" x14ac:dyDescent="0.25">
      <c r="A98" s="8">
        <v>42846.451898148145</v>
      </c>
      <c r="B98" s="20" t="s">
        <v>387</v>
      </c>
      <c r="C98" s="20" t="s">
        <v>709</v>
      </c>
      <c r="D98" s="144">
        <v>1260000</v>
      </c>
      <c r="E98" s="20" t="s">
        <v>695</v>
      </c>
      <c r="F98" s="20" t="s">
        <v>696</v>
      </c>
      <c r="G98" s="8" t="str">
        <f t="shared" si="1"/>
        <v>ACKERMAN JARED</v>
      </c>
    </row>
    <row r="99" spans="1:7" x14ac:dyDescent="0.25">
      <c r="A99" s="8">
        <v>42846.454340277778</v>
      </c>
      <c r="B99" s="20" t="s">
        <v>700</v>
      </c>
      <c r="C99" s="20" t="s">
        <v>706</v>
      </c>
      <c r="D99" s="144">
        <v>1780000</v>
      </c>
      <c r="E99" s="20" t="s">
        <v>707</v>
      </c>
      <c r="F99" s="20" t="s">
        <v>708</v>
      </c>
      <c r="G99" s="8" t="str">
        <f t="shared" si="1"/>
        <v>DE LA ROSA ALEX</v>
      </c>
    </row>
    <row r="100" spans="1:7" x14ac:dyDescent="0.25">
      <c r="A100" s="8">
        <v>42846.456516203703</v>
      </c>
      <c r="B100" s="20" t="s">
        <v>469</v>
      </c>
      <c r="C100" s="20" t="s">
        <v>710</v>
      </c>
      <c r="D100" s="144">
        <v>880000</v>
      </c>
      <c r="E100" s="20" t="s">
        <v>702</v>
      </c>
      <c r="F100" s="20" t="s">
        <v>196</v>
      </c>
      <c r="G100" s="8" t="str">
        <f t="shared" si="1"/>
        <v>STEWART MICHAEL</v>
      </c>
    </row>
    <row r="101" spans="1:7" x14ac:dyDescent="0.25">
      <c r="A101" s="8">
        <v>42846.461041666669</v>
      </c>
      <c r="B101" s="20" t="s">
        <v>442</v>
      </c>
      <c r="C101" s="20" t="s">
        <v>711</v>
      </c>
      <c r="D101" s="144">
        <v>1340000</v>
      </c>
      <c r="E101" s="20" t="s">
        <v>534</v>
      </c>
      <c r="F101" s="20" t="s">
        <v>535</v>
      </c>
      <c r="G101" s="8" t="str">
        <f t="shared" si="1"/>
        <v>BEAM ROSS</v>
      </c>
    </row>
    <row r="102" spans="1:7" x14ac:dyDescent="0.25">
      <c r="A102" s="8">
        <v>42846.466944444444</v>
      </c>
      <c r="B102" s="20" t="s">
        <v>439</v>
      </c>
      <c r="C102" s="20" t="s">
        <v>712</v>
      </c>
      <c r="D102" s="144">
        <v>3130000</v>
      </c>
      <c r="E102" s="20" t="s">
        <v>641</v>
      </c>
      <c r="F102" s="20" t="s">
        <v>642</v>
      </c>
      <c r="G102" s="8" t="str">
        <f t="shared" si="1"/>
        <v>ZEWDU DEREJE</v>
      </c>
    </row>
    <row r="103" spans="1:7" x14ac:dyDescent="0.25">
      <c r="A103" s="8">
        <v>42846.467638888891</v>
      </c>
      <c r="B103" s="20" t="s">
        <v>393</v>
      </c>
      <c r="C103" s="20" t="s">
        <v>713</v>
      </c>
      <c r="D103" s="144">
        <v>2470000</v>
      </c>
      <c r="E103" s="20" t="s">
        <v>714</v>
      </c>
      <c r="F103" s="20" t="s">
        <v>715</v>
      </c>
      <c r="G103" s="8" t="str">
        <f t="shared" si="1"/>
        <v>ROMERO CHAD</v>
      </c>
    </row>
    <row r="104" spans="1:7" x14ac:dyDescent="0.25">
      <c r="A104" s="8">
        <v>42846.469641203701</v>
      </c>
      <c r="B104" s="20" t="s">
        <v>603</v>
      </c>
      <c r="C104" s="20" t="s">
        <v>604</v>
      </c>
      <c r="D104" s="144">
        <v>2140000</v>
      </c>
      <c r="E104" s="20" t="s">
        <v>635</v>
      </c>
      <c r="F104" s="20" t="s">
        <v>636</v>
      </c>
      <c r="G104" s="8" t="str">
        <f t="shared" si="1"/>
        <v>ROBINSON KADDIBA</v>
      </c>
    </row>
    <row r="105" spans="1:7" x14ac:dyDescent="0.25">
      <c r="A105" s="8">
        <v>42846.470185185186</v>
      </c>
      <c r="B105" s="20" t="s">
        <v>603</v>
      </c>
      <c r="C105" s="20" t="s">
        <v>604</v>
      </c>
      <c r="D105" s="144">
        <v>2140000</v>
      </c>
      <c r="E105" s="20" t="s">
        <v>635</v>
      </c>
      <c r="F105" s="20" t="s">
        <v>636</v>
      </c>
      <c r="G105" s="8" t="str">
        <f t="shared" si="1"/>
        <v>ROBINSON KADDIBA</v>
      </c>
    </row>
    <row r="106" spans="1:7" x14ac:dyDescent="0.25">
      <c r="A106" s="8">
        <v>42846.47084490741</v>
      </c>
      <c r="B106" s="20" t="s">
        <v>198</v>
      </c>
      <c r="C106" s="20" t="s">
        <v>716</v>
      </c>
      <c r="D106" s="144">
        <v>1290000</v>
      </c>
      <c r="E106" s="20" t="s">
        <v>532</v>
      </c>
      <c r="F106" s="20" t="s">
        <v>533</v>
      </c>
      <c r="G106" s="8" t="str">
        <f t="shared" si="1"/>
        <v>COOLAHAN JOHN</v>
      </c>
    </row>
    <row r="107" spans="1:7" x14ac:dyDescent="0.25">
      <c r="A107" s="8">
        <v>42846.47519675926</v>
      </c>
      <c r="B107" s="20" t="s">
        <v>531</v>
      </c>
      <c r="C107" s="20" t="s">
        <v>717</v>
      </c>
      <c r="D107" s="144">
        <v>900000</v>
      </c>
      <c r="E107" s="20" t="s">
        <v>454</v>
      </c>
      <c r="F107" s="20" t="s">
        <v>455</v>
      </c>
      <c r="G107" s="8" t="str">
        <f t="shared" si="1"/>
        <v>ROCHA YAOTL</v>
      </c>
    </row>
    <row r="108" spans="1:7" x14ac:dyDescent="0.25">
      <c r="A108" s="8">
        <v>42846.475659722222</v>
      </c>
      <c r="B108" s="20" t="s">
        <v>530</v>
      </c>
      <c r="C108" s="20" t="s">
        <v>718</v>
      </c>
      <c r="D108" s="144">
        <v>930000</v>
      </c>
      <c r="E108" s="20" t="s">
        <v>456</v>
      </c>
      <c r="F108" s="20" t="s">
        <v>457</v>
      </c>
      <c r="G108" s="8" t="str">
        <f t="shared" si="1"/>
        <v>CLARK KATHLEEN</v>
      </c>
    </row>
    <row r="109" spans="1:7" x14ac:dyDescent="0.25">
      <c r="A109" s="8">
        <v>42846.483900462961</v>
      </c>
      <c r="B109" s="20" t="s">
        <v>360</v>
      </c>
      <c r="C109" s="20" t="s">
        <v>719</v>
      </c>
      <c r="D109" s="144">
        <v>1290000</v>
      </c>
      <c r="E109" s="20" t="s">
        <v>532</v>
      </c>
      <c r="F109" s="20" t="s">
        <v>533</v>
      </c>
      <c r="G109" s="8" t="str">
        <f t="shared" si="1"/>
        <v>COOLAHAN JOHN</v>
      </c>
    </row>
    <row r="110" spans="1:7" x14ac:dyDescent="0.25">
      <c r="A110" s="8">
        <v>42846.486840277779</v>
      </c>
      <c r="B110" s="20" t="s">
        <v>355</v>
      </c>
      <c r="C110" s="20" t="s">
        <v>720</v>
      </c>
      <c r="D110" s="144">
        <v>1770000</v>
      </c>
      <c r="E110" s="20" t="s">
        <v>501</v>
      </c>
      <c r="F110" s="20" t="s">
        <v>502</v>
      </c>
      <c r="G110" s="8" t="str">
        <f t="shared" si="1"/>
        <v>BRUDER RICHARD</v>
      </c>
    </row>
    <row r="111" spans="1:7" x14ac:dyDescent="0.25">
      <c r="A111" s="8">
        <v>42846.493472222224</v>
      </c>
      <c r="B111" s="20" t="s">
        <v>466</v>
      </c>
      <c r="C111" s="20" t="s">
        <v>721</v>
      </c>
      <c r="D111" s="144">
        <v>880000</v>
      </c>
      <c r="E111" s="20" t="s">
        <v>702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42846.496134259258</v>
      </c>
      <c r="B112" s="20" t="s">
        <v>443</v>
      </c>
      <c r="C112" s="20" t="s">
        <v>722</v>
      </c>
      <c r="D112" s="144">
        <v>3090000</v>
      </c>
      <c r="E112" s="20" t="s">
        <v>723</v>
      </c>
      <c r="F112" s="20" t="s">
        <v>724</v>
      </c>
      <c r="G112" s="8" t="str">
        <f t="shared" si="1"/>
        <v>LAMAR NEKESHA</v>
      </c>
    </row>
    <row r="113" spans="1:7" x14ac:dyDescent="0.25">
      <c r="A113" s="8">
        <v>42846.50199074074</v>
      </c>
      <c r="B113" s="20" t="s">
        <v>394</v>
      </c>
      <c r="C113" s="20" t="s">
        <v>725</v>
      </c>
      <c r="D113" s="144">
        <v>2470000</v>
      </c>
      <c r="E113" s="20" t="s">
        <v>714</v>
      </c>
      <c r="F113" s="20" t="s">
        <v>715</v>
      </c>
      <c r="G113" s="8" t="str">
        <f t="shared" si="1"/>
        <v>ROMERO CHAD</v>
      </c>
    </row>
    <row r="114" spans="1:7" x14ac:dyDescent="0.25">
      <c r="A114" s="8">
        <v>42846.506354166668</v>
      </c>
      <c r="B114" s="20" t="s">
        <v>645</v>
      </c>
      <c r="C114" s="20" t="s">
        <v>726</v>
      </c>
      <c r="D114" s="144">
        <v>2370000</v>
      </c>
      <c r="E114" s="20" t="s">
        <v>497</v>
      </c>
      <c r="F114" s="20" t="s">
        <v>498</v>
      </c>
      <c r="G114" s="8" t="str">
        <f t="shared" si="1"/>
        <v>DELGADO DIANAH</v>
      </c>
    </row>
    <row r="115" spans="1:7" x14ac:dyDescent="0.25">
      <c r="A115" s="8">
        <v>42846.511076388888</v>
      </c>
      <c r="B115" s="20" t="s">
        <v>198</v>
      </c>
      <c r="C115" s="20" t="s">
        <v>727</v>
      </c>
      <c r="D115" s="144">
        <v>1290000</v>
      </c>
      <c r="E115" s="20" t="s">
        <v>532</v>
      </c>
      <c r="F115" s="20" t="s">
        <v>533</v>
      </c>
      <c r="G115" s="8" t="str">
        <f t="shared" si="1"/>
        <v>COOLAHAN JOHN</v>
      </c>
    </row>
    <row r="116" spans="1:7" x14ac:dyDescent="0.25">
      <c r="A116" s="8">
        <v>42846.513113425928</v>
      </c>
      <c r="B116" s="20" t="s">
        <v>451</v>
      </c>
      <c r="C116" s="20" t="s">
        <v>607</v>
      </c>
      <c r="D116" s="144">
        <v>930000</v>
      </c>
      <c r="E116" s="20" t="s">
        <v>456</v>
      </c>
      <c r="F116" s="20" t="s">
        <v>457</v>
      </c>
      <c r="G116" s="8" t="str">
        <f t="shared" si="1"/>
        <v>CLARK KATHLEEN</v>
      </c>
    </row>
    <row r="117" spans="1:7" x14ac:dyDescent="0.25">
      <c r="A117" s="8">
        <v>42846.516284722224</v>
      </c>
      <c r="B117" s="20" t="s">
        <v>543</v>
      </c>
      <c r="C117" s="20" t="s">
        <v>605</v>
      </c>
      <c r="D117" s="144">
        <v>1240000</v>
      </c>
      <c r="E117" s="20" t="s">
        <v>728</v>
      </c>
      <c r="F117" s="20" t="s">
        <v>729</v>
      </c>
      <c r="G117" s="8" t="str">
        <f t="shared" si="1"/>
        <v>GRASTON MATHEU</v>
      </c>
    </row>
    <row r="118" spans="1:7" x14ac:dyDescent="0.25">
      <c r="A118" s="8">
        <v>42846.525509259256</v>
      </c>
      <c r="B118" s="20" t="s">
        <v>360</v>
      </c>
      <c r="C118" s="20" t="s">
        <v>606</v>
      </c>
      <c r="D118" s="144">
        <v>1290000</v>
      </c>
      <c r="E118" s="20" t="s">
        <v>532</v>
      </c>
      <c r="F118" s="20" t="s">
        <v>533</v>
      </c>
      <c r="G118" s="8" t="str">
        <f t="shared" si="1"/>
        <v>COOLAHAN JOHN</v>
      </c>
    </row>
    <row r="119" spans="1:7" x14ac:dyDescent="0.25">
      <c r="A119" s="8">
        <v>42846.525520833333</v>
      </c>
      <c r="B119" s="20" t="s">
        <v>387</v>
      </c>
      <c r="C119" s="20" t="s">
        <v>608</v>
      </c>
      <c r="D119" s="144">
        <v>1770000</v>
      </c>
      <c r="E119" s="20" t="s">
        <v>501</v>
      </c>
      <c r="F119" s="20" t="s">
        <v>502</v>
      </c>
      <c r="G119" s="8" t="str">
        <f t="shared" si="1"/>
        <v>BRUDER RICHARD</v>
      </c>
    </row>
    <row r="120" spans="1:7" x14ac:dyDescent="0.25">
      <c r="A120" s="8">
        <v>42846.530358796299</v>
      </c>
      <c r="B120" s="20" t="s">
        <v>469</v>
      </c>
      <c r="C120" s="20" t="s">
        <v>730</v>
      </c>
      <c r="D120" s="144">
        <v>880000</v>
      </c>
      <c r="E120" s="20" t="s">
        <v>702</v>
      </c>
      <c r="F120" s="20" t="s">
        <v>196</v>
      </c>
      <c r="G120" s="8" t="str">
        <f t="shared" si="1"/>
        <v>STEWART MICHAEL</v>
      </c>
    </row>
    <row r="121" spans="1:7" x14ac:dyDescent="0.25">
      <c r="A121" s="8">
        <v>42846.534826388888</v>
      </c>
      <c r="B121" s="20" t="s">
        <v>442</v>
      </c>
      <c r="C121" s="20" t="s">
        <v>731</v>
      </c>
      <c r="D121" s="144">
        <v>3090000</v>
      </c>
      <c r="E121" s="20" t="s">
        <v>723</v>
      </c>
      <c r="F121" s="20" t="s">
        <v>724</v>
      </c>
      <c r="G121" s="8" t="str">
        <f t="shared" si="1"/>
        <v>LAMAR NEKESHA</v>
      </c>
    </row>
    <row r="122" spans="1:7" x14ac:dyDescent="0.25">
      <c r="A122" s="8">
        <v>42846.53665509259</v>
      </c>
      <c r="B122" s="25" t="s">
        <v>442</v>
      </c>
      <c r="C122" s="20" t="s">
        <v>732</v>
      </c>
      <c r="D122" s="144">
        <v>3090000</v>
      </c>
      <c r="E122" s="20" t="s">
        <v>723</v>
      </c>
      <c r="F122" s="20" t="s">
        <v>724</v>
      </c>
      <c r="G122" s="8" t="str">
        <f t="shared" si="1"/>
        <v>LAMAR NEKESHA</v>
      </c>
    </row>
    <row r="123" spans="1:7" x14ac:dyDescent="0.25">
      <c r="A123" s="8">
        <v>42846.538437499999</v>
      </c>
      <c r="B123" s="20" t="s">
        <v>393</v>
      </c>
      <c r="C123" s="20" t="s">
        <v>733</v>
      </c>
      <c r="D123" s="144">
        <v>2470000</v>
      </c>
      <c r="E123" s="20" t="s">
        <v>714</v>
      </c>
      <c r="F123" s="20" t="s">
        <v>715</v>
      </c>
      <c r="G123" s="8" t="str">
        <f t="shared" si="1"/>
        <v>ROMERO CHAD</v>
      </c>
    </row>
    <row r="124" spans="1:7" x14ac:dyDescent="0.25">
      <c r="A124" s="8">
        <v>42846.544178240743</v>
      </c>
      <c r="B124" s="20" t="s">
        <v>439</v>
      </c>
      <c r="C124" s="20" t="s">
        <v>610</v>
      </c>
      <c r="D124" s="144">
        <v>2370000</v>
      </c>
      <c r="E124" s="20" t="s">
        <v>497</v>
      </c>
      <c r="F124" s="20" t="s">
        <v>498</v>
      </c>
      <c r="G124" s="8" t="str">
        <f t="shared" si="1"/>
        <v>DELGADO DIANAH</v>
      </c>
    </row>
    <row r="125" spans="1:7" x14ac:dyDescent="0.25">
      <c r="A125" s="8">
        <v>42846.548738425925</v>
      </c>
      <c r="B125" s="20" t="s">
        <v>530</v>
      </c>
      <c r="C125" s="20" t="s">
        <v>734</v>
      </c>
      <c r="D125" s="144">
        <v>930000</v>
      </c>
      <c r="E125" s="20" t="s">
        <v>456</v>
      </c>
      <c r="F125" s="20" t="s">
        <v>457</v>
      </c>
      <c r="G125" s="8" t="str">
        <f t="shared" si="1"/>
        <v>CLARK KATHLEEN</v>
      </c>
    </row>
    <row r="126" spans="1:7" x14ac:dyDescent="0.25">
      <c r="A126" s="8">
        <v>42846.54954861111</v>
      </c>
      <c r="B126" s="20" t="s">
        <v>531</v>
      </c>
      <c r="C126" s="20" t="s">
        <v>735</v>
      </c>
      <c r="D126" s="144">
        <v>1240000</v>
      </c>
      <c r="E126" s="20" t="s">
        <v>728</v>
      </c>
      <c r="F126" s="20" t="s">
        <v>729</v>
      </c>
      <c r="G126" s="8" t="str">
        <f t="shared" si="1"/>
        <v>GRASTON MATHEU</v>
      </c>
    </row>
    <row r="127" spans="1:7" x14ac:dyDescent="0.25">
      <c r="A127" s="8">
        <v>42846.551168981481</v>
      </c>
      <c r="B127" s="20" t="s">
        <v>198</v>
      </c>
      <c r="C127" s="20" t="s">
        <v>609</v>
      </c>
      <c r="D127" s="144">
        <v>3120000</v>
      </c>
      <c r="E127" s="20" t="s">
        <v>538</v>
      </c>
      <c r="F127" s="20" t="s">
        <v>539</v>
      </c>
      <c r="G127" s="8" t="str">
        <f t="shared" si="1"/>
        <v>THOMPSON LESTER</v>
      </c>
    </row>
    <row r="128" spans="1:7" x14ac:dyDescent="0.25">
      <c r="A128" s="8">
        <v>42846.558391203704</v>
      </c>
      <c r="B128" s="20" t="s">
        <v>355</v>
      </c>
      <c r="C128" s="20" t="s">
        <v>736</v>
      </c>
      <c r="D128" s="144">
        <v>1770000</v>
      </c>
      <c r="E128" s="20" t="s">
        <v>501</v>
      </c>
      <c r="F128" s="20" t="s">
        <v>502</v>
      </c>
      <c r="G128" s="8" t="str">
        <f t="shared" si="1"/>
        <v>BRUDER RICHARD</v>
      </c>
    </row>
    <row r="129" spans="1:7" x14ac:dyDescent="0.25">
      <c r="A129" s="8">
        <v>42846.569236111114</v>
      </c>
      <c r="B129" s="20" t="s">
        <v>443</v>
      </c>
      <c r="C129" s="20" t="s">
        <v>731</v>
      </c>
      <c r="D129" s="144">
        <v>3090000</v>
      </c>
      <c r="E129" s="20" t="s">
        <v>723</v>
      </c>
      <c r="F129" s="20" t="s">
        <v>724</v>
      </c>
      <c r="G129" s="8" t="str">
        <f t="shared" si="1"/>
        <v>LAMAR NEKESHA</v>
      </c>
    </row>
    <row r="130" spans="1:7" x14ac:dyDescent="0.25">
      <c r="A130" s="8">
        <v>42846.569247685184</v>
      </c>
      <c r="B130" s="20" t="s">
        <v>360</v>
      </c>
      <c r="C130" s="20" t="s">
        <v>737</v>
      </c>
      <c r="D130" s="144">
        <v>3120000</v>
      </c>
      <c r="E130" s="20" t="s">
        <v>538</v>
      </c>
      <c r="F130" s="20" t="s">
        <v>539</v>
      </c>
      <c r="G130" s="8" t="str">
        <f t="shared" si="1"/>
        <v>THOMPSON LESTER</v>
      </c>
    </row>
    <row r="131" spans="1:7" x14ac:dyDescent="0.25">
      <c r="A131" s="8">
        <v>42846.569340277776</v>
      </c>
      <c r="B131" s="20" t="s">
        <v>394</v>
      </c>
      <c r="C131" s="20" t="s">
        <v>611</v>
      </c>
      <c r="D131" s="144">
        <v>2470000</v>
      </c>
      <c r="E131" s="20" t="s">
        <v>714</v>
      </c>
      <c r="F131" s="20" t="s">
        <v>715</v>
      </c>
      <c r="G131" s="8" t="str">
        <f t="shared" ref="G131:G194" si="2">E131&amp;" "&amp;F131</f>
        <v>ROMERO CHAD</v>
      </c>
    </row>
    <row r="132" spans="1:7" x14ac:dyDescent="0.25">
      <c r="A132" s="8">
        <v>42846.569479166668</v>
      </c>
      <c r="B132" s="20" t="s">
        <v>466</v>
      </c>
      <c r="C132" s="20" t="s">
        <v>738</v>
      </c>
      <c r="D132" s="144">
        <v>880000</v>
      </c>
      <c r="E132" s="20" t="s">
        <v>702</v>
      </c>
      <c r="F132" s="20" t="s">
        <v>196</v>
      </c>
      <c r="G132" s="8" t="str">
        <f t="shared" si="2"/>
        <v>STEWART MICHAEL</v>
      </c>
    </row>
    <row r="133" spans="1:7" x14ac:dyDescent="0.25">
      <c r="A133" s="8">
        <v>42846.580231481479</v>
      </c>
      <c r="B133" s="20" t="s">
        <v>645</v>
      </c>
      <c r="C133" s="20" t="s">
        <v>739</v>
      </c>
      <c r="D133" s="144">
        <v>2440000</v>
      </c>
      <c r="E133" s="20" t="s">
        <v>499</v>
      </c>
      <c r="F133" s="20" t="s">
        <v>500</v>
      </c>
      <c r="G133" s="8" t="str">
        <f t="shared" si="2"/>
        <v>LOPES KIMBERLY</v>
      </c>
    </row>
    <row r="134" spans="1:7" x14ac:dyDescent="0.25">
      <c r="A134" s="8">
        <v>42846.587384259263</v>
      </c>
      <c r="B134" s="20" t="s">
        <v>198</v>
      </c>
      <c r="C134" s="20" t="s">
        <v>740</v>
      </c>
      <c r="D134" s="144">
        <v>3120000</v>
      </c>
      <c r="E134" s="20" t="s">
        <v>538</v>
      </c>
      <c r="F134" s="20" t="s">
        <v>539</v>
      </c>
      <c r="G134" s="8" t="str">
        <f t="shared" si="2"/>
        <v>THOMPSON LESTER</v>
      </c>
    </row>
    <row r="135" spans="1:7" x14ac:dyDescent="0.25">
      <c r="A135" s="8">
        <v>42846.587638888886</v>
      </c>
      <c r="B135" s="20" t="s">
        <v>451</v>
      </c>
      <c r="C135" s="20" t="s">
        <v>741</v>
      </c>
      <c r="D135" s="144">
        <v>930000</v>
      </c>
      <c r="E135" s="20" t="s">
        <v>456</v>
      </c>
      <c r="F135" s="20" t="s">
        <v>457</v>
      </c>
      <c r="G135" s="8" t="str">
        <f t="shared" si="2"/>
        <v>CLARK KATHLEEN</v>
      </c>
    </row>
    <row r="136" spans="1:7" x14ac:dyDescent="0.25">
      <c r="A136" s="8">
        <v>42846.591666666667</v>
      </c>
      <c r="B136" s="20" t="s">
        <v>543</v>
      </c>
      <c r="C136" s="20" t="s">
        <v>742</v>
      </c>
      <c r="D136" s="144">
        <v>1240000</v>
      </c>
      <c r="E136" s="20" t="s">
        <v>728</v>
      </c>
      <c r="F136" s="20" t="s">
        <v>729</v>
      </c>
      <c r="G136" s="8" t="str">
        <f t="shared" si="2"/>
        <v>GRASTON MATHEU</v>
      </c>
    </row>
    <row r="137" spans="1:7" x14ac:dyDescent="0.25">
      <c r="A137" s="8">
        <v>42846.5940625</v>
      </c>
      <c r="B137" s="20" t="s">
        <v>387</v>
      </c>
      <c r="C137" s="20" t="s">
        <v>743</v>
      </c>
      <c r="D137" s="144">
        <v>1770000</v>
      </c>
      <c r="E137" s="20" t="s">
        <v>501</v>
      </c>
      <c r="F137" s="20" t="s">
        <v>502</v>
      </c>
      <c r="G137" s="8" t="str">
        <f t="shared" si="2"/>
        <v>BRUDER RICHARD</v>
      </c>
    </row>
    <row r="138" spans="1:7" x14ac:dyDescent="0.25">
      <c r="A138" s="8">
        <v>42846.601597222223</v>
      </c>
      <c r="B138" s="20" t="s">
        <v>469</v>
      </c>
      <c r="C138" s="20" t="s">
        <v>744</v>
      </c>
      <c r="D138" s="144">
        <v>880000</v>
      </c>
      <c r="E138" s="20" t="s">
        <v>702</v>
      </c>
      <c r="F138" s="20" t="s">
        <v>196</v>
      </c>
      <c r="G138" s="8" t="str">
        <f t="shared" si="2"/>
        <v>STEWART MICHAEL</v>
      </c>
    </row>
    <row r="139" spans="1:7" x14ac:dyDescent="0.25">
      <c r="A139" s="8">
        <v>42846.608437499999</v>
      </c>
      <c r="B139" s="20" t="s">
        <v>360</v>
      </c>
      <c r="C139" s="20" t="s">
        <v>612</v>
      </c>
      <c r="D139" s="144">
        <v>3120000</v>
      </c>
      <c r="E139" s="20" t="s">
        <v>538</v>
      </c>
      <c r="F139" s="20" t="s">
        <v>539</v>
      </c>
      <c r="G139" s="8" t="str">
        <f t="shared" si="2"/>
        <v>THOMPSON LESTER</v>
      </c>
    </row>
    <row r="140" spans="1:7" x14ac:dyDescent="0.25">
      <c r="A140" s="8">
        <v>42846.608634259261</v>
      </c>
      <c r="B140" s="20" t="s">
        <v>442</v>
      </c>
      <c r="C140" s="20" t="s">
        <v>745</v>
      </c>
      <c r="D140" s="144">
        <v>3090000</v>
      </c>
      <c r="E140" s="20" t="s">
        <v>723</v>
      </c>
      <c r="F140" s="20" t="s">
        <v>724</v>
      </c>
      <c r="G140" s="8" t="str">
        <f t="shared" si="2"/>
        <v>LAMAR NEKESHA</v>
      </c>
    </row>
    <row r="141" spans="1:7" x14ac:dyDescent="0.25">
      <c r="A141" s="8">
        <v>42846.613032407404</v>
      </c>
      <c r="B141" s="20" t="s">
        <v>393</v>
      </c>
      <c r="C141" s="20" t="s">
        <v>613</v>
      </c>
      <c r="D141" s="144">
        <v>2470000</v>
      </c>
      <c r="E141" s="20" t="s">
        <v>714</v>
      </c>
      <c r="F141" s="20" t="s">
        <v>715</v>
      </c>
      <c r="G141" s="8" t="str">
        <f t="shared" si="2"/>
        <v>ROMERO CHAD</v>
      </c>
    </row>
    <row r="142" spans="1:7" x14ac:dyDescent="0.25">
      <c r="A142" s="8">
        <v>42846.618379629632</v>
      </c>
      <c r="B142" s="20" t="s">
        <v>439</v>
      </c>
      <c r="C142" s="20" t="s">
        <v>746</v>
      </c>
      <c r="D142" s="144">
        <v>2440000</v>
      </c>
      <c r="E142" s="20" t="s">
        <v>499</v>
      </c>
      <c r="F142" s="20" t="s">
        <v>500</v>
      </c>
      <c r="G142" s="8" t="str">
        <f t="shared" si="2"/>
        <v>LOPES KIMBERLY</v>
      </c>
    </row>
    <row r="143" spans="1:7" x14ac:dyDescent="0.25">
      <c r="A143" s="8">
        <v>42846.621863425928</v>
      </c>
      <c r="B143" s="20" t="s">
        <v>531</v>
      </c>
      <c r="C143" s="20" t="s">
        <v>747</v>
      </c>
      <c r="D143" s="144">
        <v>1240000</v>
      </c>
      <c r="E143" s="20" t="s">
        <v>728</v>
      </c>
      <c r="F143" s="20" t="s">
        <v>729</v>
      </c>
      <c r="G143" s="8" t="str">
        <f t="shared" si="2"/>
        <v>GRASTON MATHEU</v>
      </c>
    </row>
    <row r="144" spans="1:7" x14ac:dyDescent="0.25">
      <c r="A144" s="8">
        <v>42846.622766203705</v>
      </c>
      <c r="B144" s="20" t="s">
        <v>530</v>
      </c>
      <c r="C144" s="20" t="s">
        <v>748</v>
      </c>
      <c r="D144" s="144">
        <v>930000</v>
      </c>
      <c r="E144" s="20" t="s">
        <v>456</v>
      </c>
      <c r="F144" s="20" t="s">
        <v>457</v>
      </c>
      <c r="G144" s="8" t="str">
        <f t="shared" si="2"/>
        <v>CLARK KATHLEEN</v>
      </c>
    </row>
    <row r="145" spans="1:7" x14ac:dyDescent="0.25">
      <c r="A145" s="8">
        <v>42846.623726851853</v>
      </c>
      <c r="B145" s="20" t="s">
        <v>530</v>
      </c>
      <c r="C145" s="20" t="s">
        <v>748</v>
      </c>
      <c r="D145" s="144">
        <v>930000</v>
      </c>
      <c r="E145" s="20" t="s">
        <v>456</v>
      </c>
      <c r="F145" s="20" t="s">
        <v>457</v>
      </c>
      <c r="G145" s="8" t="str">
        <f t="shared" si="2"/>
        <v>CLARK KATHLEEN</v>
      </c>
    </row>
    <row r="146" spans="1:7" x14ac:dyDescent="0.25">
      <c r="A146" s="8">
        <v>42846.631747685184</v>
      </c>
      <c r="B146" s="20" t="s">
        <v>355</v>
      </c>
      <c r="C146" s="20" t="s">
        <v>749</v>
      </c>
      <c r="D146" s="144">
        <v>1770000</v>
      </c>
      <c r="E146" s="20" t="s">
        <v>501</v>
      </c>
      <c r="F146" s="20" t="s">
        <v>502</v>
      </c>
      <c r="G146" s="8" t="str">
        <f t="shared" si="2"/>
        <v>BRUDER RICHARD</v>
      </c>
    </row>
    <row r="147" spans="1:7" x14ac:dyDescent="0.25">
      <c r="A147" s="8">
        <v>42846.634675925925</v>
      </c>
      <c r="B147" s="20" t="s">
        <v>198</v>
      </c>
      <c r="C147" s="20" t="s">
        <v>750</v>
      </c>
      <c r="D147" s="144">
        <v>3120000</v>
      </c>
      <c r="E147" s="20" t="s">
        <v>538</v>
      </c>
      <c r="F147" s="20" t="s">
        <v>539</v>
      </c>
      <c r="G147" s="8" t="str">
        <f t="shared" si="2"/>
        <v>THOMPSON LESTER</v>
      </c>
    </row>
    <row r="148" spans="1:7" x14ac:dyDescent="0.25">
      <c r="A148" s="8">
        <v>42846.637233796297</v>
      </c>
      <c r="B148" s="20" t="s">
        <v>614</v>
      </c>
      <c r="C148" s="20" t="s">
        <v>615</v>
      </c>
      <c r="D148" s="144">
        <v>2230000</v>
      </c>
      <c r="E148" s="20" t="s">
        <v>358</v>
      </c>
      <c r="F148" s="20" t="s">
        <v>196</v>
      </c>
      <c r="G148" s="8" t="str">
        <f t="shared" si="2"/>
        <v>SMITH MICHAEL</v>
      </c>
    </row>
    <row r="149" spans="1:7" x14ac:dyDescent="0.25">
      <c r="A149" s="8">
        <v>42846.638344907406</v>
      </c>
      <c r="B149" s="20" t="s">
        <v>466</v>
      </c>
      <c r="C149" s="20" t="s">
        <v>617</v>
      </c>
      <c r="D149" s="144">
        <v>880000</v>
      </c>
      <c r="E149" s="20" t="s">
        <v>702</v>
      </c>
      <c r="F149" s="20" t="s">
        <v>196</v>
      </c>
      <c r="G149" s="8" t="str">
        <f t="shared" si="2"/>
        <v>STEWART MICHAEL</v>
      </c>
    </row>
    <row r="150" spans="1:7" x14ac:dyDescent="0.25">
      <c r="A150" s="8">
        <v>42846.641909722224</v>
      </c>
      <c r="B150" s="20" t="s">
        <v>394</v>
      </c>
      <c r="C150" s="20" t="s">
        <v>751</v>
      </c>
      <c r="D150" s="144">
        <v>2470000</v>
      </c>
      <c r="E150" s="20" t="s">
        <v>714</v>
      </c>
      <c r="F150" s="20" t="s">
        <v>715</v>
      </c>
      <c r="G150" s="8" t="str">
        <f t="shared" si="2"/>
        <v>ROMERO CHAD</v>
      </c>
    </row>
    <row r="151" spans="1:7" x14ac:dyDescent="0.25">
      <c r="A151" s="8">
        <v>42846.643078703702</v>
      </c>
      <c r="B151" s="20" t="s">
        <v>443</v>
      </c>
      <c r="C151" s="20" t="s">
        <v>616</v>
      </c>
      <c r="D151" s="144">
        <v>3090000</v>
      </c>
      <c r="E151" s="20" t="s">
        <v>723</v>
      </c>
      <c r="F151" s="20" t="s">
        <v>724</v>
      </c>
      <c r="G151" s="8" t="str">
        <f t="shared" si="2"/>
        <v>LAMAR NEKESHA</v>
      </c>
    </row>
    <row r="152" spans="1:7" x14ac:dyDescent="0.25">
      <c r="A152" s="8">
        <v>42846.652175925927</v>
      </c>
      <c r="B152" s="20" t="s">
        <v>360</v>
      </c>
      <c r="C152" s="20" t="s">
        <v>752</v>
      </c>
      <c r="D152" s="144">
        <v>3120000</v>
      </c>
      <c r="E152" s="20" t="s">
        <v>538</v>
      </c>
      <c r="F152" s="20" t="s">
        <v>539</v>
      </c>
      <c r="G152" s="8" t="str">
        <f t="shared" si="2"/>
        <v>THOMPSON LESTER</v>
      </c>
    </row>
    <row r="153" spans="1:7" x14ac:dyDescent="0.25">
      <c r="A153" s="8">
        <v>42846.653020833335</v>
      </c>
      <c r="B153" s="20" t="s">
        <v>645</v>
      </c>
      <c r="C153" s="20" t="s">
        <v>753</v>
      </c>
      <c r="D153" s="144">
        <v>2440000</v>
      </c>
      <c r="E153" s="20" t="s">
        <v>499</v>
      </c>
      <c r="F153" s="20" t="s">
        <v>500</v>
      </c>
      <c r="G153" s="8" t="str">
        <f t="shared" si="2"/>
        <v>LOPES KIMBERLY</v>
      </c>
    </row>
    <row r="154" spans="1:7" x14ac:dyDescent="0.25">
      <c r="A154" s="8">
        <v>42846.653553240743</v>
      </c>
      <c r="B154" s="20" t="s">
        <v>589</v>
      </c>
      <c r="C154" s="20" t="s">
        <v>754</v>
      </c>
      <c r="D154" s="144">
        <v>2230000</v>
      </c>
      <c r="E154" s="20" t="s">
        <v>358</v>
      </c>
      <c r="F154" s="20" t="s">
        <v>196</v>
      </c>
      <c r="G154" s="8" t="str">
        <f t="shared" si="2"/>
        <v>SMITH MICHAEL</v>
      </c>
    </row>
    <row r="155" spans="1:7" x14ac:dyDescent="0.25">
      <c r="A155" s="8">
        <v>42846.659872685188</v>
      </c>
      <c r="B155" s="20" t="s">
        <v>451</v>
      </c>
      <c r="C155" s="20" t="s">
        <v>755</v>
      </c>
      <c r="D155" s="144">
        <v>930000</v>
      </c>
      <c r="E155" s="20" t="s">
        <v>456</v>
      </c>
      <c r="F155" s="20" t="s">
        <v>457</v>
      </c>
      <c r="G155" s="8" t="str">
        <f t="shared" si="2"/>
        <v>CLARK KATHLEEN</v>
      </c>
    </row>
    <row r="156" spans="1:7" x14ac:dyDescent="0.25">
      <c r="A156" s="8">
        <v>42846.663495370369</v>
      </c>
      <c r="B156" s="20" t="s">
        <v>543</v>
      </c>
      <c r="C156" s="20" t="s">
        <v>756</v>
      </c>
      <c r="D156" s="144">
        <v>2480000</v>
      </c>
      <c r="E156" s="20" t="s">
        <v>536</v>
      </c>
      <c r="F156" s="20" t="s">
        <v>537</v>
      </c>
      <c r="G156" s="8" t="str">
        <f t="shared" si="2"/>
        <v>WHITED DUSTIN</v>
      </c>
    </row>
    <row r="157" spans="1:7" x14ac:dyDescent="0.25">
      <c r="A157" s="8">
        <v>42846.668310185189</v>
      </c>
      <c r="B157" s="20" t="s">
        <v>387</v>
      </c>
      <c r="C157" s="20" t="s">
        <v>757</v>
      </c>
      <c r="D157" s="144">
        <v>1770000</v>
      </c>
      <c r="E157" s="20" t="s">
        <v>501</v>
      </c>
      <c r="F157" s="20" t="s">
        <v>502</v>
      </c>
      <c r="G157" s="8" t="str">
        <f t="shared" si="2"/>
        <v>BRUDER RICHARD</v>
      </c>
    </row>
    <row r="158" spans="1:7" x14ac:dyDescent="0.25">
      <c r="A158" s="8">
        <v>42846.67</v>
      </c>
      <c r="B158" s="20" t="s">
        <v>198</v>
      </c>
      <c r="C158" s="20" t="s">
        <v>758</v>
      </c>
      <c r="D158" s="144">
        <v>3120000</v>
      </c>
      <c r="E158" s="20" t="s">
        <v>538</v>
      </c>
      <c r="F158" s="20" t="s">
        <v>539</v>
      </c>
      <c r="G158" s="8" t="str">
        <f t="shared" si="2"/>
        <v>THOMPSON LESTER</v>
      </c>
    </row>
    <row r="159" spans="1:7" x14ac:dyDescent="0.25">
      <c r="A159" s="8">
        <v>42846.671539351853</v>
      </c>
      <c r="B159" s="20" t="s">
        <v>614</v>
      </c>
      <c r="C159" s="20" t="s">
        <v>759</v>
      </c>
      <c r="D159" s="144">
        <v>2230000</v>
      </c>
      <c r="E159" s="20" t="s">
        <v>358</v>
      </c>
      <c r="F159" s="20" t="s">
        <v>196</v>
      </c>
      <c r="G159" s="8" t="str">
        <f t="shared" si="2"/>
        <v>SMITH MICHAEL</v>
      </c>
    </row>
    <row r="160" spans="1:7" x14ac:dyDescent="0.25">
      <c r="A160" s="8">
        <v>42846.676145833335</v>
      </c>
      <c r="B160" s="20" t="s">
        <v>469</v>
      </c>
      <c r="C160" s="20" t="s">
        <v>760</v>
      </c>
      <c r="D160" s="144">
        <v>880000</v>
      </c>
      <c r="E160" s="20" t="s">
        <v>702</v>
      </c>
      <c r="F160" s="20" t="s">
        <v>196</v>
      </c>
      <c r="G160" s="8" t="str">
        <f t="shared" si="2"/>
        <v>STEWART MICHAEL</v>
      </c>
    </row>
    <row r="161" spans="1:7" x14ac:dyDescent="0.25">
      <c r="A161" s="8">
        <v>42846.680636574078</v>
      </c>
      <c r="B161" s="20" t="s">
        <v>442</v>
      </c>
      <c r="C161" s="20" t="s">
        <v>761</v>
      </c>
      <c r="D161" s="144">
        <v>3090000</v>
      </c>
      <c r="E161" s="20" t="s">
        <v>723</v>
      </c>
      <c r="F161" s="20" t="s">
        <v>724</v>
      </c>
      <c r="G161" s="8" t="str">
        <f t="shared" si="2"/>
        <v>LAMAR NEKESHA</v>
      </c>
    </row>
    <row r="162" spans="1:7" x14ac:dyDescent="0.25">
      <c r="A162" s="8">
        <v>42846.683159722219</v>
      </c>
      <c r="B162" s="20" t="s">
        <v>393</v>
      </c>
      <c r="C162" s="20" t="s">
        <v>618</v>
      </c>
      <c r="D162" s="144">
        <v>2470000</v>
      </c>
      <c r="E162" s="20" t="s">
        <v>714</v>
      </c>
      <c r="F162" s="20" t="s">
        <v>715</v>
      </c>
      <c r="G162" s="8" t="str">
        <f t="shared" si="2"/>
        <v>ROMERO CHAD</v>
      </c>
    </row>
    <row r="163" spans="1:7" x14ac:dyDescent="0.25">
      <c r="A163" s="8">
        <v>42846.690150462964</v>
      </c>
      <c r="B163" s="20" t="s">
        <v>589</v>
      </c>
      <c r="C163" s="20" t="s">
        <v>762</v>
      </c>
      <c r="D163" s="144">
        <v>2230000</v>
      </c>
      <c r="E163" s="20" t="s">
        <v>358</v>
      </c>
      <c r="F163" s="20" t="s">
        <v>196</v>
      </c>
      <c r="G163" s="8" t="str">
        <f t="shared" si="2"/>
        <v>SMITH MICHAEL</v>
      </c>
    </row>
    <row r="164" spans="1:7" x14ac:dyDescent="0.25">
      <c r="A164" s="8">
        <v>42846.69122685185</v>
      </c>
      <c r="B164" s="20" t="s">
        <v>439</v>
      </c>
      <c r="C164" s="20" t="s">
        <v>619</v>
      </c>
      <c r="D164" s="144">
        <v>2440000</v>
      </c>
      <c r="E164" s="20" t="s">
        <v>499</v>
      </c>
      <c r="F164" s="20" t="s">
        <v>500</v>
      </c>
      <c r="G164" s="8" t="str">
        <f t="shared" si="2"/>
        <v>LOPES KIMBERLY</v>
      </c>
    </row>
    <row r="165" spans="1:7" x14ac:dyDescent="0.25">
      <c r="A165" s="8">
        <v>42846.692245370374</v>
      </c>
      <c r="B165" s="20" t="s">
        <v>360</v>
      </c>
      <c r="C165" s="20" t="s">
        <v>763</v>
      </c>
      <c r="D165" s="144">
        <v>3120000</v>
      </c>
      <c r="E165" s="20" t="s">
        <v>538</v>
      </c>
      <c r="F165" s="20" t="s">
        <v>539</v>
      </c>
      <c r="G165" s="8" t="str">
        <f t="shared" si="2"/>
        <v>THOMPSON LESTER</v>
      </c>
    </row>
    <row r="166" spans="1:7" x14ac:dyDescent="0.25">
      <c r="A166" s="8">
        <v>42846.697430555556</v>
      </c>
      <c r="B166" s="20" t="s">
        <v>530</v>
      </c>
      <c r="C166" s="20" t="s">
        <v>764</v>
      </c>
      <c r="D166" s="144">
        <v>930000</v>
      </c>
      <c r="E166" s="20" t="s">
        <v>456</v>
      </c>
      <c r="F166" s="20" t="s">
        <v>457</v>
      </c>
      <c r="G166" s="8" t="str">
        <f t="shared" si="2"/>
        <v>CLARK KATHLEEN</v>
      </c>
    </row>
    <row r="167" spans="1:7" x14ac:dyDescent="0.25">
      <c r="A167" s="8">
        <v>42846.700925925928</v>
      </c>
      <c r="B167" s="20" t="s">
        <v>531</v>
      </c>
      <c r="C167" s="20" t="s">
        <v>765</v>
      </c>
      <c r="D167" s="144">
        <v>2480000</v>
      </c>
      <c r="E167" s="20" t="s">
        <v>536</v>
      </c>
      <c r="F167" s="20" t="s">
        <v>537</v>
      </c>
      <c r="G167" s="8" t="str">
        <f t="shared" si="2"/>
        <v>WHITED DUSTIN</v>
      </c>
    </row>
    <row r="168" spans="1:7" x14ac:dyDescent="0.25">
      <c r="A168" s="8">
        <v>42846.703402777777</v>
      </c>
      <c r="B168" s="20" t="s">
        <v>491</v>
      </c>
      <c r="C168" s="20" t="s">
        <v>766</v>
      </c>
      <c r="D168" s="144">
        <v>2370000</v>
      </c>
      <c r="E168" s="20" t="s">
        <v>497</v>
      </c>
      <c r="F168" s="20" t="s">
        <v>498</v>
      </c>
      <c r="G168" s="8" t="str">
        <f t="shared" si="2"/>
        <v>DELGADO DIANAH</v>
      </c>
    </row>
    <row r="169" spans="1:7" x14ac:dyDescent="0.25">
      <c r="A169" s="8">
        <v>42846.704548611109</v>
      </c>
      <c r="B169" s="20" t="s">
        <v>491</v>
      </c>
      <c r="C169" s="20" t="s">
        <v>766</v>
      </c>
      <c r="D169" s="144">
        <v>2370000</v>
      </c>
      <c r="E169" s="20" t="s">
        <v>497</v>
      </c>
      <c r="F169" s="20" t="s">
        <v>498</v>
      </c>
      <c r="G169" s="8" t="str">
        <f t="shared" si="2"/>
        <v>DELGADO DIANAH</v>
      </c>
    </row>
    <row r="170" spans="1:7" x14ac:dyDescent="0.25">
      <c r="A170" s="8">
        <v>42846.704687500001</v>
      </c>
      <c r="B170" s="20" t="s">
        <v>355</v>
      </c>
      <c r="C170" s="20" t="s">
        <v>767</v>
      </c>
      <c r="D170" s="144">
        <v>1770000</v>
      </c>
      <c r="E170" s="20" t="s">
        <v>501</v>
      </c>
      <c r="F170" s="20" t="s">
        <v>502</v>
      </c>
      <c r="G170" s="8" t="str">
        <f t="shared" si="2"/>
        <v>BRUDER RICHARD</v>
      </c>
    </row>
    <row r="171" spans="1:7" x14ac:dyDescent="0.25">
      <c r="A171" s="8">
        <v>42846.711793981478</v>
      </c>
      <c r="B171" s="20" t="s">
        <v>466</v>
      </c>
      <c r="C171" s="20" t="s">
        <v>768</v>
      </c>
      <c r="D171" s="144">
        <v>880000</v>
      </c>
      <c r="E171" s="20" t="s">
        <v>702</v>
      </c>
      <c r="F171" s="20" t="s">
        <v>196</v>
      </c>
      <c r="G171" s="8" t="str">
        <f t="shared" si="2"/>
        <v>STEWART MICHAEL</v>
      </c>
    </row>
    <row r="172" spans="1:7" x14ac:dyDescent="0.25">
      <c r="A172" s="8">
        <v>42846.713368055556</v>
      </c>
      <c r="B172" s="20" t="s">
        <v>614</v>
      </c>
      <c r="C172" s="20" t="s">
        <v>769</v>
      </c>
      <c r="D172" s="144">
        <v>2230000</v>
      </c>
      <c r="E172" s="20" t="s">
        <v>358</v>
      </c>
      <c r="F172" s="20" t="s">
        <v>196</v>
      </c>
      <c r="G172" s="8" t="str">
        <f t="shared" si="2"/>
        <v>SMITH MICHAEL</v>
      </c>
    </row>
    <row r="173" spans="1:7" x14ac:dyDescent="0.25">
      <c r="A173" s="8">
        <v>42846.715150462966</v>
      </c>
      <c r="B173" s="20" t="s">
        <v>443</v>
      </c>
      <c r="C173" s="20" t="s">
        <v>770</v>
      </c>
      <c r="D173" s="144">
        <v>3090000</v>
      </c>
      <c r="E173" s="20" t="s">
        <v>723</v>
      </c>
      <c r="F173" s="20" t="s">
        <v>724</v>
      </c>
      <c r="G173" s="8" t="str">
        <f t="shared" si="2"/>
        <v>LAMAR NEKESHA</v>
      </c>
    </row>
    <row r="174" spans="1:7" x14ac:dyDescent="0.25">
      <c r="A174" s="8">
        <v>42846.715567129628</v>
      </c>
      <c r="B174" s="20" t="s">
        <v>354</v>
      </c>
      <c r="C174" s="20" t="s">
        <v>766</v>
      </c>
      <c r="D174" s="144">
        <v>2370000</v>
      </c>
      <c r="E174" s="20" t="s">
        <v>497</v>
      </c>
      <c r="F174" s="20" t="s">
        <v>498</v>
      </c>
      <c r="G174" s="8" t="str">
        <f t="shared" si="2"/>
        <v>DELGADO DIANAH</v>
      </c>
    </row>
    <row r="175" spans="1:7" x14ac:dyDescent="0.25">
      <c r="A175" s="8">
        <v>42846.716747685183</v>
      </c>
      <c r="B175" s="20" t="s">
        <v>394</v>
      </c>
      <c r="C175" s="20" t="s">
        <v>771</v>
      </c>
      <c r="D175" s="144">
        <v>2470000</v>
      </c>
      <c r="E175" s="20" t="s">
        <v>714</v>
      </c>
      <c r="F175" s="20" t="s">
        <v>715</v>
      </c>
      <c r="G175" s="8" t="str">
        <f t="shared" si="2"/>
        <v>ROMERO CHAD</v>
      </c>
    </row>
    <row r="176" spans="1:7" x14ac:dyDescent="0.25">
      <c r="A176" s="8">
        <v>42846.718634259261</v>
      </c>
      <c r="B176" s="20" t="s">
        <v>198</v>
      </c>
      <c r="C176" s="20" t="s">
        <v>772</v>
      </c>
      <c r="D176" s="144">
        <v>3120000</v>
      </c>
      <c r="E176" s="20" t="s">
        <v>538</v>
      </c>
      <c r="F176" s="20" t="s">
        <v>539</v>
      </c>
      <c r="G176" s="8" t="str">
        <f t="shared" si="2"/>
        <v>THOMPSON LESTER</v>
      </c>
    </row>
    <row r="177" spans="1:7" x14ac:dyDescent="0.25">
      <c r="A177" s="8">
        <v>42846.721412037034</v>
      </c>
      <c r="B177" s="20" t="s">
        <v>491</v>
      </c>
      <c r="C177" s="20" t="s">
        <v>773</v>
      </c>
      <c r="D177" s="144">
        <v>2440000</v>
      </c>
      <c r="E177" s="20" t="s">
        <v>499</v>
      </c>
      <c r="F177" s="20" t="s">
        <v>500</v>
      </c>
      <c r="G177" s="8" t="str">
        <f t="shared" si="2"/>
        <v>LOPES KIMBERLY</v>
      </c>
    </row>
    <row r="178" spans="1:7" x14ac:dyDescent="0.25">
      <c r="A178" s="8">
        <v>42846.730312500003</v>
      </c>
      <c r="B178" s="20" t="s">
        <v>589</v>
      </c>
      <c r="C178" s="20" t="s">
        <v>774</v>
      </c>
      <c r="D178" s="144">
        <v>2600000</v>
      </c>
      <c r="E178" s="20" t="s">
        <v>775</v>
      </c>
      <c r="F178" s="20" t="s">
        <v>776</v>
      </c>
      <c r="G178" s="8" t="str">
        <f t="shared" si="2"/>
        <v>DAVIDSON DAVID</v>
      </c>
    </row>
    <row r="179" spans="1:7" x14ac:dyDescent="0.25">
      <c r="A179" s="8">
        <v>42846.733807870369</v>
      </c>
      <c r="B179" s="20" t="s">
        <v>451</v>
      </c>
      <c r="C179" s="20" t="s">
        <v>777</v>
      </c>
      <c r="D179" s="144">
        <v>930000</v>
      </c>
      <c r="E179" s="20" t="s">
        <v>456</v>
      </c>
      <c r="F179" s="20" t="s">
        <v>457</v>
      </c>
      <c r="G179" s="8" t="str">
        <f t="shared" si="2"/>
        <v>CLARK KATHLEEN</v>
      </c>
    </row>
    <row r="180" spans="1:7" x14ac:dyDescent="0.25">
      <c r="A180" s="8">
        <v>42846.734895833331</v>
      </c>
      <c r="B180" s="20" t="s">
        <v>360</v>
      </c>
      <c r="C180" s="20" t="s">
        <v>778</v>
      </c>
      <c r="D180" s="144">
        <v>3120000</v>
      </c>
      <c r="E180" s="20" t="s">
        <v>538</v>
      </c>
      <c r="F180" s="20" t="s">
        <v>539</v>
      </c>
      <c r="G180" s="8" t="str">
        <f t="shared" si="2"/>
        <v>THOMPSON LESTER</v>
      </c>
    </row>
    <row r="181" spans="1:7" x14ac:dyDescent="0.25">
      <c r="A181" s="8">
        <v>42846.735543981478</v>
      </c>
      <c r="B181" s="20" t="s">
        <v>543</v>
      </c>
      <c r="C181" s="20" t="s">
        <v>779</v>
      </c>
      <c r="D181" s="144">
        <v>1740000</v>
      </c>
      <c r="E181" s="20" t="s">
        <v>371</v>
      </c>
      <c r="F181" s="20" t="s">
        <v>372</v>
      </c>
      <c r="G181" s="8" t="str">
        <f t="shared" si="2"/>
        <v>STORY SAMANTHA</v>
      </c>
    </row>
    <row r="182" spans="1:7" x14ac:dyDescent="0.25">
      <c r="A182" s="8">
        <v>42846.735833333332</v>
      </c>
      <c r="B182" s="20" t="s">
        <v>374</v>
      </c>
      <c r="C182" s="20" t="s">
        <v>780</v>
      </c>
      <c r="D182" s="144">
        <v>2360000</v>
      </c>
      <c r="E182" s="20" t="s">
        <v>781</v>
      </c>
      <c r="F182" s="20" t="s">
        <v>782</v>
      </c>
      <c r="G182" s="8" t="str">
        <f t="shared" si="2"/>
        <v>BRANDNER MELINDA</v>
      </c>
    </row>
    <row r="183" spans="1:7" x14ac:dyDescent="0.25">
      <c r="A183" s="8">
        <v>42846.73877314815</v>
      </c>
      <c r="B183" s="20" t="s">
        <v>490</v>
      </c>
      <c r="C183" s="20" t="s">
        <v>783</v>
      </c>
      <c r="D183" s="144">
        <v>2630000</v>
      </c>
      <c r="E183" s="20" t="s">
        <v>784</v>
      </c>
      <c r="F183" s="20" t="s">
        <v>785</v>
      </c>
      <c r="G183" s="8" t="str">
        <f t="shared" si="2"/>
        <v>SAFIEF AEIMEN</v>
      </c>
    </row>
    <row r="184" spans="1:7" x14ac:dyDescent="0.25">
      <c r="A184" s="8">
        <v>42846.743090277778</v>
      </c>
      <c r="B184" s="20" t="s">
        <v>387</v>
      </c>
      <c r="C184" s="20" t="s">
        <v>786</v>
      </c>
      <c r="D184" s="144">
        <v>1770000</v>
      </c>
      <c r="E184" s="20" t="s">
        <v>501</v>
      </c>
      <c r="F184" s="20" t="s">
        <v>502</v>
      </c>
      <c r="G184" s="8" t="str">
        <f t="shared" si="2"/>
        <v>BRUDER RICHARD</v>
      </c>
    </row>
    <row r="185" spans="1:7" x14ac:dyDescent="0.25">
      <c r="A185" s="8">
        <v>42846.746458333335</v>
      </c>
      <c r="B185" s="20" t="s">
        <v>469</v>
      </c>
      <c r="C185" s="20" t="s">
        <v>787</v>
      </c>
      <c r="D185" s="144">
        <v>2480000</v>
      </c>
      <c r="E185" s="20" t="s">
        <v>536</v>
      </c>
      <c r="F185" s="20" t="s">
        <v>537</v>
      </c>
      <c r="G185" s="8" t="str">
        <f t="shared" si="2"/>
        <v>WHITED DUSTIN</v>
      </c>
    </row>
    <row r="186" spans="1:7" x14ac:dyDescent="0.25">
      <c r="A186" s="8">
        <v>42846.754328703704</v>
      </c>
      <c r="B186" s="20" t="s">
        <v>442</v>
      </c>
      <c r="C186" s="20" t="s">
        <v>788</v>
      </c>
      <c r="D186" s="144">
        <v>3090000</v>
      </c>
      <c r="E186" s="20" t="s">
        <v>723</v>
      </c>
      <c r="F186" s="20" t="s">
        <v>724</v>
      </c>
      <c r="G186" s="8" t="str">
        <f t="shared" si="2"/>
        <v>LAMAR NEKESHA</v>
      </c>
    </row>
    <row r="187" spans="1:7" x14ac:dyDescent="0.25">
      <c r="A187" s="8">
        <v>42846.755694444444</v>
      </c>
      <c r="B187" s="20" t="s">
        <v>614</v>
      </c>
      <c r="C187" s="20" t="s">
        <v>789</v>
      </c>
      <c r="D187" s="144">
        <v>2600000</v>
      </c>
      <c r="E187" s="20" t="s">
        <v>775</v>
      </c>
      <c r="F187" s="20" t="s">
        <v>776</v>
      </c>
      <c r="G187" s="8" t="str">
        <f t="shared" si="2"/>
        <v>DAVIDSON DAVID</v>
      </c>
    </row>
    <row r="188" spans="1:7" x14ac:dyDescent="0.25">
      <c r="A188" s="8">
        <v>42846.756585648145</v>
      </c>
      <c r="B188" s="20" t="s">
        <v>393</v>
      </c>
      <c r="C188" s="20" t="s">
        <v>622</v>
      </c>
      <c r="D188" s="144">
        <v>2000000</v>
      </c>
      <c r="E188" s="20" t="s">
        <v>353</v>
      </c>
      <c r="F188" s="20" t="s">
        <v>193</v>
      </c>
      <c r="G188" s="8" t="str">
        <f t="shared" si="2"/>
        <v>STAMBAUGH JAMES</v>
      </c>
    </row>
    <row r="189" spans="1:7" x14ac:dyDescent="0.25">
      <c r="A189" s="8">
        <v>42846.761388888888</v>
      </c>
      <c r="B189" s="20" t="s">
        <v>198</v>
      </c>
      <c r="C189" s="20" t="s">
        <v>790</v>
      </c>
      <c r="D189" s="144">
        <v>3120000</v>
      </c>
      <c r="E189" s="20" t="s">
        <v>538</v>
      </c>
      <c r="F189" s="20" t="s">
        <v>539</v>
      </c>
      <c r="G189" s="8" t="str">
        <f t="shared" si="2"/>
        <v>THOMPSON LESTER</v>
      </c>
    </row>
    <row r="190" spans="1:7" x14ac:dyDescent="0.25">
      <c r="A190" s="8">
        <v>42846.765416666669</v>
      </c>
      <c r="B190" s="20" t="s">
        <v>354</v>
      </c>
      <c r="C190" s="20" t="s">
        <v>791</v>
      </c>
      <c r="D190" s="144">
        <v>2440000</v>
      </c>
      <c r="E190" s="20" t="s">
        <v>499</v>
      </c>
      <c r="F190" s="20" t="s">
        <v>500</v>
      </c>
      <c r="G190" s="8" t="str">
        <f t="shared" si="2"/>
        <v>LOPES KIMBERLY</v>
      </c>
    </row>
    <row r="191" spans="1:7" x14ac:dyDescent="0.25">
      <c r="A191" s="8">
        <v>42846.768634259257</v>
      </c>
      <c r="B191" s="20" t="s">
        <v>530</v>
      </c>
      <c r="C191" s="20" t="s">
        <v>792</v>
      </c>
      <c r="D191" s="144">
        <v>2610000</v>
      </c>
      <c r="E191" s="20" t="s">
        <v>793</v>
      </c>
      <c r="F191" s="20" t="s">
        <v>794</v>
      </c>
      <c r="G191" s="8" t="str">
        <f t="shared" si="2"/>
        <v>MAGEE KENYA</v>
      </c>
    </row>
    <row r="192" spans="1:7" x14ac:dyDescent="0.25">
      <c r="A192" s="8">
        <v>42846.774641203701</v>
      </c>
      <c r="B192" s="20" t="s">
        <v>531</v>
      </c>
      <c r="C192" s="20" t="s">
        <v>795</v>
      </c>
      <c r="D192" s="144">
        <v>1740000</v>
      </c>
      <c r="E192" s="20" t="s">
        <v>371</v>
      </c>
      <c r="F192" s="20" t="s">
        <v>372</v>
      </c>
      <c r="G192" s="8" t="str">
        <f t="shared" si="2"/>
        <v>STORY SAMANTHA</v>
      </c>
    </row>
    <row r="193" spans="1:7" x14ac:dyDescent="0.25">
      <c r="A193" s="8">
        <v>42846.776817129627</v>
      </c>
      <c r="B193" s="20" t="s">
        <v>355</v>
      </c>
      <c r="C193" s="20" t="s">
        <v>620</v>
      </c>
      <c r="D193" s="144">
        <v>1770000</v>
      </c>
      <c r="E193" s="20" t="s">
        <v>501</v>
      </c>
      <c r="F193" s="20" t="s">
        <v>502</v>
      </c>
      <c r="G193" s="8" t="str">
        <f t="shared" si="2"/>
        <v>BRUDER RICHARD</v>
      </c>
    </row>
    <row r="194" spans="1:7" x14ac:dyDescent="0.25">
      <c r="A194" s="8">
        <v>42846.776863425926</v>
      </c>
      <c r="B194" s="20" t="s">
        <v>360</v>
      </c>
      <c r="C194" s="20" t="s">
        <v>621</v>
      </c>
      <c r="D194" s="144">
        <v>3120000</v>
      </c>
      <c r="E194" s="20" t="s">
        <v>538</v>
      </c>
      <c r="F194" s="20" t="s">
        <v>539</v>
      </c>
      <c r="G194" s="8" t="str">
        <f t="shared" si="2"/>
        <v>THOMPSON LESTER</v>
      </c>
    </row>
    <row r="195" spans="1:7" x14ac:dyDescent="0.25">
      <c r="A195" s="8">
        <v>42846.778124999997</v>
      </c>
      <c r="B195" s="20" t="s">
        <v>589</v>
      </c>
      <c r="C195" s="20" t="s">
        <v>796</v>
      </c>
      <c r="D195" s="144">
        <v>2230000</v>
      </c>
      <c r="E195" s="20" t="s">
        <v>358</v>
      </c>
      <c r="F195" s="20" t="s">
        <v>196</v>
      </c>
      <c r="G195" s="8" t="str">
        <f t="shared" ref="G195:G258" si="3">E195&amp;" "&amp;F195</f>
        <v>SMITH MICHAEL</v>
      </c>
    </row>
    <row r="196" spans="1:7" x14ac:dyDescent="0.25">
      <c r="A196" s="8">
        <v>42846.783668981479</v>
      </c>
      <c r="B196" s="20" t="s">
        <v>466</v>
      </c>
      <c r="C196" s="20" t="s">
        <v>797</v>
      </c>
      <c r="D196" s="144">
        <v>2480000</v>
      </c>
      <c r="E196" s="20" t="s">
        <v>536</v>
      </c>
      <c r="F196" s="20" t="s">
        <v>537</v>
      </c>
      <c r="G196" s="8" t="str">
        <f t="shared" si="3"/>
        <v>WHITED DUSTIN</v>
      </c>
    </row>
    <row r="197" spans="1:7" x14ac:dyDescent="0.25">
      <c r="A197" s="8">
        <v>42846.786666666667</v>
      </c>
      <c r="B197" s="20" t="s">
        <v>443</v>
      </c>
      <c r="C197" s="20" t="s">
        <v>798</v>
      </c>
      <c r="D197" s="144">
        <v>2270000</v>
      </c>
      <c r="E197" s="20" t="s">
        <v>205</v>
      </c>
      <c r="F197" s="20" t="s">
        <v>206</v>
      </c>
      <c r="G197" s="8" t="str">
        <f t="shared" si="3"/>
        <v>BROWN JACOB</v>
      </c>
    </row>
    <row r="198" spans="1:7" x14ac:dyDescent="0.25">
      <c r="A198" s="8">
        <v>42846.794525462959</v>
      </c>
      <c r="B198" s="20" t="s">
        <v>394</v>
      </c>
      <c r="C198" s="20" t="s">
        <v>799</v>
      </c>
      <c r="D198" s="144">
        <v>2000000</v>
      </c>
      <c r="E198" s="20" t="s">
        <v>353</v>
      </c>
      <c r="F198" s="20" t="s">
        <v>193</v>
      </c>
      <c r="G198" s="8" t="str">
        <f t="shared" si="3"/>
        <v>STAMBAUGH JAMES</v>
      </c>
    </row>
    <row r="199" spans="1:7" x14ac:dyDescent="0.25">
      <c r="A199" s="8">
        <v>42846.797210648147</v>
      </c>
      <c r="B199" s="20" t="s">
        <v>491</v>
      </c>
      <c r="C199" s="20" t="s">
        <v>800</v>
      </c>
      <c r="D199" s="144">
        <v>2440000</v>
      </c>
      <c r="E199" s="20" t="s">
        <v>499</v>
      </c>
      <c r="F199" s="20" t="s">
        <v>500</v>
      </c>
      <c r="G199" s="8" t="str">
        <f t="shared" si="3"/>
        <v>LOPES KIMBERLY</v>
      </c>
    </row>
    <row r="200" spans="1:7" x14ac:dyDescent="0.25">
      <c r="A200" s="8">
        <v>42846.797407407408</v>
      </c>
      <c r="B200" s="20" t="s">
        <v>614</v>
      </c>
      <c r="C200" s="20" t="s">
        <v>801</v>
      </c>
      <c r="D200" s="144">
        <v>2230000</v>
      </c>
      <c r="E200" s="20" t="s">
        <v>358</v>
      </c>
      <c r="F200" s="20" t="s">
        <v>196</v>
      </c>
      <c r="G200" s="8" t="str">
        <f t="shared" si="3"/>
        <v>SMITH MICHAEL</v>
      </c>
    </row>
    <row r="201" spans="1:7" x14ac:dyDescent="0.25">
      <c r="A201" s="8">
        <v>42846.803043981483</v>
      </c>
      <c r="B201" s="20" t="s">
        <v>198</v>
      </c>
      <c r="C201" s="20" t="s">
        <v>802</v>
      </c>
      <c r="D201" s="144">
        <v>3120000</v>
      </c>
      <c r="E201" s="20" t="s">
        <v>538</v>
      </c>
      <c r="F201" s="20" t="s">
        <v>539</v>
      </c>
      <c r="G201" s="8" t="str">
        <f t="shared" si="3"/>
        <v>THOMPSON LESTER</v>
      </c>
    </row>
    <row r="202" spans="1:7" x14ac:dyDescent="0.25">
      <c r="A202" s="26">
        <v>42846.807638888888</v>
      </c>
      <c r="B202" s="20" t="s">
        <v>451</v>
      </c>
      <c r="C202" s="20" t="s">
        <v>803</v>
      </c>
      <c r="D202" s="144">
        <v>2610000</v>
      </c>
      <c r="E202" s="20" t="s">
        <v>793</v>
      </c>
      <c r="F202" s="20" t="s">
        <v>794</v>
      </c>
      <c r="G202" s="8" t="str">
        <f t="shared" si="3"/>
        <v>MAGEE KENYA</v>
      </c>
    </row>
    <row r="203" spans="1:7" x14ac:dyDescent="0.25">
      <c r="A203" s="8">
        <v>42846.808819444443</v>
      </c>
      <c r="B203" s="20" t="s">
        <v>543</v>
      </c>
      <c r="C203" s="20" t="s">
        <v>804</v>
      </c>
      <c r="D203" s="144">
        <v>1740000</v>
      </c>
      <c r="E203" s="20" t="s">
        <v>371</v>
      </c>
      <c r="F203" s="20" t="s">
        <v>372</v>
      </c>
      <c r="G203" s="8" t="str">
        <f t="shared" si="3"/>
        <v>STORY SAMANTHA</v>
      </c>
    </row>
    <row r="204" spans="1:7" x14ac:dyDescent="0.25">
      <c r="A204" s="8">
        <v>42846.818032407406</v>
      </c>
      <c r="B204" s="20" t="s">
        <v>469</v>
      </c>
      <c r="C204" s="20" t="s">
        <v>805</v>
      </c>
      <c r="D204" s="144">
        <v>2480000</v>
      </c>
      <c r="E204" s="20" t="s">
        <v>536</v>
      </c>
      <c r="F204" s="20" t="s">
        <v>537</v>
      </c>
      <c r="G204" s="8" t="str">
        <f t="shared" si="3"/>
        <v>WHITED DUSTIN</v>
      </c>
    </row>
    <row r="205" spans="1:7" x14ac:dyDescent="0.25">
      <c r="A205" s="8">
        <v>42846.81826388889</v>
      </c>
      <c r="B205" s="20" t="s">
        <v>360</v>
      </c>
      <c r="C205" s="20" t="s">
        <v>806</v>
      </c>
      <c r="D205" s="144">
        <v>3120000</v>
      </c>
      <c r="E205" s="20" t="s">
        <v>538</v>
      </c>
      <c r="F205" s="20" t="s">
        <v>539</v>
      </c>
      <c r="G205" s="8" t="str">
        <f t="shared" si="3"/>
        <v>THOMPSON LESTER</v>
      </c>
    </row>
    <row r="206" spans="1:7" x14ac:dyDescent="0.25">
      <c r="A206" s="8">
        <v>42846.820520833331</v>
      </c>
      <c r="B206" s="20" t="s">
        <v>352</v>
      </c>
      <c r="C206" s="20" t="s">
        <v>626</v>
      </c>
      <c r="D206" s="144">
        <v>2680000</v>
      </c>
      <c r="E206" s="20" t="s">
        <v>390</v>
      </c>
      <c r="F206" s="20" t="s">
        <v>391</v>
      </c>
      <c r="G206" s="8" t="str">
        <f t="shared" si="3"/>
        <v>DUNCAN SHEILA</v>
      </c>
    </row>
    <row r="207" spans="1:7" x14ac:dyDescent="0.25">
      <c r="A207" s="8">
        <v>42846.829155092593</v>
      </c>
      <c r="B207" s="20" t="s">
        <v>442</v>
      </c>
      <c r="C207" s="20" t="s">
        <v>623</v>
      </c>
      <c r="D207" s="144">
        <v>2270000</v>
      </c>
      <c r="E207" s="20" t="s">
        <v>205</v>
      </c>
      <c r="F207" s="20" t="s">
        <v>206</v>
      </c>
      <c r="G207" s="8" t="str">
        <f t="shared" si="3"/>
        <v>BROWN JACOB</v>
      </c>
    </row>
    <row r="208" spans="1:7" x14ac:dyDescent="0.25">
      <c r="A208" s="8">
        <v>42846.830127314817</v>
      </c>
      <c r="B208" s="20" t="s">
        <v>393</v>
      </c>
      <c r="C208" s="20" t="s">
        <v>807</v>
      </c>
      <c r="D208" s="144">
        <v>2630000</v>
      </c>
      <c r="E208" s="20" t="s">
        <v>784</v>
      </c>
      <c r="F208" s="20" t="s">
        <v>785</v>
      </c>
      <c r="G208" s="8" t="str">
        <f t="shared" si="3"/>
        <v>SAFIEF AEIMEN</v>
      </c>
    </row>
    <row r="209" spans="1:7" x14ac:dyDescent="0.25">
      <c r="A209" s="8">
        <v>42846.830995370372</v>
      </c>
      <c r="B209" s="20" t="s">
        <v>351</v>
      </c>
      <c r="C209" s="20" t="s">
        <v>808</v>
      </c>
      <c r="D209" s="144">
        <v>2680000</v>
      </c>
      <c r="E209" s="20" t="s">
        <v>390</v>
      </c>
      <c r="F209" s="20" t="s">
        <v>391</v>
      </c>
      <c r="G209" s="8" t="str">
        <f t="shared" si="3"/>
        <v>DUNCAN SHEILA</v>
      </c>
    </row>
    <row r="210" spans="1:7" x14ac:dyDescent="0.25">
      <c r="A210" s="8">
        <v>42846.843148148146</v>
      </c>
      <c r="B210" s="20" t="s">
        <v>531</v>
      </c>
      <c r="C210" s="20" t="s">
        <v>809</v>
      </c>
      <c r="D210" s="144">
        <v>1740000</v>
      </c>
      <c r="E210" s="20" t="s">
        <v>371</v>
      </c>
      <c r="F210" s="20" t="s">
        <v>372</v>
      </c>
      <c r="G210" s="8" t="str">
        <f t="shared" si="3"/>
        <v>STORY SAMANTHA</v>
      </c>
    </row>
    <row r="211" spans="1:7" x14ac:dyDescent="0.25">
      <c r="A211" s="8">
        <v>42846.84337962963</v>
      </c>
      <c r="B211" s="20" t="s">
        <v>198</v>
      </c>
      <c r="C211" s="20" t="s">
        <v>810</v>
      </c>
      <c r="D211" s="144">
        <v>3120000</v>
      </c>
      <c r="E211" s="20" t="s">
        <v>538</v>
      </c>
      <c r="F211" s="20" t="s">
        <v>539</v>
      </c>
      <c r="G211" s="8" t="str">
        <f t="shared" si="3"/>
        <v>THOMPSON LESTER</v>
      </c>
    </row>
    <row r="212" spans="1:7" x14ac:dyDescent="0.25">
      <c r="A212" s="8">
        <v>42846.851319444446</v>
      </c>
      <c r="B212" s="20" t="s">
        <v>530</v>
      </c>
      <c r="C212" s="20" t="s">
        <v>811</v>
      </c>
      <c r="D212" s="144">
        <v>2610000</v>
      </c>
      <c r="E212" s="20" t="s">
        <v>793</v>
      </c>
      <c r="F212" s="20" t="s">
        <v>794</v>
      </c>
      <c r="G212" s="8" t="str">
        <f t="shared" si="3"/>
        <v>MAGEE KENYA</v>
      </c>
    </row>
    <row r="213" spans="1:7" x14ac:dyDescent="0.25">
      <c r="A213" s="8">
        <v>42846.859166666669</v>
      </c>
      <c r="B213" s="20" t="s">
        <v>530</v>
      </c>
      <c r="C213" s="20" t="s">
        <v>811</v>
      </c>
      <c r="D213" s="144">
        <v>2610000</v>
      </c>
      <c r="E213" s="20" t="s">
        <v>793</v>
      </c>
      <c r="F213" s="20" t="s">
        <v>794</v>
      </c>
      <c r="G213" s="8" t="str">
        <f t="shared" si="3"/>
        <v>MAGEE KENYA</v>
      </c>
    </row>
    <row r="214" spans="1:7" x14ac:dyDescent="0.25">
      <c r="A214" s="8">
        <v>42846.861145833333</v>
      </c>
      <c r="B214" s="20" t="s">
        <v>360</v>
      </c>
      <c r="C214" s="20" t="s">
        <v>812</v>
      </c>
      <c r="D214" s="144">
        <v>3120000</v>
      </c>
      <c r="E214" s="20" t="s">
        <v>538</v>
      </c>
      <c r="F214" s="20" t="s">
        <v>539</v>
      </c>
      <c r="G214" s="8" t="str">
        <f t="shared" si="3"/>
        <v>THOMPSON LESTER</v>
      </c>
    </row>
    <row r="215" spans="1:7" x14ac:dyDescent="0.25">
      <c r="A215" s="8">
        <v>42846.862280092595</v>
      </c>
      <c r="B215" s="20" t="s">
        <v>394</v>
      </c>
      <c r="C215" s="20" t="s">
        <v>813</v>
      </c>
      <c r="D215" s="144">
        <v>2630000</v>
      </c>
      <c r="E215" s="20" t="s">
        <v>784</v>
      </c>
      <c r="F215" s="20" t="s">
        <v>785</v>
      </c>
      <c r="G215" s="8" t="str">
        <f t="shared" si="3"/>
        <v>SAFIEF AEIMEN</v>
      </c>
    </row>
    <row r="216" spans="1:7" x14ac:dyDescent="0.25">
      <c r="A216" s="8">
        <v>42846.869629629633</v>
      </c>
      <c r="B216" s="20" t="s">
        <v>352</v>
      </c>
      <c r="C216" s="20" t="s">
        <v>626</v>
      </c>
      <c r="D216" s="144">
        <v>2680000</v>
      </c>
      <c r="E216" s="20" t="s">
        <v>390</v>
      </c>
      <c r="F216" s="20" t="s">
        <v>391</v>
      </c>
      <c r="G216" s="8" t="str">
        <f t="shared" si="3"/>
        <v>DUNCAN SHEILA</v>
      </c>
    </row>
    <row r="217" spans="1:7" x14ac:dyDescent="0.25">
      <c r="A217" s="8">
        <v>42846.871678240743</v>
      </c>
      <c r="B217" s="20" t="s">
        <v>394</v>
      </c>
      <c r="C217" s="20" t="s">
        <v>813</v>
      </c>
      <c r="D217" s="144">
        <v>2630000</v>
      </c>
      <c r="E217" s="20" t="s">
        <v>784</v>
      </c>
      <c r="F217" s="20" t="s">
        <v>785</v>
      </c>
      <c r="G217" s="8" t="str">
        <f t="shared" si="3"/>
        <v>SAFIEF AEIMEN</v>
      </c>
    </row>
    <row r="218" spans="1:7" x14ac:dyDescent="0.25">
      <c r="A218" s="8">
        <v>42846.874108796299</v>
      </c>
      <c r="B218" s="20" t="s">
        <v>443</v>
      </c>
      <c r="C218" s="20" t="s">
        <v>814</v>
      </c>
      <c r="D218" s="144">
        <v>2270000</v>
      </c>
      <c r="E218" s="20" t="s">
        <v>205</v>
      </c>
      <c r="F218" s="20" t="s">
        <v>206</v>
      </c>
      <c r="G218" s="8" t="str">
        <f t="shared" si="3"/>
        <v>BROWN JACOB</v>
      </c>
    </row>
    <row r="219" spans="1:7" x14ac:dyDescent="0.25">
      <c r="A219" s="8">
        <v>42846.877233796295</v>
      </c>
      <c r="B219" s="20" t="s">
        <v>198</v>
      </c>
      <c r="C219" s="20" t="s">
        <v>815</v>
      </c>
      <c r="D219" s="144">
        <v>2230000</v>
      </c>
      <c r="E219" s="20" t="s">
        <v>358</v>
      </c>
      <c r="F219" s="20" t="s">
        <v>196</v>
      </c>
      <c r="G219" s="8" t="str">
        <f t="shared" si="3"/>
        <v>SMITH MICHAEL</v>
      </c>
    </row>
    <row r="220" spans="1:7" x14ac:dyDescent="0.25">
      <c r="A220" s="8">
        <v>42846.887094907404</v>
      </c>
      <c r="B220" s="20" t="s">
        <v>351</v>
      </c>
      <c r="C220" s="20" t="s">
        <v>808</v>
      </c>
      <c r="D220" s="144">
        <v>2680000</v>
      </c>
      <c r="E220" s="20" t="s">
        <v>390</v>
      </c>
      <c r="F220" s="20" t="s">
        <v>391</v>
      </c>
      <c r="G220" s="8" t="str">
        <f t="shared" si="3"/>
        <v>DUNCAN SHEILA</v>
      </c>
    </row>
    <row r="221" spans="1:7" x14ac:dyDescent="0.25">
      <c r="A221" s="8">
        <v>42846.889525462961</v>
      </c>
      <c r="B221" s="20" t="s">
        <v>543</v>
      </c>
      <c r="C221" s="20" t="s">
        <v>816</v>
      </c>
      <c r="D221" s="144">
        <v>1740000</v>
      </c>
      <c r="E221" s="20" t="s">
        <v>371</v>
      </c>
      <c r="F221" s="20" t="s">
        <v>372</v>
      </c>
      <c r="G221" s="8" t="str">
        <f t="shared" si="3"/>
        <v>STORY SAMANTHA</v>
      </c>
    </row>
    <row r="222" spans="1:7" x14ac:dyDescent="0.25">
      <c r="A222" s="8">
        <v>42846.890752314815</v>
      </c>
      <c r="B222" s="20" t="s">
        <v>451</v>
      </c>
      <c r="C222" s="20" t="s">
        <v>817</v>
      </c>
      <c r="D222" s="144">
        <v>2610000</v>
      </c>
      <c r="E222" s="20" t="s">
        <v>793</v>
      </c>
      <c r="F222" s="20" t="s">
        <v>794</v>
      </c>
      <c r="G222" s="8" t="str">
        <f t="shared" si="3"/>
        <v>MAGEE KENYA</v>
      </c>
    </row>
    <row r="223" spans="1:7" x14ac:dyDescent="0.25">
      <c r="A223" s="8">
        <v>42846.894560185188</v>
      </c>
      <c r="B223" s="20" t="s">
        <v>352</v>
      </c>
      <c r="C223" s="20" t="s">
        <v>626</v>
      </c>
      <c r="D223" s="144">
        <v>2680000</v>
      </c>
      <c r="E223" s="20" t="s">
        <v>390</v>
      </c>
      <c r="F223" s="20" t="s">
        <v>391</v>
      </c>
      <c r="G223" s="8" t="str">
        <f t="shared" si="3"/>
        <v>DUNCAN SHEILA</v>
      </c>
    </row>
    <row r="224" spans="1:7" x14ac:dyDescent="0.25">
      <c r="A224" s="8">
        <v>42846.896539351852</v>
      </c>
      <c r="B224" t="s">
        <v>443</v>
      </c>
      <c r="C224" t="s">
        <v>814</v>
      </c>
      <c r="D224" s="144">
        <v>2270000</v>
      </c>
      <c r="E224" t="s">
        <v>205</v>
      </c>
      <c r="F224" s="20" t="s">
        <v>206</v>
      </c>
      <c r="G224" s="8" t="str">
        <f t="shared" si="3"/>
        <v>BROWN JACOB</v>
      </c>
    </row>
    <row r="225" spans="1:7" x14ac:dyDescent="0.25">
      <c r="A225" s="8">
        <v>42846.90148148148</v>
      </c>
      <c r="B225" t="s">
        <v>360</v>
      </c>
      <c r="C225" t="s">
        <v>818</v>
      </c>
      <c r="D225" s="144">
        <v>2230000</v>
      </c>
      <c r="E225" t="s">
        <v>358</v>
      </c>
      <c r="F225" s="20" t="s">
        <v>196</v>
      </c>
      <c r="G225" s="8" t="str">
        <f t="shared" si="3"/>
        <v>SMITH MICHAEL</v>
      </c>
    </row>
    <row r="226" spans="1:7" x14ac:dyDescent="0.25">
      <c r="A226" s="8">
        <v>42846.903564814813</v>
      </c>
      <c r="B226" t="s">
        <v>393</v>
      </c>
      <c r="C226" t="s">
        <v>624</v>
      </c>
      <c r="D226" s="144">
        <v>2000000</v>
      </c>
      <c r="E226" t="s">
        <v>353</v>
      </c>
      <c r="F226" s="20" t="s">
        <v>193</v>
      </c>
      <c r="G226" s="8" t="str">
        <f t="shared" si="3"/>
        <v>STAMBAUGH JAMES</v>
      </c>
    </row>
    <row r="227" spans="1:7" x14ac:dyDescent="0.25">
      <c r="A227" s="8">
        <v>42846.908553240741</v>
      </c>
      <c r="B227" t="s">
        <v>351</v>
      </c>
      <c r="C227" t="s">
        <v>808</v>
      </c>
      <c r="D227" s="144">
        <v>2680000</v>
      </c>
      <c r="E227" t="s">
        <v>390</v>
      </c>
      <c r="F227" s="20" t="s">
        <v>391</v>
      </c>
      <c r="G227" s="8" t="str">
        <f t="shared" si="3"/>
        <v>DUNCAN SHEILA</v>
      </c>
    </row>
    <row r="228" spans="1:7" x14ac:dyDescent="0.25">
      <c r="A228" s="8">
        <v>42846.911006944443</v>
      </c>
      <c r="B228" t="s">
        <v>442</v>
      </c>
      <c r="C228" t="s">
        <v>819</v>
      </c>
      <c r="D228" s="144">
        <v>2270000</v>
      </c>
      <c r="E228" t="s">
        <v>205</v>
      </c>
      <c r="F228" s="20" t="s">
        <v>206</v>
      </c>
      <c r="G228" s="8" t="str">
        <f t="shared" si="3"/>
        <v>BROWN JACOB</v>
      </c>
    </row>
    <row r="229" spans="1:7" x14ac:dyDescent="0.25">
      <c r="A229" s="8">
        <v>42846.927106481482</v>
      </c>
      <c r="B229" t="s">
        <v>198</v>
      </c>
      <c r="C229" t="s">
        <v>820</v>
      </c>
      <c r="D229" s="144">
        <v>2620000</v>
      </c>
      <c r="E229" t="s">
        <v>541</v>
      </c>
      <c r="F229" s="20" t="s">
        <v>542</v>
      </c>
      <c r="G229" s="8" t="str">
        <f t="shared" si="3"/>
        <v>PERKINS DARREN</v>
      </c>
    </row>
    <row r="230" spans="1:7" x14ac:dyDescent="0.25">
      <c r="A230" s="8">
        <v>42846.93277777778</v>
      </c>
      <c r="B230" t="s">
        <v>531</v>
      </c>
      <c r="C230" t="s">
        <v>821</v>
      </c>
      <c r="D230" s="144">
        <v>1740000</v>
      </c>
      <c r="E230" t="s">
        <v>371</v>
      </c>
      <c r="F230" s="20" t="s">
        <v>372</v>
      </c>
      <c r="G230" s="8" t="str">
        <f t="shared" si="3"/>
        <v>STORY SAMANTHA</v>
      </c>
    </row>
    <row r="231" spans="1:7" x14ac:dyDescent="0.25">
      <c r="A231" s="8">
        <v>42846.935185185182</v>
      </c>
      <c r="B231" t="s">
        <v>530</v>
      </c>
      <c r="C231" t="s">
        <v>625</v>
      </c>
      <c r="D231" s="144">
        <v>2610000</v>
      </c>
      <c r="E231" t="s">
        <v>793</v>
      </c>
      <c r="F231" s="20" t="s">
        <v>794</v>
      </c>
      <c r="G231" s="8" t="str">
        <f t="shared" si="3"/>
        <v>MAGEE KENYA</v>
      </c>
    </row>
    <row r="232" spans="1:7" x14ac:dyDescent="0.25">
      <c r="A232" s="8">
        <v>42846.9371875</v>
      </c>
      <c r="B232" t="s">
        <v>530</v>
      </c>
      <c r="C232" t="s">
        <v>822</v>
      </c>
      <c r="D232" s="144">
        <v>2610000</v>
      </c>
      <c r="E232" t="s">
        <v>793</v>
      </c>
      <c r="F232" s="20" t="s">
        <v>794</v>
      </c>
      <c r="G232" s="8" t="str">
        <f t="shared" si="3"/>
        <v>MAGEE KENYA</v>
      </c>
    </row>
    <row r="233" spans="1:7" x14ac:dyDescent="0.25">
      <c r="A233" s="8">
        <v>42846.943969907406</v>
      </c>
      <c r="B233" t="s">
        <v>360</v>
      </c>
      <c r="C233" t="s">
        <v>823</v>
      </c>
      <c r="D233" s="144">
        <v>2620000</v>
      </c>
      <c r="E233" t="s">
        <v>541</v>
      </c>
      <c r="F233" s="20" t="s">
        <v>542</v>
      </c>
      <c r="G233" s="8" t="str">
        <f t="shared" si="3"/>
        <v>PERKINS DARREN</v>
      </c>
    </row>
    <row r="234" spans="1:7" x14ac:dyDescent="0.25">
      <c r="A234" s="8">
        <v>42846.950787037036</v>
      </c>
      <c r="B234" t="s">
        <v>394</v>
      </c>
      <c r="C234" t="s">
        <v>824</v>
      </c>
      <c r="D234" s="144">
        <v>2000000</v>
      </c>
      <c r="E234" t="s">
        <v>353</v>
      </c>
      <c r="F234" s="20" t="s">
        <v>193</v>
      </c>
      <c r="G234" s="8" t="str">
        <f t="shared" si="3"/>
        <v>STAMBAUGH JAMES</v>
      </c>
    </row>
    <row r="235" spans="1:7" x14ac:dyDescent="0.25">
      <c r="A235" s="8">
        <v>42846.951238425929</v>
      </c>
      <c r="B235" t="s">
        <v>352</v>
      </c>
      <c r="C235" t="s">
        <v>626</v>
      </c>
      <c r="D235" s="144">
        <v>2680000</v>
      </c>
      <c r="E235" t="s">
        <v>390</v>
      </c>
      <c r="F235" s="20" t="s">
        <v>391</v>
      </c>
      <c r="G235" s="8" t="str">
        <f t="shared" si="3"/>
        <v>DUNCAN SHEILA</v>
      </c>
    </row>
    <row r="236" spans="1:7" x14ac:dyDescent="0.25">
      <c r="A236" s="8">
        <v>42846.951342592591</v>
      </c>
      <c r="B236" t="s">
        <v>198</v>
      </c>
      <c r="C236" t="s">
        <v>823</v>
      </c>
      <c r="D236" s="144">
        <v>2620000</v>
      </c>
      <c r="E236" t="s">
        <v>541</v>
      </c>
      <c r="F236" s="20" t="s">
        <v>542</v>
      </c>
      <c r="G236" s="8" t="str">
        <f t="shared" si="3"/>
        <v>PERKINS DARREN</v>
      </c>
    </row>
    <row r="237" spans="1:7" x14ac:dyDescent="0.25">
      <c r="A237" s="8">
        <v>42846.952187499999</v>
      </c>
      <c r="B237" t="s">
        <v>198</v>
      </c>
      <c r="C237" t="s">
        <v>823</v>
      </c>
      <c r="D237" s="144">
        <v>2620000</v>
      </c>
      <c r="E237" t="s">
        <v>541</v>
      </c>
      <c r="F237" s="20" t="s">
        <v>542</v>
      </c>
      <c r="G237" s="8" t="str">
        <f t="shared" si="3"/>
        <v>PERKINS DARREN</v>
      </c>
    </row>
    <row r="238" spans="1:7" x14ac:dyDescent="0.25">
      <c r="A238" s="8">
        <v>42846.953738425924</v>
      </c>
      <c r="B238" t="s">
        <v>198</v>
      </c>
      <c r="C238" t="s">
        <v>823</v>
      </c>
      <c r="D238" s="144">
        <v>2620000</v>
      </c>
      <c r="E238" t="s">
        <v>541</v>
      </c>
      <c r="F238" s="20" t="s">
        <v>542</v>
      </c>
      <c r="G238" s="8" t="str">
        <f t="shared" si="3"/>
        <v>PERKINS DARREN</v>
      </c>
    </row>
    <row r="239" spans="1:7" x14ac:dyDescent="0.25">
      <c r="A239" s="8">
        <v>42846.955509259256</v>
      </c>
      <c r="B239" t="s">
        <v>443</v>
      </c>
      <c r="C239" t="s">
        <v>825</v>
      </c>
      <c r="D239" s="144">
        <v>2270000</v>
      </c>
      <c r="E239" t="s">
        <v>205</v>
      </c>
      <c r="F239" s="20" t="s">
        <v>206</v>
      </c>
      <c r="G239" s="8" t="str">
        <f t="shared" si="3"/>
        <v>BROWN JACOB</v>
      </c>
    </row>
    <row r="240" spans="1:7" x14ac:dyDescent="0.25">
      <c r="A240" s="8">
        <v>42846.971180555556</v>
      </c>
      <c r="B240" t="s">
        <v>451</v>
      </c>
      <c r="C240" t="s">
        <v>625</v>
      </c>
      <c r="D240" s="144">
        <v>2610000</v>
      </c>
      <c r="E240" t="s">
        <v>793</v>
      </c>
      <c r="F240" s="20" t="s">
        <v>794</v>
      </c>
      <c r="G240" s="8" t="str">
        <f t="shared" si="3"/>
        <v>MAGEE KENYA</v>
      </c>
    </row>
    <row r="241" spans="1:7" x14ac:dyDescent="0.25">
      <c r="A241" s="8">
        <v>42846.976793981485</v>
      </c>
      <c r="B241" t="s">
        <v>543</v>
      </c>
      <c r="C241" t="s">
        <v>826</v>
      </c>
      <c r="D241" s="144">
        <v>1740000</v>
      </c>
      <c r="E241" t="s">
        <v>371</v>
      </c>
      <c r="F241" s="20" t="s">
        <v>372</v>
      </c>
      <c r="G241" s="8" t="str">
        <f t="shared" si="3"/>
        <v>STORY SAMANTHA</v>
      </c>
    </row>
    <row r="242" spans="1:7" x14ac:dyDescent="0.25">
      <c r="A242" s="8">
        <v>42846.985844907409</v>
      </c>
      <c r="B242" t="s">
        <v>393</v>
      </c>
      <c r="C242" t="s">
        <v>627</v>
      </c>
      <c r="D242" s="144">
        <v>2000000</v>
      </c>
      <c r="E242" t="s">
        <v>353</v>
      </c>
      <c r="F242" s="20" t="s">
        <v>193</v>
      </c>
      <c r="G242" s="8" t="str">
        <f t="shared" si="3"/>
        <v>STAMBAUGH JAMES</v>
      </c>
    </row>
    <row r="243" spans="1:7" x14ac:dyDescent="0.25">
      <c r="A243" s="8">
        <v>42846.990671296298</v>
      </c>
      <c r="B243" t="s">
        <v>442</v>
      </c>
      <c r="C243" t="s">
        <v>827</v>
      </c>
      <c r="D243" s="144">
        <v>2270000</v>
      </c>
      <c r="E243" t="s">
        <v>205</v>
      </c>
      <c r="F243" s="20" t="s">
        <v>206</v>
      </c>
      <c r="G243" s="8" t="str">
        <f t="shared" si="3"/>
        <v>BROWN JACOB</v>
      </c>
    </row>
    <row r="244" spans="1:7" x14ac:dyDescent="0.25">
      <c r="A244" s="8">
        <v>42846.996018518519</v>
      </c>
      <c r="B244" t="s">
        <v>351</v>
      </c>
      <c r="C244" t="s">
        <v>626</v>
      </c>
      <c r="D244" s="144">
        <v>2680000</v>
      </c>
      <c r="E244" t="s">
        <v>390</v>
      </c>
      <c r="F244" s="20" t="s">
        <v>391</v>
      </c>
      <c r="G244" s="8" t="str">
        <f t="shared" si="3"/>
        <v>DUNCAN SHEILA</v>
      </c>
    </row>
    <row r="245" spans="1:7" x14ac:dyDescent="0.25">
      <c r="A245" s="8">
        <v>42846.996967592589</v>
      </c>
      <c r="B245" t="s">
        <v>351</v>
      </c>
      <c r="C245" t="s">
        <v>626</v>
      </c>
      <c r="D245" s="144">
        <v>2680000</v>
      </c>
      <c r="E245" t="s">
        <v>390</v>
      </c>
      <c r="F245" s="20" t="s">
        <v>391</v>
      </c>
      <c r="G245" s="8" t="str">
        <f t="shared" si="3"/>
        <v>DUNCAN SHEILA</v>
      </c>
    </row>
    <row r="246" spans="1:7" x14ac:dyDescent="0.25">
      <c r="A246" s="8">
        <v>42847.012314814812</v>
      </c>
      <c r="B246" t="s">
        <v>531</v>
      </c>
      <c r="C246" t="s">
        <v>828</v>
      </c>
      <c r="D246" s="144">
        <v>1740000</v>
      </c>
      <c r="E246" t="s">
        <v>371</v>
      </c>
      <c r="F246" s="20" t="s">
        <v>372</v>
      </c>
      <c r="G246" s="8" t="str">
        <f t="shared" si="3"/>
        <v>STORY SAMANTHA</v>
      </c>
    </row>
    <row r="247" spans="1:7" x14ac:dyDescent="0.25">
      <c r="A247" s="8">
        <v>42847.016250000001</v>
      </c>
      <c r="B247" t="s">
        <v>530</v>
      </c>
      <c r="C247" t="s">
        <v>829</v>
      </c>
      <c r="D247" s="144">
        <v>2610000</v>
      </c>
      <c r="E247" t="s">
        <v>793</v>
      </c>
      <c r="F247" s="20" t="s">
        <v>794</v>
      </c>
      <c r="G247" s="8" t="str">
        <f t="shared" si="3"/>
        <v>MAGEE KENYA</v>
      </c>
    </row>
    <row r="248" spans="1:7" x14ac:dyDescent="0.25">
      <c r="A248" s="8">
        <v>42847.036539351851</v>
      </c>
      <c r="B248" t="s">
        <v>443</v>
      </c>
      <c r="C248" t="s">
        <v>830</v>
      </c>
      <c r="D248" s="144">
        <v>2270000</v>
      </c>
      <c r="E248" t="s">
        <v>205</v>
      </c>
      <c r="F248" s="20" t="s">
        <v>206</v>
      </c>
      <c r="G248" s="8" t="str">
        <f t="shared" si="3"/>
        <v>BROWN JACOB</v>
      </c>
    </row>
    <row r="249" spans="1:7" x14ac:dyDescent="0.25">
      <c r="A249" s="8">
        <v>42847.036678240744</v>
      </c>
      <c r="B249" t="s">
        <v>394</v>
      </c>
      <c r="C249" t="s">
        <v>831</v>
      </c>
      <c r="D249" s="144">
        <v>2000000</v>
      </c>
      <c r="E249" t="s">
        <v>353</v>
      </c>
      <c r="F249" s="20" t="s">
        <v>193</v>
      </c>
      <c r="G249" s="8" t="str">
        <f t="shared" si="3"/>
        <v>STAMBAUGH JAMES</v>
      </c>
    </row>
    <row r="250" spans="1:7" x14ac:dyDescent="0.25">
      <c r="A250" s="8">
        <v>42847.047048611108</v>
      </c>
      <c r="B250" t="s">
        <v>543</v>
      </c>
      <c r="C250" t="s">
        <v>832</v>
      </c>
      <c r="D250" s="144">
        <v>1740000</v>
      </c>
      <c r="E250" t="s">
        <v>371</v>
      </c>
      <c r="F250" s="20" t="s">
        <v>372</v>
      </c>
      <c r="G250" s="8" t="str">
        <f t="shared" si="3"/>
        <v>STORY SAMANTHA</v>
      </c>
    </row>
    <row r="251" spans="1:7" x14ac:dyDescent="0.25">
      <c r="A251" s="8">
        <v>42847.050983796296</v>
      </c>
      <c r="B251" t="s">
        <v>451</v>
      </c>
      <c r="C251" t="s">
        <v>833</v>
      </c>
      <c r="D251" s="144">
        <v>2610000</v>
      </c>
      <c r="E251" t="s">
        <v>793</v>
      </c>
      <c r="F251" s="20" t="s">
        <v>794</v>
      </c>
      <c r="G251" s="8" t="str">
        <f t="shared" si="3"/>
        <v>MAGEE KENYA</v>
      </c>
    </row>
    <row r="252" spans="1:7" x14ac:dyDescent="0.25">
      <c r="A252" s="8">
        <v>42847.067164351851</v>
      </c>
      <c r="B252" t="s">
        <v>393</v>
      </c>
      <c r="C252" t="s">
        <v>834</v>
      </c>
      <c r="D252" s="144">
        <v>2000000</v>
      </c>
      <c r="E252" t="s">
        <v>353</v>
      </c>
      <c r="F252" s="20" t="s">
        <v>193</v>
      </c>
      <c r="G252" s="8" t="str">
        <f t="shared" si="3"/>
        <v>STAMBAUGH JAMES</v>
      </c>
    </row>
    <row r="253" spans="1:7" x14ac:dyDescent="0.25">
      <c r="A253" s="8">
        <v>42847.074548611112</v>
      </c>
      <c r="B253" t="s">
        <v>442</v>
      </c>
      <c r="C253" t="s">
        <v>835</v>
      </c>
      <c r="D253" s="144">
        <v>2270000</v>
      </c>
      <c r="E253" t="s">
        <v>205</v>
      </c>
      <c r="F253" s="20" t="s">
        <v>206</v>
      </c>
      <c r="G253" s="8" t="str">
        <f t="shared" si="3"/>
        <v>BROWN JACOB</v>
      </c>
    </row>
    <row r="254" spans="1:7" x14ac:dyDescent="0.25">
      <c r="A254" s="8">
        <v>42847.090914351851</v>
      </c>
      <c r="B254" t="s">
        <v>530</v>
      </c>
      <c r="C254" t="s">
        <v>836</v>
      </c>
      <c r="D254" s="144">
        <v>2610000</v>
      </c>
      <c r="E254" t="s">
        <v>793</v>
      </c>
      <c r="F254" s="20" t="s">
        <v>794</v>
      </c>
      <c r="G254" s="8" t="str">
        <f t="shared" si="3"/>
        <v>MAGEE KENYA</v>
      </c>
    </row>
    <row r="255" spans="1:7" x14ac:dyDescent="0.25">
      <c r="A255" s="8">
        <v>42847.110578703701</v>
      </c>
      <c r="B255" t="s">
        <v>443</v>
      </c>
      <c r="C255" t="s">
        <v>837</v>
      </c>
      <c r="D255" s="144">
        <v>2270000</v>
      </c>
      <c r="E255" t="s">
        <v>205</v>
      </c>
      <c r="F255" s="20" t="s">
        <v>206</v>
      </c>
      <c r="G255" s="8" t="str">
        <f t="shared" si="3"/>
        <v>BROWN JACOB</v>
      </c>
    </row>
    <row r="256" spans="1:7" x14ac:dyDescent="0.25">
      <c r="A256" s="8">
        <v>42843.996076388888</v>
      </c>
      <c r="B256" t="s">
        <v>442</v>
      </c>
      <c r="C256" t="s">
        <v>467</v>
      </c>
      <c r="D256" s="144">
        <v>2730000</v>
      </c>
      <c r="E256" t="s">
        <v>472</v>
      </c>
      <c r="F256" s="20" t="s">
        <v>473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355</v>
      </c>
      <c r="C257" t="s">
        <v>468</v>
      </c>
      <c r="D257" s="144">
        <v>2000000</v>
      </c>
      <c r="E257" t="s">
        <v>353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466</v>
      </c>
      <c r="C258" t="s">
        <v>475</v>
      </c>
      <c r="D258" s="144">
        <v>1810000</v>
      </c>
      <c r="E258" t="s">
        <v>370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395</v>
      </c>
      <c r="C259" t="s">
        <v>367</v>
      </c>
      <c r="D259" s="144">
        <v>1800000</v>
      </c>
      <c r="E259" t="s">
        <v>368</v>
      </c>
      <c r="F259" s="20" t="s">
        <v>369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429</v>
      </c>
      <c r="C260" t="s">
        <v>361</v>
      </c>
      <c r="D260" s="144">
        <v>1740000</v>
      </c>
      <c r="E260" t="s">
        <v>371</v>
      </c>
      <c r="F260" s="20" t="s">
        <v>372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443</v>
      </c>
      <c r="C261" t="s">
        <v>474</v>
      </c>
      <c r="D261" s="144">
        <v>2730000</v>
      </c>
      <c r="E261" t="s">
        <v>472</v>
      </c>
      <c r="F261" s="20" t="s">
        <v>473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469</v>
      </c>
      <c r="C262" t="s">
        <v>362</v>
      </c>
      <c r="D262" s="144">
        <v>1810000</v>
      </c>
      <c r="E262" t="s">
        <v>370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387</v>
      </c>
      <c r="C263" t="s">
        <v>363</v>
      </c>
      <c r="D263" s="144">
        <v>2000000</v>
      </c>
      <c r="E263" t="s">
        <v>353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417</v>
      </c>
      <c r="C264" t="s">
        <v>364</v>
      </c>
      <c r="D264" s="144">
        <v>1740000</v>
      </c>
      <c r="E264" t="s">
        <v>371</v>
      </c>
      <c r="F264" s="20" t="s">
        <v>372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355</v>
      </c>
      <c r="C265" t="s">
        <v>366</v>
      </c>
      <c r="D265" s="144">
        <v>2000000</v>
      </c>
      <c r="E265" t="s">
        <v>353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356</v>
      </c>
      <c r="C266" t="s">
        <v>399</v>
      </c>
      <c r="D266" s="144">
        <v>2680000</v>
      </c>
      <c r="E266" t="s">
        <v>390</v>
      </c>
      <c r="F266" s="20" t="s">
        <v>391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357</v>
      </c>
      <c r="C267" t="s">
        <v>398</v>
      </c>
      <c r="D267" s="144">
        <v>2680000</v>
      </c>
      <c r="E267" t="s">
        <v>390</v>
      </c>
      <c r="F267" s="20" t="s">
        <v>391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382</v>
      </c>
      <c r="C268" t="s">
        <v>400</v>
      </c>
      <c r="D268" s="144">
        <v>1740000</v>
      </c>
      <c r="E268" t="s">
        <v>371</v>
      </c>
      <c r="F268" s="20" t="s">
        <v>372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375</v>
      </c>
      <c r="C269" t="s">
        <v>401</v>
      </c>
      <c r="D269" s="144">
        <v>1800000</v>
      </c>
      <c r="E269" t="s">
        <v>368</v>
      </c>
      <c r="F269" s="20" t="s">
        <v>369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356</v>
      </c>
      <c r="C270" t="s">
        <v>399</v>
      </c>
      <c r="D270" s="144">
        <v>2680000</v>
      </c>
      <c r="E270" t="s">
        <v>390</v>
      </c>
      <c r="F270" s="20" t="s">
        <v>391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357</v>
      </c>
      <c r="C271" t="s">
        <v>398</v>
      </c>
      <c r="D271" s="144">
        <v>2680000</v>
      </c>
      <c r="E271" t="s">
        <v>390</v>
      </c>
      <c r="F271" s="20" t="s">
        <v>391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355</v>
      </c>
      <c r="C272" t="s">
        <v>402</v>
      </c>
      <c r="D272" s="144">
        <v>2970000</v>
      </c>
      <c r="E272" t="s">
        <v>396</v>
      </c>
      <c r="F272" s="20" t="s">
        <v>397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356</v>
      </c>
      <c r="C273" t="s">
        <v>399</v>
      </c>
      <c r="D273" s="144">
        <v>2680000</v>
      </c>
      <c r="E273" t="s">
        <v>390</v>
      </c>
      <c r="F273" s="20" t="s">
        <v>391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357</v>
      </c>
      <c r="C274" t="s">
        <v>398</v>
      </c>
      <c r="D274" s="144">
        <v>2680000</v>
      </c>
      <c r="E274" t="s">
        <v>390</v>
      </c>
      <c r="F274" s="20" t="s">
        <v>391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394</v>
      </c>
      <c r="C275" t="s">
        <v>403</v>
      </c>
      <c r="D275" s="144">
        <v>1810000</v>
      </c>
      <c r="E275" t="s">
        <v>370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356</v>
      </c>
      <c r="C276" t="s">
        <v>399</v>
      </c>
      <c r="D276" s="144">
        <v>2680000</v>
      </c>
      <c r="E276" t="s">
        <v>390</v>
      </c>
      <c r="F276" s="20" t="s">
        <v>391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357</v>
      </c>
      <c r="C277" t="s">
        <v>398</v>
      </c>
      <c r="D277" s="144">
        <v>2680000</v>
      </c>
      <c r="E277" t="s">
        <v>390</v>
      </c>
      <c r="F277" s="20" t="s">
        <v>391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356</v>
      </c>
      <c r="C278" t="s">
        <v>399</v>
      </c>
      <c r="D278" s="144">
        <v>2680000</v>
      </c>
      <c r="E278" t="s">
        <v>390</v>
      </c>
      <c r="F278" s="20" t="s">
        <v>391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374</v>
      </c>
      <c r="C279" t="s">
        <v>404</v>
      </c>
      <c r="D279" s="144">
        <v>1800000</v>
      </c>
      <c r="E279" t="s">
        <v>368</v>
      </c>
      <c r="F279" s="20" t="s">
        <v>369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386</v>
      </c>
      <c r="C280" t="s">
        <v>405</v>
      </c>
      <c r="D280" s="144">
        <v>1740000</v>
      </c>
      <c r="E280" t="s">
        <v>371</v>
      </c>
      <c r="F280" s="20" t="s">
        <v>372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387</v>
      </c>
      <c r="C281" t="s">
        <v>406</v>
      </c>
      <c r="D281" s="144">
        <v>2970000</v>
      </c>
      <c r="E281" t="s">
        <v>396</v>
      </c>
      <c r="F281" s="20" t="s">
        <v>397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393</v>
      </c>
      <c r="C282" t="s">
        <v>407</v>
      </c>
      <c r="D282" s="144">
        <v>1810000</v>
      </c>
      <c r="E282" t="s">
        <v>370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382</v>
      </c>
      <c r="C283" t="s">
        <v>408</v>
      </c>
      <c r="D283" s="144">
        <v>1740000</v>
      </c>
      <c r="E283" t="s">
        <v>371</v>
      </c>
      <c r="F283" s="20" t="s">
        <v>372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357</v>
      </c>
      <c r="C284" t="s">
        <v>398</v>
      </c>
      <c r="D284" s="144">
        <v>2680000</v>
      </c>
      <c r="E284" t="s">
        <v>390</v>
      </c>
      <c r="F284" s="20" t="s">
        <v>391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357</v>
      </c>
      <c r="C285" t="s">
        <v>398</v>
      </c>
      <c r="D285" s="144">
        <v>2680000</v>
      </c>
      <c r="E285" t="s">
        <v>390</v>
      </c>
      <c r="F285" s="20" t="s">
        <v>391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355</v>
      </c>
      <c r="C286" t="s">
        <v>409</v>
      </c>
      <c r="D286" s="144">
        <v>2970000</v>
      </c>
      <c r="E286" t="s">
        <v>396</v>
      </c>
      <c r="F286" s="20" t="s">
        <v>397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198</v>
      </c>
      <c r="C287" t="s">
        <v>361</v>
      </c>
      <c r="D287" s="144">
        <v>2230000</v>
      </c>
      <c r="E287" t="s">
        <v>358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354</v>
      </c>
      <c r="C288" t="s">
        <v>362</v>
      </c>
      <c r="D288" s="144">
        <v>2000000</v>
      </c>
      <c r="E288" t="s">
        <v>353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359</v>
      </c>
      <c r="C289" t="s">
        <v>363</v>
      </c>
      <c r="D289" s="144">
        <v>2150000</v>
      </c>
      <c r="E289" t="s">
        <v>349</v>
      </c>
      <c r="F289" s="20" t="s">
        <v>350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359</v>
      </c>
      <c r="C290" t="s">
        <v>363</v>
      </c>
      <c r="D290" s="144">
        <v>2150000</v>
      </c>
      <c r="E290" t="s">
        <v>349</v>
      </c>
      <c r="F290" s="20" t="s">
        <v>350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359</v>
      </c>
      <c r="C291" t="s">
        <v>363</v>
      </c>
      <c r="D291" s="144">
        <v>2150000</v>
      </c>
      <c r="E291" t="s">
        <v>349</v>
      </c>
      <c r="F291" s="20" t="s">
        <v>350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360</v>
      </c>
      <c r="C292" t="s">
        <v>364</v>
      </c>
      <c r="D292" s="144">
        <v>2230000</v>
      </c>
      <c r="E292" t="s">
        <v>358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351</v>
      </c>
      <c r="C293" t="s">
        <v>365</v>
      </c>
      <c r="D293" s="144">
        <v>2270000</v>
      </c>
      <c r="E293" t="s">
        <v>205</v>
      </c>
      <c r="F293" s="20" t="s">
        <v>206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351</v>
      </c>
      <c r="C294" t="s">
        <v>365</v>
      </c>
      <c r="D294" s="144">
        <v>2270000</v>
      </c>
      <c r="E294" t="s">
        <v>205</v>
      </c>
      <c r="F294" s="20" t="s">
        <v>206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351</v>
      </c>
      <c r="C295" t="s">
        <v>365</v>
      </c>
      <c r="D295" s="144">
        <v>2270000</v>
      </c>
      <c r="E295" t="s">
        <v>205</v>
      </c>
      <c r="F295" s="20" t="s">
        <v>206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357</v>
      </c>
      <c r="C296" t="s">
        <v>366</v>
      </c>
      <c r="D296" s="144">
        <v>2150000</v>
      </c>
      <c r="E296" t="s">
        <v>349</v>
      </c>
      <c r="F296" s="20" t="s">
        <v>350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352</v>
      </c>
      <c r="C297" t="s">
        <v>367</v>
      </c>
      <c r="D297" s="144">
        <v>2270000</v>
      </c>
      <c r="E297" t="s">
        <v>205</v>
      </c>
      <c r="F297" s="20" t="s">
        <v>206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D1" sqref="D1:D1048576"/>
    </sheetView>
  </sheetViews>
  <sheetFormatPr defaultRowHeight="15" x14ac:dyDescent="0.25"/>
  <cols>
    <col min="1" max="1" width="22.5703125" style="186" customWidth="1"/>
    <col min="2" max="2" width="8.42578125" style="186" bestFit="1" customWidth="1"/>
    <col min="3" max="3" width="12.5703125" style="186" bestFit="1" customWidth="1"/>
    <col min="4" max="4" width="18.5703125" style="160" bestFit="1" customWidth="1"/>
    <col min="5" max="5" width="9.85546875" style="186" bestFit="1" customWidth="1"/>
    <col min="6" max="6" width="9" style="186" bestFit="1" customWidth="1"/>
    <col min="7" max="7" width="8.85546875" style="186" bestFit="1" customWidth="1"/>
    <col min="8" max="8" width="14" style="186" bestFit="1" customWidth="1"/>
    <col min="9" max="9" width="21.140625" style="186" bestFit="1" customWidth="1"/>
    <col min="10" max="10" width="8.7109375" style="186" bestFit="1" customWidth="1"/>
    <col min="11" max="11" width="11.28515625" style="186" bestFit="1" customWidth="1"/>
    <col min="12" max="12" width="11" style="186" bestFit="1" customWidth="1"/>
    <col min="13" max="13" width="11.28515625" style="186" bestFit="1" customWidth="1"/>
    <col min="14" max="14" width="13.7109375" style="186" bestFit="1" customWidth="1"/>
    <col min="15" max="15" width="14.85546875" style="186" bestFit="1" customWidth="1"/>
    <col min="16" max="16" width="16.7109375" style="186" bestFit="1" customWidth="1"/>
    <col min="17" max="17" width="9.42578125" style="186" bestFit="1" customWidth="1"/>
    <col min="18" max="16384" width="9.140625" style="118"/>
  </cols>
  <sheetData>
    <row r="1" spans="1:18" s="119" customFormat="1" x14ac:dyDescent="0.25">
      <c r="A1" s="199" t="s">
        <v>162</v>
      </c>
      <c r="B1" s="199" t="s">
        <v>165</v>
      </c>
      <c r="C1" s="199" t="s">
        <v>158</v>
      </c>
      <c r="D1" s="163" t="s">
        <v>170</v>
      </c>
      <c r="E1" s="199" t="s">
        <v>159</v>
      </c>
      <c r="F1" s="199" t="s">
        <v>157</v>
      </c>
      <c r="G1" s="199" t="s">
        <v>155</v>
      </c>
      <c r="H1" s="199" t="s">
        <v>168</v>
      </c>
      <c r="I1" s="199" t="s">
        <v>169</v>
      </c>
      <c r="J1" s="199" t="s">
        <v>503</v>
      </c>
      <c r="K1" s="199" t="s">
        <v>163</v>
      </c>
      <c r="L1" s="199" t="s">
        <v>161</v>
      </c>
      <c r="M1" s="199" t="s">
        <v>156</v>
      </c>
      <c r="N1" s="199" t="s">
        <v>166</v>
      </c>
      <c r="O1" s="199" t="s">
        <v>160</v>
      </c>
      <c r="P1" s="199" t="s">
        <v>167</v>
      </c>
      <c r="Q1" s="199" t="s">
        <v>164</v>
      </c>
      <c r="R1"/>
    </row>
    <row r="2" spans="1:18" x14ac:dyDescent="0.25">
      <c r="A2" s="174">
        <v>42.33</v>
      </c>
      <c r="B2" s="174">
        <v>0.97</v>
      </c>
      <c r="C2" s="174">
        <v>38.78</v>
      </c>
      <c r="D2" s="159">
        <v>42846</v>
      </c>
      <c r="E2" s="174">
        <v>0.81</v>
      </c>
      <c r="F2" s="174" t="s">
        <v>504</v>
      </c>
      <c r="G2" s="174">
        <v>352.54</v>
      </c>
      <c r="H2" s="174">
        <v>1.5299999999999999E-2</v>
      </c>
      <c r="I2" s="174">
        <v>0.56999999999999995</v>
      </c>
      <c r="J2" s="174" t="s">
        <v>504</v>
      </c>
      <c r="K2" s="174">
        <v>1014.3</v>
      </c>
      <c r="L2" s="174" t="s">
        <v>552</v>
      </c>
      <c r="M2" s="174">
        <v>44.24</v>
      </c>
      <c r="N2" s="174">
        <v>1492754400</v>
      </c>
      <c r="O2" s="174">
        <v>3.35</v>
      </c>
      <c r="P2" s="174">
        <v>128</v>
      </c>
      <c r="Q2" s="174">
        <v>3.87</v>
      </c>
      <c r="R2"/>
    </row>
    <row r="3" spans="1:18" x14ac:dyDescent="0.25">
      <c r="A3" s="174">
        <v>42.13</v>
      </c>
      <c r="B3" s="174">
        <v>0.96</v>
      </c>
      <c r="C3" s="174">
        <v>38.6</v>
      </c>
      <c r="D3" s="159">
        <v>42846.041666666664</v>
      </c>
      <c r="E3" s="174">
        <v>0.81</v>
      </c>
      <c r="F3" s="174" t="s">
        <v>504</v>
      </c>
      <c r="G3" s="174">
        <v>355.16</v>
      </c>
      <c r="H3" s="174">
        <v>9.5999999999999992E-3</v>
      </c>
      <c r="I3" s="174">
        <v>0.5</v>
      </c>
      <c r="J3" s="174" t="s">
        <v>504</v>
      </c>
      <c r="K3" s="174">
        <v>1013.58</v>
      </c>
      <c r="L3" s="174" t="s">
        <v>552</v>
      </c>
      <c r="M3" s="174">
        <v>44.21</v>
      </c>
      <c r="N3" s="174">
        <v>1492758000</v>
      </c>
      <c r="O3" s="174">
        <v>2.85</v>
      </c>
      <c r="P3" s="174">
        <v>151</v>
      </c>
      <c r="Q3" s="174">
        <v>4.05</v>
      </c>
      <c r="R3"/>
    </row>
    <row r="4" spans="1:18" x14ac:dyDescent="0.25">
      <c r="A4" s="174">
        <v>41.82</v>
      </c>
      <c r="B4" s="174">
        <v>0.95</v>
      </c>
      <c r="C4" s="174">
        <v>38.770000000000003</v>
      </c>
      <c r="D4" s="159">
        <v>42846.083333333336</v>
      </c>
      <c r="E4" s="174">
        <v>0.8</v>
      </c>
      <c r="F4" s="174" t="s">
        <v>504</v>
      </c>
      <c r="G4" s="174">
        <v>357.77</v>
      </c>
      <c r="H4" s="174">
        <v>3.39E-2</v>
      </c>
      <c r="I4" s="174">
        <v>0.68</v>
      </c>
      <c r="J4" s="174" t="s">
        <v>504</v>
      </c>
      <c r="K4" s="174">
        <v>1012.96</v>
      </c>
      <c r="L4" s="174" t="s">
        <v>552</v>
      </c>
      <c r="M4" s="174">
        <v>44.43</v>
      </c>
      <c r="N4" s="174">
        <v>1492761600</v>
      </c>
      <c r="O4" s="174">
        <v>3.02</v>
      </c>
      <c r="P4" s="174">
        <v>158</v>
      </c>
      <c r="Q4" s="174">
        <v>4.79</v>
      </c>
      <c r="R4"/>
    </row>
    <row r="5" spans="1:18" x14ac:dyDescent="0.25">
      <c r="A5" s="174">
        <v>42.2</v>
      </c>
      <c r="B5" s="174">
        <v>0.94</v>
      </c>
      <c r="C5" s="174">
        <v>39.01</v>
      </c>
      <c r="D5" s="159">
        <v>42846.125</v>
      </c>
      <c r="E5" s="174">
        <v>0.81</v>
      </c>
      <c r="F5" s="174" t="s">
        <v>504</v>
      </c>
      <c r="G5" s="174">
        <v>360.39</v>
      </c>
      <c r="H5" s="174">
        <v>4.2900000000000001E-2</v>
      </c>
      <c r="I5" s="174">
        <v>0.71</v>
      </c>
      <c r="J5" s="174" t="s">
        <v>504</v>
      </c>
      <c r="K5" s="174">
        <v>1012.44</v>
      </c>
      <c r="L5" s="174" t="s">
        <v>552</v>
      </c>
      <c r="M5" s="174">
        <v>44.56</v>
      </c>
      <c r="N5" s="174">
        <v>1492765200</v>
      </c>
      <c r="O5" s="174">
        <v>2.84</v>
      </c>
      <c r="P5" s="174">
        <v>164</v>
      </c>
      <c r="Q5" s="174">
        <v>4.5</v>
      </c>
      <c r="R5"/>
    </row>
    <row r="6" spans="1:18" x14ac:dyDescent="0.25">
      <c r="A6" s="174">
        <v>41.63</v>
      </c>
      <c r="B6" s="174">
        <v>0.87</v>
      </c>
      <c r="C6" s="174">
        <v>39.15</v>
      </c>
      <c r="D6" s="159">
        <v>42846.166666666664</v>
      </c>
      <c r="E6" s="174">
        <v>0.86</v>
      </c>
      <c r="F6" s="174" t="s">
        <v>504</v>
      </c>
      <c r="G6" s="174">
        <v>363.68</v>
      </c>
      <c r="H6" s="174">
        <v>2.5999999999999999E-2</v>
      </c>
      <c r="I6" s="174">
        <v>0.64</v>
      </c>
      <c r="J6" s="174" t="s">
        <v>504</v>
      </c>
      <c r="K6" s="174">
        <v>1012.49</v>
      </c>
      <c r="L6" s="174" t="s">
        <v>552</v>
      </c>
      <c r="M6" s="174">
        <v>42.98</v>
      </c>
      <c r="N6" s="174">
        <v>1492768800</v>
      </c>
      <c r="O6" s="174">
        <v>3.81</v>
      </c>
      <c r="P6" s="174">
        <v>173</v>
      </c>
      <c r="Q6" s="174">
        <v>3.09</v>
      </c>
      <c r="R6"/>
    </row>
    <row r="7" spans="1:18" x14ac:dyDescent="0.25">
      <c r="A7" s="174">
        <v>42.12</v>
      </c>
      <c r="B7" s="174">
        <v>0.78</v>
      </c>
      <c r="C7" s="174">
        <v>38.17</v>
      </c>
      <c r="D7" s="159">
        <v>42846.208333333336</v>
      </c>
      <c r="E7" s="174">
        <v>0.86</v>
      </c>
      <c r="F7" s="174" t="s">
        <v>504</v>
      </c>
      <c r="G7" s="174">
        <v>367.13</v>
      </c>
      <c r="H7" s="174">
        <v>1.43E-2</v>
      </c>
      <c r="I7" s="174">
        <v>0.56000000000000005</v>
      </c>
      <c r="J7" s="174" t="s">
        <v>504</v>
      </c>
      <c r="K7" s="174">
        <v>1012.74</v>
      </c>
      <c r="L7" s="174" t="s">
        <v>552</v>
      </c>
      <c r="M7" s="174">
        <v>42.12</v>
      </c>
      <c r="N7" s="174">
        <v>1492772400</v>
      </c>
      <c r="O7" s="174">
        <v>3.27</v>
      </c>
      <c r="P7" s="174">
        <v>145</v>
      </c>
      <c r="Q7" s="174">
        <v>2.48</v>
      </c>
      <c r="R7"/>
    </row>
    <row r="8" spans="1:18" x14ac:dyDescent="0.25">
      <c r="A8" s="174">
        <v>41.36</v>
      </c>
      <c r="B8" s="174">
        <v>0.74</v>
      </c>
      <c r="C8" s="174">
        <v>37.83</v>
      </c>
      <c r="D8" s="159">
        <v>42846.25</v>
      </c>
      <c r="E8" s="174">
        <v>0.87</v>
      </c>
      <c r="F8" s="174" t="s">
        <v>504</v>
      </c>
      <c r="G8" s="174">
        <v>369.67</v>
      </c>
      <c r="H8" s="174">
        <v>5.3E-3</v>
      </c>
      <c r="I8" s="174">
        <v>0.23</v>
      </c>
      <c r="J8" s="174" t="s">
        <v>504</v>
      </c>
      <c r="K8" s="174">
        <v>1012.97</v>
      </c>
      <c r="L8" s="174" t="s">
        <v>505</v>
      </c>
      <c r="M8" s="174">
        <v>41.36</v>
      </c>
      <c r="N8" s="174">
        <v>1492776000</v>
      </c>
      <c r="O8" s="174">
        <v>3.05</v>
      </c>
      <c r="P8" s="174">
        <v>218</v>
      </c>
      <c r="Q8" s="174">
        <v>2.4500000000000002</v>
      </c>
      <c r="R8"/>
    </row>
    <row r="9" spans="1:18" x14ac:dyDescent="0.25">
      <c r="A9" s="174">
        <v>41.04</v>
      </c>
      <c r="B9" s="174">
        <v>0.75</v>
      </c>
      <c r="C9" s="174">
        <v>37.94</v>
      </c>
      <c r="D9" s="159">
        <v>42846.291666666664</v>
      </c>
      <c r="E9" s="174">
        <v>0.89</v>
      </c>
      <c r="F9" s="174" t="s">
        <v>431</v>
      </c>
      <c r="G9" s="174">
        <v>370.78</v>
      </c>
      <c r="H9" s="174">
        <v>2.8E-3</v>
      </c>
      <c r="I9" s="174">
        <v>0.09</v>
      </c>
      <c r="J9" s="174" t="s">
        <v>504</v>
      </c>
      <c r="K9" s="174">
        <v>1013.03</v>
      </c>
      <c r="L9" s="174" t="s">
        <v>458</v>
      </c>
      <c r="M9" s="174">
        <v>41.04</v>
      </c>
      <c r="N9" s="174">
        <v>1492779600</v>
      </c>
      <c r="O9" s="174">
        <v>2.68</v>
      </c>
      <c r="P9" s="174">
        <v>286</v>
      </c>
      <c r="Q9" s="174">
        <v>1.92</v>
      </c>
      <c r="R9"/>
    </row>
    <row r="10" spans="1:18" x14ac:dyDescent="0.25">
      <c r="A10" s="174">
        <v>43.15</v>
      </c>
      <c r="B10" s="174">
        <v>0.8</v>
      </c>
      <c r="C10" s="174">
        <v>39.31</v>
      </c>
      <c r="D10" s="159">
        <v>42846.333333333336</v>
      </c>
      <c r="E10" s="174">
        <v>0.86</v>
      </c>
      <c r="F10" s="174" t="s">
        <v>431</v>
      </c>
      <c r="G10" s="174">
        <v>370.99</v>
      </c>
      <c r="H10" s="174">
        <v>2.5999999999999999E-3</v>
      </c>
      <c r="I10" s="174">
        <v>0.08</v>
      </c>
      <c r="J10" s="174" t="s">
        <v>504</v>
      </c>
      <c r="K10" s="174">
        <v>1013.04</v>
      </c>
      <c r="L10" s="174" t="s">
        <v>458</v>
      </c>
      <c r="M10" s="174">
        <v>43.15</v>
      </c>
      <c r="N10" s="174">
        <v>1492783200</v>
      </c>
      <c r="O10" s="174">
        <v>2.44</v>
      </c>
      <c r="P10" s="174">
        <v>314</v>
      </c>
      <c r="Q10" s="174">
        <v>2.66</v>
      </c>
      <c r="R10"/>
    </row>
    <row r="11" spans="1:18" x14ac:dyDescent="0.25">
      <c r="A11" s="174">
        <v>43.23</v>
      </c>
      <c r="B11" s="174">
        <v>0.84</v>
      </c>
      <c r="C11" s="174">
        <v>39.869999999999997</v>
      </c>
      <c r="D11" s="159">
        <v>42846.375</v>
      </c>
      <c r="E11" s="174">
        <v>0.83</v>
      </c>
      <c r="F11" s="174" t="s">
        <v>431</v>
      </c>
      <c r="G11" s="174">
        <v>370.77</v>
      </c>
      <c r="H11" s="174">
        <v>2.5000000000000001E-3</v>
      </c>
      <c r="I11" s="174">
        <v>7.0000000000000007E-2</v>
      </c>
      <c r="J11" s="174" t="s">
        <v>504</v>
      </c>
      <c r="K11" s="174">
        <v>1013.2</v>
      </c>
      <c r="L11" s="174" t="s">
        <v>458</v>
      </c>
      <c r="M11" s="174">
        <v>44.85</v>
      </c>
      <c r="N11" s="174">
        <v>1492786800</v>
      </c>
      <c r="O11" s="174">
        <v>2.46</v>
      </c>
      <c r="P11" s="174">
        <v>330</v>
      </c>
      <c r="Q11" s="174">
        <v>3.64</v>
      </c>
      <c r="R11"/>
    </row>
    <row r="12" spans="1:18" x14ac:dyDescent="0.25">
      <c r="A12" s="174">
        <v>45.95</v>
      </c>
      <c r="B12" s="174">
        <v>0.85</v>
      </c>
      <c r="C12" s="174">
        <v>39.74</v>
      </c>
      <c r="D12" s="159">
        <v>42846.416666666664</v>
      </c>
      <c r="E12" s="174">
        <v>0.76</v>
      </c>
      <c r="F12" s="174" t="s">
        <v>504</v>
      </c>
      <c r="G12" s="174">
        <v>370.09</v>
      </c>
      <c r="H12" s="174">
        <v>5.1000000000000004E-3</v>
      </c>
      <c r="I12" s="174">
        <v>0.22</v>
      </c>
      <c r="J12" s="174" t="s">
        <v>504</v>
      </c>
      <c r="K12" s="174">
        <v>1013.7</v>
      </c>
      <c r="L12" s="174" t="s">
        <v>505</v>
      </c>
      <c r="M12" s="174">
        <v>46.97</v>
      </c>
      <c r="N12" s="174">
        <v>1492790400</v>
      </c>
      <c r="O12" s="174">
        <v>2.89</v>
      </c>
      <c r="P12" s="174">
        <v>349</v>
      </c>
      <c r="Q12" s="174">
        <v>3.32</v>
      </c>
      <c r="R12"/>
    </row>
    <row r="13" spans="1:18" x14ac:dyDescent="0.25">
      <c r="A13" s="174">
        <v>47</v>
      </c>
      <c r="B13" s="174">
        <v>0.85</v>
      </c>
      <c r="C13" s="174">
        <v>38.82</v>
      </c>
      <c r="D13" s="159">
        <v>42846.458333333336</v>
      </c>
      <c r="E13" s="174">
        <v>0.68</v>
      </c>
      <c r="F13" s="174" t="s">
        <v>431</v>
      </c>
      <c r="G13" s="174">
        <v>368.99</v>
      </c>
      <c r="H13" s="174">
        <v>3.3E-3</v>
      </c>
      <c r="I13" s="174">
        <v>0.11</v>
      </c>
      <c r="J13" s="174" t="s">
        <v>504</v>
      </c>
      <c r="K13" s="174">
        <v>1014.42</v>
      </c>
      <c r="L13" s="174" t="s">
        <v>458</v>
      </c>
      <c r="M13" s="174">
        <v>49.07</v>
      </c>
      <c r="N13" s="174">
        <v>1492794000</v>
      </c>
      <c r="O13" s="174">
        <v>3.1</v>
      </c>
      <c r="P13" s="174">
        <v>359</v>
      </c>
      <c r="Q13" s="174">
        <v>5.22</v>
      </c>
      <c r="R13"/>
    </row>
    <row r="14" spans="1:18" x14ac:dyDescent="0.25">
      <c r="A14" s="174">
        <v>50.07</v>
      </c>
      <c r="B14" s="174">
        <v>0.81</v>
      </c>
      <c r="C14" s="174">
        <v>37.450000000000003</v>
      </c>
      <c r="D14" s="159">
        <v>42846.5</v>
      </c>
      <c r="E14" s="174">
        <v>0.62</v>
      </c>
      <c r="F14" s="174" t="s">
        <v>431</v>
      </c>
      <c r="G14" s="174">
        <v>368.11</v>
      </c>
      <c r="H14" s="174">
        <v>1.9E-3</v>
      </c>
      <c r="I14" s="174">
        <v>0.04</v>
      </c>
      <c r="J14" s="174" t="s">
        <v>504</v>
      </c>
      <c r="K14" s="174">
        <v>1014.95</v>
      </c>
      <c r="L14" s="174" t="s">
        <v>458</v>
      </c>
      <c r="M14" s="174">
        <v>50.07</v>
      </c>
      <c r="N14" s="174">
        <v>1492797600</v>
      </c>
      <c r="O14" s="174">
        <v>3.84</v>
      </c>
      <c r="P14" s="174">
        <v>3</v>
      </c>
      <c r="Q14" s="174">
        <v>8.51</v>
      </c>
      <c r="R14"/>
    </row>
    <row r="15" spans="1:18" x14ac:dyDescent="0.25">
      <c r="A15" s="174">
        <v>45.93</v>
      </c>
      <c r="B15" s="174">
        <v>0.79</v>
      </c>
      <c r="C15" s="174">
        <v>37.450000000000003</v>
      </c>
      <c r="D15" s="159">
        <v>42846.541666666664</v>
      </c>
      <c r="E15" s="174">
        <v>0.63</v>
      </c>
      <c r="F15" s="174" t="s">
        <v>431</v>
      </c>
      <c r="G15" s="174">
        <v>367.8</v>
      </c>
      <c r="H15" s="174">
        <v>3.3E-3</v>
      </c>
      <c r="I15" s="174">
        <v>0.11</v>
      </c>
      <c r="J15" s="174" t="s">
        <v>504</v>
      </c>
      <c r="K15" s="174">
        <v>1014.89</v>
      </c>
      <c r="L15" s="174" t="s">
        <v>458</v>
      </c>
      <c r="M15" s="174">
        <v>49.68</v>
      </c>
      <c r="N15" s="174">
        <v>1492801200</v>
      </c>
      <c r="O15" s="174">
        <v>3.73</v>
      </c>
      <c r="P15" s="174">
        <v>2</v>
      </c>
      <c r="Q15" s="174">
        <v>9.18</v>
      </c>
      <c r="R15"/>
    </row>
    <row r="16" spans="1:18" x14ac:dyDescent="0.25">
      <c r="A16" s="174">
        <v>50.93</v>
      </c>
      <c r="B16" s="174">
        <v>0.76</v>
      </c>
      <c r="C16" s="174">
        <v>38.159999999999997</v>
      </c>
      <c r="D16" s="159">
        <v>42846.583333333336</v>
      </c>
      <c r="E16" s="174">
        <v>0.61</v>
      </c>
      <c r="F16" s="174" t="s">
        <v>431</v>
      </c>
      <c r="G16" s="174">
        <v>367.72</v>
      </c>
      <c r="H16" s="174">
        <v>4.0000000000000001E-3</v>
      </c>
      <c r="I16" s="174">
        <v>0.15</v>
      </c>
      <c r="J16" s="174" t="s">
        <v>504</v>
      </c>
      <c r="K16" s="174">
        <v>1014.7</v>
      </c>
      <c r="L16" s="174" t="s">
        <v>458</v>
      </c>
      <c r="M16" s="174">
        <v>50.93</v>
      </c>
      <c r="N16" s="174">
        <v>1492804800</v>
      </c>
      <c r="O16" s="174">
        <v>9.56</v>
      </c>
      <c r="P16" s="174">
        <v>3</v>
      </c>
      <c r="Q16" s="174">
        <v>9.5399999999999991</v>
      </c>
      <c r="R16"/>
    </row>
    <row r="17" spans="1:18" x14ac:dyDescent="0.25">
      <c r="A17" s="174">
        <v>45.94</v>
      </c>
      <c r="B17" s="174">
        <v>0.56999999999999995</v>
      </c>
      <c r="C17" s="174">
        <v>37.090000000000003</v>
      </c>
      <c r="D17" s="159">
        <v>42846.625</v>
      </c>
      <c r="E17" s="174">
        <v>0.61</v>
      </c>
      <c r="F17" s="174" t="s">
        <v>504</v>
      </c>
      <c r="G17" s="174">
        <v>367.52</v>
      </c>
      <c r="H17" s="174">
        <v>5.1999999999999998E-3</v>
      </c>
      <c r="I17" s="174">
        <v>0.22</v>
      </c>
      <c r="J17" s="174" t="s">
        <v>504</v>
      </c>
      <c r="K17" s="174">
        <v>1014.88</v>
      </c>
      <c r="L17" s="174" t="s">
        <v>505</v>
      </c>
      <c r="M17" s="174">
        <v>49.94</v>
      </c>
      <c r="N17" s="174">
        <v>1492808400</v>
      </c>
      <c r="O17" s="174">
        <v>4.79</v>
      </c>
      <c r="P17" s="174">
        <v>10</v>
      </c>
      <c r="Q17" s="174">
        <v>10.039999999999999</v>
      </c>
      <c r="R17"/>
    </row>
    <row r="18" spans="1:18" x14ac:dyDescent="0.25">
      <c r="A18" s="174">
        <v>43.78</v>
      </c>
      <c r="B18" s="174">
        <v>0.62</v>
      </c>
      <c r="C18" s="174">
        <v>36.880000000000003</v>
      </c>
      <c r="D18" s="159">
        <v>42846.666666666664</v>
      </c>
      <c r="E18" s="174">
        <v>0.65</v>
      </c>
      <c r="F18" s="174" t="s">
        <v>504</v>
      </c>
      <c r="G18" s="174">
        <v>366.91</v>
      </c>
      <c r="H18" s="174">
        <v>7.4000000000000003E-3</v>
      </c>
      <c r="I18" s="174">
        <v>0.37</v>
      </c>
      <c r="J18" s="174" t="s">
        <v>504</v>
      </c>
      <c r="K18" s="174">
        <v>1015.94</v>
      </c>
      <c r="L18" s="174" t="s">
        <v>505</v>
      </c>
      <c r="M18" s="174">
        <v>47.9</v>
      </c>
      <c r="N18" s="174">
        <v>1492812000</v>
      </c>
      <c r="O18" s="174">
        <v>4.09</v>
      </c>
      <c r="P18" s="174">
        <v>17</v>
      </c>
      <c r="Q18" s="174">
        <v>9.0500000000000007</v>
      </c>
      <c r="R18"/>
    </row>
    <row r="19" spans="1:18" x14ac:dyDescent="0.25">
      <c r="A19" s="174">
        <v>41.92</v>
      </c>
      <c r="B19" s="174">
        <v>0.64</v>
      </c>
      <c r="C19" s="174">
        <v>36.67</v>
      </c>
      <c r="D19" s="159">
        <v>42846.708333333336</v>
      </c>
      <c r="E19" s="174">
        <v>0.69</v>
      </c>
      <c r="F19" s="174" t="s">
        <v>431</v>
      </c>
      <c r="G19" s="174">
        <v>366.18</v>
      </c>
      <c r="H19" s="174">
        <v>4.5999999999999999E-3</v>
      </c>
      <c r="I19" s="174">
        <v>0.19</v>
      </c>
      <c r="J19" s="174" t="s">
        <v>504</v>
      </c>
      <c r="K19" s="174">
        <v>1017.88</v>
      </c>
      <c r="L19" s="174" t="s">
        <v>458</v>
      </c>
      <c r="M19" s="174">
        <v>46.1</v>
      </c>
      <c r="N19" s="174">
        <v>1492815600</v>
      </c>
      <c r="O19" s="174">
        <v>4.08</v>
      </c>
      <c r="P19" s="174">
        <v>26</v>
      </c>
      <c r="Q19" s="174">
        <v>8.2100000000000009</v>
      </c>
      <c r="R19"/>
    </row>
    <row r="20" spans="1:18" x14ac:dyDescent="0.25">
      <c r="A20" s="174">
        <v>39.54</v>
      </c>
      <c r="B20" s="174">
        <v>0.76</v>
      </c>
      <c r="C20" s="174">
        <v>35.97</v>
      </c>
      <c r="D20" s="159">
        <v>42846.75</v>
      </c>
      <c r="E20" s="174">
        <v>0.74</v>
      </c>
      <c r="F20" s="174" t="s">
        <v>504</v>
      </c>
      <c r="G20" s="174">
        <v>365.94</v>
      </c>
      <c r="H20" s="174">
        <v>5.5999999999999999E-3</v>
      </c>
      <c r="I20" s="174">
        <v>0.25</v>
      </c>
      <c r="J20" s="174" t="s">
        <v>504</v>
      </c>
      <c r="K20" s="174">
        <v>1019.69</v>
      </c>
      <c r="L20" s="174" t="s">
        <v>505</v>
      </c>
      <c r="M20" s="174">
        <v>43.71</v>
      </c>
      <c r="N20" s="174">
        <v>1492819200</v>
      </c>
      <c r="O20" s="174">
        <v>4.13</v>
      </c>
      <c r="P20" s="174">
        <v>30</v>
      </c>
      <c r="Q20" s="174">
        <v>7.12</v>
      </c>
      <c r="R20"/>
    </row>
    <row r="21" spans="1:18" x14ac:dyDescent="0.25">
      <c r="A21" s="174">
        <v>37.590000000000003</v>
      </c>
      <c r="B21" s="174">
        <v>0.89</v>
      </c>
      <c r="C21" s="174">
        <v>35.049999999999997</v>
      </c>
      <c r="D21" s="159">
        <v>42846.791666666664</v>
      </c>
      <c r="E21" s="174">
        <v>0.78</v>
      </c>
      <c r="F21" s="174" t="s">
        <v>504</v>
      </c>
      <c r="G21" s="174">
        <v>366.57</v>
      </c>
      <c r="H21" s="174">
        <v>5.0000000000000001E-3</v>
      </c>
      <c r="I21" s="174">
        <v>0.21</v>
      </c>
      <c r="J21" s="174" t="s">
        <v>504</v>
      </c>
      <c r="K21" s="174">
        <v>1020.57</v>
      </c>
      <c r="L21" s="174" t="s">
        <v>505</v>
      </c>
      <c r="M21" s="174">
        <v>41.23</v>
      </c>
      <c r="N21" s="174">
        <v>1492822800</v>
      </c>
      <c r="O21" s="174">
        <v>4.6500000000000004</v>
      </c>
      <c r="P21" s="174">
        <v>35</v>
      </c>
      <c r="Q21" s="174">
        <v>5.45</v>
      </c>
      <c r="R21"/>
    </row>
    <row r="22" spans="1:18" x14ac:dyDescent="0.25">
      <c r="A22" s="174">
        <v>38.32</v>
      </c>
      <c r="B22" s="174">
        <v>0.78</v>
      </c>
      <c r="C22" s="174">
        <v>35.74</v>
      </c>
      <c r="D22" s="159">
        <v>42846.833333333336</v>
      </c>
      <c r="E22" s="174">
        <v>0.83</v>
      </c>
      <c r="F22" s="174" t="s">
        <v>418</v>
      </c>
      <c r="G22" s="174">
        <v>367.69</v>
      </c>
      <c r="H22" s="174">
        <v>4.3E-3</v>
      </c>
      <c r="I22" s="174">
        <v>0.17</v>
      </c>
      <c r="J22" s="174" t="s">
        <v>504</v>
      </c>
      <c r="K22" s="174">
        <v>1021.04</v>
      </c>
      <c r="L22" s="174" t="s">
        <v>458</v>
      </c>
      <c r="M22" s="174">
        <v>40.5</v>
      </c>
      <c r="N22" s="174">
        <v>1492826400</v>
      </c>
      <c r="O22" s="174">
        <v>5.07</v>
      </c>
      <c r="P22" s="174">
        <v>39</v>
      </c>
      <c r="Q22" s="174">
        <v>3.56</v>
      </c>
      <c r="R22"/>
    </row>
    <row r="23" spans="1:18" x14ac:dyDescent="0.25">
      <c r="A23" s="174">
        <v>39.49</v>
      </c>
      <c r="B23" s="174">
        <v>0.72</v>
      </c>
      <c r="C23" s="174">
        <v>35.700000000000003</v>
      </c>
      <c r="D23" s="159">
        <v>42846.875</v>
      </c>
      <c r="E23" s="174">
        <v>0.86</v>
      </c>
      <c r="F23" s="174" t="s">
        <v>418</v>
      </c>
      <c r="G23" s="174">
        <v>368.8</v>
      </c>
      <c r="H23" s="174">
        <v>3.5999999999999999E-3</v>
      </c>
      <c r="I23" s="174">
        <v>0.13</v>
      </c>
      <c r="J23" s="174" t="s">
        <v>504</v>
      </c>
      <c r="K23" s="174">
        <v>1021.48</v>
      </c>
      <c r="L23" s="174" t="s">
        <v>458</v>
      </c>
      <c r="M23" s="174">
        <v>39.49</v>
      </c>
      <c r="N23" s="174">
        <v>1492830000</v>
      </c>
      <c r="O23" s="174">
        <v>4.0599999999999996</v>
      </c>
      <c r="P23" s="174">
        <v>47</v>
      </c>
      <c r="Q23" s="174">
        <v>2.69</v>
      </c>
      <c r="R23"/>
    </row>
    <row r="24" spans="1:18" x14ac:dyDescent="0.25">
      <c r="A24" s="174">
        <v>38.93</v>
      </c>
      <c r="B24" s="174">
        <v>0.84</v>
      </c>
      <c r="C24" s="174">
        <v>35.17</v>
      </c>
      <c r="D24" s="159">
        <v>42846.916666666664</v>
      </c>
      <c r="E24" s="174">
        <v>0.86</v>
      </c>
      <c r="F24" s="174" t="s">
        <v>418</v>
      </c>
      <c r="G24" s="174">
        <v>369.64</v>
      </c>
      <c r="H24" s="174">
        <v>1.1999999999999999E-3</v>
      </c>
      <c r="I24" s="174">
        <v>0.02</v>
      </c>
      <c r="J24" s="174" t="s">
        <v>504</v>
      </c>
      <c r="K24" s="174">
        <v>1022.15</v>
      </c>
      <c r="L24" s="174" t="s">
        <v>458</v>
      </c>
      <c r="M24" s="174">
        <v>38.93</v>
      </c>
      <c r="N24" s="174">
        <v>1492833600</v>
      </c>
      <c r="O24" s="174">
        <v>2.97</v>
      </c>
      <c r="P24" s="174">
        <v>65</v>
      </c>
      <c r="Q24" s="174">
        <v>2.79</v>
      </c>
      <c r="R24"/>
    </row>
    <row r="25" spans="1:18" x14ac:dyDescent="0.25">
      <c r="A25" s="174">
        <v>40.33</v>
      </c>
      <c r="B25" s="174">
        <v>0.9</v>
      </c>
      <c r="C25" s="174">
        <v>36.4</v>
      </c>
      <c r="D25" s="159">
        <v>42846.958333333336</v>
      </c>
      <c r="E25" s="174">
        <v>0.86</v>
      </c>
      <c r="F25" s="174" t="s">
        <v>418</v>
      </c>
      <c r="G25" s="174">
        <v>370.47</v>
      </c>
      <c r="H25" s="174">
        <v>3.8999999999999998E-3</v>
      </c>
      <c r="I25" s="174">
        <v>0.15</v>
      </c>
      <c r="J25" s="174" t="s">
        <v>504</v>
      </c>
      <c r="K25" s="174">
        <v>1022.84</v>
      </c>
      <c r="L25" s="174" t="s">
        <v>458</v>
      </c>
      <c r="M25" s="174">
        <v>40.33</v>
      </c>
      <c r="N25" s="174">
        <v>1492837200</v>
      </c>
      <c r="O25" s="174">
        <v>2.82</v>
      </c>
      <c r="P25" s="174">
        <v>64</v>
      </c>
      <c r="Q25" s="174">
        <v>1.96</v>
      </c>
      <c r="R25"/>
    </row>
    <row r="26" spans="1:18" x14ac:dyDescent="0.25">
      <c r="A26" s="174">
        <v>39.72</v>
      </c>
      <c r="B26" s="174">
        <v>0.94</v>
      </c>
      <c r="C26" s="174">
        <v>36.200000000000003</v>
      </c>
      <c r="D26" s="159">
        <v>42847</v>
      </c>
      <c r="E26" s="174">
        <v>0.87</v>
      </c>
      <c r="F26" s="174" t="s">
        <v>838</v>
      </c>
      <c r="G26" s="174">
        <v>371.6</v>
      </c>
      <c r="H26" s="174">
        <v>2.7000000000000001E-3</v>
      </c>
      <c r="I26" s="174">
        <v>0.08</v>
      </c>
      <c r="J26" s="174" t="s">
        <v>504</v>
      </c>
      <c r="K26" s="174">
        <v>1023.36</v>
      </c>
      <c r="L26" s="174" t="s">
        <v>839</v>
      </c>
      <c r="M26" s="174">
        <v>39.72</v>
      </c>
      <c r="N26" s="174">
        <v>1492840800</v>
      </c>
      <c r="O26" s="174">
        <v>2.59</v>
      </c>
      <c r="P26" s="174">
        <v>75</v>
      </c>
      <c r="Q26" s="174">
        <v>1.99</v>
      </c>
      <c r="R26"/>
    </row>
    <row r="27" spans="1:18" x14ac:dyDescent="0.25">
      <c r="A27" s="174">
        <v>38.450000000000003</v>
      </c>
      <c r="B27" s="174">
        <v>0.94</v>
      </c>
      <c r="C27" s="174">
        <v>35.369999999999997</v>
      </c>
      <c r="D27" s="159">
        <v>42847.041666666664</v>
      </c>
      <c r="E27" s="174">
        <v>0.89</v>
      </c>
      <c r="F27" s="174" t="s">
        <v>838</v>
      </c>
      <c r="G27" s="174">
        <v>373.44</v>
      </c>
      <c r="H27" s="174">
        <v>0</v>
      </c>
      <c r="I27" s="174">
        <v>0</v>
      </c>
      <c r="J27" s="174"/>
      <c r="K27" s="174">
        <v>1023.54</v>
      </c>
      <c r="L27" s="174" t="s">
        <v>839</v>
      </c>
      <c r="M27" s="174">
        <v>38.450000000000003</v>
      </c>
      <c r="N27" s="174">
        <v>1492844400</v>
      </c>
      <c r="O27" s="174">
        <v>2.4500000000000002</v>
      </c>
      <c r="P27" s="174">
        <v>65</v>
      </c>
      <c r="Q27" s="174">
        <v>1.52</v>
      </c>
      <c r="R27"/>
    </row>
    <row r="28" spans="1:18" x14ac:dyDescent="0.25">
      <c r="A28" s="174">
        <v>39.36</v>
      </c>
      <c r="B28" s="174">
        <v>0.95</v>
      </c>
      <c r="C28" s="174">
        <v>36.33</v>
      </c>
      <c r="D28" s="159">
        <v>42847.083333333336</v>
      </c>
      <c r="E28" s="174">
        <v>0.89</v>
      </c>
      <c r="F28" s="174" t="s">
        <v>838</v>
      </c>
      <c r="G28" s="174">
        <v>375.29</v>
      </c>
      <c r="H28" s="174">
        <v>0</v>
      </c>
      <c r="I28" s="174">
        <v>0</v>
      </c>
      <c r="J28" s="174"/>
      <c r="K28" s="174">
        <v>1023.71</v>
      </c>
      <c r="L28" s="174" t="s">
        <v>839</v>
      </c>
      <c r="M28" s="174">
        <v>39.36</v>
      </c>
      <c r="N28" s="174">
        <v>1492848000</v>
      </c>
      <c r="O28" s="174">
        <v>2.4300000000000002</v>
      </c>
      <c r="P28" s="174">
        <v>75</v>
      </c>
      <c r="Q28" s="174">
        <v>1.33</v>
      </c>
      <c r="R28"/>
    </row>
    <row r="29" spans="1:18" x14ac:dyDescent="0.25">
      <c r="A29" s="174">
        <v>38.979999999999997</v>
      </c>
      <c r="B29" s="174">
        <v>0.96</v>
      </c>
      <c r="C29" s="174">
        <v>35.79</v>
      </c>
      <c r="D29" s="159">
        <v>42847.125</v>
      </c>
      <c r="E29" s="174">
        <v>0.88</v>
      </c>
      <c r="F29" s="174" t="s">
        <v>838</v>
      </c>
      <c r="G29" s="174">
        <v>377.14</v>
      </c>
      <c r="H29" s="174">
        <v>2.8E-3</v>
      </c>
      <c r="I29" s="174">
        <v>0.09</v>
      </c>
      <c r="J29" s="174" t="s">
        <v>504</v>
      </c>
      <c r="K29" s="174">
        <v>1023.87</v>
      </c>
      <c r="L29" s="174" t="s">
        <v>839</v>
      </c>
      <c r="M29" s="174">
        <v>38.979999999999997</v>
      </c>
      <c r="N29" s="174">
        <v>1492851600</v>
      </c>
      <c r="O29" s="174">
        <v>2.0299999999999998</v>
      </c>
      <c r="P29" s="174">
        <v>75</v>
      </c>
      <c r="Q29" s="174">
        <v>1.29</v>
      </c>
      <c r="R29"/>
    </row>
    <row r="30" spans="1:18" x14ac:dyDescent="0.25">
      <c r="A30" s="174"/>
      <c r="B30" s="174"/>
      <c r="C30" s="174"/>
      <c r="D30" s="159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</row>
    <row r="31" spans="1:18" x14ac:dyDescent="0.25">
      <c r="A31" s="186" t="s">
        <v>187</v>
      </c>
    </row>
    <row r="33" spans="1:1" x14ac:dyDescent="0.25">
      <c r="A33" s="186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6" bestFit="1" customWidth="1"/>
    <col min="11" max="11" width="15.28515625" style="146" hidden="1" customWidth="1"/>
    <col min="12" max="12" width="13.5703125" style="146" hidden="1" customWidth="1"/>
    <col min="13" max="13" width="9" style="159" bestFit="1" customWidth="1"/>
    <col min="14" max="17" width="9.140625" style="146"/>
    <col min="20" max="24" width="9.140625" style="159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1" t="s">
        <v>101</v>
      </c>
      <c r="K1" s="151" t="s">
        <v>66</v>
      </c>
      <c r="L1" s="151" t="s">
        <v>67</v>
      </c>
      <c r="O1" s="152" t="s">
        <v>102</v>
      </c>
      <c r="T1" s="165" t="s">
        <v>344</v>
      </c>
      <c r="U1" s="165"/>
      <c r="V1" s="165"/>
      <c r="W1" s="165"/>
      <c r="X1" s="165"/>
    </row>
    <row r="2" spans="1:24" ht="15.75" thickBot="1" x14ac:dyDescent="0.3">
      <c r="A2" s="12">
        <v>42846</v>
      </c>
      <c r="B2" s="4"/>
      <c r="C2" s="129">
        <v>50</v>
      </c>
      <c r="D2" s="130">
        <v>25</v>
      </c>
      <c r="F2" t="s">
        <v>113</v>
      </c>
      <c r="J2" s="151"/>
      <c r="K2" s="151" t="s">
        <v>66</v>
      </c>
      <c r="L2" s="151" t="s">
        <v>67</v>
      </c>
      <c r="T2" s="164" t="s">
        <v>345</v>
      </c>
      <c r="U2" s="164">
        <v>167</v>
      </c>
      <c r="V2" s="164">
        <v>168</v>
      </c>
      <c r="W2" s="164">
        <v>199</v>
      </c>
      <c r="X2" s="164">
        <v>200</v>
      </c>
    </row>
    <row r="3" spans="1:24" x14ac:dyDescent="0.25">
      <c r="C3" s="64"/>
      <c r="F3" t="s">
        <v>52</v>
      </c>
      <c r="J3" s="153" t="s">
        <v>68</v>
      </c>
      <c r="K3" s="154">
        <v>2.7052</v>
      </c>
      <c r="L3" s="154">
        <v>2.7349999999999999</v>
      </c>
      <c r="M3" s="159">
        <f t="shared" ref="M3:M14" si="0">AVERAGE(K3:L3)</f>
        <v>2.7201</v>
      </c>
      <c r="O3" s="146" t="s">
        <v>103</v>
      </c>
      <c r="P3" s="146">
        <f>AVERAGE(1.0714,1.1016)</f>
        <v>1.0865</v>
      </c>
      <c r="T3" s="164" t="s">
        <v>346</v>
      </c>
      <c r="U3" s="164">
        <v>174</v>
      </c>
      <c r="V3" s="164">
        <v>176</v>
      </c>
      <c r="W3" s="164">
        <v>207</v>
      </c>
      <c r="X3" s="164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3" t="s">
        <v>69</v>
      </c>
      <c r="K4" s="154">
        <v>3.0830000000000002</v>
      </c>
      <c r="L4" s="154">
        <v>3.097</v>
      </c>
      <c r="M4" s="159">
        <f t="shared" si="0"/>
        <v>3.09</v>
      </c>
      <c r="T4" s="164" t="s">
        <v>347</v>
      </c>
      <c r="U4" s="164">
        <v>173</v>
      </c>
      <c r="V4" s="164">
        <v>175</v>
      </c>
      <c r="W4" s="164">
        <v>208</v>
      </c>
      <c r="X4" s="164">
        <v>209</v>
      </c>
    </row>
    <row r="5" spans="1:24" x14ac:dyDescent="0.25">
      <c r="C5" s="64">
        <v>30</v>
      </c>
      <c r="D5" s="64">
        <v>9</v>
      </c>
      <c r="J5" s="153" t="s">
        <v>70</v>
      </c>
      <c r="K5" s="154">
        <v>3.3136000000000001</v>
      </c>
      <c r="L5" s="154">
        <v>3.3256999999999999</v>
      </c>
      <c r="M5" s="159">
        <f t="shared" si="0"/>
        <v>3.3196500000000002</v>
      </c>
      <c r="T5" s="164" t="s">
        <v>348</v>
      </c>
      <c r="U5" s="164">
        <v>187</v>
      </c>
      <c r="V5" s="164">
        <v>188</v>
      </c>
      <c r="W5" s="164">
        <v>223</v>
      </c>
      <c r="X5" s="164">
        <v>224</v>
      </c>
    </row>
    <row r="6" spans="1:24" x14ac:dyDescent="0.25">
      <c r="C6" s="64"/>
      <c r="F6" t="s">
        <v>114</v>
      </c>
      <c r="J6" s="153" t="s">
        <v>71</v>
      </c>
      <c r="K6" s="154">
        <v>4.2778999999999998</v>
      </c>
      <c r="L6" s="154">
        <v>4.2961</v>
      </c>
      <c r="M6" s="159">
        <f t="shared" si="0"/>
        <v>4.2869999999999999</v>
      </c>
      <c r="T6" s="164"/>
      <c r="U6" s="164"/>
      <c r="V6" s="164"/>
      <c r="W6" s="164"/>
      <c r="X6" s="164"/>
    </row>
    <row r="7" spans="1:24" x14ac:dyDescent="0.25">
      <c r="C7" s="64"/>
      <c r="F7" t="s">
        <v>115</v>
      </c>
      <c r="J7" s="153" t="s">
        <v>72</v>
      </c>
      <c r="K7" s="154">
        <v>4.7865000000000002</v>
      </c>
      <c r="L7" s="154">
        <v>4.8048000000000002</v>
      </c>
      <c r="M7" s="159">
        <f t="shared" si="0"/>
        <v>4.7956500000000002</v>
      </c>
      <c r="T7" s="164"/>
      <c r="U7" s="164"/>
      <c r="V7" s="164"/>
      <c r="W7" s="164"/>
      <c r="X7" s="164"/>
    </row>
    <row r="8" spans="1:24" x14ac:dyDescent="0.25">
      <c r="C8" s="64"/>
      <c r="F8" t="s">
        <v>116</v>
      </c>
      <c r="J8" s="153" t="s">
        <v>73</v>
      </c>
      <c r="K8" s="154">
        <v>5.3155000000000001</v>
      </c>
      <c r="L8" s="154">
        <v>5.3277000000000001</v>
      </c>
      <c r="M8" s="159">
        <f t="shared" si="0"/>
        <v>5.3216000000000001</v>
      </c>
      <c r="T8" s="164"/>
      <c r="U8" s="164"/>
      <c r="V8" s="164"/>
      <c r="W8" s="164"/>
      <c r="X8" s="164"/>
    </row>
    <row r="9" spans="1:24" x14ac:dyDescent="0.25">
      <c r="C9" s="64"/>
      <c r="J9" s="153" t="s">
        <v>74</v>
      </c>
      <c r="K9" s="154">
        <v>5.8117000000000001</v>
      </c>
      <c r="L9" s="154">
        <v>5.8300999999999998</v>
      </c>
      <c r="M9" s="159">
        <f t="shared" si="0"/>
        <v>5.8209</v>
      </c>
      <c r="T9" s="164"/>
      <c r="U9" s="164"/>
      <c r="V9" s="164"/>
      <c r="W9" s="164"/>
      <c r="X9" s="164"/>
    </row>
    <row r="10" spans="1:24" x14ac:dyDescent="0.25">
      <c r="C10" s="64"/>
      <c r="J10" s="153" t="s">
        <v>75</v>
      </c>
      <c r="K10" s="154">
        <v>5.8783000000000003</v>
      </c>
      <c r="L10" s="154">
        <v>5.8903999999999996</v>
      </c>
      <c r="M10" s="159">
        <f t="shared" si="0"/>
        <v>5.8843499999999995</v>
      </c>
      <c r="T10" s="164"/>
      <c r="U10" s="164"/>
      <c r="V10" s="164"/>
      <c r="W10" s="164"/>
      <c r="X10" s="164"/>
    </row>
    <row r="11" spans="1:24" x14ac:dyDescent="0.25">
      <c r="C11" s="64"/>
      <c r="J11" s="153" t="s">
        <v>76</v>
      </c>
      <c r="K11" s="154">
        <v>6.3068</v>
      </c>
      <c r="L11" s="154">
        <v>6.3308999999999997</v>
      </c>
      <c r="M11" s="159">
        <f t="shared" si="0"/>
        <v>6.3188499999999994</v>
      </c>
      <c r="T11" s="164"/>
      <c r="U11" s="164"/>
      <c r="V11" s="164"/>
      <c r="W11" s="164"/>
      <c r="X11" s="164"/>
    </row>
    <row r="12" spans="1:24" x14ac:dyDescent="0.25">
      <c r="C12" s="64"/>
      <c r="J12" s="153" t="s">
        <v>77</v>
      </c>
      <c r="K12" s="154">
        <v>7.8349000000000002</v>
      </c>
      <c r="L12" s="154">
        <v>7.8468999999999998</v>
      </c>
      <c r="M12" s="159">
        <f t="shared" si="0"/>
        <v>7.8408999999999995</v>
      </c>
      <c r="T12" s="164"/>
      <c r="U12" s="164"/>
      <c r="V12" s="164"/>
      <c r="W12" s="164"/>
      <c r="X12" s="164"/>
    </row>
    <row r="13" spans="1:24" x14ac:dyDescent="0.25">
      <c r="C13" s="64"/>
      <c r="J13" s="153" t="s">
        <v>78</v>
      </c>
      <c r="K13" s="154">
        <v>10.373799999999999</v>
      </c>
      <c r="L13" s="154">
        <v>10.38</v>
      </c>
      <c r="M13" s="159">
        <f t="shared" si="0"/>
        <v>10.376899999999999</v>
      </c>
      <c r="T13" s="164"/>
      <c r="U13" s="164"/>
      <c r="V13" s="164"/>
      <c r="W13" s="164"/>
      <c r="X13" s="164"/>
    </row>
    <row r="14" spans="1:24" x14ac:dyDescent="0.25">
      <c r="C14" s="64"/>
      <c r="J14" s="153" t="s">
        <v>79</v>
      </c>
      <c r="K14" s="154">
        <v>10.8954</v>
      </c>
      <c r="L14" s="154">
        <v>10.913500000000001</v>
      </c>
      <c r="M14" s="159">
        <f t="shared" si="0"/>
        <v>10.904450000000001</v>
      </c>
      <c r="T14" s="164"/>
      <c r="U14" s="164"/>
      <c r="V14" s="164"/>
      <c r="W14" s="164"/>
      <c r="X14" s="164"/>
    </row>
    <row r="15" spans="1:24" x14ac:dyDescent="0.25">
      <c r="C15" s="64"/>
      <c r="J15" s="153"/>
      <c r="K15" s="154"/>
      <c r="L15" s="154"/>
      <c r="T15" s="164"/>
      <c r="U15" s="164"/>
      <c r="V15" s="164"/>
      <c r="W15" s="164"/>
      <c r="X15" s="164"/>
    </row>
    <row r="16" spans="1:24" x14ac:dyDescent="0.25">
      <c r="C16" s="64"/>
      <c r="J16" s="153"/>
      <c r="K16" s="154"/>
      <c r="L16" s="154"/>
      <c r="T16" s="164"/>
      <c r="U16" s="164"/>
      <c r="V16" s="164"/>
      <c r="W16" s="164"/>
      <c r="X16" s="164"/>
    </row>
    <row r="17" spans="3:24" x14ac:dyDescent="0.25">
      <c r="C17" s="143" t="s">
        <v>188</v>
      </c>
      <c r="J17" s="153"/>
      <c r="K17" s="154"/>
      <c r="L17" s="154"/>
      <c r="T17" s="164"/>
      <c r="U17" s="164"/>
      <c r="V17" s="164"/>
      <c r="W17" s="164"/>
      <c r="X17" s="164"/>
    </row>
    <row r="18" spans="3:24" x14ac:dyDescent="0.25">
      <c r="C18" t="s">
        <v>1012</v>
      </c>
      <c r="J18" s="153" t="s">
        <v>85</v>
      </c>
      <c r="K18" s="154"/>
      <c r="L18" s="154"/>
      <c r="M18" s="159" t="str">
        <f>"""C:\Program Files (x86)\AstroGrep\AstroGrep.exe"""</f>
        <v>"C:\Program Files (x86)\AstroGrep\AstroGrep.exe"</v>
      </c>
      <c r="T18" s="164"/>
      <c r="U18" s="164"/>
      <c r="V18" s="164"/>
      <c r="W18" s="164"/>
      <c r="X18" s="164"/>
    </row>
    <row r="19" spans="3:24" x14ac:dyDescent="0.25">
      <c r="C19" t="s">
        <v>1013</v>
      </c>
      <c r="J19" s="153" t="s">
        <v>86</v>
      </c>
      <c r="K19" s="154"/>
      <c r="L19" s="154"/>
      <c r="M19" s="159" t="s">
        <v>112</v>
      </c>
      <c r="T19" s="164"/>
      <c r="U19" s="164"/>
      <c r="V19" s="164"/>
      <c r="W19" s="164"/>
      <c r="X19" s="164"/>
    </row>
    <row r="20" spans="3:24" x14ac:dyDescent="0.25">
      <c r="C20" t="s">
        <v>1014</v>
      </c>
      <c r="J20" s="146" t="s">
        <v>87</v>
      </c>
      <c r="M20" s="159" t="s">
        <v>343</v>
      </c>
      <c r="N20" s="159" t="s">
        <v>343</v>
      </c>
      <c r="T20" s="164"/>
      <c r="U20" s="164"/>
      <c r="V20" s="164"/>
      <c r="W20" s="164"/>
      <c r="X20" s="164"/>
    </row>
    <row r="21" spans="3:24" x14ac:dyDescent="0.25">
      <c r="C21" t="s">
        <v>1015</v>
      </c>
      <c r="J21" s="146" t="s">
        <v>90</v>
      </c>
      <c r="K21" s="146" t="s">
        <v>91</v>
      </c>
      <c r="M21" s="159" t="s">
        <v>178</v>
      </c>
      <c r="T21" s="164"/>
      <c r="U21" s="164"/>
      <c r="V21" s="164"/>
      <c r="W21" s="164"/>
      <c r="X21" s="164"/>
    </row>
    <row r="22" spans="3:24" x14ac:dyDescent="0.25">
      <c r="C22" t="s">
        <v>1016</v>
      </c>
      <c r="J22" s="146" t="s">
        <v>92</v>
      </c>
      <c r="K22" s="146" t="s">
        <v>93</v>
      </c>
      <c r="M22" s="159" t="s">
        <v>111</v>
      </c>
      <c r="T22" s="164"/>
      <c r="U22" s="164"/>
      <c r="V22" s="164"/>
      <c r="W22" s="164"/>
      <c r="X22" s="164"/>
    </row>
    <row r="23" spans="3:24" x14ac:dyDescent="0.25">
      <c r="C23" t="s">
        <v>1017</v>
      </c>
      <c r="J23" s="155" t="s">
        <v>95</v>
      </c>
      <c r="M23" s="159" t="str">
        <f>"-06"</f>
        <v>-06</v>
      </c>
      <c r="T23" s="164"/>
      <c r="U23" s="164"/>
      <c r="V23" s="164"/>
      <c r="W23" s="164"/>
      <c r="X23" s="164"/>
    </row>
    <row r="24" spans="3:24" x14ac:dyDescent="0.25">
      <c r="C24" t="s">
        <v>1018</v>
      </c>
      <c r="J24" s="146" t="s">
        <v>108</v>
      </c>
      <c r="M24" s="159" t="s">
        <v>110</v>
      </c>
      <c r="T24" s="164"/>
      <c r="U24" s="164"/>
      <c r="V24" s="164"/>
      <c r="W24" s="164"/>
      <c r="X24" s="164"/>
    </row>
    <row r="25" spans="3:24" x14ac:dyDescent="0.25">
      <c r="C25" t="s">
        <v>1019</v>
      </c>
      <c r="J25" s="146" t="s">
        <v>150</v>
      </c>
      <c r="M25" s="159" t="b">
        <v>1</v>
      </c>
    </row>
    <row r="26" spans="3:24" x14ac:dyDescent="0.25">
      <c r="C26" t="s">
        <v>1020</v>
      </c>
      <c r="J26" s="146" t="s">
        <v>151</v>
      </c>
      <c r="M26" s="159" t="str">
        <f>"C:\Users\stu\Documents\GitHub\eaglep3-reporting\EC\"&amp;TEXT(A2,"yyyy-mm-dd")&amp;"-refined-times.txt"</f>
        <v>C:\Users\stu\Documents\GitHub\eaglep3-reporting\EC\2017-04-21-refined-times.txt</v>
      </c>
    </row>
    <row r="27" spans="3:24" x14ac:dyDescent="0.25">
      <c r="C27" t="s">
        <v>1021</v>
      </c>
      <c r="J27" s="146" t="s">
        <v>180</v>
      </c>
      <c r="M27" s="159" t="str">
        <f>"C:\Users\stu\Documents\GitHub\eaglep3-reporting\EC\"&amp;TEXT(A2,"YYYY-MM-DD")&amp;"-Enforcements.txt"</f>
        <v>C:\Users\stu\Documents\GitHub\eaglep3-reporting\EC\2017-04-21-Enforcements.txt</v>
      </c>
    </row>
    <row r="28" spans="3:24" x14ac:dyDescent="0.25">
      <c r="C28" t="s">
        <v>1022</v>
      </c>
      <c r="J28" s="146" t="s">
        <v>181</v>
      </c>
      <c r="M28" s="159" t="str">
        <f>"C:\Users\stu\Documents\GitHub\eaglep3-reporting\EC\"&amp;TEXT(A2,"YYYY-MM-DD")&amp;"-Runs-refined.txt"</f>
        <v>C:\Users\stu\Documents\GitHub\eaglep3-reporting\EC\2017-04-21-Runs-refined.txt</v>
      </c>
    </row>
    <row r="29" spans="3:24" x14ac:dyDescent="0.25">
      <c r="C29" t="s">
        <v>1023</v>
      </c>
      <c r="J29" s="146" t="s">
        <v>182</v>
      </c>
      <c r="M29" s="159" t="str">
        <f>"C:\Users\stu\Documents\GitHub\eaglep3-reporting\EC\"&amp;TEXT(A2,"YYYY-MM-DD")&amp;"-Trips.txt"</f>
        <v>C:\Users\stu\Documents\GitHub\eaglep3-reporting\EC\2017-04-21-Trips.txt</v>
      </c>
    </row>
    <row r="30" spans="3:24" x14ac:dyDescent="0.25">
      <c r="C30" t="s">
        <v>1024</v>
      </c>
      <c r="J30" s="146" t="s">
        <v>183</v>
      </c>
      <c r="M30" s="159" t="str">
        <f>"C:\Users\stu\Documents\GitHub\eaglep3-reporting\EC\"&amp;TEXT(A2,"YYYY-MM-DD")&amp;"-Weather.txt"</f>
        <v>C:\Users\stu\Documents\GitHub\eaglep3-reporting\EC\2017-04-21-Weather.txt</v>
      </c>
    </row>
    <row r="31" spans="3:24" x14ac:dyDescent="0.25">
      <c r="C31" t="s">
        <v>1025</v>
      </c>
      <c r="J31" s="146" t="s">
        <v>200</v>
      </c>
      <c r="M31" s="159" t="s">
        <v>201</v>
      </c>
    </row>
    <row r="32" spans="3:24" x14ac:dyDescent="0.25">
      <c r="C32" t="s">
        <v>1026</v>
      </c>
    </row>
    <row r="33" spans="3:3" x14ac:dyDescent="0.25">
      <c r="C33" t="s">
        <v>1027</v>
      </c>
    </row>
    <row r="34" spans="3:3" x14ac:dyDescent="0.25">
      <c r="C34" t="s">
        <v>1028</v>
      </c>
    </row>
    <row r="35" spans="3:3" x14ac:dyDescent="0.25">
      <c r="C35" t="s">
        <v>1029</v>
      </c>
    </row>
    <row r="36" spans="3:3" x14ac:dyDescent="0.25">
      <c r="C36" t="s">
        <v>1030</v>
      </c>
    </row>
    <row r="37" spans="3:3" x14ac:dyDescent="0.25">
      <c r="C37" t="s">
        <v>585</v>
      </c>
    </row>
    <row r="38" spans="3:3" x14ac:dyDescent="0.25">
      <c r="C38" t="s">
        <v>1031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17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169" t="s">
        <v>119</v>
      </c>
      <c r="J1" s="159" t="s">
        <v>380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59" t="s">
        <v>120</v>
      </c>
      <c r="J2" s="159" t="s">
        <v>381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59">
        <v>1</v>
      </c>
      <c r="J3" s="159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59">
        <v>2</v>
      </c>
      <c r="J4" s="159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59">
        <v>23</v>
      </c>
      <c r="J5" s="159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17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2017-04-24T20:15:43Z</dcterms:modified>
</cp:coreProperties>
</file>