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Enforcements!$A$6:$AC$48</definedName>
    <definedName name="_xlnm._FilterDatabase" localSheetId="2" hidden="1">'Missing Trips'!$A$2:$J$119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9" l="1"/>
  <c r="X154" i="1" l="1"/>
  <c r="X155" i="1"/>
  <c r="X156" i="1"/>
  <c r="X157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A121" i="1" l="1"/>
  <c r="AG12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8" i="3" s="1"/>
  <c r="Y32" i="1"/>
  <c r="Z32" i="1"/>
  <c r="AB32" i="1"/>
  <c r="AC32" i="1"/>
  <c r="AD32" i="1"/>
  <c r="AE32" i="1"/>
  <c r="R8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S9" i="3" s="1"/>
  <c r="Y36" i="1"/>
  <c r="Z36" i="1"/>
  <c r="AB36" i="1"/>
  <c r="AC36" i="1"/>
  <c r="AD36" i="1"/>
  <c r="T36" i="1" s="1"/>
  <c r="AE36" i="1"/>
  <c r="R9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7" i="3" s="1"/>
  <c r="Y60" i="1"/>
  <c r="Z60" i="1"/>
  <c r="AB60" i="1"/>
  <c r="AC60" i="1"/>
  <c r="AD60" i="1"/>
  <c r="AE60" i="1"/>
  <c r="R17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11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S12" i="3" s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18" i="3" s="1"/>
  <c r="Y70" i="1"/>
  <c r="Z70" i="1"/>
  <c r="AB70" i="1"/>
  <c r="AC70" i="1"/>
  <c r="AD70" i="1"/>
  <c r="T70" i="1" s="1"/>
  <c r="AE70" i="1"/>
  <c r="R18" i="3" s="1"/>
  <c r="AF70" i="1"/>
  <c r="AH70" i="1"/>
  <c r="AM70" i="1"/>
  <c r="AN70" i="1"/>
  <c r="K71" i="1"/>
  <c r="L71" i="1"/>
  <c r="M71" i="1"/>
  <c r="P71" i="1" s="1"/>
  <c r="V71" i="1"/>
  <c r="S13" i="3" s="1"/>
  <c r="Y71" i="1"/>
  <c r="Z71" i="1"/>
  <c r="AB71" i="1"/>
  <c r="AC71" i="1"/>
  <c r="AD71" i="1"/>
  <c r="AG71" i="1" s="1"/>
  <c r="AE71" i="1"/>
  <c r="R13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P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4" i="3" s="1"/>
  <c r="Y74" i="1"/>
  <c r="Z74" i="1"/>
  <c r="AB74" i="1"/>
  <c r="AC74" i="1"/>
  <c r="AD74" i="1"/>
  <c r="T74" i="1" s="1"/>
  <c r="AE74" i="1"/>
  <c r="R24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S22" i="3" s="1"/>
  <c r="Y84" i="1"/>
  <c r="Z84" i="1"/>
  <c r="AB84" i="1"/>
  <c r="AC84" i="1"/>
  <c r="AD84" i="1"/>
  <c r="AE84" i="1"/>
  <c r="R22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S23" i="3" s="1"/>
  <c r="Y90" i="1"/>
  <c r="Z90" i="1"/>
  <c r="AB90" i="1"/>
  <c r="AC90" i="1"/>
  <c r="AD90" i="1"/>
  <c r="AG90" i="1" s="1"/>
  <c r="AE90" i="1"/>
  <c r="R23" i="3" s="1"/>
  <c r="AF90" i="1"/>
  <c r="AH90" i="1"/>
  <c r="AM90" i="1"/>
  <c r="AN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91" i="1"/>
  <c r="AM91" i="1"/>
  <c r="AN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92" i="1"/>
  <c r="AM92" i="1"/>
  <c r="AN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101" i="1"/>
  <c r="AM101" i="1"/>
  <c r="AN101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2" i="1"/>
  <c r="AM102" i="1"/>
  <c r="AN10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3" i="1"/>
  <c r="AM103" i="1"/>
  <c r="AN1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R27" i="3" s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1" i="1"/>
  <c r="AM111" i="1"/>
  <c r="AN11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112" i="1"/>
  <c r="AM112" i="1"/>
  <c r="AN11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3" i="1"/>
  <c r="AM113" i="1"/>
  <c r="AN11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K182" i="1"/>
  <c r="L182" i="1"/>
  <c r="M182" i="1"/>
  <c r="N182" i="1" s="1"/>
  <c r="V182" i="1"/>
  <c r="S28" i="3" s="1"/>
  <c r="Y182" i="1"/>
  <c r="Z182" i="1"/>
  <c r="AB182" i="1"/>
  <c r="AC182" i="1"/>
  <c r="AD182" i="1"/>
  <c r="T182" i="1" s="1"/>
  <c r="AE182" i="1"/>
  <c r="R28" i="3" s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5" i="1"/>
  <c r="AM125" i="1"/>
  <c r="AN12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6" i="1"/>
  <c r="AM126" i="1"/>
  <c r="AN126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27" i="1"/>
  <c r="AM127" i="1"/>
  <c r="AN127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8" i="1"/>
  <c r="AM128" i="1"/>
  <c r="AN128" i="1"/>
  <c r="K96" i="1"/>
  <c r="L96" i="1"/>
  <c r="M96" i="1"/>
  <c r="N96" i="1" s="1"/>
  <c r="V96" i="1"/>
  <c r="S21" i="3" s="1"/>
  <c r="Y96" i="1"/>
  <c r="Z96" i="1"/>
  <c r="AB96" i="1"/>
  <c r="AC96" i="1"/>
  <c r="AD96" i="1"/>
  <c r="AG96" i="1" s="1"/>
  <c r="AE96" i="1"/>
  <c r="R21" i="3" s="1"/>
  <c r="AF96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0" i="1"/>
  <c r="AM130" i="1"/>
  <c r="AN130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A100" i="1" s="1"/>
  <c r="AB100" i="1"/>
  <c r="AC100" i="1"/>
  <c r="AD100" i="1"/>
  <c r="AG100" i="1" s="1"/>
  <c r="AE100" i="1"/>
  <c r="AF100" i="1"/>
  <c r="AH133" i="1"/>
  <c r="AM133" i="1"/>
  <c r="AN13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134" i="1"/>
  <c r="AM134" i="1"/>
  <c r="AN13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R10" i="3" s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4" i="1"/>
  <c r="AM144" i="1"/>
  <c r="AN144" i="1"/>
  <c r="K110" i="1"/>
  <c r="L110" i="1"/>
  <c r="M110" i="1"/>
  <c r="P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7" i="1"/>
  <c r="AM147" i="1"/>
  <c r="AN147" i="1"/>
  <c r="K113" i="1"/>
  <c r="L113" i="1"/>
  <c r="M113" i="1"/>
  <c r="N113" i="1" s="1"/>
  <c r="V113" i="1"/>
  <c r="S14" i="3" s="1"/>
  <c r="Y113" i="1"/>
  <c r="Z113" i="1"/>
  <c r="AB113" i="1"/>
  <c r="AC113" i="1"/>
  <c r="AD113" i="1"/>
  <c r="AE113" i="1"/>
  <c r="R14" i="3" s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/>
  <c r="V115" i="1"/>
  <c r="Y115" i="1"/>
  <c r="Z115" i="1"/>
  <c r="AB115" i="1"/>
  <c r="AC115" i="1"/>
  <c r="AD115" i="1"/>
  <c r="AG115" i="1" s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R25" i="3" s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I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S19" i="3" s="1"/>
  <c r="Y143" i="1"/>
  <c r="Z143" i="1"/>
  <c r="AB143" i="1"/>
  <c r="AC143" i="1"/>
  <c r="AD143" i="1"/>
  <c r="AE143" i="1"/>
  <c r="R19" i="3" s="1"/>
  <c r="AF143" i="1"/>
  <c r="AH178" i="1"/>
  <c r="AM178" i="1"/>
  <c r="AN178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S7" i="3" s="1"/>
  <c r="Y145" i="1"/>
  <c r="Z145" i="1"/>
  <c r="AB145" i="1"/>
  <c r="AC145" i="1"/>
  <c r="AD145" i="1"/>
  <c r="T145" i="1" s="1"/>
  <c r="AE145" i="1"/>
  <c r="R7" i="3" s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S20" i="3" s="1"/>
  <c r="Y154" i="1"/>
  <c r="Z154" i="1"/>
  <c r="AB154" i="1"/>
  <c r="AC154" i="1"/>
  <c r="AD154" i="1"/>
  <c r="AG154" i="1" s="1"/>
  <c r="AE154" i="1"/>
  <c r="R20" i="3" s="1"/>
  <c r="AF154" i="1"/>
  <c r="AH189" i="1"/>
  <c r="AM189" i="1"/>
  <c r="AN189" i="1"/>
  <c r="AH190" i="1"/>
  <c r="AM190" i="1"/>
  <c r="AN190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191" i="1"/>
  <c r="AM191" i="1"/>
  <c r="AN19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2" i="1"/>
  <c r="AM192" i="1"/>
  <c r="AN19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S29" i="3" s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M8" i="3"/>
  <c r="U8" i="3"/>
  <c r="T8" i="3" s="1"/>
  <c r="V8" i="3"/>
  <c r="W8" i="3"/>
  <c r="Y8" i="3" s="1"/>
  <c r="X8" i="3"/>
  <c r="AC8" i="3"/>
  <c r="M16" i="3"/>
  <c r="R16" i="3"/>
  <c r="S16" i="3"/>
  <c r="U16" i="3"/>
  <c r="V16" i="3"/>
  <c r="W16" i="3"/>
  <c r="X16" i="3"/>
  <c r="M9" i="3"/>
  <c r="U9" i="3"/>
  <c r="AC9" i="3" s="1"/>
  <c r="V9" i="3"/>
  <c r="W9" i="3"/>
  <c r="Y9" i="3" s="1"/>
  <c r="X9" i="3"/>
  <c r="M15" i="3"/>
  <c r="R15" i="3"/>
  <c r="S15" i="3"/>
  <c r="U15" i="3"/>
  <c r="AC15" i="3" s="1"/>
  <c r="V15" i="3"/>
  <c r="W15" i="3"/>
  <c r="X15" i="3"/>
  <c r="AD15" i="3"/>
  <c r="M11" i="3"/>
  <c r="S11" i="3"/>
  <c r="U11" i="3"/>
  <c r="T11" i="3" s="1"/>
  <c r="V11" i="3"/>
  <c r="W11" i="3"/>
  <c r="Y11" i="3" s="1"/>
  <c r="X11" i="3"/>
  <c r="AC11" i="3"/>
  <c r="M17" i="3"/>
  <c r="U17" i="3"/>
  <c r="V17" i="3"/>
  <c r="W17" i="3"/>
  <c r="X17" i="3"/>
  <c r="M13" i="3"/>
  <c r="U13" i="3"/>
  <c r="AC13" i="3" s="1"/>
  <c r="V13" i="3"/>
  <c r="W13" i="3"/>
  <c r="X13" i="3"/>
  <c r="M18" i="3"/>
  <c r="U18" i="3"/>
  <c r="AC18" i="3" s="1"/>
  <c r="V18" i="3"/>
  <c r="W18" i="3"/>
  <c r="X18" i="3"/>
  <c r="AD18" i="3"/>
  <c r="M12" i="3"/>
  <c r="R12" i="3"/>
  <c r="U12" i="3"/>
  <c r="T12" i="3" s="1"/>
  <c r="V12" i="3"/>
  <c r="W12" i="3"/>
  <c r="X12" i="3"/>
  <c r="AC12" i="3"/>
  <c r="M24" i="3"/>
  <c r="U24" i="3"/>
  <c r="AD24" i="3" s="1"/>
  <c r="V24" i="3"/>
  <c r="W24" i="3"/>
  <c r="Y24" i="3" s="1"/>
  <c r="X24" i="3"/>
  <c r="M22" i="3"/>
  <c r="U22" i="3"/>
  <c r="AC22" i="3" s="1"/>
  <c r="V22" i="3"/>
  <c r="W22" i="3"/>
  <c r="X22" i="3"/>
  <c r="M27" i="3"/>
  <c r="S27" i="3"/>
  <c r="U27" i="3"/>
  <c r="AC27" i="3" s="1"/>
  <c r="V27" i="3"/>
  <c r="W27" i="3"/>
  <c r="X27" i="3"/>
  <c r="M23" i="3"/>
  <c r="U23" i="3"/>
  <c r="T23" i="3" s="1"/>
  <c r="V23" i="3"/>
  <c r="W23" i="3"/>
  <c r="X23" i="3"/>
  <c r="AC23" i="3"/>
  <c r="M21" i="3"/>
  <c r="U21" i="3"/>
  <c r="AD21" i="3" s="1"/>
  <c r="V21" i="3"/>
  <c r="W21" i="3"/>
  <c r="X21" i="3"/>
  <c r="M14" i="3"/>
  <c r="U14" i="3"/>
  <c r="AC14" i="3" s="1"/>
  <c r="V14" i="3"/>
  <c r="W14" i="3"/>
  <c r="X14" i="3"/>
  <c r="M10" i="3"/>
  <c r="S10" i="3"/>
  <c r="U10" i="3"/>
  <c r="AC10" i="3" s="1"/>
  <c r="V10" i="3"/>
  <c r="W10" i="3"/>
  <c r="X10" i="3"/>
  <c r="AD10" i="3"/>
  <c r="M25" i="3"/>
  <c r="S25" i="3"/>
  <c r="U25" i="3"/>
  <c r="T25" i="3" s="1"/>
  <c r="V25" i="3"/>
  <c r="W25" i="3"/>
  <c r="Y25" i="3" s="1"/>
  <c r="X25" i="3"/>
  <c r="AC25" i="3"/>
  <c r="M28" i="3"/>
  <c r="U28" i="3"/>
  <c r="AD28" i="3" s="1"/>
  <c r="V28" i="3"/>
  <c r="W28" i="3"/>
  <c r="X28" i="3"/>
  <c r="M29" i="3"/>
  <c r="R29" i="3"/>
  <c r="U29" i="3"/>
  <c r="AC29" i="3" s="1"/>
  <c r="V29" i="3"/>
  <c r="W29" i="3"/>
  <c r="X29" i="3"/>
  <c r="M19" i="3"/>
  <c r="U19" i="3"/>
  <c r="AC19" i="3" s="1"/>
  <c r="V19" i="3"/>
  <c r="W19" i="3"/>
  <c r="X19" i="3"/>
  <c r="AD19" i="3"/>
  <c r="M7" i="3"/>
  <c r="U7" i="3"/>
  <c r="T7" i="3" s="1"/>
  <c r="V7" i="3"/>
  <c r="W7" i="3"/>
  <c r="X7" i="3"/>
  <c r="AC7" i="3"/>
  <c r="M20" i="3"/>
  <c r="U20" i="3"/>
  <c r="V20" i="3"/>
  <c r="W20" i="3"/>
  <c r="X20" i="3"/>
  <c r="Y18" i="3" l="1"/>
  <c r="Y16" i="3"/>
  <c r="Y21" i="3"/>
  <c r="Y20" i="3"/>
  <c r="Y22" i="3"/>
  <c r="Y13" i="3"/>
  <c r="Y28" i="3"/>
  <c r="Y14" i="3"/>
  <c r="Y23" i="3"/>
  <c r="Y17" i="3"/>
  <c r="AG25" i="1"/>
  <c r="X25" i="1"/>
  <c r="X121" i="1"/>
  <c r="AG122" i="1"/>
  <c r="U122" i="1" s="1"/>
  <c r="S122" i="1" s="1"/>
  <c r="X122" i="1"/>
  <c r="AA164" i="1"/>
  <c r="X29" i="1"/>
  <c r="AA24" i="1"/>
  <c r="W24" i="1" s="1"/>
  <c r="AA91" i="1"/>
  <c r="X131" i="1"/>
  <c r="AA130" i="1"/>
  <c r="W130" i="1" s="1"/>
  <c r="X89" i="1"/>
  <c r="X44" i="1"/>
  <c r="AA23" i="1"/>
  <c r="AG98" i="1"/>
  <c r="AA186" i="1"/>
  <c r="AI184" i="1"/>
  <c r="AI180" i="1"/>
  <c r="AA165" i="1"/>
  <c r="AA42" i="1"/>
  <c r="AA38" i="1"/>
  <c r="AA30" i="1"/>
  <c r="AA28" i="1"/>
  <c r="AG17" i="1"/>
  <c r="AI17" i="1" s="1"/>
  <c r="X17" i="1"/>
  <c r="X188" i="1"/>
  <c r="AI25" i="1"/>
  <c r="AI121" i="1"/>
  <c r="U121" i="1"/>
  <c r="S121" i="1" s="1"/>
  <c r="X216" i="1"/>
  <c r="T131" i="1"/>
  <c r="AA168" i="1"/>
  <c r="AA86" i="1"/>
  <c r="AA62" i="1"/>
  <c r="W121" i="1"/>
  <c r="AG31" i="1"/>
  <c r="U31" i="1" s="1"/>
  <c r="S31" i="1" s="1"/>
  <c r="X31" i="1"/>
  <c r="AA206" i="1"/>
  <c r="AA93" i="1"/>
  <c r="AG82" i="1"/>
  <c r="AI82" i="1" s="1"/>
  <c r="AA81" i="1"/>
  <c r="W81" i="1" s="1"/>
  <c r="AA71" i="1"/>
  <c r="AA67" i="1"/>
  <c r="W67" i="1" s="1"/>
  <c r="AA66" i="1"/>
  <c r="AA59" i="1"/>
  <c r="AA48" i="1"/>
  <c r="T44" i="1"/>
  <c r="AA43" i="1"/>
  <c r="W43" i="1" s="1"/>
  <c r="T43" i="1"/>
  <c r="U43" i="1" s="1"/>
  <c r="S43" i="1" s="1"/>
  <c r="X32" i="1"/>
  <c r="AA27" i="1"/>
  <c r="W27" i="1" s="1"/>
  <c r="AA219" i="1"/>
  <c r="T216" i="1"/>
  <c r="AG223" i="1"/>
  <c r="U223" i="1" s="1"/>
  <c r="S223" i="1" s="1"/>
  <c r="AA222" i="1"/>
  <c r="X196" i="1"/>
  <c r="AA190" i="1"/>
  <c r="AA145" i="1"/>
  <c r="AG131" i="1"/>
  <c r="U131" i="1" s="1"/>
  <c r="S131" i="1" s="1"/>
  <c r="AG116" i="1"/>
  <c r="U116" i="1" s="1"/>
  <c r="S116" i="1" s="1"/>
  <c r="AG102" i="1"/>
  <c r="U102" i="1" s="1"/>
  <c r="S102" i="1" s="1"/>
  <c r="X174" i="1"/>
  <c r="T85" i="1"/>
  <c r="U85" i="1" s="1"/>
  <c r="S85" i="1" s="1"/>
  <c r="X59" i="1"/>
  <c r="X40" i="1"/>
  <c r="T39" i="1"/>
  <c r="U39" i="1" s="1"/>
  <c r="S39" i="1" s="1"/>
  <c r="T38" i="1"/>
  <c r="U38" i="1" s="1"/>
  <c r="S38" i="1" s="1"/>
  <c r="AA205" i="1"/>
  <c r="X147" i="1"/>
  <c r="X143" i="1"/>
  <c r="X127" i="1"/>
  <c r="AA110" i="1"/>
  <c r="AA106" i="1"/>
  <c r="W106" i="1" s="1"/>
  <c r="AA173" i="1"/>
  <c r="AA161" i="1"/>
  <c r="AA82" i="1"/>
  <c r="W82" i="1" s="1"/>
  <c r="X67" i="1"/>
  <c r="AA65" i="1"/>
  <c r="AA63" i="1"/>
  <c r="W63" i="1" s="1"/>
  <c r="X60" i="1"/>
  <c r="AG44" i="1"/>
  <c r="X43" i="1"/>
  <c r="AA39" i="1"/>
  <c r="W39" i="1" s="1"/>
  <c r="T32" i="1"/>
  <c r="AG30" i="1"/>
  <c r="X30" i="1"/>
  <c r="W100" i="1"/>
  <c r="AG220" i="1"/>
  <c r="U220" i="1" s="1"/>
  <c r="S220" i="1" s="1"/>
  <c r="X220" i="1"/>
  <c r="AA216" i="1"/>
  <c r="AG212" i="1"/>
  <c r="U212" i="1" s="1"/>
  <c r="S212" i="1" s="1"/>
  <c r="X212" i="1"/>
  <c r="AA211" i="1"/>
  <c r="W211" i="1" s="1"/>
  <c r="AA207" i="1"/>
  <c r="AI198" i="1"/>
  <c r="AA196" i="1"/>
  <c r="AG151" i="1"/>
  <c r="U151" i="1" s="1"/>
  <c r="S151" i="1" s="1"/>
  <c r="X151" i="1"/>
  <c r="X150" i="1"/>
  <c r="T147" i="1"/>
  <c r="AA146" i="1"/>
  <c r="W146" i="1" s="1"/>
  <c r="AA141" i="1"/>
  <c r="AA137" i="1"/>
  <c r="T127" i="1"/>
  <c r="AA126" i="1"/>
  <c r="W126" i="1" s="1"/>
  <c r="T126" i="1"/>
  <c r="U126" i="1" s="1"/>
  <c r="S126" i="1" s="1"/>
  <c r="AA125" i="1"/>
  <c r="AA203" i="1"/>
  <c r="T100" i="1"/>
  <c r="U100" i="1" s="1"/>
  <c r="S100" i="1" s="1"/>
  <c r="AA99" i="1"/>
  <c r="AG185" i="1"/>
  <c r="U185" i="1" s="1"/>
  <c r="S185" i="1" s="1"/>
  <c r="AA183" i="1"/>
  <c r="AA178" i="1"/>
  <c r="AA172" i="1"/>
  <c r="AG155" i="1"/>
  <c r="U155" i="1" s="1"/>
  <c r="S155" i="1" s="1"/>
  <c r="AA90" i="1"/>
  <c r="W90" i="1" s="1"/>
  <c r="AG88" i="1"/>
  <c r="AI88" i="1" s="1"/>
  <c r="X84" i="1"/>
  <c r="AA77" i="1"/>
  <c r="AA75" i="1"/>
  <c r="W75" i="1" s="1"/>
  <c r="AA74" i="1"/>
  <c r="X72" i="1"/>
  <c r="AA69" i="1"/>
  <c r="AG56" i="1"/>
  <c r="U56" i="1" s="1"/>
  <c r="S56" i="1" s="1"/>
  <c r="X56" i="1"/>
  <c r="AA54" i="1"/>
  <c r="AA31" i="1"/>
  <c r="AG21" i="1"/>
  <c r="AI21" i="1" s="1"/>
  <c r="X21" i="1"/>
  <c r="AG19" i="1"/>
  <c r="AI19" i="1" s="1"/>
  <c r="AI211" i="1"/>
  <c r="X207" i="1"/>
  <c r="X123" i="1"/>
  <c r="T122" i="1"/>
  <c r="T112" i="1"/>
  <c r="T174" i="1"/>
  <c r="X71" i="1"/>
  <c r="T40" i="1"/>
  <c r="T35" i="1"/>
  <c r="U35" i="1" s="1"/>
  <c r="S35" i="1" s="1"/>
  <c r="T20" i="1"/>
  <c r="U20" i="1" s="1"/>
  <c r="S20" i="1" s="1"/>
  <c r="AA212" i="1"/>
  <c r="AA201" i="1"/>
  <c r="AG192" i="1"/>
  <c r="AI192" i="1" s="1"/>
  <c r="AA153" i="1"/>
  <c r="AA150" i="1"/>
  <c r="W150" i="1" s="1"/>
  <c r="T150" i="1"/>
  <c r="U150" i="1" s="1"/>
  <c r="S150" i="1" s="1"/>
  <c r="AG147" i="1"/>
  <c r="U147" i="1" s="1"/>
  <c r="S147" i="1" s="1"/>
  <c r="AA140" i="1"/>
  <c r="AA136" i="1"/>
  <c r="AG127" i="1"/>
  <c r="X126" i="1"/>
  <c r="AA124" i="1"/>
  <c r="AA120" i="1"/>
  <c r="AA118" i="1"/>
  <c r="AA108" i="1"/>
  <c r="W108" i="1" s="1"/>
  <c r="AA184" i="1"/>
  <c r="W184" i="1" s="1"/>
  <c r="AA182" i="1"/>
  <c r="AA180" i="1"/>
  <c r="W180" i="1" s="1"/>
  <c r="AA175" i="1"/>
  <c r="AA171" i="1"/>
  <c r="X166" i="1"/>
  <c r="AG159" i="1"/>
  <c r="U159" i="1" s="1"/>
  <c r="S159" i="1" s="1"/>
  <c r="X159" i="1"/>
  <c r="AA89" i="1"/>
  <c r="T84" i="1"/>
  <c r="AA80" i="1"/>
  <c r="X75" i="1"/>
  <c r="T72" i="1"/>
  <c r="AA56" i="1"/>
  <c r="AA53" i="1"/>
  <c r="W53" i="1" s="1"/>
  <c r="X47" i="1"/>
  <c r="AG46" i="1"/>
  <c r="AI46" i="1" s="1"/>
  <c r="AA45" i="1"/>
  <c r="T28" i="1"/>
  <c r="U28" i="1" s="1"/>
  <c r="S28" i="1" s="1"/>
  <c r="AG23" i="1"/>
  <c r="AI23" i="1" s="1"/>
  <c r="AA20" i="1"/>
  <c r="W20" i="1" s="1"/>
  <c r="AA16" i="1"/>
  <c r="W16" i="1" s="1"/>
  <c r="T215" i="1"/>
  <c r="AG215" i="1"/>
  <c r="AI215" i="1" s="1"/>
  <c r="AA215" i="1"/>
  <c r="X219" i="1"/>
  <c r="AA220" i="1"/>
  <c r="AG219" i="1"/>
  <c r="AI219" i="1" s="1"/>
  <c r="AG216" i="1"/>
  <c r="AI216" i="1" s="1"/>
  <c r="X202" i="1"/>
  <c r="AG201" i="1"/>
  <c r="W201" i="1" s="1"/>
  <c r="AG195" i="1"/>
  <c r="T195" i="1"/>
  <c r="X195" i="1"/>
  <c r="X192" i="1"/>
  <c r="AA223" i="1"/>
  <c r="AA210" i="1"/>
  <c r="X204" i="1"/>
  <c r="AG204" i="1"/>
  <c r="AI204" i="1" s="1"/>
  <c r="T204" i="1"/>
  <c r="T104" i="1"/>
  <c r="U104" i="1" s="1"/>
  <c r="S104" i="1" s="1"/>
  <c r="T97" i="1"/>
  <c r="U97" i="1" s="1"/>
  <c r="S97" i="1" s="1"/>
  <c r="T166" i="1"/>
  <c r="X88" i="1"/>
  <c r="X80" i="1"/>
  <c r="X15" i="1"/>
  <c r="AA204" i="1"/>
  <c r="AA200" i="1"/>
  <c r="AA193" i="1"/>
  <c r="AG190" i="1"/>
  <c r="U190" i="1" s="1"/>
  <c r="S190" i="1" s="1"/>
  <c r="AA148" i="1"/>
  <c r="T143" i="1"/>
  <c r="AA142" i="1"/>
  <c r="W142" i="1" s="1"/>
  <c r="T142" i="1"/>
  <c r="U142" i="1" s="1"/>
  <c r="S142" i="1" s="1"/>
  <c r="AG139" i="1"/>
  <c r="AI139" i="1" s="1"/>
  <c r="X139" i="1"/>
  <c r="AG135" i="1"/>
  <c r="X135" i="1"/>
  <c r="X134" i="1"/>
  <c r="AA132" i="1"/>
  <c r="AA128" i="1"/>
  <c r="T123" i="1"/>
  <c r="AA122" i="1"/>
  <c r="AG118" i="1"/>
  <c r="AI118" i="1" s="1"/>
  <c r="AA114" i="1"/>
  <c r="AG108" i="1"/>
  <c r="U108" i="1" s="1"/>
  <c r="S108" i="1" s="1"/>
  <c r="T106" i="1"/>
  <c r="U106" i="1" s="1"/>
  <c r="S106" i="1" s="1"/>
  <c r="AA105" i="1"/>
  <c r="AA97" i="1"/>
  <c r="AA96" i="1"/>
  <c r="W96" i="1" s="1"/>
  <c r="T188" i="1"/>
  <c r="AA187" i="1"/>
  <c r="W187" i="1" s="1"/>
  <c r="X177" i="1"/>
  <c r="AA92" i="1"/>
  <c r="AA169" i="1"/>
  <c r="W169" i="1" s="1"/>
  <c r="X163" i="1"/>
  <c r="AA160" i="1"/>
  <c r="AA159" i="1"/>
  <c r="AA157" i="1"/>
  <c r="AA79" i="1"/>
  <c r="W79" i="1" s="1"/>
  <c r="AA78" i="1"/>
  <c r="X76" i="1"/>
  <c r="AA73" i="1"/>
  <c r="AG64" i="1"/>
  <c r="U64" i="1" s="1"/>
  <c r="X64" i="1"/>
  <c r="AA57" i="1"/>
  <c r="X52" i="1"/>
  <c r="AG50" i="1"/>
  <c r="U50" i="1" s="1"/>
  <c r="S50" i="1" s="1"/>
  <c r="AA49" i="1"/>
  <c r="AA46" i="1"/>
  <c r="AA41" i="1"/>
  <c r="X36" i="1"/>
  <c r="T31" i="1"/>
  <c r="T24" i="1"/>
  <c r="U24" i="1" s="1"/>
  <c r="S24" i="1" s="1"/>
  <c r="AA19" i="1"/>
  <c r="T138" i="1"/>
  <c r="U138" i="1" s="1"/>
  <c r="S138" i="1" s="1"/>
  <c r="AA15" i="1"/>
  <c r="W15" i="1" s="1"/>
  <c r="AA218" i="1"/>
  <c r="AA214" i="1"/>
  <c r="X211" i="1"/>
  <c r="X208" i="1"/>
  <c r="AA199" i="1"/>
  <c r="W199" i="1" s="1"/>
  <c r="AA195" i="1"/>
  <c r="AA194" i="1"/>
  <c r="AG153" i="1"/>
  <c r="AI153" i="1" s="1"/>
  <c r="AA152" i="1"/>
  <c r="AA149" i="1"/>
  <c r="T146" i="1"/>
  <c r="U146" i="1" s="1"/>
  <c r="S146" i="1" s="1"/>
  <c r="AG143" i="1"/>
  <c r="AI143" i="1" s="1"/>
  <c r="X142" i="1"/>
  <c r="AA138" i="1"/>
  <c r="W138" i="1" s="1"/>
  <c r="AA134" i="1"/>
  <c r="W134" i="1" s="1"/>
  <c r="T134" i="1"/>
  <c r="U134" i="1" s="1"/>
  <c r="S134" i="1" s="1"/>
  <c r="AA133" i="1"/>
  <c r="T130" i="1"/>
  <c r="U130" i="1" s="1"/>
  <c r="S130" i="1" s="1"/>
  <c r="AA129" i="1"/>
  <c r="AG123" i="1"/>
  <c r="AG120" i="1"/>
  <c r="AA117" i="1"/>
  <c r="AG114" i="1"/>
  <c r="AI114" i="1" s="1"/>
  <c r="X107" i="1"/>
  <c r="X102" i="1"/>
  <c r="AG203" i="1"/>
  <c r="AI203" i="1" s="1"/>
  <c r="X94" i="1"/>
  <c r="AA94" i="1"/>
  <c r="AG188" i="1"/>
  <c r="AI188" i="1" s="1"/>
  <c r="X187" i="1"/>
  <c r="AG93" i="1"/>
  <c r="X93" i="1"/>
  <c r="X181" i="1"/>
  <c r="AA181" i="1"/>
  <c r="T177" i="1"/>
  <c r="AA176" i="1"/>
  <c r="W176" i="1" s="1"/>
  <c r="X170" i="1"/>
  <c r="AA167" i="1"/>
  <c r="T163" i="1"/>
  <c r="AA162" i="1"/>
  <c r="W162" i="1" s="1"/>
  <c r="AA158" i="1"/>
  <c r="AA155" i="1"/>
  <c r="AA88" i="1"/>
  <c r="X87" i="1"/>
  <c r="AG86" i="1"/>
  <c r="AI86" i="1" s="1"/>
  <c r="AA85" i="1"/>
  <c r="W85" i="1" s="1"/>
  <c r="T81" i="1"/>
  <c r="T76" i="1"/>
  <c r="AA70" i="1"/>
  <c r="X68" i="1"/>
  <c r="AA58" i="1"/>
  <c r="T52" i="1"/>
  <c r="AA50" i="1"/>
  <c r="AG48" i="1"/>
  <c r="AI48" i="1" s="1"/>
  <c r="X48" i="1"/>
  <c r="AA35" i="1"/>
  <c r="W35" i="1" s="1"/>
  <c r="AA34" i="1"/>
  <c r="W34" i="1" s="1"/>
  <c r="T207" i="1"/>
  <c r="AI201" i="1"/>
  <c r="T199" i="1"/>
  <c r="U199" i="1" s="1"/>
  <c r="S199" i="1" s="1"/>
  <c r="X146" i="1"/>
  <c r="X138" i="1"/>
  <c r="X130" i="1"/>
  <c r="AA113" i="1"/>
  <c r="AG111" i="1"/>
  <c r="W111" i="1" s="1"/>
  <c r="X111" i="1"/>
  <c r="AI63" i="1"/>
  <c r="AI34" i="1"/>
  <c r="X223" i="1"/>
  <c r="T219" i="1"/>
  <c r="AA217" i="1"/>
  <c r="X215" i="1"/>
  <c r="T211" i="1"/>
  <c r="AA209" i="1"/>
  <c r="AA208" i="1"/>
  <c r="T208" i="1"/>
  <c r="AG207" i="1"/>
  <c r="X201" i="1"/>
  <c r="AA198" i="1"/>
  <c r="W198" i="1" s="1"/>
  <c r="AA192" i="1"/>
  <c r="AA191" i="1"/>
  <c r="W191" i="1" s="1"/>
  <c r="T191" i="1"/>
  <c r="U191" i="1" s="1"/>
  <c r="S191" i="1" s="1"/>
  <c r="AA154" i="1"/>
  <c r="W154" i="1" s="1"/>
  <c r="T154" i="1"/>
  <c r="U154" i="1" s="1"/>
  <c r="S154" i="1" s="1"/>
  <c r="AA151" i="1"/>
  <c r="AG149" i="1"/>
  <c r="AI149" i="1" s="1"/>
  <c r="AA143" i="1"/>
  <c r="AG141" i="1"/>
  <c r="AI141" i="1" s="1"/>
  <c r="AA135" i="1"/>
  <c r="AG133" i="1"/>
  <c r="AI133" i="1" s="1"/>
  <c r="AA127" i="1"/>
  <c r="AI126" i="1"/>
  <c r="AG125" i="1"/>
  <c r="AI125" i="1" s="1"/>
  <c r="X119" i="1"/>
  <c r="AA115" i="1"/>
  <c r="T115" i="1"/>
  <c r="U115" i="1" s="1"/>
  <c r="S115" i="1" s="1"/>
  <c r="X114" i="1"/>
  <c r="X110" i="1"/>
  <c r="AA103" i="1"/>
  <c r="AI55" i="1"/>
  <c r="AI27" i="1"/>
  <c r="W212" i="1"/>
  <c r="X199" i="1"/>
  <c r="T197" i="1"/>
  <c r="U197" i="1" s="1"/>
  <c r="S197" i="1" s="1"/>
  <c r="T196" i="1"/>
  <c r="U114" i="1"/>
  <c r="S114" i="1" s="1"/>
  <c r="AG103" i="1"/>
  <c r="AI103" i="1" s="1"/>
  <c r="X103" i="1"/>
  <c r="U211" i="1"/>
  <c r="S211" i="1" s="1"/>
  <c r="AA221" i="1"/>
  <c r="AA213" i="1"/>
  <c r="AG208" i="1"/>
  <c r="AI208" i="1" s="1"/>
  <c r="T201" i="1"/>
  <c r="AA197" i="1"/>
  <c r="W197" i="1" s="1"/>
  <c r="AG196" i="1"/>
  <c r="AG194" i="1"/>
  <c r="U194" i="1" s="1"/>
  <c r="S194" i="1" s="1"/>
  <c r="X191" i="1"/>
  <c r="AA147" i="1"/>
  <c r="AG145" i="1"/>
  <c r="AI145" i="1" s="1"/>
  <c r="AA139" i="1"/>
  <c r="AG137" i="1"/>
  <c r="AI137" i="1" s="1"/>
  <c r="AA131" i="1"/>
  <c r="AG129" i="1"/>
  <c r="AI129" i="1" s="1"/>
  <c r="AA123" i="1"/>
  <c r="AA119" i="1"/>
  <c r="W119" i="1" s="1"/>
  <c r="T119" i="1"/>
  <c r="X118" i="1"/>
  <c r="AA116" i="1"/>
  <c r="X115" i="1"/>
  <c r="AA111" i="1"/>
  <c r="AG110" i="1"/>
  <c r="U110" i="1" s="1"/>
  <c r="S110" i="1" s="1"/>
  <c r="AI38" i="1"/>
  <c r="AA109" i="1"/>
  <c r="AA101" i="1"/>
  <c r="T96" i="1"/>
  <c r="U96" i="1" s="1"/>
  <c r="S96" i="1" s="1"/>
  <c r="AA95" i="1"/>
  <c r="T94" i="1"/>
  <c r="T187" i="1"/>
  <c r="U187" i="1" s="1"/>
  <c r="S187" i="1" s="1"/>
  <c r="T184" i="1"/>
  <c r="U184" i="1" s="1"/>
  <c r="S184" i="1" s="1"/>
  <c r="T181" i="1"/>
  <c r="X180" i="1"/>
  <c r="X176" i="1"/>
  <c r="X173" i="1"/>
  <c r="X169" i="1"/>
  <c r="X165" i="1"/>
  <c r="X162" i="1"/>
  <c r="X158" i="1"/>
  <c r="X90" i="1"/>
  <c r="AA87" i="1"/>
  <c r="W87" i="1" s="1"/>
  <c r="T87" i="1"/>
  <c r="U87" i="1" s="1"/>
  <c r="S87" i="1" s="1"/>
  <c r="X85" i="1"/>
  <c r="X79" i="1"/>
  <c r="AG76" i="1"/>
  <c r="AG72" i="1"/>
  <c r="AG68" i="1"/>
  <c r="AA64" i="1"/>
  <c r="X63" i="1"/>
  <c r="AA61" i="1"/>
  <c r="AA60" i="1"/>
  <c r="T60" i="1"/>
  <c r="AG59" i="1"/>
  <c r="W59" i="1" s="1"/>
  <c r="X55" i="1"/>
  <c r="AA47" i="1"/>
  <c r="W47" i="1" s="1"/>
  <c r="T47" i="1"/>
  <c r="U47" i="1" s="1"/>
  <c r="S47" i="1" s="1"/>
  <c r="AA44" i="1"/>
  <c r="AG42" i="1"/>
  <c r="AI42" i="1" s="1"/>
  <c r="AG40" i="1"/>
  <c r="AI40" i="1" s="1"/>
  <c r="X39" i="1"/>
  <c r="AG36" i="1"/>
  <c r="AI36" i="1" s="1"/>
  <c r="X35" i="1"/>
  <c r="AG32" i="1"/>
  <c r="AI32" i="1" s="1"/>
  <c r="X28" i="1"/>
  <c r="X27" i="1"/>
  <c r="AA25" i="1"/>
  <c r="W25" i="1" s="1"/>
  <c r="X23" i="1"/>
  <c r="AA21" i="1"/>
  <c r="X19" i="1"/>
  <c r="AA17" i="1"/>
  <c r="T16" i="1"/>
  <c r="U16" i="1" s="1"/>
  <c r="S16" i="1" s="1"/>
  <c r="X96" i="1"/>
  <c r="U93" i="1"/>
  <c r="S93" i="1" s="1"/>
  <c r="AA83" i="1"/>
  <c r="W83" i="1" s="1"/>
  <c r="T83" i="1"/>
  <c r="U83" i="1" s="1"/>
  <c r="S83" i="1" s="1"/>
  <c r="X81" i="1"/>
  <c r="T80" i="1"/>
  <c r="W55" i="1"/>
  <c r="AA51" i="1"/>
  <c r="W51" i="1" s="1"/>
  <c r="T51" i="1"/>
  <c r="U51" i="1" s="1"/>
  <c r="S51" i="1" s="1"/>
  <c r="W38" i="1"/>
  <c r="AA37" i="1"/>
  <c r="T34" i="1"/>
  <c r="U34" i="1" s="1"/>
  <c r="S34" i="1" s="1"/>
  <c r="AA33" i="1"/>
  <c r="T30" i="1"/>
  <c r="AA29" i="1"/>
  <c r="X24" i="1"/>
  <c r="X20" i="1"/>
  <c r="T15" i="1"/>
  <c r="U15" i="1" s="1"/>
  <c r="S15" i="1" s="1"/>
  <c r="AA14" i="1"/>
  <c r="AG94" i="1"/>
  <c r="AI94" i="1" s="1"/>
  <c r="AG181" i="1"/>
  <c r="AI181" i="1" s="1"/>
  <c r="T180" i="1"/>
  <c r="U180" i="1" s="1"/>
  <c r="S180" i="1" s="1"/>
  <c r="AA177" i="1"/>
  <c r="T176" i="1"/>
  <c r="U176" i="1" s="1"/>
  <c r="S176" i="1" s="1"/>
  <c r="AA174" i="1"/>
  <c r="T173" i="1"/>
  <c r="U173" i="1" s="1"/>
  <c r="S173" i="1" s="1"/>
  <c r="AA170" i="1"/>
  <c r="T169" i="1"/>
  <c r="AA166" i="1"/>
  <c r="T165" i="1"/>
  <c r="U165" i="1" s="1"/>
  <c r="S165" i="1" s="1"/>
  <c r="AA163" i="1"/>
  <c r="T162" i="1"/>
  <c r="U162" i="1" s="1"/>
  <c r="S162" i="1" s="1"/>
  <c r="T158" i="1"/>
  <c r="AA156" i="1"/>
  <c r="T90" i="1"/>
  <c r="U90" i="1" s="1"/>
  <c r="S90" i="1" s="1"/>
  <c r="AA84" i="1"/>
  <c r="T79" i="1"/>
  <c r="U79" i="1" s="1"/>
  <c r="S79" i="1" s="1"/>
  <c r="T63" i="1"/>
  <c r="U63" i="1" s="1"/>
  <c r="S63" i="1" s="1"/>
  <c r="AG61" i="1"/>
  <c r="AI61" i="1" s="1"/>
  <c r="AG60" i="1"/>
  <c r="T55" i="1"/>
  <c r="U55" i="1" s="1"/>
  <c r="S55" i="1" s="1"/>
  <c r="AA52" i="1"/>
  <c r="X38" i="1"/>
  <c r="X34" i="1"/>
  <c r="T27" i="1"/>
  <c r="U27" i="1" s="1"/>
  <c r="S27" i="1" s="1"/>
  <c r="AA26" i="1"/>
  <c r="AA22" i="1"/>
  <c r="AA18" i="1"/>
  <c r="X16" i="1"/>
  <c r="AA112" i="1"/>
  <c r="W112" i="1" s="1"/>
  <c r="AA107" i="1"/>
  <c r="W107" i="1" s="1"/>
  <c r="T107" i="1"/>
  <c r="X106" i="1"/>
  <c r="AA104" i="1"/>
  <c r="W104" i="1" s="1"/>
  <c r="AA202" i="1"/>
  <c r="W202" i="1" s="1"/>
  <c r="T202" i="1"/>
  <c r="U202" i="1" s="1"/>
  <c r="S202" i="1" s="1"/>
  <c r="X100" i="1"/>
  <c r="AA98" i="1"/>
  <c r="X97" i="1"/>
  <c r="AA188" i="1"/>
  <c r="AG182" i="1"/>
  <c r="AG177" i="1"/>
  <c r="AG174" i="1"/>
  <c r="AG170" i="1"/>
  <c r="U170" i="1" s="1"/>
  <c r="S170" i="1" s="1"/>
  <c r="AG166" i="1"/>
  <c r="AI166" i="1" s="1"/>
  <c r="AG163" i="1"/>
  <c r="AG84" i="1"/>
  <c r="X83" i="1"/>
  <c r="AG80" i="1"/>
  <c r="AA76" i="1"/>
  <c r="T75" i="1"/>
  <c r="U75" i="1" s="1"/>
  <c r="S75" i="1" s="1"/>
  <c r="AA72" i="1"/>
  <c r="T71" i="1"/>
  <c r="U71" i="1" s="1"/>
  <c r="S71" i="1" s="1"/>
  <c r="AA68" i="1"/>
  <c r="T67" i="1"/>
  <c r="U67" i="1" s="1"/>
  <c r="S67" i="1" s="1"/>
  <c r="AG52" i="1"/>
  <c r="AI52" i="1" s="1"/>
  <c r="X51" i="1"/>
  <c r="AA40" i="1"/>
  <c r="AA36" i="1"/>
  <c r="AA32" i="1"/>
  <c r="AG221" i="1"/>
  <c r="AG217" i="1"/>
  <c r="AG213" i="1"/>
  <c r="AG209" i="1"/>
  <c r="AG205" i="1"/>
  <c r="AI150" i="1"/>
  <c r="U107" i="1"/>
  <c r="S107" i="1" s="1"/>
  <c r="AI142" i="1"/>
  <c r="AI134" i="1"/>
  <c r="AG222" i="1"/>
  <c r="W222" i="1" s="1"/>
  <c r="X221" i="1"/>
  <c r="AG218" i="1"/>
  <c r="X217" i="1"/>
  <c r="AG214" i="1"/>
  <c r="X213" i="1"/>
  <c r="AI212" i="1"/>
  <c r="AG210" i="1"/>
  <c r="X209" i="1"/>
  <c r="AG206" i="1"/>
  <c r="X205" i="1"/>
  <c r="AG200" i="1"/>
  <c r="AI200" i="1" s="1"/>
  <c r="AI199" i="1"/>
  <c r="AI197" i="1"/>
  <c r="T193" i="1"/>
  <c r="X193" i="1"/>
  <c r="AG193" i="1"/>
  <c r="AI193" i="1" s="1"/>
  <c r="AI173" i="1"/>
  <c r="AI165" i="1"/>
  <c r="W97" i="1"/>
  <c r="X222" i="1"/>
  <c r="X218" i="1"/>
  <c r="X214" i="1"/>
  <c r="X210" i="1"/>
  <c r="X206" i="1"/>
  <c r="X200" i="1"/>
  <c r="X197" i="1"/>
  <c r="T189" i="1"/>
  <c r="X189" i="1"/>
  <c r="AG189" i="1"/>
  <c r="AI189" i="1" s="1"/>
  <c r="U119" i="1"/>
  <c r="S119" i="1" s="1"/>
  <c r="AI154" i="1"/>
  <c r="AI146" i="1"/>
  <c r="AI138" i="1"/>
  <c r="AI130" i="1"/>
  <c r="T198" i="1"/>
  <c r="U198" i="1" s="1"/>
  <c r="S198" i="1" s="1"/>
  <c r="X198" i="1"/>
  <c r="T152" i="1"/>
  <c r="X152" i="1"/>
  <c r="AG152" i="1"/>
  <c r="AI177" i="1"/>
  <c r="AI169" i="1"/>
  <c r="W115" i="1"/>
  <c r="U135" i="1"/>
  <c r="S135" i="1" s="1"/>
  <c r="U112" i="1"/>
  <c r="S112" i="1" s="1"/>
  <c r="U98" i="1"/>
  <c r="S98" i="1" s="1"/>
  <c r="AG148" i="1"/>
  <c r="W148" i="1" s="1"/>
  <c r="AG144" i="1"/>
  <c r="W144" i="1" s="1"/>
  <c r="AG140" i="1"/>
  <c r="AG136" i="1"/>
  <c r="W136" i="1" s="1"/>
  <c r="AG132" i="1"/>
  <c r="AG128" i="1"/>
  <c r="AG124" i="1"/>
  <c r="X120" i="1"/>
  <c r="AG117" i="1"/>
  <c r="X116" i="1"/>
  <c r="AG113" i="1"/>
  <c r="X112" i="1"/>
  <c r="AG109" i="1"/>
  <c r="X108" i="1"/>
  <c r="AG105" i="1"/>
  <c r="X104" i="1"/>
  <c r="AG101" i="1"/>
  <c r="X203" i="1"/>
  <c r="AG99" i="1"/>
  <c r="AI99" i="1" s="1"/>
  <c r="X98" i="1"/>
  <c r="AG95" i="1"/>
  <c r="AI95" i="1" s="1"/>
  <c r="AA185" i="1"/>
  <c r="X184" i="1"/>
  <c r="T183" i="1"/>
  <c r="X183" i="1"/>
  <c r="AG183" i="1"/>
  <c r="W173" i="1"/>
  <c r="W165" i="1"/>
  <c r="W158" i="1"/>
  <c r="X148" i="1"/>
  <c r="X144" i="1"/>
  <c r="X140" i="1"/>
  <c r="X136" i="1"/>
  <c r="X132" i="1"/>
  <c r="X128" i="1"/>
  <c r="AI162" i="1"/>
  <c r="X124" i="1"/>
  <c r="AI158" i="1"/>
  <c r="X117" i="1"/>
  <c r="T117" i="1"/>
  <c r="AI151" i="1"/>
  <c r="X113" i="1"/>
  <c r="T113" i="1"/>
  <c r="X109" i="1"/>
  <c r="T109" i="1"/>
  <c r="X105" i="1"/>
  <c r="T105" i="1"/>
  <c r="X101" i="1"/>
  <c r="T101" i="1"/>
  <c r="AI135" i="1"/>
  <c r="X99" i="1"/>
  <c r="T99" i="1"/>
  <c r="X95" i="1"/>
  <c r="T95" i="1"/>
  <c r="AI127" i="1"/>
  <c r="AI120" i="1"/>
  <c r="U169" i="1"/>
  <c r="S169" i="1" s="1"/>
  <c r="AI106" i="1"/>
  <c r="AI98" i="1"/>
  <c r="U158" i="1"/>
  <c r="S158" i="1" s="1"/>
  <c r="AI90" i="1"/>
  <c r="X194" i="1"/>
  <c r="X190" i="1"/>
  <c r="X153" i="1"/>
  <c r="X149" i="1"/>
  <c r="X145" i="1"/>
  <c r="X141" i="1"/>
  <c r="X137" i="1"/>
  <c r="X133" i="1"/>
  <c r="X129" i="1"/>
  <c r="X125" i="1"/>
  <c r="T186" i="1"/>
  <c r="X186" i="1"/>
  <c r="AG186" i="1"/>
  <c r="AG178" i="1"/>
  <c r="AG92" i="1"/>
  <c r="AG171" i="1"/>
  <c r="AG167" i="1"/>
  <c r="AG164" i="1"/>
  <c r="AI164" i="1" s="1"/>
  <c r="AG160" i="1"/>
  <c r="AI160" i="1" s="1"/>
  <c r="AG156" i="1"/>
  <c r="AI156" i="1" s="1"/>
  <c r="AI81" i="1"/>
  <c r="U81" i="1"/>
  <c r="S81" i="1" s="1"/>
  <c r="X185" i="1"/>
  <c r="AI122" i="1"/>
  <c r="X182" i="1"/>
  <c r="AI119" i="1"/>
  <c r="AG179" i="1"/>
  <c r="W179" i="1" s="1"/>
  <c r="X178" i="1"/>
  <c r="AI115" i="1"/>
  <c r="AG175" i="1"/>
  <c r="X92" i="1"/>
  <c r="AG172" i="1"/>
  <c r="AI172" i="1" s="1"/>
  <c r="X171" i="1"/>
  <c r="AI107" i="1"/>
  <c r="AG168" i="1"/>
  <c r="X167" i="1"/>
  <c r="AG91" i="1"/>
  <c r="W91" i="1" s="1"/>
  <c r="X164" i="1"/>
  <c r="AG161" i="1"/>
  <c r="X160" i="1"/>
  <c r="AG157" i="1"/>
  <c r="AI157" i="1" s="1"/>
  <c r="AG89" i="1"/>
  <c r="W89" i="1" s="1"/>
  <c r="T89" i="1"/>
  <c r="AI87" i="1"/>
  <c r="X179" i="1"/>
  <c r="X175" i="1"/>
  <c r="X172" i="1"/>
  <c r="X168" i="1"/>
  <c r="X91" i="1"/>
  <c r="X161" i="1"/>
  <c r="AI83" i="1"/>
  <c r="U82" i="1"/>
  <c r="S82" i="1" s="1"/>
  <c r="AI79" i="1"/>
  <c r="W71" i="1"/>
  <c r="AI85" i="1"/>
  <c r="AI75" i="1"/>
  <c r="AI71" i="1"/>
  <c r="AI67" i="1"/>
  <c r="AG77" i="1"/>
  <c r="AG73" i="1"/>
  <c r="AG69" i="1"/>
  <c r="AG65" i="1"/>
  <c r="AG57" i="1"/>
  <c r="T54" i="1"/>
  <c r="X54" i="1"/>
  <c r="AI43" i="1"/>
  <c r="AI24" i="1"/>
  <c r="AI20" i="1"/>
  <c r="AI16" i="1"/>
  <c r="AG78" i="1"/>
  <c r="W78" i="1" s="1"/>
  <c r="X77" i="1"/>
  <c r="AG74" i="1"/>
  <c r="X73" i="1"/>
  <c r="AG70" i="1"/>
  <c r="W70" i="1" s="1"/>
  <c r="X69" i="1"/>
  <c r="AG66" i="1"/>
  <c r="X65" i="1"/>
  <c r="S64" i="1"/>
  <c r="AG62" i="1"/>
  <c r="X61" i="1"/>
  <c r="AG58" i="1"/>
  <c r="X57" i="1"/>
  <c r="AG54" i="1"/>
  <c r="T53" i="1"/>
  <c r="U53" i="1" s="1"/>
  <c r="S53" i="1" s="1"/>
  <c r="AI47" i="1"/>
  <c r="U46" i="1"/>
  <c r="S46" i="1" s="1"/>
  <c r="AI15" i="1"/>
  <c r="X86" i="1"/>
  <c r="X82" i="1"/>
  <c r="X78" i="1"/>
  <c r="X74" i="1"/>
  <c r="X70" i="1"/>
  <c r="X66" i="1"/>
  <c r="X62" i="1"/>
  <c r="X58" i="1"/>
  <c r="AI53" i="1"/>
  <c r="AI51" i="1"/>
  <c r="W28" i="1"/>
  <c r="X53" i="1"/>
  <c r="AI39" i="1"/>
  <c r="AI35" i="1"/>
  <c r="AI28" i="1"/>
  <c r="U25" i="1"/>
  <c r="S25" i="1" s="1"/>
  <c r="AG49" i="1"/>
  <c r="AG45" i="1"/>
  <c r="W45" i="1" s="1"/>
  <c r="AG41" i="1"/>
  <c r="AG37" i="1"/>
  <c r="AG33" i="1"/>
  <c r="AG29" i="1"/>
  <c r="W29" i="1" s="1"/>
  <c r="AG26" i="1"/>
  <c r="W26" i="1" s="1"/>
  <c r="AG22" i="1"/>
  <c r="AG18" i="1"/>
  <c r="AG14" i="1"/>
  <c r="X49" i="1"/>
  <c r="X45" i="1"/>
  <c r="X41" i="1"/>
  <c r="X37" i="1"/>
  <c r="T37" i="1"/>
  <c r="X33" i="1"/>
  <c r="T33" i="1"/>
  <c r="T29" i="1"/>
  <c r="X26" i="1"/>
  <c r="X22" i="1"/>
  <c r="X18" i="1"/>
  <c r="X50" i="1"/>
  <c r="X46" i="1"/>
  <c r="X42" i="1"/>
  <c r="Y7" i="3"/>
  <c r="AD20" i="3"/>
  <c r="Y29" i="3"/>
  <c r="AD27" i="3"/>
  <c r="Y12" i="3"/>
  <c r="AD17" i="3"/>
  <c r="Y15" i="3"/>
  <c r="AD16" i="3"/>
  <c r="AD8" i="3"/>
  <c r="Y19" i="3"/>
  <c r="Y27" i="3"/>
  <c r="AC20" i="3"/>
  <c r="AE19" i="3"/>
  <c r="AC28" i="3"/>
  <c r="AE10" i="3"/>
  <c r="AC21" i="3"/>
  <c r="AE27" i="3"/>
  <c r="AC24" i="3"/>
  <c r="AE18" i="3"/>
  <c r="AC17" i="3"/>
  <c r="AE15" i="3"/>
  <c r="AC16" i="3"/>
  <c r="AD7" i="3"/>
  <c r="T19" i="3"/>
  <c r="AD25" i="3"/>
  <c r="T10" i="3"/>
  <c r="AD23" i="3"/>
  <c r="T27" i="3"/>
  <c r="AD12" i="3"/>
  <c r="T18" i="3"/>
  <c r="AD11" i="3"/>
  <c r="T15" i="3"/>
  <c r="Y10" i="3"/>
  <c r="AE22" i="3"/>
  <c r="T22" i="3"/>
  <c r="AE9" i="3"/>
  <c r="T9" i="3"/>
  <c r="T29" i="3"/>
  <c r="AE14" i="3"/>
  <c r="T14" i="3"/>
  <c r="AE13" i="3"/>
  <c r="AE20" i="3"/>
  <c r="T20" i="3"/>
  <c r="AE28" i="3"/>
  <c r="T28" i="3"/>
  <c r="AD14" i="3"/>
  <c r="AE21" i="3"/>
  <c r="T21" i="3"/>
  <c r="AD22" i="3"/>
  <c r="AE24" i="3"/>
  <c r="T24" i="3"/>
  <c r="AD13" i="3"/>
  <c r="AE17" i="3"/>
  <c r="T17" i="3"/>
  <c r="AD9" i="3"/>
  <c r="AE16" i="3"/>
  <c r="T16" i="3"/>
  <c r="T13" i="3"/>
  <c r="AE7" i="3"/>
  <c r="AE25" i="3"/>
  <c r="AE23" i="3"/>
  <c r="AE12" i="3"/>
  <c r="AE11" i="3"/>
  <c r="AE8" i="3"/>
  <c r="S26" i="3"/>
  <c r="M26" i="3"/>
  <c r="R26" i="3"/>
  <c r="U26" i="3"/>
  <c r="AD29" i="3" s="1"/>
  <c r="V26" i="3"/>
  <c r="W26" i="3"/>
  <c r="X26" i="3"/>
  <c r="W52" i="1" l="1"/>
  <c r="U86" i="1"/>
  <c r="S86" i="1" s="1"/>
  <c r="AI147" i="1"/>
  <c r="U137" i="1"/>
  <c r="S137" i="1" s="1"/>
  <c r="AI56" i="1"/>
  <c r="W116" i="1"/>
  <c r="U123" i="1"/>
  <c r="S123" i="1" s="1"/>
  <c r="U127" i="1"/>
  <c r="S127" i="1" s="1"/>
  <c r="W31" i="1"/>
  <c r="W93" i="1"/>
  <c r="W66" i="1"/>
  <c r="W175" i="1"/>
  <c r="W23" i="1"/>
  <c r="AI31" i="1"/>
  <c r="U17" i="1"/>
  <c r="S17" i="1" s="1"/>
  <c r="U174" i="1"/>
  <c r="S174" i="1" s="1"/>
  <c r="W69" i="1"/>
  <c r="W152" i="1"/>
  <c r="U103" i="1"/>
  <c r="S103" i="1" s="1"/>
  <c r="AI220" i="1"/>
  <c r="U23" i="1"/>
  <c r="S23" i="1" s="1"/>
  <c r="W98" i="1"/>
  <c r="AI223" i="1"/>
  <c r="W19" i="1"/>
  <c r="U188" i="1"/>
  <c r="S188" i="1" s="1"/>
  <c r="W122" i="1"/>
  <c r="W204" i="1"/>
  <c r="W30" i="1"/>
  <c r="AI91" i="1"/>
  <c r="AI123" i="1"/>
  <c r="U181" i="1"/>
  <c r="S181" i="1" s="1"/>
  <c r="W131" i="1"/>
  <c r="U143" i="1"/>
  <c r="S143" i="1" s="1"/>
  <c r="U36" i="1"/>
  <c r="S36" i="1" s="1"/>
  <c r="W161" i="1"/>
  <c r="W186" i="1"/>
  <c r="W113" i="1"/>
  <c r="AI170" i="1"/>
  <c r="AI194" i="1"/>
  <c r="AI185" i="1"/>
  <c r="U153" i="1"/>
  <c r="S153" i="1" s="1"/>
  <c r="U163" i="1"/>
  <c r="S163" i="1" s="1"/>
  <c r="U177" i="1"/>
  <c r="S177" i="1" s="1"/>
  <c r="W155" i="1"/>
  <c r="W223" i="1"/>
  <c r="W153" i="1"/>
  <c r="U44" i="1"/>
  <c r="S44" i="1" s="1"/>
  <c r="U216" i="1"/>
  <c r="S216" i="1" s="1"/>
  <c r="W65" i="1"/>
  <c r="AI131" i="1"/>
  <c r="W185" i="1"/>
  <c r="U141" i="1"/>
  <c r="S141" i="1" s="1"/>
  <c r="U19" i="1"/>
  <c r="S19" i="1" s="1"/>
  <c r="W40" i="1"/>
  <c r="AI64" i="1"/>
  <c r="W182" i="1"/>
  <c r="U30" i="1"/>
  <c r="S30" i="1" s="1"/>
  <c r="W17" i="1"/>
  <c r="W120" i="1"/>
  <c r="U195" i="1"/>
  <c r="S195" i="1" s="1"/>
  <c r="U61" i="1"/>
  <c r="S61" i="1" s="1"/>
  <c r="W178" i="1"/>
  <c r="W72" i="1"/>
  <c r="W42" i="1"/>
  <c r="W44" i="1"/>
  <c r="AI30" i="1"/>
  <c r="W135" i="1"/>
  <c r="W46" i="1"/>
  <c r="W220" i="1"/>
  <c r="U133" i="1"/>
  <c r="S133" i="1" s="1"/>
  <c r="U129" i="1"/>
  <c r="S129" i="1" s="1"/>
  <c r="W195" i="1"/>
  <c r="AI44" i="1"/>
  <c r="W80" i="1"/>
  <c r="U42" i="1"/>
  <c r="S42" i="1" s="1"/>
  <c r="AI110" i="1"/>
  <c r="AI182" i="1"/>
  <c r="W128" i="1"/>
  <c r="U145" i="1"/>
  <c r="S145" i="1" s="1"/>
  <c r="U52" i="1"/>
  <c r="S52" i="1" s="1"/>
  <c r="W123" i="1"/>
  <c r="W139" i="1"/>
  <c r="U201" i="1"/>
  <c r="S201" i="1" s="1"/>
  <c r="W143" i="1"/>
  <c r="U32" i="1"/>
  <c r="S32" i="1" s="1"/>
  <c r="U48" i="1"/>
  <c r="S48" i="1" s="1"/>
  <c r="W22" i="1"/>
  <c r="AI102" i="1"/>
  <c r="AI174" i="1"/>
  <c r="U139" i="1"/>
  <c r="S139" i="1" s="1"/>
  <c r="W205" i="1"/>
  <c r="W32" i="1"/>
  <c r="W103" i="1"/>
  <c r="W127" i="1"/>
  <c r="U192" i="1"/>
  <c r="S192" i="1" s="1"/>
  <c r="W102" i="1"/>
  <c r="W41" i="1"/>
  <c r="U21" i="1"/>
  <c r="S21" i="1" s="1"/>
  <c r="U40" i="1"/>
  <c r="S40" i="1" s="1"/>
  <c r="AI111" i="1"/>
  <c r="U111" i="1"/>
  <c r="S111" i="1" s="1"/>
  <c r="W56" i="1"/>
  <c r="W21" i="1"/>
  <c r="W192" i="1"/>
  <c r="W118" i="1"/>
  <c r="U215" i="1"/>
  <c r="S215" i="1" s="1"/>
  <c r="U125" i="1"/>
  <c r="S125" i="1" s="1"/>
  <c r="W217" i="1"/>
  <c r="W159" i="1"/>
  <c r="W190" i="1"/>
  <c r="U204" i="1"/>
  <c r="S204" i="1" s="1"/>
  <c r="U182" i="1"/>
  <c r="S182" i="1" s="1"/>
  <c r="U120" i="1"/>
  <c r="S120" i="1" s="1"/>
  <c r="AI190" i="1"/>
  <c r="W209" i="1"/>
  <c r="W68" i="1"/>
  <c r="W76" i="1"/>
  <c r="W188" i="1"/>
  <c r="W194" i="1"/>
  <c r="W216" i="1"/>
  <c r="W109" i="1"/>
  <c r="U88" i="1"/>
  <c r="S88" i="1" s="1"/>
  <c r="W147" i="1"/>
  <c r="W151" i="1"/>
  <c r="W88" i="1"/>
  <c r="W215" i="1"/>
  <c r="W181" i="1"/>
  <c r="W105" i="1"/>
  <c r="U94" i="1"/>
  <c r="S94" i="1" s="1"/>
  <c r="U149" i="1"/>
  <c r="S149" i="1" s="1"/>
  <c r="W48" i="1"/>
  <c r="W94" i="1"/>
  <c r="AI50" i="1"/>
  <c r="U208" i="1"/>
  <c r="S208" i="1" s="1"/>
  <c r="W114" i="1"/>
  <c r="U203" i="1"/>
  <c r="S203" i="1" s="1"/>
  <c r="U166" i="1"/>
  <c r="S166" i="1" s="1"/>
  <c r="W163" i="1"/>
  <c r="W177" i="1"/>
  <c r="U118" i="1"/>
  <c r="S118" i="1" s="1"/>
  <c r="W50" i="1"/>
  <c r="W132" i="1"/>
  <c r="W36" i="1"/>
  <c r="W64" i="1"/>
  <c r="U219" i="1"/>
  <c r="S219" i="1" s="1"/>
  <c r="W203" i="1"/>
  <c r="W86" i="1"/>
  <c r="W219" i="1"/>
  <c r="AI161" i="1"/>
  <c r="U59" i="1"/>
  <c r="S59" i="1" s="1"/>
  <c r="AI59" i="1"/>
  <c r="U76" i="1"/>
  <c r="S76" i="1" s="1"/>
  <c r="AI76" i="1"/>
  <c r="AI196" i="1"/>
  <c r="U196" i="1"/>
  <c r="S196" i="1" s="1"/>
  <c r="W129" i="1"/>
  <c r="W168" i="1"/>
  <c r="AI168" i="1"/>
  <c r="AI178" i="1"/>
  <c r="AI186" i="1"/>
  <c r="U84" i="1"/>
  <c r="S84" i="1" s="1"/>
  <c r="AI84" i="1"/>
  <c r="U60" i="1"/>
  <c r="S60" i="1" s="1"/>
  <c r="AI60" i="1"/>
  <c r="W170" i="1"/>
  <c r="W208" i="1"/>
  <c r="W133" i="1"/>
  <c r="W110" i="1"/>
  <c r="W125" i="1"/>
  <c r="W84" i="1"/>
  <c r="W60" i="1"/>
  <c r="U68" i="1"/>
  <c r="S68" i="1" s="1"/>
  <c r="AI68" i="1"/>
  <c r="W149" i="1"/>
  <c r="W137" i="1"/>
  <c r="W145" i="1"/>
  <c r="W164" i="1"/>
  <c r="U80" i="1"/>
  <c r="S80" i="1" s="1"/>
  <c r="AI80" i="1"/>
  <c r="W166" i="1"/>
  <c r="W174" i="1"/>
  <c r="W61" i="1"/>
  <c r="U72" i="1"/>
  <c r="S72" i="1" s="1"/>
  <c r="AI72" i="1"/>
  <c r="W196" i="1"/>
  <c r="U207" i="1"/>
  <c r="S207" i="1" s="1"/>
  <c r="AI207" i="1"/>
  <c r="W141" i="1"/>
  <c r="W207" i="1"/>
  <c r="AI18" i="1"/>
  <c r="U18" i="1"/>
  <c r="S18" i="1" s="1"/>
  <c r="AI33" i="1"/>
  <c r="U33" i="1"/>
  <c r="S33" i="1" s="1"/>
  <c r="AI49" i="1"/>
  <c r="U49" i="1"/>
  <c r="S49" i="1" s="1"/>
  <c r="AI14" i="1"/>
  <c r="U14" i="1"/>
  <c r="S14" i="1" s="1"/>
  <c r="AI29" i="1"/>
  <c r="U29" i="1"/>
  <c r="S29" i="1" s="1"/>
  <c r="AI45" i="1"/>
  <c r="U45" i="1"/>
  <c r="S45" i="1" s="1"/>
  <c r="W49" i="1"/>
  <c r="AI62" i="1"/>
  <c r="U62" i="1"/>
  <c r="S62" i="1" s="1"/>
  <c r="AI78" i="1"/>
  <c r="U78" i="1"/>
  <c r="S78" i="1" s="1"/>
  <c r="AI57" i="1"/>
  <c r="U57" i="1"/>
  <c r="S57" i="1" s="1"/>
  <c r="AI73" i="1"/>
  <c r="U73" i="1"/>
  <c r="S73" i="1" s="1"/>
  <c r="W62" i="1"/>
  <c r="W73" i="1"/>
  <c r="AI104" i="1"/>
  <c r="U167" i="1"/>
  <c r="S167" i="1" s="1"/>
  <c r="U183" i="1"/>
  <c r="S183" i="1" s="1"/>
  <c r="AI159" i="1"/>
  <c r="U124" i="1"/>
  <c r="S124" i="1" s="1"/>
  <c r="AI175" i="1"/>
  <c r="U140" i="1"/>
  <c r="S140" i="1" s="1"/>
  <c r="AI191" i="1"/>
  <c r="U189" i="1"/>
  <c r="S189" i="1" s="1"/>
  <c r="W189" i="1"/>
  <c r="AI205" i="1"/>
  <c r="U205" i="1"/>
  <c r="S205" i="1" s="1"/>
  <c r="AI221" i="1"/>
  <c r="U221" i="1"/>
  <c r="S221" i="1" s="1"/>
  <c r="W221" i="1"/>
  <c r="AI58" i="1"/>
  <c r="U58" i="1"/>
  <c r="S58" i="1" s="1"/>
  <c r="AI74" i="1"/>
  <c r="U74" i="1"/>
  <c r="S74" i="1" s="1"/>
  <c r="AI77" i="1"/>
  <c r="U77" i="1"/>
  <c r="S77" i="1" s="1"/>
  <c r="W74" i="1"/>
  <c r="AI92" i="1"/>
  <c r="U156" i="1"/>
  <c r="S156" i="1" s="1"/>
  <c r="AI108" i="1"/>
  <c r="U171" i="1"/>
  <c r="S171" i="1" s="1"/>
  <c r="W167" i="1"/>
  <c r="AI128" i="1"/>
  <c r="U95" i="1"/>
  <c r="S95" i="1" s="1"/>
  <c r="AI136" i="1"/>
  <c r="U101" i="1"/>
  <c r="S101" i="1" s="1"/>
  <c r="AI144" i="1"/>
  <c r="U109" i="1"/>
  <c r="S109" i="1" s="1"/>
  <c r="AI152" i="1"/>
  <c r="U117" i="1"/>
  <c r="S117" i="1" s="1"/>
  <c r="AI163" i="1"/>
  <c r="U128" i="1"/>
  <c r="S128" i="1" s="1"/>
  <c r="AI179" i="1"/>
  <c r="U144" i="1"/>
  <c r="S144" i="1" s="1"/>
  <c r="AI195" i="1"/>
  <c r="U193" i="1"/>
  <c r="S193" i="1" s="1"/>
  <c r="AI202" i="1"/>
  <c r="U200" i="1"/>
  <c r="S200" i="1" s="1"/>
  <c r="AI206" i="1"/>
  <c r="U206" i="1"/>
  <c r="S206" i="1" s="1"/>
  <c r="AI210" i="1"/>
  <c r="U210" i="1"/>
  <c r="S210" i="1" s="1"/>
  <c r="AI214" i="1"/>
  <c r="U214" i="1"/>
  <c r="S214" i="1" s="1"/>
  <c r="AI218" i="1"/>
  <c r="U218" i="1"/>
  <c r="S218" i="1" s="1"/>
  <c r="U222" i="1"/>
  <c r="S222" i="1" s="1"/>
  <c r="AI222" i="1"/>
  <c r="W117" i="1"/>
  <c r="AI209" i="1"/>
  <c r="U209" i="1"/>
  <c r="S209" i="1" s="1"/>
  <c r="W218" i="1"/>
  <c r="W200" i="1"/>
  <c r="AI22" i="1"/>
  <c r="U22" i="1"/>
  <c r="S22" i="1" s="1"/>
  <c r="AI37" i="1"/>
  <c r="U37" i="1"/>
  <c r="S37" i="1" s="1"/>
  <c r="W18" i="1"/>
  <c r="W14" i="1"/>
  <c r="W33" i="1"/>
  <c r="AI54" i="1"/>
  <c r="U54" i="1"/>
  <c r="S54" i="1" s="1"/>
  <c r="AI70" i="1"/>
  <c r="U70" i="1"/>
  <c r="S70" i="1" s="1"/>
  <c r="AI65" i="1"/>
  <c r="U65" i="1"/>
  <c r="S65" i="1" s="1"/>
  <c r="W57" i="1"/>
  <c r="W54" i="1"/>
  <c r="W77" i="1"/>
  <c r="AI96" i="1"/>
  <c r="U160" i="1"/>
  <c r="S160" i="1" s="1"/>
  <c r="AI112" i="1"/>
  <c r="U92" i="1"/>
  <c r="S92" i="1" s="1"/>
  <c r="W156" i="1"/>
  <c r="W171" i="1"/>
  <c r="AI167" i="1"/>
  <c r="U132" i="1"/>
  <c r="S132" i="1" s="1"/>
  <c r="AI183" i="1"/>
  <c r="U148" i="1"/>
  <c r="S148" i="1" s="1"/>
  <c r="W95" i="1"/>
  <c r="AI213" i="1"/>
  <c r="U213" i="1"/>
  <c r="S213" i="1" s="1"/>
  <c r="W213" i="1"/>
  <c r="AI26" i="1"/>
  <c r="U26" i="1"/>
  <c r="S26" i="1" s="1"/>
  <c r="AI41" i="1"/>
  <c r="U41" i="1"/>
  <c r="S41" i="1" s="1"/>
  <c r="W37" i="1"/>
  <c r="AI66" i="1"/>
  <c r="U66" i="1"/>
  <c r="S66" i="1" s="1"/>
  <c r="AI69" i="1"/>
  <c r="U69" i="1"/>
  <c r="S69" i="1" s="1"/>
  <c r="W58" i="1"/>
  <c r="AI89" i="1"/>
  <c r="U89" i="1"/>
  <c r="S89" i="1" s="1"/>
  <c r="AI93" i="1"/>
  <c r="U157" i="1"/>
  <c r="S157" i="1" s="1"/>
  <c r="AI97" i="1"/>
  <c r="U161" i="1"/>
  <c r="S161" i="1" s="1"/>
  <c r="AI101" i="1"/>
  <c r="U91" i="1"/>
  <c r="S91" i="1" s="1"/>
  <c r="AI105" i="1"/>
  <c r="U168" i="1"/>
  <c r="S168" i="1" s="1"/>
  <c r="AI109" i="1"/>
  <c r="U172" i="1"/>
  <c r="S172" i="1" s="1"/>
  <c r="AI113" i="1"/>
  <c r="U175" i="1"/>
  <c r="S175" i="1" s="1"/>
  <c r="AI117" i="1"/>
  <c r="U179" i="1"/>
  <c r="S179" i="1" s="1"/>
  <c r="AI100" i="1"/>
  <c r="U164" i="1"/>
  <c r="S164" i="1" s="1"/>
  <c r="AI116" i="1"/>
  <c r="U178" i="1"/>
  <c r="S178" i="1" s="1"/>
  <c r="U186" i="1"/>
  <c r="S186" i="1" s="1"/>
  <c r="AI124" i="1"/>
  <c r="W157" i="1"/>
  <c r="W160" i="1"/>
  <c r="W172" i="1"/>
  <c r="W92" i="1"/>
  <c r="AI132" i="1"/>
  <c r="U99" i="1"/>
  <c r="S99" i="1" s="1"/>
  <c r="AI140" i="1"/>
  <c r="U105" i="1"/>
  <c r="S105" i="1" s="1"/>
  <c r="AI148" i="1"/>
  <c r="U113" i="1"/>
  <c r="S113" i="1" s="1"/>
  <c r="AI155" i="1"/>
  <c r="AI171" i="1"/>
  <c r="U136" i="1"/>
  <c r="S136" i="1" s="1"/>
  <c r="W183" i="1"/>
  <c r="AI187" i="1"/>
  <c r="U152" i="1"/>
  <c r="S152" i="1" s="1"/>
  <c r="W99" i="1"/>
  <c r="W101" i="1"/>
  <c r="W124" i="1"/>
  <c r="W140" i="1"/>
  <c r="W193" i="1"/>
  <c r="AI217" i="1"/>
  <c r="U217" i="1"/>
  <c r="S217" i="1" s="1"/>
  <c r="W210" i="1"/>
  <c r="W206" i="1"/>
  <c r="W214" i="1"/>
  <c r="AE29" i="3"/>
  <c r="Y26" i="3"/>
  <c r="T26" i="3"/>
  <c r="AC26" i="3"/>
  <c r="B10" i="6" l="1"/>
  <c r="G10" i="6" s="1"/>
  <c r="F10" i="6" l="1"/>
  <c r="J10" i="6"/>
  <c r="I10" i="6"/>
  <c r="AE26" i="3" l="1"/>
  <c r="AD26" i="3"/>
  <c r="B55" i="9" l="1"/>
  <c r="B56" i="9"/>
  <c r="B57" i="9"/>
  <c r="C57" i="9" s="1"/>
  <c r="B58" i="9"/>
  <c r="B59" i="9"/>
  <c r="B60" i="9"/>
  <c r="B61" i="9"/>
  <c r="C61" i="9" s="1"/>
  <c r="B62" i="9"/>
  <c r="C63" i="9" s="1"/>
  <c r="C59" i="9" l="1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Y13" i="1"/>
  <c r="K13" i="1"/>
  <c r="L13" i="1"/>
  <c r="M13" i="1"/>
  <c r="P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8" i="3" s="1"/>
  <c r="G44" i="4"/>
  <c r="G45" i="4"/>
  <c r="G46" i="4"/>
  <c r="G47" i="4"/>
  <c r="N9" i="3" s="1"/>
  <c r="G48" i="4"/>
  <c r="G49" i="4"/>
  <c r="G50" i="4"/>
  <c r="N16" i="3" s="1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5" i="3" s="1"/>
  <c r="G69" i="4"/>
  <c r="G70" i="4"/>
  <c r="G71" i="4"/>
  <c r="N11" i="3" s="1"/>
  <c r="G72" i="4"/>
  <c r="G73" i="4"/>
  <c r="G74" i="4"/>
  <c r="G75" i="4"/>
  <c r="G76" i="4"/>
  <c r="G77" i="4"/>
  <c r="G78" i="4"/>
  <c r="N17" i="3" s="1"/>
  <c r="G79" i="4"/>
  <c r="G80" i="4"/>
  <c r="G81" i="4"/>
  <c r="G82" i="4"/>
  <c r="G83" i="4"/>
  <c r="G84" i="4"/>
  <c r="G85" i="4"/>
  <c r="G86" i="4"/>
  <c r="G87" i="4"/>
  <c r="N13" i="3" s="1"/>
  <c r="G88" i="4"/>
  <c r="G89" i="4"/>
  <c r="N12" i="3" s="1"/>
  <c r="G90" i="4"/>
  <c r="G91" i="4"/>
  <c r="G92" i="4"/>
  <c r="G93" i="4"/>
  <c r="G94" i="4"/>
  <c r="N18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24" i="3" s="1"/>
  <c r="G115" i="4"/>
  <c r="G116" i="4"/>
  <c r="G117" i="4"/>
  <c r="G118" i="4"/>
  <c r="G119" i="4"/>
  <c r="G120" i="4"/>
  <c r="G121" i="4"/>
  <c r="G122" i="4"/>
  <c r="G123" i="4"/>
  <c r="N22" i="3" s="1"/>
  <c r="G124" i="4"/>
  <c r="G125" i="4"/>
  <c r="G126" i="4"/>
  <c r="G127" i="4"/>
  <c r="G128" i="4"/>
  <c r="G129" i="4"/>
  <c r="G130" i="4"/>
  <c r="N23" i="3" s="1"/>
  <c r="G131" i="4"/>
  <c r="G132" i="4"/>
  <c r="G133" i="4"/>
  <c r="G134" i="4"/>
  <c r="N27" i="3" s="1"/>
  <c r="G135" i="4"/>
  <c r="G136" i="4"/>
  <c r="G137" i="4"/>
  <c r="N21" i="3" s="1"/>
  <c r="G138" i="4"/>
  <c r="G139" i="4"/>
  <c r="G140" i="4"/>
  <c r="G141" i="4"/>
  <c r="G142" i="4"/>
  <c r="G143" i="4"/>
  <c r="G144" i="4"/>
  <c r="G145" i="4"/>
  <c r="G146" i="4"/>
  <c r="G147" i="4"/>
  <c r="N10" i="3" s="1"/>
  <c r="G148" i="4"/>
  <c r="G149" i="4"/>
  <c r="G150" i="4"/>
  <c r="G151" i="4"/>
  <c r="G152" i="4"/>
  <c r="N14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25" i="3" s="1"/>
  <c r="G178" i="4"/>
  <c r="G179" i="4"/>
  <c r="G180" i="4"/>
  <c r="G181" i="4"/>
  <c r="G182" i="4"/>
  <c r="G183" i="4"/>
  <c r="G184" i="4"/>
  <c r="G185" i="4"/>
  <c r="G186" i="4"/>
  <c r="G187" i="4"/>
  <c r="N28" i="3" s="1"/>
  <c r="G188" i="4"/>
  <c r="G189" i="4"/>
  <c r="N29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19" i="3" s="1"/>
  <c r="G211" i="4"/>
  <c r="G212" i="4"/>
  <c r="G213" i="4"/>
  <c r="N7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N20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6" i="3" l="1"/>
  <c r="H10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9" i="6" l="1"/>
  <c r="I9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9" i="6" l="1"/>
  <c r="F9" i="6"/>
  <c r="J9" i="6"/>
  <c r="H9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" i="6" l="1"/>
  <c r="I3" i="6" s="1"/>
  <c r="G259" i="4"/>
  <c r="G260" i="4"/>
  <c r="G261" i="4"/>
  <c r="G262" i="4"/>
  <c r="G263" i="4"/>
  <c r="G264" i="4"/>
  <c r="G265" i="4"/>
  <c r="F3" i="6" l="1"/>
  <c r="J3" i="6"/>
  <c r="G3" i="6"/>
  <c r="H3" i="6"/>
  <c r="B4" i="6"/>
  <c r="I4" i="6" s="1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H4" i="6"/>
  <c r="J4" i="6"/>
  <c r="G4" i="6"/>
  <c r="B5" i="6"/>
  <c r="I5" i="6" s="1"/>
  <c r="O2" i="3"/>
  <c r="O3" i="3" s="1"/>
  <c r="F5" i="6" l="1"/>
  <c r="J5" i="6"/>
  <c r="G5" i="6"/>
  <c r="H5" i="6"/>
  <c r="B6" i="6"/>
  <c r="I6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6" i="6" l="1"/>
  <c r="F6" i="6"/>
  <c r="G6" i="6"/>
  <c r="H6" i="6"/>
  <c r="B7" i="6"/>
  <c r="I7" i="6" s="1"/>
  <c r="J8" i="1"/>
  <c r="J4" i="1"/>
  <c r="S8" i="1"/>
  <c r="S4" i="1"/>
  <c r="F7" i="6" l="1"/>
  <c r="J7" i="6"/>
  <c r="H7" i="6"/>
  <c r="G7" i="6"/>
  <c r="B8" i="6"/>
  <c r="I8" i="6" s="1"/>
  <c r="S9" i="1"/>
  <c r="J9" i="1"/>
  <c r="B11" i="6" l="1"/>
  <c r="I11" i="6" s="1"/>
  <c r="F8" i="6"/>
  <c r="G8" i="6"/>
  <c r="J8" i="6"/>
  <c r="H8" i="6"/>
  <c r="S11" i="1"/>
  <c r="A11" i="1"/>
  <c r="B12" i="6" l="1"/>
  <c r="I12" i="6" s="1"/>
  <c r="G11" i="6"/>
  <c r="H11" i="6"/>
  <c r="J11" i="6"/>
  <c r="F11" i="6"/>
  <c r="B1" i="6"/>
  <c r="A5" i="3"/>
  <c r="G12" i="6" l="1"/>
  <c r="F12" i="6"/>
  <c r="J12" i="6"/>
  <c r="H12" i="6"/>
  <c r="B13" i="6"/>
  <c r="I13" i="6" s="1"/>
  <c r="F13" i="6" l="1"/>
  <c r="J13" i="6"/>
  <c r="G13" i="6"/>
  <c r="H13" i="6"/>
  <c r="B14" i="6"/>
  <c r="I14" i="6" s="1"/>
  <c r="B15" i="6" l="1"/>
  <c r="I15" i="6" s="1"/>
  <c r="J14" i="6"/>
  <c r="G14" i="6"/>
  <c r="F14" i="6"/>
  <c r="H14" i="6"/>
  <c r="F15" i="6" l="1"/>
  <c r="G15" i="6"/>
  <c r="H15" i="6"/>
  <c r="J15" i="6"/>
  <c r="B16" i="6"/>
  <c r="I16" i="6" s="1"/>
  <c r="J16" i="6" l="1"/>
  <c r="H16" i="6"/>
  <c r="F16" i="6"/>
  <c r="G16" i="6"/>
  <c r="B17" i="6"/>
  <c r="I17" i="6" s="1"/>
  <c r="B18" i="6" l="1"/>
  <c r="I18" i="6" s="1"/>
  <c r="J17" i="6"/>
  <c r="F17" i="6"/>
  <c r="H17" i="6"/>
  <c r="G17" i="6"/>
  <c r="F18" i="6" l="1"/>
  <c r="G18" i="6"/>
  <c r="H18" i="6"/>
  <c r="J18" i="6"/>
  <c r="B19" i="6"/>
  <c r="I19" i="6" s="1"/>
  <c r="G19" i="6" l="1"/>
  <c r="H19" i="6"/>
  <c r="J19" i="6"/>
  <c r="F19" i="6"/>
  <c r="B20" i="6"/>
  <c r="I20" i="6" s="1"/>
  <c r="F20" i="6" l="1"/>
  <c r="H20" i="6"/>
  <c r="J20" i="6"/>
  <c r="G20" i="6"/>
  <c r="B21" i="6"/>
  <c r="I21" i="6" s="1"/>
  <c r="F21" i="6" l="1"/>
  <c r="J21" i="6"/>
  <c r="G21" i="6"/>
  <c r="H21" i="6"/>
  <c r="B22" i="6"/>
  <c r="I22" i="6" s="1"/>
  <c r="B23" i="6" l="1"/>
  <c r="I23" i="6" s="1"/>
  <c r="F22" i="6"/>
  <c r="H22" i="6"/>
  <c r="J22" i="6"/>
  <c r="G22" i="6"/>
  <c r="F23" i="6" l="1"/>
  <c r="H23" i="6"/>
  <c r="J23" i="6"/>
  <c r="G23" i="6"/>
  <c r="B24" i="6"/>
  <c r="I24" i="6" s="1"/>
  <c r="J24" i="6" l="1"/>
  <c r="H24" i="6"/>
  <c r="F24" i="6"/>
  <c r="G24" i="6"/>
  <c r="B25" i="6"/>
  <c r="I25" i="6" s="1"/>
  <c r="B26" i="6" l="1"/>
  <c r="I26" i="6" s="1"/>
  <c r="F25" i="6"/>
  <c r="G25" i="6"/>
  <c r="H25" i="6"/>
  <c r="J25" i="6"/>
  <c r="B27" i="6" l="1"/>
  <c r="I27" i="6" s="1"/>
  <c r="H26" i="6"/>
  <c r="F26" i="6"/>
  <c r="J26" i="6"/>
  <c r="G26" i="6"/>
  <c r="B28" i="6" l="1"/>
  <c r="I28" i="6" s="1"/>
  <c r="F27" i="6"/>
  <c r="H27" i="6"/>
  <c r="J27" i="6"/>
  <c r="G27" i="6"/>
  <c r="F28" i="6" l="1"/>
  <c r="G28" i="6"/>
  <c r="J28" i="6"/>
  <c r="H28" i="6"/>
  <c r="B29" i="6"/>
  <c r="I29" i="6" s="1"/>
  <c r="F29" i="6" l="1"/>
  <c r="J29" i="6"/>
  <c r="H29" i="6"/>
  <c r="G29" i="6"/>
  <c r="B30" i="6"/>
  <c r="I30" i="6" s="1"/>
  <c r="F30" i="6" l="1"/>
  <c r="H30" i="6"/>
  <c r="G30" i="6"/>
  <c r="J30" i="6"/>
  <c r="B31" i="6"/>
  <c r="I31" i="6" s="1"/>
  <c r="B32" i="6" l="1"/>
  <c r="I32" i="6" s="1"/>
  <c r="G31" i="6"/>
  <c r="F31" i="6"/>
  <c r="H31" i="6"/>
  <c r="J31" i="6"/>
  <c r="J32" i="6" l="1"/>
  <c r="H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G36" i="6" l="1"/>
  <c r="F36" i="6"/>
  <c r="H36" i="6"/>
  <c r="J36" i="6"/>
  <c r="B37" i="6"/>
  <c r="I37" i="6" s="1"/>
  <c r="B38" i="6" l="1"/>
  <c r="I38" i="6" s="1"/>
  <c r="J37" i="6"/>
  <c r="G37" i="6"/>
  <c r="F37" i="6"/>
  <c r="H37" i="6"/>
  <c r="B39" i="6" l="1"/>
  <c r="I39" i="6" s="1"/>
  <c r="J38" i="6"/>
  <c r="G38" i="6"/>
  <c r="F38" i="6"/>
  <c r="H38" i="6"/>
  <c r="F39" i="6" l="1"/>
  <c r="H39" i="6"/>
  <c r="J39" i="6"/>
  <c r="G39" i="6"/>
  <c r="B40" i="6"/>
  <c r="I40" i="6" s="1"/>
  <c r="B41" i="6" l="1"/>
  <c r="I41" i="6" s="1"/>
  <c r="F40" i="6"/>
  <c r="G40" i="6"/>
  <c r="J40" i="6"/>
  <c r="H40" i="6"/>
  <c r="G41" i="6" l="1"/>
  <c r="F41" i="6"/>
  <c r="H41" i="6"/>
  <c r="J41" i="6"/>
  <c r="B42" i="6"/>
  <c r="I42" i="6" s="1"/>
  <c r="F42" i="6" l="1"/>
  <c r="J42" i="6"/>
  <c r="G42" i="6"/>
  <c r="H42" i="6"/>
  <c r="B43" i="6"/>
  <c r="I43" i="6" s="1"/>
  <c r="G43" i="6" l="1"/>
  <c r="H43" i="6"/>
  <c r="J43" i="6"/>
  <c r="F43" i="6"/>
  <c r="B44" i="6"/>
  <c r="I44" i="6" s="1"/>
  <c r="B45" i="6" l="1"/>
  <c r="I45" i="6" s="1"/>
  <c r="J44" i="6"/>
  <c r="H44" i="6"/>
  <c r="F44" i="6"/>
  <c r="G44" i="6"/>
  <c r="J45" i="6" l="1"/>
  <c r="G45" i="6"/>
  <c r="F45" i="6"/>
  <c r="H45" i="6"/>
  <c r="B46" i="6"/>
  <c r="I46" i="6" s="1"/>
  <c r="B47" i="6" l="1"/>
  <c r="I47" i="6" s="1"/>
  <c r="G46" i="6"/>
  <c r="J46" i="6"/>
  <c r="F46" i="6"/>
  <c r="H46" i="6"/>
  <c r="F47" i="6" l="1"/>
  <c r="G47" i="6"/>
  <c r="J47" i="6"/>
  <c r="H47" i="6"/>
  <c r="B48" i="6"/>
  <c r="I48" i="6" s="1"/>
  <c r="B49" i="6" l="1"/>
  <c r="I49" i="6" s="1"/>
  <c r="F48" i="6"/>
  <c r="G48" i="6"/>
  <c r="J48" i="6"/>
  <c r="H48" i="6"/>
  <c r="G49" i="6" l="1"/>
  <c r="H49" i="6"/>
  <c r="J49" i="6"/>
  <c r="F49" i="6"/>
  <c r="B50" i="6"/>
  <c r="I50" i="6" s="1"/>
  <c r="B51" i="6" l="1"/>
  <c r="I51" i="6" s="1"/>
  <c r="G50" i="6"/>
  <c r="H50" i="6"/>
  <c r="J50" i="6"/>
  <c r="F50" i="6"/>
  <c r="F51" i="6" l="1"/>
  <c r="G51" i="6"/>
  <c r="H51" i="6"/>
  <c r="J51" i="6"/>
  <c r="B52" i="6"/>
  <c r="I52" i="6" s="1"/>
  <c r="G52" i="6" l="1"/>
  <c r="F52" i="6"/>
  <c r="H52" i="6"/>
  <c r="J52" i="6"/>
  <c r="B53" i="6"/>
  <c r="I53" i="6" s="1"/>
  <c r="B54" i="6" l="1"/>
  <c r="I54" i="6" s="1"/>
  <c r="J53" i="6"/>
  <c r="G53" i="6"/>
  <c r="F53" i="6"/>
  <c r="H53" i="6"/>
  <c r="B55" i="6" l="1"/>
  <c r="I55" i="6" s="1"/>
  <c r="J54" i="6"/>
  <c r="G54" i="6"/>
  <c r="F54" i="6"/>
  <c r="H54" i="6"/>
  <c r="H55" i="6" l="1"/>
  <c r="F55" i="6"/>
  <c r="G55" i="6"/>
  <c r="J55" i="6"/>
  <c r="B56" i="6"/>
  <c r="I56" i="6" s="1"/>
  <c r="B57" i="6" l="1"/>
  <c r="I57" i="6" s="1"/>
  <c r="F56" i="6"/>
  <c r="G56" i="6"/>
  <c r="J56" i="6"/>
  <c r="H56" i="6"/>
  <c r="B58" i="6" l="1"/>
  <c r="I58" i="6" s="1"/>
  <c r="J57" i="6"/>
  <c r="F57" i="6"/>
  <c r="G57" i="6"/>
  <c r="H57" i="6"/>
  <c r="F58" i="6" l="1"/>
  <c r="J58" i="6"/>
  <c r="G58" i="6"/>
  <c r="H58" i="6"/>
  <c r="B59" i="6"/>
  <c r="I59" i="6" s="1"/>
  <c r="H59" i="6" l="1"/>
  <c r="J59" i="6"/>
  <c r="G59" i="6"/>
  <c r="F59" i="6"/>
  <c r="B60" i="6"/>
  <c r="I60" i="6" s="1"/>
  <c r="B61" i="6" l="1"/>
  <c r="I61" i="6" s="1"/>
  <c r="J60" i="6"/>
  <c r="H60" i="6"/>
  <c r="F60" i="6"/>
  <c r="G60" i="6"/>
  <c r="J61" i="6" l="1"/>
  <c r="G61" i="6"/>
  <c r="F61" i="6"/>
  <c r="H61" i="6"/>
  <c r="B62" i="6"/>
  <c r="I62" i="6" s="1"/>
  <c r="G62" i="6" l="1"/>
  <c r="H62" i="6"/>
  <c r="J62" i="6"/>
  <c r="F62" i="6"/>
  <c r="B63" i="6"/>
  <c r="I63" i="6" s="1"/>
  <c r="G63" i="6" l="1"/>
  <c r="F63" i="6"/>
  <c r="H63" i="6"/>
  <c r="J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H66" i="6" l="1"/>
  <c r="G66" i="6"/>
  <c r="F66" i="6"/>
  <c r="J66" i="6"/>
  <c r="B67" i="6"/>
  <c r="I67" i="6" s="1"/>
  <c r="G67" i="6" l="1"/>
  <c r="H67" i="6"/>
  <c r="J67" i="6"/>
  <c r="F67" i="6"/>
  <c r="B68" i="6"/>
  <c r="I68" i="6" s="1"/>
  <c r="B69" i="6" l="1"/>
  <c r="I69" i="6" s="1"/>
  <c r="J68" i="6"/>
  <c r="F68" i="6"/>
  <c r="H68" i="6"/>
  <c r="G68" i="6"/>
  <c r="B70" i="6" l="1"/>
  <c r="I70" i="6" s="1"/>
  <c r="J69" i="6"/>
  <c r="F69" i="6"/>
  <c r="G69" i="6"/>
  <c r="H69" i="6"/>
  <c r="B71" i="6" l="1"/>
  <c r="I71" i="6" s="1"/>
  <c r="J70" i="6"/>
  <c r="F70" i="6"/>
  <c r="G70" i="6"/>
  <c r="H70" i="6"/>
  <c r="J71" i="6" l="1"/>
  <c r="F71" i="6"/>
  <c r="H71" i="6"/>
  <c r="G71" i="6"/>
  <c r="B72" i="6"/>
  <c r="I72" i="6" s="1"/>
  <c r="F72" i="6" l="1"/>
  <c r="J72" i="6"/>
  <c r="H72" i="6"/>
  <c r="G72" i="6"/>
  <c r="B73" i="6"/>
  <c r="I73" i="6" s="1"/>
  <c r="J73" i="6" l="1"/>
  <c r="G73" i="6"/>
  <c r="F73" i="6"/>
  <c r="H73" i="6"/>
  <c r="B74" i="6"/>
  <c r="I74" i="6" s="1"/>
  <c r="B75" i="6" l="1"/>
  <c r="I75" i="6" s="1"/>
  <c r="F74" i="6"/>
  <c r="G74" i="6"/>
  <c r="H74" i="6"/>
  <c r="J74" i="6"/>
  <c r="F75" i="6" l="1"/>
  <c r="G75" i="6"/>
  <c r="H75" i="6"/>
  <c r="J75" i="6"/>
  <c r="B76" i="6"/>
  <c r="I76" i="6" s="1"/>
  <c r="B77" i="6" l="1"/>
  <c r="I77" i="6" s="1"/>
  <c r="J76" i="6"/>
  <c r="F76" i="6"/>
  <c r="G76" i="6"/>
  <c r="H76" i="6"/>
  <c r="F77" i="6" l="1"/>
  <c r="H77" i="6"/>
  <c r="G77" i="6"/>
  <c r="J77" i="6"/>
  <c r="B78" i="6"/>
  <c r="I78" i="6" s="1"/>
  <c r="B79" i="6" l="1"/>
  <c r="I79" i="6" s="1"/>
  <c r="H78" i="6"/>
  <c r="G78" i="6"/>
  <c r="F78" i="6"/>
  <c r="J78" i="6"/>
  <c r="B80" i="6" l="1"/>
  <c r="I80" i="6" s="1"/>
  <c r="J79" i="6"/>
  <c r="H79" i="6"/>
  <c r="F79" i="6"/>
  <c r="G79" i="6"/>
  <c r="J80" i="6" l="1"/>
  <c r="H80" i="6"/>
  <c r="F80" i="6"/>
  <c r="G80" i="6"/>
  <c r="B81" i="6"/>
  <c r="I81" i="6" s="1"/>
  <c r="J81" i="6" l="1"/>
  <c r="F81" i="6"/>
  <c r="H81" i="6"/>
  <c r="G81" i="6"/>
  <c r="B82" i="6"/>
  <c r="I82" i="6" s="1"/>
  <c r="B83" i="6" l="1"/>
  <c r="I83" i="6" s="1"/>
  <c r="F82" i="6"/>
  <c r="J82" i="6"/>
  <c r="G82" i="6"/>
  <c r="H82" i="6"/>
  <c r="B84" i="6" l="1"/>
  <c r="I84" i="6" s="1"/>
  <c r="F83" i="6"/>
  <c r="G83" i="6"/>
  <c r="H83" i="6"/>
  <c r="J83" i="6"/>
  <c r="B85" i="6" l="1"/>
  <c r="I85" i="6" s="1"/>
  <c r="J84" i="6"/>
  <c r="H84" i="6"/>
  <c r="G84" i="6"/>
  <c r="F84" i="6"/>
  <c r="B86" i="6" l="1"/>
  <c r="I86" i="6" s="1"/>
  <c r="H85" i="6"/>
  <c r="J85" i="6"/>
  <c r="F85" i="6"/>
  <c r="G85" i="6"/>
  <c r="G86" i="6" l="1"/>
  <c r="H86" i="6"/>
  <c r="J86" i="6"/>
  <c r="F86" i="6"/>
  <c r="B87" i="6"/>
  <c r="I87" i="6" s="1"/>
  <c r="B88" i="6" l="1"/>
  <c r="I88" i="6" s="1"/>
  <c r="G87" i="6"/>
  <c r="J87" i="6"/>
  <c r="H87" i="6"/>
  <c r="F87" i="6"/>
  <c r="F88" i="6" l="1"/>
  <c r="H88" i="6"/>
  <c r="J88" i="6"/>
  <c r="G88" i="6"/>
  <c r="B89" i="6"/>
  <c r="I89" i="6" s="1"/>
  <c r="H89" i="6" l="1"/>
  <c r="F89" i="6"/>
  <c r="G89" i="6"/>
  <c r="J89" i="6"/>
  <c r="B90" i="6"/>
  <c r="I90" i="6" s="1"/>
  <c r="H90" i="6" l="1"/>
  <c r="G90" i="6"/>
  <c r="F90" i="6"/>
  <c r="J90" i="6"/>
  <c r="B91" i="6"/>
  <c r="I91" i="6" s="1"/>
  <c r="H91" i="6" l="1"/>
  <c r="J91" i="6"/>
  <c r="G91" i="6"/>
  <c r="F91" i="6"/>
  <c r="B92" i="6"/>
  <c r="I92" i="6" s="1"/>
  <c r="J92" i="6" l="1"/>
  <c r="G92" i="6"/>
  <c r="F92" i="6"/>
  <c r="H92" i="6"/>
  <c r="B93" i="6"/>
  <c r="I93" i="6" s="1"/>
  <c r="J93" i="6" l="1"/>
  <c r="F93" i="6"/>
  <c r="H93" i="6"/>
  <c r="G93" i="6"/>
  <c r="B94" i="6"/>
  <c r="I94" i="6" s="1"/>
  <c r="G94" i="6" l="1"/>
  <c r="H94" i="6"/>
  <c r="F94" i="6"/>
  <c r="J94" i="6"/>
  <c r="B95" i="6"/>
  <c r="I95" i="6" s="1"/>
  <c r="B96" i="6" l="1"/>
  <c r="I96" i="6" s="1"/>
  <c r="J95" i="6"/>
  <c r="G95" i="6"/>
  <c r="H95" i="6"/>
  <c r="F95" i="6"/>
  <c r="J96" i="6" l="1"/>
  <c r="F96" i="6"/>
  <c r="H96" i="6"/>
  <c r="G96" i="6"/>
  <c r="B97" i="6"/>
  <c r="I97" i="6" s="1"/>
  <c r="B98" i="6" l="1"/>
  <c r="I98" i="6" s="1"/>
  <c r="J97" i="6"/>
  <c r="G97" i="6"/>
  <c r="H97" i="6"/>
  <c r="F97" i="6"/>
  <c r="B99" i="6" l="1"/>
  <c r="I99" i="6" s="1"/>
  <c r="F98" i="6"/>
  <c r="H98" i="6"/>
  <c r="G98" i="6"/>
  <c r="J98" i="6"/>
  <c r="B100" i="6" l="1"/>
  <c r="I100" i="6" s="1"/>
  <c r="J99" i="6"/>
  <c r="F99" i="6"/>
  <c r="G99" i="6"/>
  <c r="H99" i="6"/>
  <c r="B101" i="6" l="1"/>
  <c r="I101" i="6" s="1"/>
  <c r="J100" i="6"/>
  <c r="H100" i="6"/>
  <c r="G100" i="6"/>
  <c r="F100" i="6"/>
  <c r="G101" i="6" l="1"/>
  <c r="H101" i="6"/>
  <c r="J101" i="6"/>
  <c r="F101" i="6"/>
  <c r="B102" i="6"/>
  <c r="I102" i="6" s="1"/>
  <c r="B103" i="6" l="1"/>
  <c r="I103" i="6" s="1"/>
  <c r="J102" i="6"/>
  <c r="F102" i="6"/>
  <c r="G102" i="6"/>
  <c r="H102" i="6"/>
  <c r="F103" i="6" l="1"/>
  <c r="G103" i="6"/>
  <c r="H103" i="6"/>
  <c r="J103" i="6"/>
  <c r="B104" i="6"/>
  <c r="I104" i="6" s="1"/>
  <c r="F104" i="6" l="1"/>
  <c r="H104" i="6"/>
  <c r="G104" i="6"/>
  <c r="J104" i="6"/>
  <c r="B105" i="6"/>
  <c r="I105" i="6" s="1"/>
  <c r="J105" i="6" l="1"/>
  <c r="H105" i="6"/>
  <c r="F105" i="6"/>
  <c r="G105" i="6"/>
  <c r="B106" i="6"/>
  <c r="I106" i="6" s="1"/>
  <c r="F106" i="6" l="1"/>
  <c r="H106" i="6"/>
  <c r="G106" i="6"/>
  <c r="J106" i="6"/>
  <c r="B107" i="6"/>
  <c r="I107" i="6" s="1"/>
  <c r="F107" i="6" l="1"/>
  <c r="H107" i="6"/>
  <c r="G107" i="6"/>
  <c r="J107" i="6"/>
  <c r="B108" i="6"/>
  <c r="I108" i="6" s="1"/>
  <c r="J108" i="6" l="1"/>
  <c r="F108" i="6"/>
  <c r="G108" i="6"/>
  <c r="H108" i="6"/>
  <c r="B109" i="6"/>
  <c r="I109" i="6" s="1"/>
  <c r="G109" i="6" l="1"/>
  <c r="H109" i="6"/>
  <c r="J109" i="6"/>
  <c r="F109" i="6"/>
  <c r="B110" i="6"/>
  <c r="I110" i="6" s="1"/>
  <c r="B111" i="6" l="1"/>
  <c r="I111" i="6" s="1"/>
  <c r="H110" i="6"/>
  <c r="G110" i="6"/>
  <c r="J110" i="6"/>
  <c r="F110" i="6"/>
  <c r="B112" i="6" l="1"/>
  <c r="I112" i="6" s="1"/>
  <c r="J111" i="6"/>
  <c r="G111" i="6"/>
  <c r="H111" i="6"/>
  <c r="F111" i="6"/>
  <c r="H112" i="6" l="1"/>
  <c r="F112" i="6"/>
  <c r="G112" i="6"/>
  <c r="J112" i="6"/>
  <c r="B113" i="6"/>
  <c r="I113" i="6" s="1"/>
  <c r="F113" i="6" l="1"/>
  <c r="H113" i="6"/>
  <c r="J113" i="6"/>
  <c r="G113" i="6"/>
  <c r="B114" i="6"/>
  <c r="I114" i="6" s="1"/>
  <c r="F114" i="6" l="1"/>
  <c r="G114" i="6"/>
  <c r="J114" i="6"/>
  <c r="H114" i="6"/>
  <c r="B115" i="6"/>
  <c r="I115" i="6" s="1"/>
  <c r="B116" i="6" l="1"/>
  <c r="I116" i="6" s="1"/>
  <c r="H115" i="6"/>
  <c r="J115" i="6"/>
  <c r="F115" i="6"/>
  <c r="G115" i="6"/>
  <c r="B117" i="6" l="1"/>
  <c r="I117" i="6" s="1"/>
  <c r="J116" i="6"/>
  <c r="H116" i="6"/>
  <c r="G116" i="6"/>
  <c r="F116" i="6"/>
  <c r="B119" i="6" l="1"/>
  <c r="I119" i="6" s="1"/>
  <c r="B118" i="6"/>
  <c r="I118" i="6" s="1"/>
  <c r="F117" i="6"/>
  <c r="G117" i="6"/>
  <c r="H117" i="6"/>
  <c r="J117" i="6"/>
  <c r="G118" i="6" l="1"/>
  <c r="H118" i="6"/>
  <c r="J118" i="6"/>
  <c r="F118" i="6"/>
  <c r="J119" i="6"/>
  <c r="F119" i="6"/>
  <c r="G119" i="6"/>
  <c r="H11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<sst xmlns="http://schemas.openxmlformats.org/spreadsheetml/2006/main" count="2496" uniqueCount="918">
  <si>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</si>
  <si>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</si>
  <si>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</si>
  <si>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</si>
  <si>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</si>
  <si>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</si>
  <si>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</si>
  <si>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</si>
  <si>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</si>
  <si>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</si>
  <si>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</si>
  <si>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</si>
  <si>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</si>
  <si>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</si>
  <si>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</si>
  <si>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</si>
  <si>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</si>
  <si>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</si>
  <si>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</si>
  <si>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</si>
  <si>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</si>
  <si>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</si>
  <si>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</si>
  <si>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</si>
  <si>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</si>
  <si>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</si>
  <si>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</si>
  <si>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</si>
  <si>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</si>
  <si>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</si>
  <si>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</si>
  <si>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</si>
  <si>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</si>
  <si>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</si>
  <si>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</si>
  <si>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</si>
  <si>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</si>
  <si>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</si>
  <si>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</si>
  <si>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</si>
  <si>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</si>
  <si>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</si>
  <si>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</si>
  <si>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</si>
  <si>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</si>
  <si>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</si>
  <si>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</si>
  <si>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</si>
  <si>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</si>
  <si>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</si>
  <si>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</si>
  <si>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</si>
  <si>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</si>
  <si>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</si>
  <si>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</si>
  <si>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</si>
  <si>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</si>
  <si>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</si>
  <si>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</si>
  <si>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</si>
  <si>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</si>
  <si>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</si>
  <si>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</si>
  <si>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</si>
  <si>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</si>
  <si>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</si>
  <si>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</si>
  <si>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</si>
  <si>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</si>
  <si>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</si>
  <si>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</si>
  <si>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</si>
  <si>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</si>
  <si>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</si>
  <si>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</si>
  <si>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</si>
  <si>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</si>
  <si>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</si>
  <si>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</si>
  <si>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</si>
  <si>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</si>
  <si>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</si>
  <si>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</si>
  <si>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</si>
  <si>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</si>
  <si>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</si>
  <si>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</si>
  <si>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</si>
  <si>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</si>
  <si>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</si>
  <si>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</si>
  <si>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</si>
  <si>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</si>
  <si>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</si>
  <si>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</si>
  <si>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</si>
  <si>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</si>
  <si>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</si>
  <si>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</si>
  <si>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</si>
  <si>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</si>
  <si>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</si>
  <si>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</si>
  <si>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</si>
  <si>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</si>
  <si>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</si>
  <si>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</si>
  <si>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</si>
  <si>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</si>
  <si>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</si>
  <si>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</si>
  <si>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</si>
  <si>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</si>
  <si>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</si>
  <si>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</si>
  <si>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</si>
  <si>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</si>
  <si>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</si>
  <si>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</si>
  <si>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</si>
  <si>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</si>
  <si>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</si>
  <si>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</si>
  <si>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</si>
  <si>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</si>
  <si>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</si>
  <si>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</si>
  <si>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</si>
  <si>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</si>
  <si>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</si>
  <si>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</si>
  <si>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</si>
  <si>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</si>
  <si>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</si>
  <si>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</si>
  <si>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</si>
  <si>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</si>
  <si>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</si>
  <si>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</si>
  <si>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</si>
  <si>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</si>
  <si>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</si>
  <si>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</si>
  <si>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</si>
  <si>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</si>
  <si>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</si>
  <si>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</si>
  <si>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</si>
  <si>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</si>
  <si>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</si>
  <si>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</si>
  <si>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</si>
  <si>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</si>
  <si>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</si>
  <si>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</si>
  <si>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</si>
  <si>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</si>
  <si>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</si>
  <si>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</si>
  <si>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</si>
  <si>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</si>
  <si>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</si>
  <si>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</si>
  <si>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</si>
  <si>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</si>
  <si>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</si>
  <si>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</si>
  <si>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</si>
  <si>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</si>
  <si>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</si>
  <si>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</si>
  <si>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</si>
  <si>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</si>
  <si>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</si>
  <si>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</si>
  <si>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</si>
  <si>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</si>
  <si>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</si>
  <si>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</si>
  <si>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</si>
  <si>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</si>
  <si>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</si>
  <si>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</si>
  <si>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</si>
  <si>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</si>
  <si>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</si>
  <si>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</si>
  <si>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</si>
  <si>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</si>
  <si>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</si>
  <si>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</si>
  <si>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</si>
  <si>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</si>
  <si>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</si>
  <si>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</si>
  <si>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</si>
  <si>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</si>
  <si>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</si>
  <si>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</si>
  <si>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</si>
  <si>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</si>
  <si>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</si>
  <si>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</si>
  <si>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</si>
  <si>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</si>
  <si>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</si>
  <si>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</si>
  <si>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</si>
  <si>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</si>
  <si>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</si>
  <si>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</si>
  <si>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</si>
  <si>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</si>
  <si>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</si>
  <si>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</si>
  <si>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</si>
  <si>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</si>
  <si>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</si>
  <si>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</si>
  <si>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</si>
  <si>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</si>
  <si>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</si>
  <si>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</si>
  <si>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</si>
  <si>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</si>
  <si>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</si>
  <si>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</si>
  <si>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</si>
  <si>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</si>
  <si>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</si>
  <si>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</si>
  <si>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</si>
  <si>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</si>
  <si>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</si>
  <si>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</si>
  <si>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</si>
  <si>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</si>
  <si>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</si>
  <si>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</si>
  <si>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</si>
  <si>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</si>
  <si>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</si>
  <si>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</si>
  <si>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</si>
  <si>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</si>
  <si>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</si>
  <si>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</si>
  <si>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</si>
  <si>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</si>
  <si>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</si>
  <si>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</si>
  <si>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</si>
  <si>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</si>
  <si>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</si>
  <si>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</si>
  <si>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</si>
  <si>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</si>
  <si>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</si>
  <si>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</si>
  <si>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</si>
  <si>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</si>
  <si>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</si>
  <si>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</si>
  <si>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</si>
  <si>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</si>
  <si>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</si>
  <si>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</si>
  <si>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</si>
  <si>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</si>
  <si>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</si>
  <si>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</si>
  <si>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rtdc.l.rtdc.4031:itc</t>
  </si>
  <si>
    <t>rtdc.l.rtdc.4032:itc</t>
  </si>
  <si>
    <t>204:161</t>
  </si>
  <si>
    <t>rtdc.l.rtdc.4020:itc</t>
  </si>
  <si>
    <t>MOSES</t>
  </si>
  <si>
    <t>BRADLEY</t>
  </si>
  <si>
    <t>rtdc.l.rtdc.4044:itc</t>
  </si>
  <si>
    <t>204:141</t>
  </si>
  <si>
    <t>204:232983</t>
  </si>
  <si>
    <t>204:232996</t>
  </si>
  <si>
    <t>204:233312</t>
  </si>
  <si>
    <t>204:232980</t>
  </si>
  <si>
    <t>204:440</t>
  </si>
  <si>
    <t>204:232986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</si>
  <si>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</si>
  <si>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</si>
  <si>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</si>
  <si>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</si>
  <si>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</si>
  <si>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</si>
  <si>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</si>
  <si>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DAVID</t>
  </si>
  <si>
    <t>204:136</t>
  </si>
  <si>
    <t>204:156</t>
  </si>
  <si>
    <t>204:233310</t>
  </si>
  <si>
    <t>204:444</t>
  </si>
  <si>
    <t>204:147</t>
  </si>
  <si>
    <t>300:23346</t>
  </si>
  <si>
    <t>204:477</t>
  </si>
  <si>
    <t>204:232998</t>
  </si>
  <si>
    <t>204:138</t>
  </si>
  <si>
    <t>300:58623</t>
  </si>
  <si>
    <t>300:58937</t>
  </si>
  <si>
    <t>204:233302</t>
  </si>
  <si>
    <t>204:438</t>
  </si>
  <si>
    <t>204:170</t>
  </si>
  <si>
    <t>204:431</t>
  </si>
  <si>
    <t>204:442</t>
  </si>
  <si>
    <t>204:167</t>
  </si>
  <si>
    <t>204:232985</t>
  </si>
  <si>
    <t>204:233327</t>
  </si>
  <si>
    <t>204:233278</t>
  </si>
  <si>
    <t>204:473</t>
  </si>
  <si>
    <t>204:471</t>
  </si>
  <si>
    <t>204:233306</t>
  </si>
  <si>
    <t>204:678</t>
  </si>
  <si>
    <t>236-15</t>
  </si>
  <si>
    <t>240-15</t>
  </si>
  <si>
    <t>BADERTSCHER</t>
  </si>
  <si>
    <t>DIANE</t>
  </si>
  <si>
    <t>GEBRETEKLE</t>
  </si>
  <si>
    <t>DAGNEW</t>
  </si>
  <si>
    <t>HELVIE</t>
  </si>
  <si>
    <t>ADAM</t>
  </si>
  <si>
    <t>BRUDER</t>
  </si>
  <si>
    <t>RICHARD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</si>
  <si>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</si>
  <si>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</si>
  <si>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</si>
  <si>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</si>
  <si>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</si>
  <si>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</si>
  <si>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</si>
  <si>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</si>
  <si>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</si>
  <si>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</si>
  <si>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</si>
  <si>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</si>
  <si>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</si>
  <si>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</si>
  <si>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</si>
  <si>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</si>
  <si>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</si>
  <si>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</si>
  <si>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</si>
  <si>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</si>
  <si>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</t>
  </si>
  <si>
    <t>clear-day</t>
  </si>
  <si>
    <t>204:739</t>
  </si>
  <si>
    <t>204:129</t>
  </si>
  <si>
    <t>204:754</t>
  </si>
  <si>
    <t>204:232975</t>
  </si>
  <si>
    <t>204:232989</t>
  </si>
  <si>
    <t>204:233317</t>
  </si>
  <si>
    <t>204:232959</t>
  </si>
  <si>
    <t>204:232967</t>
  </si>
  <si>
    <t>204:233307</t>
  </si>
  <si>
    <t>204:233019</t>
  </si>
  <si>
    <t>204:233003</t>
  </si>
  <si>
    <t>204:232973</t>
  </si>
  <si>
    <t>204:130</t>
  </si>
  <si>
    <t>204:233015</t>
  </si>
  <si>
    <t>204:233272</t>
  </si>
  <si>
    <t>300:58967</t>
  </si>
  <si>
    <t>rtdc.l.rtdc.4052:itc</t>
  </si>
  <si>
    <t>rtdc.l.rtdc.4014:itc</t>
  </si>
  <si>
    <t>rtdc.l.rtdc.4051:itc</t>
  </si>
  <si>
    <t>ROBINSON</t>
  </si>
  <si>
    <t>KADDIBA</t>
  </si>
  <si>
    <t>SHOOK</t>
  </si>
  <si>
    <t>rtdc.l.rtdc.4013:itc</t>
  </si>
  <si>
    <t>KILLION</t>
  </si>
  <si>
    <t>SMITH</t>
  </si>
  <si>
    <t>ARVIDSON</t>
  </si>
  <si>
    <t>DANIEL</t>
  </si>
  <si>
    <t>rtdc.l.rtdc.4006:itc</t>
  </si>
  <si>
    <t>WHITED</t>
  </si>
  <si>
    <t>241-16</t>
  </si>
  <si>
    <t>243-16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</si>
  <si>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</si>
  <si>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</si>
  <si>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</si>
  <si>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</si>
  <si>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</si>
  <si>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</si>
  <si>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</si>
  <si>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</si>
  <si>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204:233257</t>
  </si>
  <si>
    <t>204:232982</t>
  </si>
  <si>
    <t>204:163</t>
  </si>
  <si>
    <t>204:233346</t>
  </si>
  <si>
    <t>204:233004</t>
  </si>
  <si>
    <t>204:750</t>
  </si>
  <si>
    <t>204:233295</t>
  </si>
  <si>
    <t>204:475</t>
  </si>
  <si>
    <t>204:233264</t>
  </si>
  <si>
    <t>204:447</t>
  </si>
  <si>
    <t>204:466</t>
  </si>
  <si>
    <t>204:233006</t>
  </si>
  <si>
    <t>204:233011</t>
  </si>
  <si>
    <t>204:233304</t>
  </si>
  <si>
    <t>204:233321</t>
  </si>
  <si>
    <t>204:233303</t>
  </si>
  <si>
    <t>204:233288</t>
  </si>
  <si>
    <t>204:426</t>
  </si>
  <si>
    <t>204:233301</t>
  </si>
  <si>
    <t>204:233285</t>
  </si>
  <si>
    <t>204:125</t>
  </si>
  <si>
    <t>300:23306</t>
  </si>
  <si>
    <t>300:23156</t>
  </si>
  <si>
    <t>204:740</t>
  </si>
  <si>
    <t>300:58647</t>
  </si>
  <si>
    <t>300:58619</t>
  </si>
  <si>
    <t>300:58973</t>
  </si>
  <si>
    <t>300:58638</t>
  </si>
  <si>
    <t>300:58632</t>
  </si>
  <si>
    <t>1801-19</t>
  </si>
  <si>
    <t>120-19</t>
  </si>
  <si>
    <t>131-19</t>
  </si>
  <si>
    <t>PERMANENT SPEED RESTRICTION</t>
  </si>
  <si>
    <t>Speed (6)</t>
  </si>
  <si>
    <t>124-19</t>
  </si>
  <si>
    <t>145-19</t>
  </si>
  <si>
    <t>149-19</t>
  </si>
  <si>
    <t>148-19</t>
  </si>
  <si>
    <t>161-19</t>
  </si>
  <si>
    <t>158-19</t>
  </si>
  <si>
    <t>156-19</t>
  </si>
  <si>
    <t>164-19</t>
  </si>
  <si>
    <t>174-19</t>
  </si>
  <si>
    <t>1818-19</t>
  </si>
  <si>
    <t>180-19</t>
  </si>
  <si>
    <t>186-19</t>
  </si>
  <si>
    <t>203-19</t>
  </si>
  <si>
    <t>194-19</t>
  </si>
  <si>
    <t>219-19</t>
  </si>
  <si>
    <t>1827-19</t>
  </si>
  <si>
    <t>rtdc.l.rtdc.4009:itc</t>
  </si>
  <si>
    <t>61-19</t>
  </si>
  <si>
    <t>233-19</t>
  </si>
  <si>
    <t>235-19</t>
  </si>
  <si>
    <t>244-19</t>
  </si>
  <si>
    <t>Y</t>
  </si>
  <si>
    <t>245-18</t>
  </si>
  <si>
    <t>DUNCAN</t>
  </si>
  <si>
    <t>SHEILA</t>
  </si>
  <si>
    <t>rtdc.l.rtdc.4022:itc</t>
  </si>
  <si>
    <t>309-18</t>
  </si>
  <si>
    <t>244-18</t>
  </si>
  <si>
    <t>MAGEE</t>
  </si>
  <si>
    <t>KENYA</t>
  </si>
  <si>
    <t>311-18</t>
  </si>
  <si>
    <t>STAMBAUGH</t>
  </si>
  <si>
    <t>246-18</t>
  </si>
  <si>
    <t>302-19</t>
  </si>
  <si>
    <t>SWANSON</t>
  </si>
  <si>
    <t>BRYCE</t>
  </si>
  <si>
    <t>101-19</t>
  </si>
  <si>
    <t>rtdc.l.rtdc.4005:itc</t>
  </si>
  <si>
    <t>304-19</t>
  </si>
  <si>
    <t>103-19</t>
  </si>
  <si>
    <t>306-19</t>
  </si>
  <si>
    <t>102-19</t>
  </si>
  <si>
    <t>105-19</t>
  </si>
  <si>
    <t>308-19</t>
  </si>
  <si>
    <t>HAITHCOX</t>
  </si>
  <si>
    <t>310-19</t>
  </si>
  <si>
    <t>107-19</t>
  </si>
  <si>
    <t>104-19</t>
  </si>
  <si>
    <t>109-19</t>
  </si>
  <si>
    <t>111-19</t>
  </si>
  <si>
    <t>113-19</t>
  </si>
  <si>
    <t>106-19</t>
  </si>
  <si>
    <t>108-19</t>
  </si>
  <si>
    <t>1901-19</t>
  </si>
  <si>
    <t>115-19</t>
  </si>
  <si>
    <t>110-19</t>
  </si>
  <si>
    <t>112-19</t>
  </si>
  <si>
    <t>1800-19</t>
  </si>
  <si>
    <t>117-19</t>
  </si>
  <si>
    <t>114-19</t>
  </si>
  <si>
    <t>119-19</t>
  </si>
  <si>
    <t>121-19</t>
  </si>
  <si>
    <t>116-19</t>
  </si>
  <si>
    <t>123-19</t>
  </si>
  <si>
    <t>118-19</t>
  </si>
  <si>
    <t>1802-19</t>
  </si>
  <si>
    <t>125-19</t>
  </si>
  <si>
    <t>1803-19</t>
  </si>
  <si>
    <t>127-19</t>
  </si>
  <si>
    <t>122-19</t>
  </si>
  <si>
    <t>129-19</t>
  </si>
  <si>
    <t>126-19</t>
  </si>
  <si>
    <t>133-19</t>
  </si>
  <si>
    <t>128-19</t>
  </si>
  <si>
    <t>1804-19</t>
  </si>
  <si>
    <t>135-19</t>
  </si>
  <si>
    <t>130-19</t>
  </si>
  <si>
    <t>1805-19</t>
  </si>
  <si>
    <t>137-19</t>
  </si>
  <si>
    <t>139-19</t>
  </si>
  <si>
    <t>132-19</t>
  </si>
  <si>
    <t>134-19</t>
  </si>
  <si>
    <t>1806-19</t>
  </si>
  <si>
    <t>141-19</t>
  </si>
  <si>
    <t>136-19</t>
  </si>
  <si>
    <t>143-19</t>
  </si>
  <si>
    <t>1807-19</t>
  </si>
  <si>
    <t>140-19</t>
  </si>
  <si>
    <t>138-19</t>
  </si>
  <si>
    <t>147-19</t>
  </si>
  <si>
    <t>142-19</t>
  </si>
  <si>
    <t>144-19</t>
  </si>
  <si>
    <t>1808-19</t>
  </si>
  <si>
    <t>151-19</t>
  </si>
  <si>
    <t>1809-19</t>
  </si>
  <si>
    <t>146-19</t>
  </si>
  <si>
    <t>153-19</t>
  </si>
  <si>
    <t>155-19</t>
  </si>
  <si>
    <t>ROMERO</t>
  </si>
  <si>
    <t>CHAD</t>
  </si>
  <si>
    <t>50-19</t>
  </si>
  <si>
    <t>1810-19</t>
  </si>
  <si>
    <t>150-19</t>
  </si>
  <si>
    <t>157-19</t>
  </si>
  <si>
    <t>152-19</t>
  </si>
  <si>
    <t>1811-19</t>
  </si>
  <si>
    <t>154-19</t>
  </si>
  <si>
    <t>STEWART</t>
  </si>
  <si>
    <t>51-19</t>
  </si>
  <si>
    <t>52-19</t>
  </si>
  <si>
    <t>CRAYTON</t>
  </si>
  <si>
    <t>QUNTRELL</t>
  </si>
  <si>
    <t>1812-19</t>
  </si>
  <si>
    <t>165-19</t>
  </si>
  <si>
    <t>LEVIN</t>
  </si>
  <si>
    <t>SCOTT</t>
  </si>
  <si>
    <t>163-19</t>
  </si>
  <si>
    <t>DAVIS</t>
  </si>
  <si>
    <t>1813-19</t>
  </si>
  <si>
    <t>167-19</t>
  </si>
  <si>
    <t>54-19</t>
  </si>
  <si>
    <t>169-19</t>
  </si>
  <si>
    <t>162-19</t>
  </si>
  <si>
    <t>53-19</t>
  </si>
  <si>
    <t>171-19</t>
  </si>
  <si>
    <t>177-19</t>
  </si>
  <si>
    <t>LOPES</t>
  </si>
  <si>
    <t>KIMBERLY</t>
  </si>
  <si>
    <t>173-19</t>
  </si>
  <si>
    <t>55-19</t>
  </si>
  <si>
    <t>1814-19</t>
  </si>
  <si>
    <t>166-19</t>
  </si>
  <si>
    <t>168-19</t>
  </si>
  <si>
    <t>1815-19</t>
  </si>
  <si>
    <t>170-19</t>
  </si>
  <si>
    <t>175-19</t>
  </si>
  <si>
    <t>172-19</t>
  </si>
  <si>
    <t>179-19</t>
  </si>
  <si>
    <t>HOLCOMB</t>
  </si>
  <si>
    <t>KAMDEN</t>
  </si>
  <si>
    <t>1816-19</t>
  </si>
  <si>
    <t>181-19</t>
  </si>
  <si>
    <t>176-19</t>
  </si>
  <si>
    <t>183-19</t>
  </si>
  <si>
    <t>178-19</t>
  </si>
  <si>
    <t>185-19</t>
  </si>
  <si>
    <t>1817-19</t>
  </si>
  <si>
    <t>187-19</t>
  </si>
  <si>
    <t>182-19</t>
  </si>
  <si>
    <t>184-19</t>
  </si>
  <si>
    <t>189-19</t>
  </si>
  <si>
    <t>191-19</t>
  </si>
  <si>
    <t>193-19</t>
  </si>
  <si>
    <t>LALONDE</t>
  </si>
  <si>
    <t>GREGORY</t>
  </si>
  <si>
    <t>188-19</t>
  </si>
  <si>
    <t>1819-19</t>
  </si>
  <si>
    <t>195-19</t>
  </si>
  <si>
    <t>1820-19</t>
  </si>
  <si>
    <t>190-19</t>
  </si>
  <si>
    <t>197-19</t>
  </si>
  <si>
    <t>192-19</t>
  </si>
  <si>
    <t>199-19</t>
  </si>
  <si>
    <t>201-19</t>
  </si>
  <si>
    <t>1821-19</t>
  </si>
  <si>
    <t>196-19</t>
  </si>
  <si>
    <t>198-19</t>
  </si>
  <si>
    <t>1822-19</t>
  </si>
  <si>
    <t>205-19</t>
  </si>
  <si>
    <t>207-19</t>
  </si>
  <si>
    <t>200-19</t>
  </si>
  <si>
    <t>202-19</t>
  </si>
  <si>
    <t>209-19</t>
  </si>
  <si>
    <t>DAVIDSON</t>
  </si>
  <si>
    <t>1823-19</t>
  </si>
  <si>
    <t>204-19</t>
  </si>
  <si>
    <t>211-19</t>
  </si>
  <si>
    <t>213-19</t>
  </si>
  <si>
    <t>SAFIEF</t>
  </si>
  <si>
    <t>AEIMEN</t>
  </si>
  <si>
    <t>1824-19</t>
  </si>
  <si>
    <t>206-19</t>
  </si>
  <si>
    <t>56-19</t>
  </si>
  <si>
    <t>208-19</t>
  </si>
  <si>
    <t>58-19</t>
  </si>
  <si>
    <t>57-19</t>
  </si>
  <si>
    <t>210-19</t>
  </si>
  <si>
    <t>215-19</t>
  </si>
  <si>
    <t>217-19</t>
  </si>
  <si>
    <t>1825-19</t>
  </si>
  <si>
    <t>212-19</t>
  </si>
  <si>
    <t>59-19</t>
  </si>
  <si>
    <t>214-19</t>
  </si>
  <si>
    <t>1826-19</t>
  </si>
  <si>
    <t>303-19</t>
  </si>
  <si>
    <t>216-19</t>
  </si>
  <si>
    <t>221-19</t>
  </si>
  <si>
    <t>218-19</t>
  </si>
  <si>
    <t>220-19</t>
  </si>
  <si>
    <t>305-19</t>
  </si>
  <si>
    <t>rtdc.l.rtdc.4010:itc</t>
  </si>
  <si>
    <t>62-19</t>
  </si>
  <si>
    <t>SIMMONS</t>
  </si>
  <si>
    <t>SHYHESHA</t>
  </si>
  <si>
    <t>223-19</t>
  </si>
  <si>
    <t>YANG</t>
  </si>
  <si>
    <t>JAN</t>
  </si>
  <si>
    <t>307-19</t>
  </si>
  <si>
    <t>1828-19</t>
  </si>
  <si>
    <t>222-19</t>
  </si>
  <si>
    <t>225-19</t>
  </si>
  <si>
    <t>227-19</t>
  </si>
  <si>
    <t>1829-19</t>
  </si>
  <si>
    <t>224-19</t>
  </si>
  <si>
    <t>1830-19</t>
  </si>
  <si>
    <t>226-19</t>
  </si>
  <si>
    <t>229-19</t>
  </si>
  <si>
    <t>231-19</t>
  </si>
  <si>
    <t>228-19</t>
  </si>
  <si>
    <t>1831-19</t>
  </si>
  <si>
    <t>1832-19</t>
  </si>
  <si>
    <t>230-19</t>
  </si>
  <si>
    <t>232-19</t>
  </si>
  <si>
    <t>1833-19</t>
  </si>
  <si>
    <t>1902-19</t>
  </si>
  <si>
    <t>234-19</t>
  </si>
  <si>
    <t>237-19</t>
  </si>
  <si>
    <t>239-19</t>
  </si>
  <si>
    <t>236-19</t>
  </si>
  <si>
    <t>241-19</t>
  </si>
  <si>
    <t>238-19</t>
  </si>
  <si>
    <t>240-19</t>
  </si>
  <si>
    <t>243-19</t>
  </si>
  <si>
    <t>315-19</t>
  </si>
  <si>
    <t>242-19</t>
  </si>
  <si>
    <t>309-19</t>
  </si>
  <si>
    <t>311-19</t>
  </si>
  <si>
    <t>313-19</t>
  </si>
  <si>
    <t>precipType</t>
  </si>
  <si>
    <t>Mostly Cloudy</t>
  </si>
  <si>
    <t>rain</t>
  </si>
  <si>
    <t>Light Rain</t>
  </si>
  <si>
    <t>Drizzle</t>
  </si>
  <si>
    <t>DE.1.0.9.0</t>
  </si>
  <si>
    <t>204:759</t>
  </si>
  <si>
    <t>204:232670</t>
  </si>
  <si>
    <t>204:232643</t>
  </si>
  <si>
    <t>204:232653</t>
  </si>
  <si>
    <t>204:232990</t>
  </si>
  <si>
    <t>204:458</t>
  </si>
  <si>
    <t>204:233325</t>
  </si>
  <si>
    <t>204:728</t>
  </si>
  <si>
    <t>204:233326</t>
  </si>
  <si>
    <t>204:233007</t>
  </si>
  <si>
    <t>204:232955</t>
  </si>
  <si>
    <t>204:737</t>
  </si>
  <si>
    <t>204:233316</t>
  </si>
  <si>
    <t>204:233332</t>
  </si>
  <si>
    <t>204:435</t>
  </si>
  <si>
    <t>204:233347</t>
  </si>
  <si>
    <t>204:233030</t>
  </si>
  <si>
    <t>204:233343</t>
  </si>
  <si>
    <t>204:233025</t>
  </si>
  <si>
    <t>204:233372</t>
  </si>
  <si>
    <t>204:233017</t>
  </si>
  <si>
    <t>204:233334</t>
  </si>
  <si>
    <t>204:233291</t>
  </si>
  <si>
    <t>204:416</t>
  </si>
  <si>
    <t>204:233270</t>
  </si>
  <si>
    <t>204:232964</t>
  </si>
  <si>
    <t>204:233238</t>
  </si>
  <si>
    <t>204:232917</t>
  </si>
  <si>
    <t>204:233008</t>
  </si>
  <si>
    <t>204:233324</t>
  </si>
  <si>
    <t>204:58573</t>
  </si>
  <si>
    <t>204:19121</t>
  </si>
  <si>
    <t>204:233395</t>
  </si>
  <si>
    <t>204:233036</t>
  </si>
  <si>
    <t>204:907</t>
  </si>
  <si>
    <t>204:233363</t>
  </si>
  <si>
    <t>204:233066</t>
  </si>
  <si>
    <t>204:1158</t>
  </si>
  <si>
    <t>204:233309</t>
  </si>
  <si>
    <t>204:233337</t>
  </si>
  <si>
    <t>204:192</t>
  </si>
  <si>
    <t>204:1165</t>
  </si>
  <si>
    <t>204:207</t>
  </si>
  <si>
    <t>300:58630</t>
  </si>
  <si>
    <t>204:745</t>
  </si>
  <si>
    <t>204:1020</t>
  </si>
  <si>
    <t>300:58939</t>
  </si>
  <si>
    <t>204:768</t>
  </si>
  <si>
    <t>204:1044</t>
  </si>
  <si>
    <t>300:58933</t>
  </si>
  <si>
    <t>300:58615</t>
  </si>
  <si>
    <t>204:1039</t>
  </si>
  <si>
    <t>300:58617</t>
  </si>
  <si>
    <t>300:58670</t>
  </si>
  <si>
    <t>204:764</t>
  </si>
  <si>
    <t>204:1062</t>
  </si>
  <si>
    <t>300:58956</t>
  </si>
  <si>
    <t>204:1041</t>
  </si>
  <si>
    <t>300:58943</t>
  </si>
  <si>
    <t>204:731</t>
  </si>
  <si>
    <t>204:1032</t>
  </si>
  <si>
    <t>300:58948</t>
  </si>
  <si>
    <t>204:762</t>
  </si>
  <si>
    <t>204:1046</t>
  </si>
  <si>
    <t>300:58946</t>
  </si>
  <si>
    <t>204:685</t>
  </si>
  <si>
    <t>204:1009</t>
  </si>
  <si>
    <t>204:121</t>
  </si>
  <si>
    <t>204:682</t>
  </si>
  <si>
    <t>204:988</t>
  </si>
  <si>
    <t>300:58944</t>
  </si>
  <si>
    <t>300:58624</t>
  </si>
  <si>
    <t>204:692</t>
  </si>
  <si>
    <t>204:985</t>
  </si>
  <si>
    <t>300:58941</t>
  </si>
  <si>
    <t>300:58626</t>
  </si>
  <si>
    <t>204:1016</t>
  </si>
  <si>
    <t>300:58621</t>
  </si>
  <si>
    <t>204:726</t>
  </si>
  <si>
    <t>204:1007</t>
  </si>
  <si>
    <t>204:789</t>
  </si>
  <si>
    <t>204:1086</t>
  </si>
  <si>
    <t>300:58935</t>
  </si>
  <si>
    <t>204:766</t>
  </si>
  <si>
    <t>204:1058</t>
  </si>
  <si>
    <t>204:853</t>
  </si>
  <si>
    <t>204:1154</t>
  </si>
  <si>
    <t>204:508</t>
  </si>
  <si>
    <t>300:30362</t>
  </si>
  <si>
    <t>300:21786</t>
  </si>
  <si>
    <t>204:233322</t>
  </si>
  <si>
    <t>204:233010</t>
  </si>
  <si>
    <t>204:233339</t>
  </si>
  <si>
    <t>204:233021</t>
  </si>
  <si>
    <t>204:233319</t>
  </si>
  <si>
    <t>204:427</t>
  </si>
  <si>
    <t>204:233320</t>
  </si>
  <si>
    <t>204:231813</t>
  </si>
  <si>
    <t>204:233298</t>
  </si>
  <si>
    <t>204:232994</t>
  </si>
  <si>
    <t>204:374</t>
  </si>
  <si>
    <t>204:233323</t>
  </si>
  <si>
    <t>204:232984</t>
  </si>
  <si>
    <t>204:134</t>
  </si>
  <si>
    <t>204:174</t>
  </si>
  <si>
    <t>204:233005</t>
  </si>
  <si>
    <t>204:233280</t>
  </si>
  <si>
    <t>204:232970</t>
  </si>
  <si>
    <t>204:232960</t>
  </si>
  <si>
    <t>204:233329</t>
  </si>
  <si>
    <t>204:233281</t>
  </si>
  <si>
    <t>204:233034</t>
  </si>
  <si>
    <t>204:233338</t>
  </si>
  <si>
    <t>204:233287</t>
  </si>
  <si>
    <t>204:232974</t>
  </si>
  <si>
    <t>204:402</t>
  </si>
  <si>
    <t>300:23002</t>
  </si>
  <si>
    <t>300:22828</t>
  </si>
  <si>
    <t>300:31591</t>
  </si>
  <si>
    <t>300:22669</t>
  </si>
  <si>
    <t>204:1428</t>
  </si>
  <si>
    <t>300:23300</t>
  </si>
  <si>
    <t>300:23301</t>
  </si>
  <si>
    <t>300:23302</t>
  </si>
  <si>
    <t>300:23304</t>
  </si>
  <si>
    <t>300:21918</t>
  </si>
  <si>
    <t>204:424</t>
  </si>
  <si>
    <t>300:24254</t>
  </si>
  <si>
    <t>300:21187</t>
  </si>
  <si>
    <t>204:897</t>
  </si>
  <si>
    <t>204:1218</t>
  </si>
  <si>
    <t>300:24229</t>
  </si>
  <si>
    <t>300:23114</t>
  </si>
  <si>
    <t>300:24233</t>
  </si>
  <si>
    <t>300:23697</t>
  </si>
  <si>
    <t>300:21824</t>
  </si>
  <si>
    <t>204:1371</t>
  </si>
  <si>
    <t>204:1246</t>
  </si>
  <si>
    <t>204:128277</t>
  </si>
  <si>
    <t>204:1496</t>
  </si>
  <si>
    <t>204:128264</t>
  </si>
  <si>
    <t>204:128274</t>
  </si>
  <si>
    <t>204:128267</t>
  </si>
  <si>
    <t>204:128015</t>
  </si>
  <si>
    <t>204:128004</t>
  </si>
  <si>
    <t>204:2475</t>
  </si>
  <si>
    <t>204:128008</t>
  </si>
  <si>
    <t>204:140</t>
  </si>
  <si>
    <t>204:128021</t>
  </si>
  <si>
    <t>204:1164</t>
  </si>
  <si>
    <t>204:128025</t>
  </si>
  <si>
    <t>300:23175</t>
  </si>
  <si>
    <t>204:932</t>
  </si>
  <si>
    <t>start /low /b %USERPROFILE%\Documents\GitHub\eaglep3\Utilities\DownloadLogsFromS3.py --loco 4003 --day 2017-02-19</t>
  </si>
  <si>
    <t>start /low /b %USERPROFILE%\Documents\GitHub\eaglep3\Utilities\DownloadLogsFromS3.py --loco 4006 --day 2017-02-19</t>
  </si>
  <si>
    <t>start /low /b %USERPROFILE%\Documents\GitHub\eaglep3\Utilities\DownloadLogsFromS3.py --loco 4025 --day 2017-02-19</t>
  </si>
  <si>
    <t>start /low /b %USERPROFILE%\Documents\GitHub\eaglep3\Utilities\DownloadLogsFromS3.py --loco 4015 --day 1969-12-31</t>
  </si>
  <si>
    <t>start /low /b %USERPROFILE%\Documents\GitHub\eaglep3\Utilities\DownloadLogsFromS3.py --loco 4014 --day 2017-02-20</t>
  </si>
  <si>
    <t>start /low /b %USERPROFILE%\Documents\GitHub\eaglep3\Utilities\DownloadLogsFromS3.py --loco 4032 --day 2017-02-19</t>
  </si>
  <si>
    <t>start /low /b %USERPROFILE%\Documents\GitHub\eaglep3\Utilities\DownloadLogsFromS3.py --loco 4019 --day 2017-02-19</t>
  </si>
  <si>
    <t>start /low /b %USERPROFILE%\Documents\GitHub\eaglep3\Utilities\DownloadLogsFromS3.py --loco 4026 --day 2017-02-19</t>
  </si>
  <si>
    <t>start /low /b %USERPROFILE%\Documents\GitHub\eaglep3\Utilities\DownloadLogsFromS3.py --loco 4051 --day 2017-02-19</t>
  </si>
  <si>
    <t>start /low /b %USERPROFILE%\Documents\GitHub\eaglep3\Utilities\DownloadLogsFromS3.py --loco 4015 --day 2017-02-19</t>
  </si>
  <si>
    <t>start /low /b %USERPROFILE%\Documents\GitHub\eaglep3\Utilities\DownloadLogsFromS3.py --loco 4043 --day 2017-02-19</t>
  </si>
  <si>
    <t>start /low /b %USERPROFILE%\Documents\GitHub\eaglep3\Utilities\DownloadLogsFromS3.py --loco 4025 --day 2017-02-20</t>
  </si>
  <si>
    <t>start /low /b %USERPROFILE%\Documents\GitHub\eaglep3\Utilities\DownloadLogsFromS3.py --loco 4013 --day 2017-02-20</t>
  </si>
  <si>
    <t>start /low /b %USERPROFILE%\Documents\GitHub\eaglep3\Utilities\DownloadLogsFromS3.py --loco 4007 --day 2017-02-19</t>
  </si>
  <si>
    <t>start /low /b %USERPROFILE%\Documents\GitHub\eaglep3\Utilities\DownloadLogsFromS3.py --loco 4008 --day 2017-02-19</t>
  </si>
  <si>
    <t>start /low /b %USERPROFILE%\Documents\GitHub\eaglep3\Utilities\DownloadLogsFromS3.py --loco 4007 --day 2017-02-20</t>
  </si>
  <si>
    <t>Onboard in-route failure</t>
  </si>
  <si>
    <t>Mistakenly thought NB Quebec XING not enforced by PTC</t>
  </si>
  <si>
    <t xml:space="preserve">Log entries show that XING was protected
CHR :2017/02/19 18:34:25.491:VETMS_CHM_RECORDER:2017/02/19|18:34:25.491|13|PRM|1|D|XING ACTIVATION FAILURE AT MP 5.8117    PRESS KEY IF CROSSING IS PROTECTED
CHR :2017/02/19 18:35:11.491:VETMS_CHM_RECORDER:2017/02/19|18:35:11.491|13|PRM|1|D|XING ACTIVATION FAILURE AT MP 5.8783    PRESS KEY IF CROSSING IS PROTECTED
</t>
  </si>
  <si>
    <t>CCROC/crew/equipment mismatch</t>
  </si>
  <si>
    <t>Early arrival</t>
  </si>
  <si>
    <t>Form C</t>
  </si>
  <si>
    <t>Wi-MAX data drop</t>
  </si>
  <si>
    <t>http://stevetu21.github.io/eaglep3/load_kml.html?kml=http://rtdc.gmaps-snips.s3.amazonaws.com/f17efe4c-d6c2-4b58-bf4d-d0f15efabaf9.kml</t>
  </si>
  <si>
    <t>Pena 4S STOP</t>
  </si>
  <si>
    <t>EC1620RH went offline for 20 seconds</t>
  </si>
  <si>
    <t>From 01:33:51 - 01:34:09, EC1620RH was offline (didn't beacon, we expect beacons every second). Do logs tell of any irregular activity during this time?</t>
  </si>
  <si>
    <t>Delayed by Onboard in-route failure</t>
  </si>
  <si>
    <t>Departure delayed by poor GPS signal</t>
  </si>
  <si>
    <t>No evidence of enforcement found (compare vs incident 38188)</t>
  </si>
  <si>
    <t>Cancelled due to Form C's</t>
  </si>
  <si>
    <t>:.+((SYSTEM_STATE.+slice.+state.+changed )|(ment ac)|(multiple cpu faults)|(system.+state.+changed )|(\[timeout)|(PRM\|1\|D)|(kpr)|(kdp)|(\|loc)|(penalty))</t>
  </si>
  <si>
    <t>Early arrival; accelerated while &lt; 350 ft from crossing edge</t>
  </si>
  <si>
    <t>Early arrival; did not quickly comply with speed reduction prompts</t>
  </si>
  <si>
    <t>Early arrival; accelerated despite warning prompts to reduce speed</t>
  </si>
  <si>
    <t>Early arrival; Form C at Clayton made train establish "slow contract" with Steele, operator should accelerate up to 35 mph immediately after clearing Clayton, and maintain 35 mph until clearing Steele</t>
  </si>
  <si>
    <t>SYS :2017/02/19 14:27:20.496:ENFORCEMENT:Reactive Enforcement Action:  Target Number: 00017110  Target Speed:  18.0  Current Speed:  23.5</t>
  </si>
  <si>
    <t>SYS :2017/02/19 14:27:21.106:ENFORCEMENT:Reactive Enforcement Action:  Target Number: 00017017  Target Speed:  18.0  Current Speed:  23.5</t>
  </si>
  <si>
    <t>SYS :2017/02/19 14:27:21.395:ENFORCEMENT:Reactive Enforcement Action:  Target Number: 0001710D  Target Speed:  18.0  Current Speed:  23.5</t>
  </si>
  <si>
    <t>SYS :2017/02/19 14:32:22.128:ENFORCEMENT:Reactive Enforcement Action:  Target Number: 00010065  Target Speed:  20.0  Current Speed:  25.9</t>
  </si>
  <si>
    <t>SYS :2017/02/19 14:32:22.201:ENFORCEMENT:Reactive Enforcement Action:  Target Number: 00010065  Target Speed:  20.0  Current Speed:  25.9</t>
  </si>
  <si>
    <t>SYS :2017/02/19 14:56:53.331:ENFORCEMENT:Predictive Enforcement Action:  Target Number: 00017070  Target Speed:   0.0  Current Speed:  15.0</t>
  </si>
  <si>
    <t>SYS :2017/02/19 14:56:53.859:ENFORCEMENT:Predictive Enforcement Action:  Target Number: 00017017  Target Speed:   0.0  Current Speed:  15.0</t>
  </si>
  <si>
    <t>SYS :2017/02/19 14:56:54.074:ENFORCEMENT:Reactive Enforcement Action:  Target Number: 00017070  Target Speed:   0.0  Current Speed:  14.9</t>
  </si>
  <si>
    <t>SYS :2017/02/19 16:26:48.189:ENFORCEMENT:Predictive Enforcement Action:  Target Number: 0001703C  Target Speed:   0.0  Current Speed:  40.3</t>
  </si>
  <si>
    <t>SYS :2017/02/19 16:26:49.102:ENFORCEMENT:Predictive Enforcement Action:  Target Number: 0001703C  Target Speed:   0.0  Current Speed:  38.7</t>
  </si>
  <si>
    <t>SYS :2017/02/19 16:26:49.129:ENFORCEMENT:Predictive Enforcement Action:  Target Number: 0001703C  Target Speed:   0.0  Current Speed:  38.7</t>
  </si>
  <si>
    <t>SYS :2017/02/19 16:52:41.256:ENFORCEMENT:Predictive Enforcement Action:  Target Number: 00017045  Target Speed:   0.0  Current Speed:  14.5</t>
  </si>
  <si>
    <t>SYS :2017/02/19 16:52:41.266:ENFORCEMENT:Predictive Enforcement Action:  Target Number: 00017045  Target Speed:   0.0  Current Speed:  15.6</t>
  </si>
  <si>
    <t>SYS :2017/02/19 16:52:42.170:ENFORCEMENT:Predictive Enforcement Action:  Target Number: 00017045  Target Speed:   0.0  Current Speed:  14.5</t>
  </si>
  <si>
    <t>SYS :2017/02/19 18:02:01.096:ENFORCEMENT:Predictive Enforcement Action:  Target Number: 0000E006  Target Speed:   0.0  Current Speed:  10.2</t>
  </si>
  <si>
    <t>SYS :2017/02/19 18:02:01.402:ENFORCEMENT:Predictive Enforcement Action:  Target Number: 0000E006  Target Speed:   0.0  Current Speed:  10.1</t>
  </si>
  <si>
    <t>SYS :2017/02/19 18:12:09.108:ENFORCEMENT:Predictive Enforcement Action:  Target Number: 00010067  Target Speed:  30.0  Current Speed:  41.5</t>
  </si>
  <si>
    <t>SYS :2017/02/19 18:12:09.407:ENFORCEMENT:Predictive Enforcement Action:  Target Number: 000101F0  Target Speed:  30.0  Current Speed:  41.4</t>
  </si>
  <si>
    <t>SYS :2017/02/19 18:12:09.480:ENFORCEMENT:Predictive Enforcement Action:  Target Number: 000101F0  Target Speed:  30.0  Current Speed:  41.4</t>
  </si>
  <si>
    <t>SYS :2017/02/19 18:28:55.130:ENFORCEMENT:Predictive Enforcement Action:  Target Number: 0001704A  Target Speed:  36.0  Current Speed:  41.1</t>
  </si>
  <si>
    <t>SYS :2017/02/19 18:28:55.144:ENFORCEMENT:Predictive Enforcement Action:  Target Number: 0001704A  Target Speed:  36.0  Current Speed:  41.1</t>
  </si>
  <si>
    <t>SYS :2017/02/19 18:28:55.197:ENFORCEMENT:Predictive Enforcement Action:  Target Number: 0001704A  Target Speed:  36.0  Current Speed:  41.1</t>
  </si>
  <si>
    <t>SYS :2017/02/19 18:42:49.765:ENFORCEMENT:Reactive Enforcement Action:  Target Number: 0001022A  Target Speed:  35.0  Current Speed:  40.1</t>
  </si>
  <si>
    <t>SYS :2017/02/19 18:42:49.871:ENFORCEMENT:Reactive Enforcement Action:  Target Number: 0001022A  Target Speed:  35.0  Current Speed:  40.1</t>
  </si>
  <si>
    <t>SYS :2017/02/19 18:42:50.510:ENFORCEMENT:Reactive Enforcement Action:  Target Number: 0001022A  Target Speed:  35.0  Current Speed:  40.1</t>
  </si>
  <si>
    <t>SYS :2017/02/19 18:56:01.498:ENFORCEMENT:Predictive Enforcement Action:  Target Number: 0000E005  Target Speed:   0.0  Current Speed:  24.1</t>
  </si>
  <si>
    <t>SYS :2017/02/19 18:56:01.526:ENFORCEMENT:Predictive Enforcement Action:  Target Number: 0000E005  Target Speed:   0.0  Current Speed:  24.1</t>
  </si>
  <si>
    <t>SYS :2017/02/19 19:02:19.493:ENFORCEMENT:Predictive Enforcement Action:  Target Number: 00006613  Target Speed:   0.0  Current Speed:   8.1</t>
  </si>
  <si>
    <t>SYS :2017/02/19 19:02:19.543:ENFORCEMENT:Predictive Enforcement Action:  Target Number: 00006586  Target Speed:   0.0  Current Speed:   8.1</t>
  </si>
  <si>
    <t>SYS :2017/02/19 20:25:32.383:ENFORCEMENT:Predictive Enforcement Action:  Target Number: 00001028  Target Speed:   0.0  Current Speed:   2.0</t>
  </si>
  <si>
    <t>SYS :2017/02/19 20:25:32.467:ENFORCEMENT:Predictive Enforcement Action:  Target Number: 00001028  Target Speed:   0.0  Current Speed:   1.9</t>
  </si>
  <si>
    <t>SYS :2017/02/19 21:21:51.499:ENFORCEMENT:Predictive Enforcement Action:  Target Number: 00001029  Target Speed:   0.0  Current Speed:   7.3</t>
  </si>
  <si>
    <t>SYS :2017/02/19 21:21:51.759:ENFORCEMENT:Predictive Enforcement Action:  Target Number: 00001029  Target Speed:   0.0  Current Speed:   7.3</t>
  </si>
  <si>
    <t>SYS :2017/02/19 21:21:51.852:ENFORCEMENT:Predictive Enforcement Action:  Target Number: 00001029  Target Speed:   0.0  Current Speed:   7.0</t>
  </si>
  <si>
    <t>SYS :2017/02/19 21:54:11.170:ENFORCEMENT:Predictive Enforcement Action:  Target Number: 0000103B  Target Speed:   0.0  Current Speed:   4.4</t>
  </si>
  <si>
    <t>SYS :2017/02/19 21:54:11.237:ENFORCEMENT:Predictive Enforcement Action:  Target Number: 0000103B  Target Speed:   0.0  Current Speed:   4.4</t>
  </si>
  <si>
    <t>SYS :2017/02/19 22:06:39.090:ENFORCEMENT:Predictive Enforcement Action:  Target Number: 0000100E  Target Speed:   0.0  Current Speed:   7.6</t>
  </si>
  <si>
    <t>SYS :2017/02/19 22:06:39.401:ENFORCEMENT:Predictive Enforcement Action:  Target Number: 0000100E  Target Speed:   0.0  Current Speed:   7.6</t>
  </si>
  <si>
    <t>SYS :2017/02/19 22:06:39.900:ENFORCEMENT:Predictive Enforcement Action:  Target Number: 0000100E  Target Speed:   0.0  Current Speed:   7.6</t>
  </si>
  <si>
    <t>SYS :2017/02/19 22:19:31.398:ENFORCEMENT:Predictive Enforcement Action:  Target Number: 00006061  Target Speed:   0.0  Current Speed:   5.2</t>
  </si>
  <si>
    <t>SYS :2017/02/19 22:19:31.412:ENFORCEMENT:Predictive Enforcement Action:  Target Number: 00004024  Target Speed:   0.0  Current Speed:   5.2</t>
  </si>
  <si>
    <t>SYS :2017/02/19 22:19:31.494:ENFORCEMENT:Predictive Enforcement Action:  Target Number: 00006689  Target Speed:   0.0  Current Speed:   5.2</t>
  </si>
  <si>
    <t>SYS :2017/02/19 22:19:31.508:ENFORCEMENT:Predictive Enforcement Action:  Target Number: 000065E9  Target Speed:   0.0  Current Speed:   5.2</t>
  </si>
  <si>
    <t>SYS :2017/02/19 23:39:44.189:ENFORCEMENT:Predictive Enforcement Action:  Target Number: 00017088  Target Speed:  36.0  Current Speed:  41.1</t>
  </si>
  <si>
    <t>SYS :2017/02/19 23:39:44.244:ENFORCEMENT:Predictive Enforcement Action:  Target Number: 00017088  Target Speed:  36.0  Current Speed:  41.1</t>
  </si>
  <si>
    <t>SYS :2017/02/19 23:39:44.267:ENFORCEMENT:Predictive Enforcement Action:  Target Number: 00017088  Target Speed:  36.0  Current Speed:  41.1</t>
  </si>
  <si>
    <t>SYS :2017/02/19 23:41:47.412:ENFORCEMENT:Reactive Enforcement Action:  Target Number: 00017088  Target Speed:   0.0  Current Speed:   8.7</t>
  </si>
  <si>
    <t>SYS :2017/02/19 23:41:47.904:ENFORCEMENT:Reactive Enforcement Action:  Target Number: 00017088  Target Speed:   0.0  Current Speed:   8.7</t>
  </si>
  <si>
    <t>SYS :2017/02/19 23:41:48.098:ENFORCEMENT:Reactive Enforcement Action:  Target Number: 00017088  Target Speed:   0.0  Current Speed:   8.7</t>
  </si>
  <si>
    <t>SYS :2017/02/20 02:06:38.629:ENFORCEMENT:Predictive Enforcement Action:  Target Number: 00001021  Target Speed:   0.0  Current Speed:   5.1</t>
  </si>
  <si>
    <t>SYS :2017/02/20 02:06:38.825:ENFORCEMENT:Predictive Enforcement Action:  Target Number: 00001021  Target Speed:   0.0  Current Speed:   5.1</t>
  </si>
  <si>
    <t>SYS :2017/02/20 02:35:43.006:ENFORCEMENT:Predictive Enforcement Action:  Target Number: 00001072  Target Speed:   0.0  Current Speed:   2.8</t>
  </si>
  <si>
    <t>SYS :2017/02/20 02:35:43.063:ENFORCEMENT:Predictive Enforcement Action:  Target Number: 00001072  Target Speed:   0.0  Current Speed:   2.8</t>
  </si>
  <si>
    <t>SYS :2017/02/20 02:35:43.082:ENFORCEMENT:Predictive Enforcement Action:  Target Number: 00001070  Target Speed:   0.0  Current Speed:   2.8</t>
  </si>
  <si>
    <t>SYS :2017/02/20 05:24:39.938:ENFORCEMENT:Predictive Enforcement Action:  Target Number: 00006254  Target Speed:   0.0  Current Speed:  77.2</t>
  </si>
  <si>
    <t>SYS :2017/02/20 05:24:40.215:ENFORCEMENT:Predictive Enforcement Action:  Target Number: 0000656E  Target Speed:   0.0  Current Speed:  77.2</t>
  </si>
  <si>
    <t>SYS :2017/02/20 05:24:41.491:ENFORCEMENT:Predictive Enforcement Action:  Target Number: 00006538  Target Speed:   0.0  Current Speed:  76.8</t>
  </si>
  <si>
    <t>SYS :2017/02/20 05:36:48.717:ENFORCEMENT:Predictive Enforcement Action:  Target Number: 00017084  Target Speed:   0.0  Current Speed:  21.2</t>
  </si>
  <si>
    <t>SYS :2017/02/20 05:36:48.834:ENFORCEMENT:Predictive Enforcement Action:  Target Number: 00017089  Target Speed:   0.0  Current Speed:  21.2</t>
  </si>
  <si>
    <t>SYS :2017/02/20 05:36:49.646:ENFORCEMENT:Predictive Enforcement Action:  Target Number: 00017089  Target Speed:   0.0  Current Speed:  20.5</t>
  </si>
  <si>
    <t>SYS :2017/02/20 08:34:10.201:ENFORCEMENT:Predictive Enforcement Action:  Target Number: 0000641A  Target Speed:   0.0  Current Speed:  60.4</t>
  </si>
  <si>
    <t>SYS :2017/02/20 08:34:10.305:ENFORCEMENT:Predictive Enforcement Action:  Target Number: 0000619C  Target Speed:   0.0  Current Speed:  60.4</t>
  </si>
  <si>
    <t>SYS :2017/02/20 08:34:11.914:ENFORCEMENT:Predictive Enforcement Action:  Target Number: 00006191  Target Speed:   0.0  Current Speed:  60.5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</si>
</sst>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44"/>
  <sheetViews>
    <sheetView topLeftCell="A139" zoomScaleNormal="100" workbookViewId="0">
      <selection activeCell="T116" sqref="T11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42785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142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COUNTIFS($N$13:$N$9338,"&gt;0",$AG$13:$AG$9338,I1)</f>
        <v>138</v>
      </c>
      <c r="K5" s="40"/>
      <c r="L5" s="40"/>
      <c r="M5" s="41">
        <f>AVERAGEIFS($N$13:$N$9338,$AG$13:$AG$9338,I1)</f>
        <v>39.559178743815131</v>
      </c>
      <c r="N5" s="39">
        <f t="array" ref="N5">MIN(IF($AG$13:$AG$9338=I1,IF(ISNUMBER($N$13:$N$9338),IF($N$13:$N$9338&gt;0,$N$13:$N$9338))))</f>
        <v>34.499999997206032</v>
      </c>
      <c r="O5" s="3">
        <f t="array" ref="O5">MAX(IF($AG$13:$AG$9338=I1,IF(ISNUMBER($N$13:$N$9338),IF($N$13:$N$9338&gt;0,$N$13:$N$9338))))</f>
        <v>66.683333341497928</v>
      </c>
      <c r="P5" s="2"/>
      <c r="R5" s="74" t="s">
        <v>17</v>
      </c>
      <c r="S5" s="50">
        <f>COUNTIFS($N$13:$N$9338,"&gt;0",$AG$13:$AG$9338,R1)</f>
        <v>34</v>
      </c>
      <c r="T5" s="40"/>
      <c r="U5" s="178"/>
      <c r="V5" s="175">
        <f>AVERAGEIFS($N$13:$N$9338,$AG$13:$AG$9338,R1)</f>
        <v>14.02450980474789</v>
      </c>
      <c r="W5" s="176">
        <f t="array" ref="W5">MIN(IF($AG$13:$AG$9338=R1,IF(ISNUMBER($N$13:$N$9338),IF($N$13:$N$9338&gt;0,$N$13:$N$9338))))</f>
        <v>11.683333340333775</v>
      </c>
      <c r="X5" s="177">
        <f t="array" ref="X5">MAX(IF($AG$13:$AG$9338=R1,IF(ISNUMBER($N$13:$N$9338),IF($N$13:$N$9338&gt;0,$N$13:$N$9338))))</f>
        <v>17.266666669165716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COUNT($O$13:$O$107)</f>
        <v>0</v>
      </c>
      <c r="K6" s="40"/>
      <c r="L6" s="40"/>
      <c r="M6" s="41">
        <f>IFERROR(AVERAGE($O$13:$O$107),0)</f>
        <v>0</v>
      </c>
      <c r="N6" s="39">
        <f>MIN($O$13:$O$107)</f>
        <v>0</v>
      </c>
      <c r="O6" s="3">
        <f>MAX($O$13:$O$107)</f>
        <v>0</v>
      </c>
      <c r="P6" s="2"/>
      <c r="R6" s="75" t="s">
        <v>43</v>
      </c>
      <c r="S6" s="50">
        <f>COUNT($O$13:$O$107)</f>
        <v>0</v>
      </c>
      <c r="T6" s="40"/>
      <c r="U6" s="178"/>
      <c r="V6" s="175">
        <f>IFERROR(AVERAGE($O$13:$O$107),0)</f>
        <v>0</v>
      </c>
      <c r="W6" s="176">
        <f>MIN($O$13:$O$107)</f>
        <v>0</v>
      </c>
      <c r="X6" s="177">
        <f>MAX($O$13:$O$107)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COUNTIFS($P$13:$P$9338,"&gt;0",$AG$13:$AG$9338,I1)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COUNTIFS($P$13:$P$9338,"&gt;0",$AG$13:$AG$9338,R1)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138</v>
      </c>
      <c r="K8" s="40"/>
      <c r="L8" s="40"/>
      <c r="M8" s="41">
        <f>M5</f>
        <v>39.559178743815131</v>
      </c>
      <c r="N8" s="39">
        <f>N5</f>
        <v>34.499999997206032</v>
      </c>
      <c r="O8" s="3">
        <f>O5</f>
        <v>66.683333341497928</v>
      </c>
      <c r="P8" s="2"/>
      <c r="R8" s="74" t="s">
        <v>16</v>
      </c>
      <c r="S8" s="50">
        <f>S5</f>
        <v>34</v>
      </c>
      <c r="T8" s="40"/>
      <c r="U8" s="178"/>
      <c r="V8" s="175">
        <f>V5</f>
        <v>14.02450980474789</v>
      </c>
      <c r="W8" s="176">
        <f>W5</f>
        <v>11.683333340333775</v>
      </c>
      <c r="X8" s="177">
        <f>X5</f>
        <v>17.266666669165716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0.971830985915493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6" t="str">
        <f>"Eagle P3 System Performance - "&amp;TEXT(Variables!A2,"yyyy-mm-dd")</f>
        <v>Eagle P3 System Performance - 2017-02-19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AVERAGE(S13:S77)</f>
        <v>0.97820512820512828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210</v>
      </c>
      <c r="AN12" s="47" t="s">
        <v>219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458</v>
      </c>
      <c r="B13" s="7">
        <v>4003</v>
      </c>
      <c r="C13" s="21" t="s">
        <v>665</v>
      </c>
      <c r="D13" s="21" t="s">
        <v>393</v>
      </c>
      <c r="E13" s="13">
        <v>42785.129155092596</v>
      </c>
      <c r="F13" s="13">
        <v>42785.132627314815</v>
      </c>
      <c r="G13" s="7">
        <v>4</v>
      </c>
      <c r="H13" s="21" t="s">
        <v>666</v>
      </c>
      <c r="I13" s="13">
        <v>42785.138449074075</v>
      </c>
      <c r="J13" s="7">
        <v>0</v>
      </c>
      <c r="K13" s="98" t="str">
        <f t="shared" ref="K13:K75" si="0">IF(ISEVEN(B13),(B13-1)&amp;"/"&amp;B13,B13&amp;"/"&amp;(B13+1))</f>
        <v>4003/4004</v>
      </c>
      <c r="L13" s="21" t="str">
        <f>VLOOKUP(A13,'Trips&amp;Operators'!$C$1:$G$99999,5,FALSE)</f>
        <v>SWANSON BRYCE</v>
      </c>
      <c r="M13" s="6">
        <f t="shared" ref="M13:M75" si="1">I13-F13</f>
        <v>5.8217592595610768E-3</v>
      </c>
      <c r="N13" s="7"/>
      <c r="O13" s="7"/>
      <c r="P13" s="7">
        <f t="shared" ref="N13:P75" si="2">24*60*SUM($M13:$M13)</f>
        <v>8.3833333337679505</v>
      </c>
      <c r="Q13" s="22"/>
      <c r="R13" s="22" t="s">
        <v>835</v>
      </c>
      <c r="S13" s="31">
        <f t="shared" ref="S13:S75" si="3">SUM(U13:U13)/IF(AG13="EC",12,1)</f>
        <v>0</v>
      </c>
      <c r="T13" s="46" t="str">
        <f t="shared" ref="T13:T75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7" t="str">
        <f t="shared" ref="V13:V75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-19T02:05:59-0700',mode:absolute,to:'2017-02-19T04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8" t="str">
        <f t="shared" ref="W13:W75" si="6">IF(AA13&lt;IF(AG13="EC",23,5.65),"Y","N")</f>
        <v>Y</v>
      </c>
      <c r="X13" s="188" t="e">
        <f t="shared" ref="X13:X75" si="7">VALUE(LEFT(AD13,4))-VALUE(LEFT(AD12,4))</f>
        <v>#VALUE!</v>
      </c>
      <c r="Y13" s="62">
        <f t="shared" ref="Y13:Y75" si="8">RIGHT(D13,LEN(D13)-4)/10000</f>
        <v>7.4999999999999997E-2</v>
      </c>
      <c r="Z13" s="62">
        <f t="shared" ref="Z13:Z75" si="9">RIGHT(H13,LEN(H13)-4)/10000</f>
        <v>7.5899999999999995E-2</v>
      </c>
      <c r="AA13" s="62">
        <f t="shared" ref="AA13:AA75" si="10">ABS(Z13-Y13)</f>
        <v>8.9999999999999802E-4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5" si="11">IF(LEN(A13)=6,"0"&amp;A13,A13)</f>
        <v>0101-19</v>
      </c>
      <c r="AE13" s="85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13" s="82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/stypes="app*4003*20170219*" /stext=" 10:.+((SYSTEM_STATE.+slice.+state.+changed )|(ment ac)|(multiple cpu faults)|(system.+state.+changed )|(\[timeout)|(PRM\|1\|D)|(kpr)|(kdp)|(\|loc)|(penalty))"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4003 --swversion DE.1.0.9.0 --startMP 204:750 --initTime 2017-02-19T03:05:59 --startdatetime 2017-02-19T03:10:59 --delay 4 --endMP 204:759 --enddatetime 2017-02-19T03:19:22 --enforcementcount 0 &gt;&gt;C:\Users\stu\Documents\GitHub\eaglep3-reporting\EC\2017-02-19-refined-times.txt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failure","project_id":79,"tracker_id":40,"status_id":1,"priority_id":2,"assigned_to_id":23,"start_date":"2017-02-19","description":"","custom_fields":[{"id":1,"name":"Subdivision","value":"EC"},{"id":4,"name":"Milepost","value":"0.0759"},{"id":17,"name":"Train ID","value":"101-19"},{"id":16,"name":"Locomotive ID","value":"4003"},{"id":130,"name":"Impact","value":""},{"id":150,"name":"Time of Event (Mountain Time)","value":"03:19:22"},{"id":151,"name":"Denver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4003 --day 2017-02-19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463</v>
      </c>
      <c r="B14" s="7">
        <v>4015</v>
      </c>
      <c r="C14" s="21" t="s">
        <v>665</v>
      </c>
      <c r="D14" s="21" t="s">
        <v>667</v>
      </c>
      <c r="E14" s="13">
        <v>42785.168958333335</v>
      </c>
      <c r="F14" s="13">
        <v>42785.174687500003</v>
      </c>
      <c r="G14" s="7">
        <v>1</v>
      </c>
      <c r="H14" s="21" t="s">
        <v>224</v>
      </c>
      <c r="I14" s="13">
        <v>42785.202245370368</v>
      </c>
      <c r="J14" s="7">
        <v>0</v>
      </c>
      <c r="K14" s="98" t="str">
        <f t="shared" si="0"/>
        <v>4015/4016</v>
      </c>
      <c r="L14" s="21" t="str">
        <f>VLOOKUP(A14,'Trips&amp;Operators'!$C$1:$G$99999,5,FALSE)</f>
        <v>SWANSON BRYCE</v>
      </c>
      <c r="M14" s="6">
        <f t="shared" si="1"/>
        <v>2.7557870365853887E-2</v>
      </c>
      <c r="N14" s="7">
        <f t="shared" si="2"/>
        <v>39.683333326829597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-19T03:03:18-0700',mode:absolute,to:'2017-02-19T05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23.266999999999999</v>
      </c>
      <c r="Z14" s="62">
        <f t="shared" si="9"/>
        <v>1.43E-2</v>
      </c>
      <c r="AA14" s="62">
        <f t="shared" si="10"/>
        <v>23.252700000000001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0102-19</v>
      </c>
      <c r="AE14" s="85" t="str">
        <f t="shared" si="12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14" s="82" t="str">
        <f t="shared" si="13"/>
        <v>"C:\Program Files (x86)\AstroGrep\AstroGrep.exe" /spath="%USERPROFILE%\AppData\Local\Temp\OnboardLogs" /stypes="app*4015*20170219*" /stext=" 11:.+((SYSTEM_STATE.+slice.+state.+changed )|(ment ac)|(multiple cpu faults)|(system.+state.+changed )|(\[timeout)|(PRM\|1\|D)|(kpr)|(kdp)|(\|loc)|(penalty))" /e /r /s</v>
      </c>
      <c r="AG14" s="1" t="str">
        <f t="shared" si="14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4015 --swversion DE.1.0.9.0 --startMP 204:232670 --initTime 2017-02-19T04:03:18 --startdatetime 2017-02-19T04:11:33 --delay 1 --endMP 204:143 --enddatetime 2017-02-19T04:51:14 --enforcementcount 0 &gt;&gt;C:\Users\stu\Documents\GitHub\eaglep3-reporting\EC\2017-02-19-refined-times.txt</v>
      </c>
      <c r="AI14" s="108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{"issue":{"subject":"","project_id":79,"tracker_id":40,"status_id":1,"priority_id":2,"assigned_to_id":23,"start_date":"2017-02-19","description":"","custom_fields":[{"id":1,"name":"Subdivision","value":"EC"},{"id":4,"name":"Milepost","value":"0.0143"},{"id":17,"name":"Train ID","value":"102-19"},{"id":16,"name":"Locomotive ID","value":"4015"},{"id":130,"name":"Impact","value":""},{"id":150,"name":"Time of Event (Mountain Time)","value":"04:51:14"},{"id":151,"name":"Denver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6" si="20">"start /low /b "&amp;dls3logs&amp;" --loco "&amp;B14&amp;" --day "&amp;TEXT(F14,"YYYY-MM-DD")</f>
        <v>start /low /b %USERPROFILE%\Documents\GitHub\eaglep3\Utilities\DownloadLogsFromS3.py --loco 4015 --day 2017-02-19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461</v>
      </c>
      <c r="B15" s="7">
        <v>4044</v>
      </c>
      <c r="C15" s="21" t="s">
        <v>665</v>
      </c>
      <c r="D15" s="21" t="s">
        <v>349</v>
      </c>
      <c r="E15" s="13">
        <v>42785.158773148149</v>
      </c>
      <c r="F15" s="13">
        <v>42785.160682870373</v>
      </c>
      <c r="G15" s="7">
        <v>1</v>
      </c>
      <c r="H15" s="21" t="s">
        <v>407</v>
      </c>
      <c r="I15" s="13">
        <v>42785.188819444447</v>
      </c>
      <c r="J15" s="7">
        <v>0</v>
      </c>
      <c r="K15" s="98" t="str">
        <f t="shared" si="0"/>
        <v>4043/4044</v>
      </c>
      <c r="L15" s="21" t="str">
        <f>VLOOKUP(A15,'Trips&amp;Operators'!$C$1:$G$99999,5,FALSE)</f>
        <v>ARVIDSON DANIEL</v>
      </c>
      <c r="M15" s="6">
        <f t="shared" si="1"/>
        <v>2.8136574073869269E-2</v>
      </c>
      <c r="N15" s="7">
        <f t="shared" si="2"/>
        <v>40.516666666371748</v>
      </c>
      <c r="O15" s="7"/>
      <c r="P15" s="7"/>
      <c r="Q15" s="22"/>
      <c r="R15" s="22" t="s">
        <v>846</v>
      </c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-19T02:48:38-0700',mode:absolute,to:'2017-02-19T05:31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7.3899999999999993E-2</v>
      </c>
      <c r="Z15" s="62">
        <f t="shared" si="9"/>
        <v>23.328499999999998</v>
      </c>
      <c r="AA15" s="62">
        <f t="shared" si="10"/>
        <v>23.2546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0103-19</v>
      </c>
      <c r="AE15" s="85" t="str">
        <f t="shared" si="12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15" s="82" t="str">
        <f t="shared" si="13"/>
        <v>"C:\Program Files (x86)\AstroGrep\AstroGrep.exe" /spath="%USERPROFILE%\AppData\Local\Temp\OnboardLogs" /stypes="app*4044*20170219*" /stext=" 11:.+((SYSTEM_STATE.+slice.+state.+changed )|(ment ac)|(multiple cpu faults)|(system.+state.+changed )|(\[timeout)|(PRM\|1\|D)|(kpr)|(kdp)|(\|loc)|(penalty))"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103-19 --locoid 4044 --swversion DE.1.0.9.0 --startMP 204:739 --initTime 2017-02-19T03:48:38 --startdatetime 2017-02-19T03:51:23 --delay 1 --endMP 204:233285 --enddatetime 2017-02-19T04:31:54 --enforcementcount 0 &gt;&gt;C:\Users\stu\Documents\GitHub\eaglep3-reporting\EC\2017-02-19-refined-times.txt</v>
      </c>
      <c r="AI15" s="108" t="str">
        <f t="shared" si="19"/>
        <v>echo {"issue":{"subject":"Delayed by Onboard in-route failure","project_id":79,"tracker_id":40,"status_id":1,"priority_id":2,"assigned_to_id":23,"start_date":"2017-02-19","description":"","custom_fields":[{"id":1,"name":"Subdivision","value":"EC"},{"id":4,"name":"Milepost","value":"23.3285"},{"id":17,"name":"Train ID","value":"103-19"},{"id":16,"name":"Locomotive ID","value":"4044"},{"id":130,"name":"Impact","value":""},{"id":150,"name":"Time of Event (Mountain Time)","value":"04:31:54"},{"id":151,"name":"Denver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4044 --day 2017-02-19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469</v>
      </c>
      <c r="B16" s="7">
        <v>4005</v>
      </c>
      <c r="C16" s="21" t="s">
        <v>665</v>
      </c>
      <c r="D16" s="21" t="s">
        <v>668</v>
      </c>
      <c r="E16" s="13">
        <v>42785.193981481483</v>
      </c>
      <c r="F16" s="13">
        <v>42785.195821759262</v>
      </c>
      <c r="G16" s="7">
        <v>1</v>
      </c>
      <c r="H16" s="21" t="s">
        <v>203</v>
      </c>
      <c r="I16" s="13">
        <v>42785.224606481483</v>
      </c>
      <c r="J16" s="7">
        <v>0</v>
      </c>
      <c r="K16" s="98" t="str">
        <f t="shared" si="0"/>
        <v>4005/4006</v>
      </c>
      <c r="L16" s="21" t="str">
        <f>VLOOKUP(A16,'Trips&amp;Operators'!$C$1:$G$99999,5,FALSE)</f>
        <v>ARVIDSON DANIEL</v>
      </c>
      <c r="M16" s="6">
        <f t="shared" si="1"/>
        <v>2.8784722220734693E-2</v>
      </c>
      <c r="N16" s="7">
        <f t="shared" si="2"/>
        <v>41.449999997857958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-19T03:39:20-0700',mode:absolute,to:'2017-02-19T06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23.264299999999999</v>
      </c>
      <c r="Z16" s="62">
        <f t="shared" si="9"/>
        <v>1.6E-2</v>
      </c>
      <c r="AA16" s="62">
        <f t="shared" si="10"/>
        <v>23.2483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0104-19</v>
      </c>
      <c r="AE16" s="85" t="str">
        <f t="shared" si="12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16" s="82" t="str">
        <f t="shared" si="13"/>
        <v>"C:\Program Files (x86)\AstroGrep\AstroGrep.exe" /spath="%USERPROFILE%\AppData\Local\Temp\OnboardLogs" /stypes="app*4005*20170219*" /stext=" 12:.+((SYSTEM_STATE.+slice.+state.+changed )|(ment ac)|(multiple cpu faults)|(system.+state.+changed )|(\[timeout)|(PRM\|1\|D)|(kpr)|(kdp)|(\|loc)|(penalty))"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104-19 --locoid 4005 --swversion DE.1.0.9.0 --startMP 204:232643 --initTime 2017-02-19T04:39:20 --startdatetime 2017-02-19T04:41:59 --delay 1 --endMP 204:160 --enddatetime 2017-02-19T05:23:26 --enforcementcount 0 &gt;&gt;C:\Users\stu\Documents\GitHub\eaglep3-reporting\EC\2017-02-19-refined-times.txt</v>
      </c>
      <c r="AI1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{"issue":{"subject":"","project_id":79,"tracker_id":40,"status_id":1,"priority_id":2,"assigned_to_id":23,"start_date":"2017-02-19","description":"","custom_fields":[{"id":1,"name":"Subdivision","value":"EC"},{"id":4,"name":"Milepost","value":"0.016"},{"id":17,"name":"Train ID","value":"104-19"},{"id":16,"name":"Locomotive ID","value":"4005"},{"id":130,"name":"Impact","value":""},{"id":150,"name":"Time of Event (Mountain Time)","value":"05:23:26"},{"id":151,"name":"Denver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4005 --day 2017-02-19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464</v>
      </c>
      <c r="B17" s="7">
        <v>4025</v>
      </c>
      <c r="C17" s="21" t="s">
        <v>665</v>
      </c>
      <c r="D17" s="21" t="s">
        <v>393</v>
      </c>
      <c r="E17" s="13">
        <v>42785.169131944444</v>
      </c>
      <c r="F17" s="13">
        <v>42785.17728009259</v>
      </c>
      <c r="G17" s="7">
        <v>1</v>
      </c>
      <c r="H17" s="21" t="s">
        <v>312</v>
      </c>
      <c r="I17" s="13">
        <v>42785.204201388886</v>
      </c>
      <c r="J17" s="7">
        <v>0</v>
      </c>
      <c r="K17" s="98" t="str">
        <f t="shared" si="0"/>
        <v>4025/4026</v>
      </c>
      <c r="L17" s="21" t="str">
        <f>VLOOKUP(A17,'Trips&amp;Operators'!$C$1:$G$99999,5,FALSE)</f>
        <v>BADERTSCHER DIANE</v>
      </c>
      <c r="M17" s="6">
        <f t="shared" si="1"/>
        <v>2.6921296295768116E-2</v>
      </c>
      <c r="N17" s="7">
        <f t="shared" si="2"/>
        <v>38.766666665906087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-19T03:03:33-0700',mode:absolute,to:'2017-02-19T05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7.4999999999999997E-2</v>
      </c>
      <c r="Z17" s="62">
        <f t="shared" si="9"/>
        <v>23.3278</v>
      </c>
      <c r="AA17" s="62">
        <f t="shared" si="10"/>
        <v>23.252800000000001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0105-19</v>
      </c>
      <c r="AE17" s="85" t="str">
        <f t="shared" si="12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17" s="82" t="str">
        <f t="shared" si="13"/>
        <v>"C:\Program Files (x86)\AstroGrep\AstroGrep.exe" /spath="%USERPROFILE%\AppData\Local\Temp\OnboardLogs" /stypes="app*4025*20170219*" /stext=" 11:.+((SYSTEM_STATE.+slice.+state.+changed )|(ment ac)|(multiple cpu faults)|(system.+state.+changed )|(\[timeout)|(PRM\|1\|D)|(kpr)|(kdp)|(\|loc)|(penalty))"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105-19 --locoid 4025 --swversion DE.1.0.9.0 --startMP 204:750 --initTime 2017-02-19T04:03:33 --startdatetime 2017-02-19T04:15:17 --delay 1 --endMP 204:233278 --enddatetime 2017-02-19T04:54:03 --enforcementcount 0 &gt;&gt;C:\Users\stu\Documents\GitHub\eaglep3-reporting\EC\2017-02-19-refined-times.txt</v>
      </c>
      <c r="AI17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{"issue":{"subject":"","project_id":79,"tracker_id":40,"status_id":1,"priority_id":2,"assigned_to_id":23,"start_date":"2017-02-19","description":"","custom_fields":[{"id":1,"name":"Subdivision","value":"EC"},{"id":4,"name":"Milepost","value":"23.3278"},{"id":17,"name":"Train ID","value":"105-19"},{"id":16,"name":"Locomotive ID","value":"4025"},{"id":130,"name":"Impact","value":""},{"id":150,"name":"Time of Event (Mountain Time)","value":"04:54:03"},{"id":151,"name":"Denver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4025 --day 2017-02-19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"%USERPROFILE%\AppData\Local\Temp\OnboardLogs"\RTDC4025\*4025*20170219* | grep -SE "(Enforcement Action)|(\[TIMEOUT)|(CHR.+\|PRM\|1\|D.+(SWITCH|SIGNAL).+UNKNOWN)" - &gt;&gt; 2017-02-19-UncaughtWiMAX.txt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473</v>
      </c>
      <c r="B18" s="7">
        <v>4013</v>
      </c>
      <c r="C18" s="21" t="s">
        <v>665</v>
      </c>
      <c r="D18" s="21" t="s">
        <v>669</v>
      </c>
      <c r="E18" s="13">
        <v>42785.206631944442</v>
      </c>
      <c r="F18" s="13">
        <v>42785.216168981482</v>
      </c>
      <c r="G18" s="7">
        <v>1</v>
      </c>
      <c r="H18" s="21" t="s">
        <v>224</v>
      </c>
      <c r="I18" s="13">
        <v>42785.24423611111</v>
      </c>
      <c r="J18" s="7">
        <v>0</v>
      </c>
      <c r="K18" s="98" t="str">
        <f t="shared" si="0"/>
        <v>4013/4014</v>
      </c>
      <c r="L18" s="21" t="str">
        <f>VLOOKUP(A18,'Trips&amp;Operators'!$C$1:$G$99999,5,FALSE)</f>
        <v>BADERTSCHER DIANE</v>
      </c>
      <c r="M18" s="6">
        <f t="shared" si="1"/>
        <v>2.806712962774327E-2</v>
      </c>
      <c r="N18" s="7">
        <f t="shared" si="2"/>
        <v>40.416666663950309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-19T03:57:33-0700',mode:absolute,to:'2017-02-19T06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23.2653</v>
      </c>
      <c r="Z18" s="62">
        <f t="shared" si="9"/>
        <v>1.43E-2</v>
      </c>
      <c r="AA18" s="62">
        <f t="shared" si="10"/>
        <v>23.251000000000001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0106-19</v>
      </c>
      <c r="AE18" s="85" t="str">
        <f t="shared" si="12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8" s="82" t="str">
        <f t="shared" si="13"/>
        <v>"C:\Program Files (x86)\AstroGrep\AstroGrep.exe" /spath="%USERPROFILE%\AppData\Local\Temp\OnboardLogs" /stypes="app*4013*20170219*" /stext=" 12:.+((SYSTEM_STATE.+slice.+state.+changed )|(ment ac)|(multiple cpu faults)|(system.+state.+changed )|(\[timeout)|(PRM\|1\|D)|(kpr)|(kdp)|(\|loc)|(penalty))"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106-19 --locoid 4013 --swversion DE.1.0.9.0 --startMP 204:232653 --initTime 2017-02-19T04:57:33 --startdatetime 2017-02-19T05:11:17 --delay 1 --endMP 204:143 --enddatetime 2017-02-19T05:51:42 --enforcementcount 0 &gt;&gt;C:\Users\stu\Documents\GitHub\eaglep3-reporting\EC\2017-02-19-refined-times.txt</v>
      </c>
      <c r="AI18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{"issue":{"subject":"","project_id":79,"tracker_id":40,"status_id":1,"priority_id":2,"assigned_to_id":23,"start_date":"2017-02-19","description":"","custom_fields":[{"id":1,"name":"Subdivision","value":"EC"},{"id":4,"name":"Milepost","value":"0.0143"},{"id":17,"name":"Train ID","value":"106-19"},{"id":16,"name":"Locomotive ID","value":"4013"},{"id":130,"name":"Impact","value":""},{"id":150,"name":"Time of Event (Mountain Time)","value":"05:51:42"},{"id":151,"name":"Denver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4013 --day 2017-02-19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"%USERPROFILE%\AppData\Local\Temp\OnboardLogs"\RTDC4013\*4013*20170219* | grep -SE "(Enforcement Action)|(\[TIMEOUT)|(CHR.+\|PRM\|1\|D.+(SWITCH|SIGNAL).+UNKNOWN)" - &gt;&gt; 2017-02-19-UncaughtWiMAX.txt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468</v>
      </c>
      <c r="B19" s="7">
        <v>4051</v>
      </c>
      <c r="C19" s="21" t="s">
        <v>665</v>
      </c>
      <c r="D19" s="21" t="s">
        <v>227</v>
      </c>
      <c r="E19" s="13">
        <v>42785.182743055557</v>
      </c>
      <c r="F19" s="13">
        <v>42785.187731481485</v>
      </c>
      <c r="G19" s="7">
        <v>1</v>
      </c>
      <c r="H19" s="21" t="s">
        <v>357</v>
      </c>
      <c r="I19" s="13">
        <v>42785.212962962964</v>
      </c>
      <c r="J19" s="7">
        <v>0</v>
      </c>
      <c r="K19" s="98" t="str">
        <f t="shared" si="0"/>
        <v>4051/4052</v>
      </c>
      <c r="L19" s="21" t="str">
        <f>VLOOKUP(A19,'Trips&amp;Operators'!$C$1:$G$99999,5,FALSE)</f>
        <v>HAITHCOX MICHAEL</v>
      </c>
      <c r="M19" s="6">
        <f t="shared" si="1"/>
        <v>2.5231481478840578E-2</v>
      </c>
      <c r="N19" s="7">
        <f t="shared" si="2"/>
        <v>36.333333329530433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-19T03:23:09-0700',mode:absolute,to:'2017-02-19T06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4.5100000000000001E-2</v>
      </c>
      <c r="Z19" s="62">
        <f t="shared" si="9"/>
        <v>23.3307</v>
      </c>
      <c r="AA19" s="62">
        <f t="shared" si="10"/>
        <v>23.285599999999999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0107-19</v>
      </c>
      <c r="AE19" s="85" t="str">
        <f t="shared" si="12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19" s="82" t="str">
        <f t="shared" si="13"/>
        <v>"C:\Program Files (x86)\AstroGrep\AstroGrep.exe" /spath="%USERPROFILE%\AppData\Local\Temp\OnboardLogs" /stypes="app*4051*20170219*" /stext=" 12:.+((SYSTEM_STATE.+slice.+state.+changed )|(ment ac)|(multiple cpu faults)|(system.+state.+changed )|(\[timeout)|(PRM\|1\|D)|(kpr)|(kdp)|(\|loc)|(penalty))"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107-19 --locoid 4051 --swversion DE.1.0.9.0 --startMP 204:451 --initTime 2017-02-19T04:23:09 --startdatetime 2017-02-19T04:30:20 --delay 1 --endMP 204:233307 --enddatetime 2017-02-19T05:06:40 --enforcementcount 0 &gt;&gt;C:\Users\stu\Documents\GitHub\eaglep3-reporting\EC\2017-02-19-refined-times.txt</v>
      </c>
      <c r="AI19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{"issue":{"subject":"","project_id":79,"tracker_id":40,"status_id":1,"priority_id":2,"assigned_to_id":23,"start_date":"2017-02-19","description":"","custom_fields":[{"id":1,"name":"Subdivision","value":"EC"},{"id":4,"name":"Milepost","value":"23.3307"},{"id":17,"name":"Train ID","value":"107-19"},{"id":16,"name":"Locomotive ID","value":"4051"},{"id":130,"name":"Impact","value":""},{"id":150,"name":"Time of Event (Mountain Time)","value":"05:06:40"},{"id":151,"name":"Denver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4051 --day 2017-02-19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474</v>
      </c>
      <c r="B20" s="7">
        <v>4052</v>
      </c>
      <c r="C20" s="21" t="s">
        <v>665</v>
      </c>
      <c r="D20" s="21" t="s">
        <v>670</v>
      </c>
      <c r="E20" s="13">
        <v>42785.222210648149</v>
      </c>
      <c r="F20" s="13">
        <v>42785.226631944446</v>
      </c>
      <c r="G20" s="7">
        <v>1</v>
      </c>
      <c r="H20" s="21" t="s">
        <v>214</v>
      </c>
      <c r="I20" s="13">
        <v>42785.254317129627</v>
      </c>
      <c r="J20" s="7">
        <v>0</v>
      </c>
      <c r="K20" s="98" t="str">
        <f t="shared" si="0"/>
        <v>4051/4052</v>
      </c>
      <c r="L20" s="21" t="str">
        <f>VLOOKUP(A20,'Trips&amp;Operators'!$C$1:$G$99999,5,FALSE)</f>
        <v>HAITHCOX MICHAEL</v>
      </c>
      <c r="M20" s="6">
        <f t="shared" si="1"/>
        <v>2.7685185181326233E-2</v>
      </c>
      <c r="N20" s="7">
        <f t="shared" si="2"/>
        <v>39.866666661109775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-19T04:19:59-0700',mode:absolute,to:'2017-02-19T07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23.298999999999999</v>
      </c>
      <c r="Z20" s="62">
        <f t="shared" si="9"/>
        <v>1.54E-2</v>
      </c>
      <c r="AA20" s="62">
        <f t="shared" si="10"/>
        <v>23.2836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0108-19</v>
      </c>
      <c r="AE20" s="85" t="str">
        <f t="shared" si="12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20" s="82" t="str">
        <f t="shared" si="13"/>
        <v>"C:\Program Files (x86)\AstroGrep\AstroGrep.exe" /spath="%USERPROFILE%\AppData\Local\Temp\OnboardLogs" /stypes="app*4052*20170219*" /stext=" 13:.+((SYSTEM_STATE.+slice.+state.+changed )|(ment ac)|(multiple cpu faults)|(system.+state.+changed )|(\[timeout)|(PRM\|1\|D)|(kpr)|(kdp)|(\|loc)|(penalty))"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108-19 --locoid 4052 --swversion DE.1.0.9.0 --startMP 204:232990 --initTime 2017-02-19T05:19:59 --startdatetime 2017-02-19T05:26:21 --delay 1 --endMP 204:154 --enddatetime 2017-02-19T06:06:13 --enforcementcount 0 &gt;&gt;C:\Users\stu\Documents\GitHub\eaglep3-reporting\EC\2017-02-19-refined-times.txt</v>
      </c>
      <c r="AI20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{"issue":{"subject":"","project_id":79,"tracker_id":40,"status_id":1,"priority_id":2,"assigned_to_id":23,"start_date":"2017-02-19","description":"","custom_fields":[{"id":1,"name":"Subdivision","value":"EC"},{"id":4,"name":"Milepost","value":"0.0154"},{"id":17,"name":"Train ID","value":"108-19"},{"id":16,"name":"Locomotive ID","value":"4052"},{"id":130,"name":"Impact","value":""},{"id":150,"name":"Time of Event (Mountain Time)","value":"06:06:13"},{"id":151,"name":"Denver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4052 --day 2017-02-19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470</v>
      </c>
      <c r="B21" s="7">
        <v>4031</v>
      </c>
      <c r="C21" s="21" t="s">
        <v>665</v>
      </c>
      <c r="D21" s="21" t="s">
        <v>671</v>
      </c>
      <c r="E21" s="13">
        <v>42785.195324074077</v>
      </c>
      <c r="F21" s="13">
        <v>42785.198113425926</v>
      </c>
      <c r="G21" s="7">
        <v>1</v>
      </c>
      <c r="H21" s="21" t="s">
        <v>672</v>
      </c>
      <c r="I21" s="13">
        <v>42785.224189814813</v>
      </c>
      <c r="J21" s="7">
        <v>0</v>
      </c>
      <c r="K21" s="98" t="str">
        <f t="shared" si="0"/>
        <v>4031/4032</v>
      </c>
      <c r="L21" s="21" t="str">
        <f>VLOOKUP(A21,'Trips&amp;Operators'!$C$1:$G$99999,5,FALSE)</f>
        <v>ROBINSON KADDIBA</v>
      </c>
      <c r="M21" s="6">
        <f t="shared" si="1"/>
        <v>2.6076388887304347E-2</v>
      </c>
      <c r="N21" s="7">
        <f t="shared" si="2"/>
        <v>37.54999999771826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-19T03:41:16-0700',mode:absolute,to:'2017-02-19T06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4.58E-2</v>
      </c>
      <c r="Z21" s="62">
        <f t="shared" si="9"/>
        <v>23.3325</v>
      </c>
      <c r="AA21" s="62">
        <f t="shared" si="10"/>
        <v>23.2867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0109-19</v>
      </c>
      <c r="AE21" s="85" t="str">
        <f t="shared" si="12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21" s="82" t="str">
        <f t="shared" si="13"/>
        <v>"C:\Program Files (x86)\AstroGrep\AstroGrep.exe" /spath="%USERPROFILE%\AppData\Local\Temp\OnboardLogs" /stypes="app*4031*20170219*" /stext=" 12:.+((SYSTEM_STATE.+slice.+state.+changed )|(ment ac)|(multiple cpu faults)|(system.+state.+changed )|(\[timeout)|(PRM\|1\|D)|(kpr)|(kdp)|(\|loc)|(penalty))"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109-19 --locoid 4031 --swversion DE.1.0.9.0 --startMP 204:458 --initTime 2017-02-19T04:41:16 --startdatetime 2017-02-19T04:45:17 --delay 1 --endMP 204:233325 --enddatetime 2017-02-19T05:22:50 --enforcementcount 0 &gt;&gt;C:\Users\stu\Documents\GitHub\eaglep3-reporting\EC\2017-02-19-refined-times.txt</v>
      </c>
      <c r="AI21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{"issue":{"subject":"","project_id":79,"tracker_id":40,"status_id":1,"priority_id":2,"assigned_to_id":23,"start_date":"2017-02-19","description":"","custom_fields":[{"id":1,"name":"Subdivision","value":"EC"},{"id":4,"name":"Milepost","value":"23.3325"},{"id":17,"name":"Train ID","value":"109-19"},{"id":16,"name":"Locomotive ID","value":"4031"},{"id":130,"name":"Impact","value":""},{"id":150,"name":"Time of Event (Mountain Time)","value":"05:22:50"},{"id":151,"name":"Denver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4031 --day 2017-02-19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477</v>
      </c>
      <c r="B22" s="7">
        <v>4032</v>
      </c>
      <c r="C22" s="21" t="s">
        <v>665</v>
      </c>
      <c r="D22" s="21" t="s">
        <v>358</v>
      </c>
      <c r="E22" s="13">
        <v>42785.234201388892</v>
      </c>
      <c r="F22" s="13">
        <v>42785.236990740741</v>
      </c>
      <c r="G22" s="7">
        <v>1</v>
      </c>
      <c r="H22" s="21" t="s">
        <v>194</v>
      </c>
      <c r="I22" s="13">
        <v>42785.265057870369</v>
      </c>
      <c r="J22" s="7">
        <v>0</v>
      </c>
      <c r="K22" s="98" t="str">
        <f t="shared" si="0"/>
        <v>4031/4032</v>
      </c>
      <c r="L22" s="21" t="str">
        <f>VLOOKUP(A22,'Trips&amp;Operators'!$C$1:$G$99999,5,FALSE)</f>
        <v>ROBINSON KADDIBA</v>
      </c>
      <c r="M22" s="6">
        <f t="shared" si="1"/>
        <v>2.806712962774327E-2</v>
      </c>
      <c r="N22" s="7">
        <f t="shared" si="2"/>
        <v>40.416666663950309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-19T04:37:15-0700',mode:absolute,to:'2017-02-19T07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23.3019</v>
      </c>
      <c r="Z22" s="62">
        <f t="shared" si="9"/>
        <v>1.4999999999999999E-2</v>
      </c>
      <c r="AA22" s="62">
        <f t="shared" si="10"/>
        <v>23.286899999999999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0110-19</v>
      </c>
      <c r="AE22" s="85" t="str">
        <f t="shared" si="12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22" s="82" t="str">
        <f t="shared" si="13"/>
        <v>"C:\Program Files (x86)\AstroGrep\AstroGrep.exe" /spath="%USERPROFILE%\AppData\Local\Temp\OnboardLogs" /stypes="app*4032*20170219*" /stext=" 13:.+((SYSTEM_STATE.+slice.+state.+changed )|(ment ac)|(multiple cpu faults)|(system.+state.+changed )|(\[timeout)|(PRM\|1\|D)|(kpr)|(kdp)|(\|loc)|(penalty))"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110-19 --locoid 4032 --swversion DE.1.0.9.0 --startMP 204:233019 --initTime 2017-02-19T05:37:15 --startdatetime 2017-02-19T05:41:16 --delay 1 --endMP 204:150 --enddatetime 2017-02-19T06:21:41 --enforcementcount 0 &gt;&gt;C:\Users\stu\Documents\GitHub\eaglep3-reporting\EC\2017-02-19-refined-times.txt</v>
      </c>
      <c r="AI22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{"issue":{"subject":"","project_id":79,"tracker_id":40,"status_id":1,"priority_id":2,"assigned_to_id":23,"start_date":"2017-02-19","description":"","custom_fields":[{"id":1,"name":"Subdivision","value":"EC"},{"id":4,"name":"Milepost","value":"0.015"},{"id":17,"name":"Train ID","value":"110-19"},{"id":16,"name":"Locomotive ID","value":"4032"},{"id":130,"name":"Impact","value":""},{"id":150,"name":"Time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4032 --day 2017-02-19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471</v>
      </c>
      <c r="B23" s="7">
        <v>4003</v>
      </c>
      <c r="C23" s="21" t="s">
        <v>665</v>
      </c>
      <c r="D23" s="21" t="s">
        <v>673</v>
      </c>
      <c r="E23" s="13">
        <v>42785.204571759263</v>
      </c>
      <c r="F23" s="13">
        <v>42785.208506944444</v>
      </c>
      <c r="G23" s="7">
        <v>1</v>
      </c>
      <c r="H23" s="21" t="s">
        <v>674</v>
      </c>
      <c r="I23" s="13">
        <v>42785.232916666668</v>
      </c>
      <c r="J23" s="7">
        <v>0</v>
      </c>
      <c r="K23" s="98" t="str">
        <f t="shared" si="0"/>
        <v>4003/4004</v>
      </c>
      <c r="L23" s="21" t="str">
        <f>VLOOKUP(A23,'Trips&amp;Operators'!$C$1:$G$99999,5,FALSE)</f>
        <v>GEBRETEKLE DAGNEW</v>
      </c>
      <c r="M23" s="6">
        <f t="shared" si="1"/>
        <v>2.4409722223936114E-2</v>
      </c>
      <c r="N23" s="7">
        <f t="shared" si="2"/>
        <v>35.150000002468005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-19T03:54:35-0700',mode:absolute,to:'2017-02-19T06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188" t="str">
        <f t="shared" si="6"/>
        <v>N</v>
      </c>
      <c r="X23" s="188">
        <f t="shared" si="7"/>
        <v>1</v>
      </c>
      <c r="Y23" s="62">
        <f t="shared" si="8"/>
        <v>7.2800000000000004E-2</v>
      </c>
      <c r="Z23" s="62">
        <f t="shared" si="9"/>
        <v>23.332599999999999</v>
      </c>
      <c r="AA23" s="62">
        <f t="shared" si="10"/>
        <v>23.259799999999998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0111-19</v>
      </c>
      <c r="AE23" s="85" t="str">
        <f t="shared" si="12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23" s="82" t="str">
        <f t="shared" si="13"/>
        <v>"C:\Program Files (x86)\AstroGrep\AstroGrep.exe" /spath="%USERPROFILE%\AppData\Local\Temp\OnboardLogs" /stypes="app*4003*20170219*" /stext=" 12:.+((SYSTEM_STATE.+slice.+state.+changed )|(ment ac)|(multiple cpu faults)|(system.+state.+changed )|(\[timeout)|(PRM\|1\|D)|(kpr)|(kdp)|(\|loc)|(penalty))"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111-19 --locoid 4003 --swversion DE.1.0.9.0 --startMP 204:728 --initTime 2017-02-19T04:54:35 --startdatetime 2017-02-19T05:00:15 --delay 1 --endMP 204:233326 --enddatetime 2017-02-19T05:35:24 --enforcementcount 0 &gt;&gt;C:\Users\stu\Documents\GitHub\eaglep3-reporting\EC\2017-02-19-refined-times.txt</v>
      </c>
      <c r="AI23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{"issue":{"subject":"","project_id":79,"tracker_id":40,"status_id":1,"priority_id":2,"assigned_to_id":23,"start_date":"2017-02-19","description":"","custom_fields":[{"id":1,"name":"Subdivision","value":"EC"},{"id":4,"name":"Milepost","value":"23.3326"},{"id":17,"name":"Train ID","value":"111-19"},{"id":16,"name":"Locomotive ID","value":"4003"},{"id":130,"name":"Impact","value":""},{"id":150,"name":"Time of Event (Mountain Time)","value":"05:35:24"},{"id":151,"name":"Denver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4003 --day 2017-02-19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478</v>
      </c>
      <c r="B24" s="7">
        <v>4004</v>
      </c>
      <c r="C24" s="21" t="s">
        <v>665</v>
      </c>
      <c r="D24" s="21" t="s">
        <v>675</v>
      </c>
      <c r="E24" s="13">
        <v>42785.234143518515</v>
      </c>
      <c r="F24" s="13">
        <v>42785.247395833336</v>
      </c>
      <c r="G24" s="7">
        <v>2</v>
      </c>
      <c r="H24" s="21" t="s">
        <v>207</v>
      </c>
      <c r="I24" s="13">
        <v>42785.274953703702</v>
      </c>
      <c r="J24" s="7">
        <v>0</v>
      </c>
      <c r="K24" s="98" t="str">
        <f t="shared" si="0"/>
        <v>4003/4004</v>
      </c>
      <c r="L24" s="21" t="str">
        <f>VLOOKUP(A24,'Trips&amp;Operators'!$C$1:$G$99999,5,FALSE)</f>
        <v>GEBRETEKLE DAGNEW</v>
      </c>
      <c r="M24" s="6">
        <f t="shared" si="1"/>
        <v>2.7557870365853887E-2</v>
      </c>
      <c r="N24" s="7">
        <f t="shared" si="2"/>
        <v>39.683333326829597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-19T04:37:10-0700',mode:absolute,to:'2017-02-19T07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188" t="str">
        <f t="shared" si="6"/>
        <v>N</v>
      </c>
      <c r="X24" s="188">
        <f t="shared" si="7"/>
        <v>1</v>
      </c>
      <c r="Y24" s="62">
        <f t="shared" si="8"/>
        <v>23.300699999999999</v>
      </c>
      <c r="Z24" s="62">
        <f t="shared" si="9"/>
        <v>1.52E-2</v>
      </c>
      <c r="AA24" s="62">
        <f t="shared" si="10"/>
        <v>23.285499999999999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0112-19</v>
      </c>
      <c r="AE24" s="85" t="str">
        <f t="shared" si="12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24" s="82" t="str">
        <f t="shared" si="13"/>
        <v>"C:\Program Files (x86)\AstroGrep\AstroGrep.exe" /spath="%USERPROFILE%\AppData\Local\Temp\OnboardLogs" /stypes="app*4004*20170219*" /stext=" 13:.+((SYSTEM_STATE.+slice.+state.+changed )|(ment ac)|(multiple cpu faults)|(system.+state.+changed )|(\[timeout)|(PRM\|1\|D)|(kpr)|(kdp)|(\|loc)|(penalty))"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112-19 --locoid 4004 --swversion DE.1.0.9.0 --startMP 204:233007 --initTime 2017-02-19T05:37:10 --startdatetime 2017-02-19T05:56:15 --delay 2 --endMP 204:152 --enddatetime 2017-02-19T06:35:56 --enforcementcount 0 &gt;&gt;C:\Users\stu\Documents\GitHub\eaglep3-reporting\EC\2017-02-19-refined-times.txt</v>
      </c>
      <c r="AI24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ID","value":"112-19"},{"id":16,"name":"Locomotive ID","value":"4004"},{"id":130,"name":"Impact","value":""},{"id":150,"name":"Time of Event (Mountain Time)","value":"06:35:56"},{"id":151,"name":"Denver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4004 --day 2017-02-19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"%USERPROFILE%\AppData\Local\Temp\OnboardLogs"\RTDC4004\*4004*20170219* | grep -SE "(Enforcement Action)|(\[TIMEOUT)|(CHR.+\|PRM\|1\|D.+(SWITCH|SIGNAL).+UNKNOWN)" - &gt;&gt; 2017-02-19-UncaughtWiMAX.txt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472</v>
      </c>
      <c r="B25" s="7">
        <v>4016</v>
      </c>
      <c r="C25" s="21" t="s">
        <v>665</v>
      </c>
      <c r="D25" s="21" t="s">
        <v>307</v>
      </c>
      <c r="E25" s="13">
        <v>42785.205381944441</v>
      </c>
      <c r="F25" s="13">
        <v>42785.218923611108</v>
      </c>
      <c r="G25" s="7">
        <v>1</v>
      </c>
      <c r="H25" s="21" t="s">
        <v>388</v>
      </c>
      <c r="I25" s="13">
        <v>42785.245416666665</v>
      </c>
      <c r="J25" s="7">
        <v>0</v>
      </c>
      <c r="K25" s="98" t="str">
        <f t="shared" si="0"/>
        <v>4015/4016</v>
      </c>
      <c r="L25" s="21" t="str">
        <f>VLOOKUP(A25,'Trips&amp;Operators'!$C$1:$G$99999,5,FALSE)</f>
        <v>SWANSON BRYCE</v>
      </c>
      <c r="M25" s="6">
        <f t="shared" si="1"/>
        <v>2.6493055556784384E-2</v>
      </c>
      <c r="N25" s="7">
        <f t="shared" si="2"/>
        <v>38.150000001769513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-19T03:55:45-0700',mode:absolute,to:'2017-02-19T06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8" t="str">
        <f t="shared" si="6"/>
        <v>N</v>
      </c>
      <c r="X25" s="188">
        <f t="shared" si="7"/>
        <v>1</v>
      </c>
      <c r="Y25" s="62">
        <f t="shared" si="8"/>
        <v>4.3099999999999999E-2</v>
      </c>
      <c r="Z25" s="62">
        <f t="shared" si="9"/>
        <v>23.325700000000001</v>
      </c>
      <c r="AA25" s="62">
        <f t="shared" si="10"/>
        <v>23.282600000000002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0113-19</v>
      </c>
      <c r="AE25" s="85" t="str">
        <f t="shared" si="12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25" s="82" t="str">
        <f t="shared" si="13"/>
        <v>"C:\Program Files (x86)\AstroGrep\AstroGrep.exe" /spath="%USERPROFILE%\AppData\Local\Temp\OnboardLogs" /stypes="app*4016*20170219*" /stext=" 12:.+((SYSTEM_STATE.+slice.+state.+changed )|(ment ac)|(multiple cpu faults)|(system.+state.+changed )|(\[timeout)|(PRM\|1\|D)|(kpr)|(kdp)|(\|loc)|(penalty))"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113-19 --locoid 4016 --swversion DE.1.0.9.0 --startMP 204:431 --initTime 2017-02-19T04:55:45 --startdatetime 2017-02-19T05:15:15 --delay 1 --endMP 204:233257 --enddatetime 2017-02-19T05:53:24 --enforcementcount 0 &gt;&gt;C:\Users\stu\Documents\GitHub\eaglep3-reporting\EC\2017-02-19-refined-times.txt</v>
      </c>
      <c r="AI25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{"issue":{"subject":"","project_id":79,"tracker_id":40,"status_id":1,"priority_id":2,"assigned_to_id":23,"start_date":"2017-02-19","description":"","custom_fields":[{"id":1,"name":"Subdivision","value":"EC"},{"id":4,"name":"Milepost","value":"23.3257"},{"id":17,"name":"Train ID","value":"113-19"},{"id":16,"name":"Locomotive ID","value":"4016"},{"id":130,"name":"Impact","value":""},{"id":150,"name":"Time of Event (Mountain Time)","value":"05:53:24"},{"id":151,"name":"Denver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4016 --day 2017-02-19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481</v>
      </c>
      <c r="B26" s="7">
        <v>4015</v>
      </c>
      <c r="C26" s="21" t="s">
        <v>665</v>
      </c>
      <c r="D26" s="21" t="s">
        <v>676</v>
      </c>
      <c r="E26" s="13">
        <v>42785.247048611112</v>
      </c>
      <c r="F26" s="13">
        <v>42785.257905092592</v>
      </c>
      <c r="G26" s="7">
        <v>1</v>
      </c>
      <c r="H26" s="21" t="s">
        <v>196</v>
      </c>
      <c r="I26" s="13">
        <v>42785.286516203705</v>
      </c>
      <c r="J26" s="7">
        <v>0</v>
      </c>
      <c r="K26" s="98" t="str">
        <f t="shared" si="0"/>
        <v>4015/4016</v>
      </c>
      <c r="L26" s="21" t="str">
        <f>VLOOKUP(A26,'Trips&amp;Operators'!$C$1:$G$99999,5,FALSE)</f>
        <v>SWANSON BRYCE</v>
      </c>
      <c r="M26" s="6">
        <f t="shared" si="1"/>
        <v>2.8611111112695653E-2</v>
      </c>
      <c r="N26" s="7">
        <f t="shared" si="2"/>
        <v>41.20000000228174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-19T04:55:45-0700',mode:absolute,to:'2017-02-19T07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88" t="str">
        <f t="shared" si="6"/>
        <v>N</v>
      </c>
      <c r="X26" s="188">
        <f t="shared" si="7"/>
        <v>1</v>
      </c>
      <c r="Y26" s="62">
        <f t="shared" si="8"/>
        <v>23.295500000000001</v>
      </c>
      <c r="Z26" s="62">
        <f t="shared" si="9"/>
        <v>1.4500000000000001E-2</v>
      </c>
      <c r="AA26" s="62">
        <f t="shared" si="10"/>
        <v>23.280999999999999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0114-19</v>
      </c>
      <c r="AE26" s="85" t="str">
        <f t="shared" si="12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26" s="82" t="str">
        <f t="shared" si="13"/>
        <v>"C:\Program Files (x86)\AstroGrep\AstroGrep.exe" /spath="%USERPROFILE%\AppData\Local\Temp\OnboardLogs" /stypes="app*4015*20170219*" /stext=" 13:.+((SYSTEM_STATE.+slice.+state.+changed )|(ment ac)|(multiple cpu faults)|(system.+state.+changed )|(\[timeout)|(PRM\|1\|D)|(kpr)|(kdp)|(\|loc)|(penalty))"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114-19 --locoid 4015 --swversion DE.1.0.9.0 --startMP 204:232955 --initTime 2017-02-19T05:55:45 --startdatetime 2017-02-19T06:11:23 --delay 1 --endMP 204:145 --enddatetime 2017-02-19T06:52:35 --enforcementcount 0 &gt;&gt;C:\Users\stu\Documents\GitHub\eaglep3-reporting\EC\2017-02-19-refined-times.txt</v>
      </c>
      <c r="AI2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{"issue":{"subject":"","project_id":79,"tracker_id":40,"status_id":1,"priority_id":2,"assigned_to_id":23,"start_date":"2017-02-19","description":"","custom_fields":[{"id":1,"name":"Subdivision","value":"EC"},{"id":4,"name":"Milepost","value":"0.0145"},{"id":17,"name":"Train ID","value":"114-19"},{"id":16,"name":"Locomotive ID","value":"4015"},{"id":130,"name":"Impact","value":""},{"id":150,"name":"Time of Event (Mountain Time)","value":"06:52:35"},{"id":151,"name":"Denver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4015 --day 2017-02-19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476</v>
      </c>
      <c r="B27" s="7">
        <v>4044</v>
      </c>
      <c r="C27" s="21" t="s">
        <v>665</v>
      </c>
      <c r="D27" s="21" t="s">
        <v>677</v>
      </c>
      <c r="E27" s="13">
        <v>42785.228252314817</v>
      </c>
      <c r="F27" s="13">
        <v>42785.230381944442</v>
      </c>
      <c r="G27" s="7">
        <v>2</v>
      </c>
      <c r="H27" s="21" t="s">
        <v>404</v>
      </c>
      <c r="I27" s="13">
        <v>42785.256863425922</v>
      </c>
      <c r="J27" s="7">
        <v>0</v>
      </c>
      <c r="K27" s="98" t="str">
        <f t="shared" si="0"/>
        <v>4043/4044</v>
      </c>
      <c r="L27" s="21" t="str">
        <f>VLOOKUP(A27,'Trips&amp;Operators'!$C$1:$G$99999,5,FALSE)</f>
        <v>SHOOK JOHN</v>
      </c>
      <c r="M27" s="6">
        <f t="shared" si="1"/>
        <v>2.6481481480004732E-2</v>
      </c>
      <c r="N27" s="7">
        <f t="shared" si="2"/>
        <v>38.133333331206813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-19T04:28:41-0700',mode:absolute,to:'2017-02-19T07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88" t="str">
        <f t="shared" si="6"/>
        <v>N</v>
      </c>
      <c r="X27" s="188">
        <f t="shared" si="7"/>
        <v>1</v>
      </c>
      <c r="Y27" s="62">
        <f t="shared" si="8"/>
        <v>7.3700000000000002E-2</v>
      </c>
      <c r="Z27" s="62">
        <f t="shared" si="9"/>
        <v>23.328800000000001</v>
      </c>
      <c r="AA27" s="62">
        <f t="shared" si="10"/>
        <v>23.255100000000002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0115-19</v>
      </c>
      <c r="AE27" s="85" t="str">
        <f t="shared" si="12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27" s="82" t="str">
        <f t="shared" si="13"/>
        <v>"C:\Program Files (x86)\AstroGrep\AstroGrep.exe" /spath="%USERPROFILE%\AppData\Local\Temp\OnboardLogs" /stypes="app*4044*20170219*" /stext=" 13:.+((SYSTEM_STATE.+slice.+state.+changed )|(ment ac)|(multiple cpu faults)|(system.+state.+changed )|(\[timeout)|(PRM\|1\|D)|(kpr)|(kdp)|(\|loc)|(penalty))"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115-19 --locoid 4044 --swversion DE.1.0.9.0 --startMP 204:737 --initTime 2017-02-19T05:28:41 --startdatetime 2017-02-19T05:31:45 --delay 2 --endMP 204:233288 --enddatetime 2017-02-19T06:09:53 --enforcementcount 0 &gt;&gt;C:\Users\stu\Documents\GitHub\eaglep3-reporting\EC\2017-02-19-refined-times.txt</v>
      </c>
      <c r="AI27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{"issue":{"subject":"","project_id":79,"tracker_id":40,"status_id":1,"priority_id":2,"assigned_to_id":23,"start_date":"2017-02-19","description":"","custom_fields":[{"id":1,"name":"Subdivision","value":"EC"},{"id":4,"name":"Milepost","value":"23.3288"},{"id":17,"name":"Train ID","value":"115-19"},{"id":16,"name":"Locomotive ID","value":"4044"},{"id":130,"name":"Impact","value":""},{"id":150,"name":"Time of Event (Mountain Time)","value":"06:09:53"},{"id":151,"name":"Denver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4044 --day 2017-02-19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484</v>
      </c>
      <c r="B28" s="7">
        <v>4043</v>
      </c>
      <c r="C28" s="21" t="s">
        <v>665</v>
      </c>
      <c r="D28" s="21" t="s">
        <v>265</v>
      </c>
      <c r="E28" s="13">
        <v>42785.264988425923</v>
      </c>
      <c r="F28" s="13">
        <v>42785.268391203703</v>
      </c>
      <c r="G28" s="7">
        <v>1</v>
      </c>
      <c r="H28" s="21" t="s">
        <v>273</v>
      </c>
      <c r="I28" s="13">
        <v>42785.295960648145</v>
      </c>
      <c r="J28" s="7">
        <v>0</v>
      </c>
      <c r="K28" s="98" t="str">
        <f t="shared" si="0"/>
        <v>4043/4044</v>
      </c>
      <c r="L28" s="21" t="str">
        <f>VLOOKUP(A28,'Trips&amp;Operators'!$C$1:$G$99999,5,FALSE)</f>
        <v>SHOOK JOHN</v>
      </c>
      <c r="M28" s="6">
        <f t="shared" si="1"/>
        <v>2.7569444442633539E-2</v>
      </c>
      <c r="N28" s="7">
        <f t="shared" si="2"/>
        <v>39.699999997392297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-19T05:21:35-0700',mode:absolute,to:'2017-02-19T08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88" t="str">
        <f t="shared" si="6"/>
        <v>N</v>
      </c>
      <c r="X28" s="188">
        <f t="shared" si="7"/>
        <v>1</v>
      </c>
      <c r="Y28" s="62">
        <f t="shared" si="8"/>
        <v>23.297699999999999</v>
      </c>
      <c r="Z28" s="62">
        <f t="shared" si="9"/>
        <v>1.61E-2</v>
      </c>
      <c r="AA28" s="62">
        <f t="shared" si="10"/>
        <v>23.281599999999997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0116-19</v>
      </c>
      <c r="AE28" s="85" t="str">
        <f t="shared" si="12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28" s="82" t="str">
        <f t="shared" si="13"/>
        <v>"C:\Program Files (x86)\AstroGrep\AstroGrep.exe" /spath="%USERPROFILE%\AppData\Local\Temp\OnboardLogs" /stypes="app*4043*20170219*" /stext=" 14:.+((SYSTEM_STATE.+slice.+state.+changed )|(ment ac)|(multiple cpu faults)|(system.+state.+changed )|(\[timeout)|(PRM\|1\|D)|(kpr)|(kdp)|(\|loc)|(penalty))"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116-19 --locoid 4043 --swversion DE.1.0.9.0 --startMP 204:232977 --initTime 2017-02-19T06:21:35 --startdatetime 2017-02-19T06:26:29 --delay 1 --endMP 204:161 --enddatetime 2017-02-19T07:06:11 --enforcementcount 0 &gt;&gt;C:\Users\stu\Documents\GitHub\eaglep3-reporting\EC\2017-02-19-refined-times.txt</v>
      </c>
      <c r="AI28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{"issue":{"subject":"","project_id":79,"tracker_id":40,"status_id":1,"priority_id":2,"assigned_to_id":23,"start_date":"2017-02-19","description":"","custom_fields":[{"id":1,"name":"Subdivision","value":"EC"},{"id":4,"name":"Milepost","value":"0.0161"},{"id":17,"name":"Train ID","value":"116-19"},{"id":16,"name":"Locomotive ID","value":"4043"},{"id":130,"name":"Impact","value":""},{"id":150,"name":"Time of Event (Mountain Time)","value":"07:06:11"},{"id":151,"name":"Denver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4043 --day 2017-02-19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"%USERPROFILE%\AppData\Local\Temp\OnboardLogs"\RTDC4043\*4043*20170219* | grep -SE "(Enforcement Action)|(\[TIMEOUT)|(CHR.+\|PRM\|1\|D.+(SWITCH|SIGNAL).+UNKNOWN)" - &gt;&gt; 2017-02-19-UncaughtWiMAX.txt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480</v>
      </c>
      <c r="B29" s="7">
        <v>4006</v>
      </c>
      <c r="C29" s="21" t="s">
        <v>665</v>
      </c>
      <c r="D29" s="21" t="s">
        <v>305</v>
      </c>
      <c r="E29" s="13">
        <v>42785.238159722219</v>
      </c>
      <c r="F29" s="13">
        <v>42785.240023148152</v>
      </c>
      <c r="G29" s="7">
        <v>1</v>
      </c>
      <c r="H29" s="21" t="s">
        <v>304</v>
      </c>
      <c r="I29" s="13">
        <v>42785.266863425924</v>
      </c>
      <c r="J29" s="7">
        <v>0</v>
      </c>
      <c r="K29" s="98" t="str">
        <f t="shared" si="0"/>
        <v>4005/4006</v>
      </c>
      <c r="L29" s="21" t="str">
        <f>VLOOKUP(A29,'Trips&amp;Operators'!$C$1:$G$99999,5,FALSE)</f>
        <v>ARVIDSON DANIEL</v>
      </c>
      <c r="M29" s="6">
        <f t="shared" si="1"/>
        <v>2.6840277772862464E-2</v>
      </c>
      <c r="N29" s="7">
        <f t="shared" si="2"/>
        <v>38.649999992921948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-19T04:42:57-0700',mode:absolute,to:'2017-02-19T07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88" t="str">
        <f t="shared" si="6"/>
        <v>N</v>
      </c>
      <c r="X29" s="188">
        <f t="shared" si="7"/>
        <v>1</v>
      </c>
      <c r="Y29" s="62">
        <f t="shared" si="8"/>
        <v>4.3799999999999999E-2</v>
      </c>
      <c r="Z29" s="62">
        <f t="shared" si="9"/>
        <v>23.330200000000001</v>
      </c>
      <c r="AA29" s="62">
        <f t="shared" si="10"/>
        <v>23.2864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0117-19</v>
      </c>
      <c r="AE29" s="85" t="str">
        <f t="shared" si="12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29" s="82" t="str">
        <f t="shared" si="13"/>
        <v>"C:\Program Files (x86)\AstroGrep\AstroGrep.exe" /spath="%USERPROFILE%\AppData\Local\Temp\OnboardLogs" /stypes="app*4006*20170219*" /stext=" 13:.+((SYSTEM_STATE.+slice.+state.+changed )|(ment ac)|(multiple cpu faults)|(system.+state.+changed )|(\[timeout)|(PRM\|1\|D)|(kpr)|(kdp)|(\|loc)|(penalty))"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117-19 --locoid 4006 --swversion DE.1.0.9.0 --startMP 204:438 --initTime 2017-02-19T05:42:57 --startdatetime 2017-02-19T05:45:38 --delay 1 --endMP 204:233302 --enddatetime 2017-02-19T06:24:17 --enforcementcount 0 &gt;&gt;C:\Users\stu\Documents\GitHub\eaglep3-reporting\EC\2017-02-19-refined-times.txt</v>
      </c>
      <c r="AI29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{"issue":{"subject":"","project_id":79,"tracker_id":40,"status_id":1,"priority_id":2,"assigned_to_id":23,"start_date":"2017-02-19","description":"","custom_fields":[{"id":1,"name":"Subdivision","value":"EC"},{"id":4,"name":"Milepost","value":"23.3302"},{"id":17,"name":"Train ID","value":"117-19"},{"id":16,"name":"Locomotive ID","value":"4006"},{"id":130,"name":"Impact","value":""},{"id":150,"name":"Time of Event (Mountain Time)","value":"06:24:17"},{"id":151,"name":"Denver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4006 --day 2017-02-19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486</v>
      </c>
      <c r="B30" s="7">
        <v>4005</v>
      </c>
      <c r="C30" s="21" t="s">
        <v>665</v>
      </c>
      <c r="D30" s="21" t="s">
        <v>264</v>
      </c>
      <c r="E30" s="13">
        <v>42785.27547453704</v>
      </c>
      <c r="F30" s="13">
        <v>42785.278796296298</v>
      </c>
      <c r="G30" s="7">
        <v>1</v>
      </c>
      <c r="H30" s="21" t="s">
        <v>390</v>
      </c>
      <c r="I30" s="13">
        <v>42785.306238425925</v>
      </c>
      <c r="J30" s="7">
        <v>0</v>
      </c>
      <c r="K30" s="98" t="str">
        <f t="shared" si="0"/>
        <v>4005/4006</v>
      </c>
      <c r="L30" s="21" t="str">
        <f>VLOOKUP(A30,'Trips&amp;Operators'!$C$1:$G$99999,5,FALSE)</f>
        <v>ARVIDSON DANIEL</v>
      </c>
      <c r="M30" s="6">
        <f t="shared" si="1"/>
        <v>2.7442129627161194E-2</v>
      </c>
      <c r="N30" s="7">
        <f t="shared" si="2"/>
        <v>39.516666663112119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-19T05:36:41-0700',mode:absolute,to:'2017-02-19T08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88" t="str">
        <f t="shared" si="6"/>
        <v>N</v>
      </c>
      <c r="X30" s="188">
        <f t="shared" si="7"/>
        <v>1</v>
      </c>
      <c r="Y30" s="62">
        <f t="shared" si="8"/>
        <v>23.299299999999999</v>
      </c>
      <c r="Z30" s="62">
        <f t="shared" si="9"/>
        <v>1.6299999999999999E-2</v>
      </c>
      <c r="AA30" s="62">
        <f t="shared" si="10"/>
        <v>23.282999999999998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0118-19</v>
      </c>
      <c r="AE30" s="85" t="str">
        <f t="shared" si="12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30" s="82" t="str">
        <f t="shared" si="13"/>
        <v>"C:\Program Files (x86)\AstroGrep\AstroGrep.exe" /spath="%USERPROFILE%\AppData\Local\Temp\OnboardLogs" /stypes="app*4005*20170219*" /stext=" 14:.+((SYSTEM_STATE.+slice.+state.+changed )|(ment ac)|(multiple cpu faults)|(system.+state.+changed )|(\[timeout)|(PRM\|1\|D)|(kpr)|(kdp)|(\|loc)|(penalty))"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118-19 --locoid 4005 --swversion DE.1.0.9.0 --startMP 204:232993 --initTime 2017-02-19T06:36:41 --startdatetime 2017-02-19T06:41:28 --delay 1 --endMP 204:163 --enddatetime 2017-02-19T07:20:59 --enforcementcount 0 &gt;&gt;C:\Users\stu\Documents\GitHub\eaglep3-reporting\EC\2017-02-19-refined-times.txt</v>
      </c>
      <c r="AI30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{"issue":{"subject":"","project_id":79,"tracker_id":40,"status_id":1,"priority_id":2,"assigned_to_id":23,"start_date":"2017-02-19","description":"","custom_fields":[{"id":1,"name":"Subdivision","value":"EC"},{"id":4,"name":"Milepost","value":"0.0163"},{"id":17,"name":"Train ID","value":"118-19"},{"id":16,"name":"Locomotive ID","value":"4005"},{"id":130,"name":"Impact","value":""},{"id":150,"name":"Time of Event (Mountain Time)","value":"07:20:59"},{"id":151,"name":"Denver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4005 --day 2017-02-19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482</v>
      </c>
      <c r="B31" s="7">
        <v>4025</v>
      </c>
      <c r="C31" s="21" t="s">
        <v>665</v>
      </c>
      <c r="D31" s="21" t="s">
        <v>677</v>
      </c>
      <c r="E31" s="13">
        <v>42785.248206018521</v>
      </c>
      <c r="F31" s="13">
        <v>42785.250162037039</v>
      </c>
      <c r="G31" s="7">
        <v>1</v>
      </c>
      <c r="H31" s="21" t="s">
        <v>678</v>
      </c>
      <c r="I31" s="13">
        <v>42785.276122685187</v>
      </c>
      <c r="J31" s="7">
        <v>0</v>
      </c>
      <c r="K31" s="98" t="str">
        <f t="shared" si="0"/>
        <v>4025/4026</v>
      </c>
      <c r="L31" s="21" t="str">
        <f>VLOOKUP(A31,'Trips&amp;Operators'!$C$1:$G$99999,5,FALSE)</f>
        <v>BADERTSCHER DIANE</v>
      </c>
      <c r="M31" s="6">
        <f t="shared" si="1"/>
        <v>2.5960648148611654E-2</v>
      </c>
      <c r="N31" s="7">
        <f t="shared" si="2"/>
        <v>37.383333334000781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-19T04:57:25-0700',mode:absolute,to:'2017-02-19T07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1" s="188" t="str">
        <f t="shared" si="6"/>
        <v>N</v>
      </c>
      <c r="X31" s="188">
        <f t="shared" si="7"/>
        <v>1</v>
      </c>
      <c r="Y31" s="62">
        <f t="shared" si="8"/>
        <v>7.3700000000000002E-2</v>
      </c>
      <c r="Z31" s="62">
        <f t="shared" si="9"/>
        <v>23.331600000000002</v>
      </c>
      <c r="AA31" s="62">
        <f t="shared" si="10"/>
        <v>23.257900000000003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0119-19</v>
      </c>
      <c r="AE31" s="85" t="str">
        <f t="shared" si="12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31" s="82" t="str">
        <f t="shared" si="13"/>
        <v>"C:\Program Files (x86)\AstroGrep\AstroGrep.exe" /spath="%USERPROFILE%\AppData\Local\Temp\OnboardLogs" /stypes="app*4025*20170219*" /stext=" 13:.+((SYSTEM_STATE.+slice.+state.+changed )|(ment ac)|(multiple cpu faults)|(system.+state.+changed )|(\[timeout)|(PRM\|1\|D)|(kpr)|(kdp)|(\|loc)|(penalty))"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119-19 --locoid 4025 --swversion DE.1.0.9.0 --startMP 204:737 --initTime 2017-02-19T05:57:25 --startdatetime 2017-02-19T06:00:14 --delay 1 --endMP 204:233316 --enddatetime 2017-02-19T06:37:37 --enforcementcount 0 &gt;&gt;C:\Users\stu\Documents\GitHub\eaglep3-reporting\EC\2017-02-19-refined-times.txt</v>
      </c>
      <c r="AI31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{"issue":{"subject":"","project_id":79,"tracker_id":40,"status_id":1,"priority_id":2,"assigned_to_id":23,"start_date":"2017-02-19","description":"","custom_fields":[{"id":1,"name":"Subdivision","value":"EC"},{"id":4,"name":"Milepost","value":"23.3316"},{"id":17,"name":"Train ID","value":"119-19"},{"id":16,"name":"Locomotive ID","value":"4025"},{"id":130,"name":"Impact","value":""},{"id":150,"name":"Time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4025 --day 2017-02-19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"%USERPROFILE%\AppData\Local\Temp\OnboardLogs"\RTDC4025\*4025*20170219* | grep -SE "(Enforcement Action)|(\[TIMEOUT)|(CHR.+\|PRM\|1\|D.+(SWITCH|SIGNAL).+UNKNOWN)" - &gt;&gt; 2017-02-19-UncaughtWiMAX.txt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418</v>
      </c>
      <c r="B32" s="7">
        <v>4026</v>
      </c>
      <c r="C32" s="21" t="s">
        <v>665</v>
      </c>
      <c r="D32" s="21" t="s">
        <v>670</v>
      </c>
      <c r="E32" s="13">
        <v>42785.282060185185</v>
      </c>
      <c r="F32" s="13">
        <v>42785.289074074077</v>
      </c>
      <c r="G32" s="7">
        <v>1</v>
      </c>
      <c r="H32" s="21" t="s">
        <v>208</v>
      </c>
      <c r="I32" s="13">
        <v>42785.316874999997</v>
      </c>
      <c r="J32" s="7">
        <v>0</v>
      </c>
      <c r="K32" s="98" t="str">
        <f t="shared" si="0"/>
        <v>4025/4026</v>
      </c>
      <c r="L32" s="21" t="str">
        <f>VLOOKUP(A32,'Trips&amp;Operators'!$C$1:$G$99999,5,FALSE)</f>
        <v>BADERTSCHER DIANE</v>
      </c>
      <c r="M32" s="6">
        <f t="shared" si="1"/>
        <v>2.7800925920018926E-2</v>
      </c>
      <c r="N32" s="7">
        <f t="shared" si="2"/>
        <v>40.033333324827254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-19T05:46:10-0700',mode:absolute,to:'2017-02-19T08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2" s="188" t="str">
        <f t="shared" si="6"/>
        <v>N</v>
      </c>
      <c r="X32" s="188">
        <f t="shared" si="7"/>
        <v>1</v>
      </c>
      <c r="Y32" s="62">
        <f t="shared" si="8"/>
        <v>23.298999999999999</v>
      </c>
      <c r="Z32" s="62">
        <f t="shared" si="9"/>
        <v>1.5800000000000002E-2</v>
      </c>
      <c r="AA32" s="62">
        <f t="shared" si="10"/>
        <v>23.283200000000001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11"/>
        <v>0120-19</v>
      </c>
      <c r="AE32" s="85" t="str">
        <f t="shared" si="12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32" s="82" t="str">
        <f t="shared" si="13"/>
        <v>"C:\Program Files (x86)\AstroGrep\AstroGrep.exe" /spath="%USERPROFILE%\AppData\Local\Temp\OnboardLogs" /stypes="app*4026*20170219*" /stext=" 14:.+((SYSTEM_STATE.+slice.+state.+changed )|(ment ac)|(multiple cpu faults)|(system.+state.+changed )|(\[timeout)|(PRM\|1\|D)|(kpr)|(kdp)|(\|loc)|(penalty))"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120-19 --locoid 4026 --swversion DE.1.0.9.0 --startMP 204:232990 --initTime 2017-02-19T06:46:10 --startdatetime 2017-02-19T06:56:16 --delay 1 --endMP 204:158 --enddatetime 2017-02-19T07:36:18 --enforcementcount 0 &gt;&gt;C:\Users\stu\Documents\GitHub\eaglep3-reporting\EC\2017-02-19-refined-times.txt</v>
      </c>
      <c r="AI32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ID","value":"120-19"},{"id":16,"name":"Locomotive ID","value":"4026"},{"id":130,"name":"Impact","value":""},{"id":150,"name":"Time of Event (Mountain Time)","value":"07:36:18"},{"id":151,"name":"Denver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4026 --day 2017-02-19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"%USERPROFILE%\AppData\Local\Temp\OnboardLogs"\RTDC4026\*4026*20170219* | grep -SE "(Enforcement Action)|(\[TIMEOUT)|(CHR.+\|PRM\|1\|D.+(SWITCH|SIGNAL).+UNKNOWN)" - &gt;&gt; 2017-02-19-UncaughtWiMAX.txt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483</v>
      </c>
      <c r="B33" s="7">
        <v>4051</v>
      </c>
      <c r="C33" s="21" t="s">
        <v>665</v>
      </c>
      <c r="D33" s="21" t="s">
        <v>283</v>
      </c>
      <c r="E33" s="13">
        <v>42785.255555555559</v>
      </c>
      <c r="F33" s="13">
        <v>42785.260601851849</v>
      </c>
      <c r="G33" s="7">
        <v>1</v>
      </c>
      <c r="H33" s="21" t="s">
        <v>295</v>
      </c>
      <c r="I33" s="13">
        <v>42785.286134259259</v>
      </c>
      <c r="J33" s="7">
        <v>0</v>
      </c>
      <c r="K33" s="98" t="str">
        <f t="shared" si="0"/>
        <v>4051/4052</v>
      </c>
      <c r="L33" s="21" t="str">
        <f>VLOOKUP(A33,'Trips&amp;Operators'!$C$1:$G$99999,5,FALSE)</f>
        <v>HAITHCOX MICHAEL</v>
      </c>
      <c r="M33" s="6">
        <f t="shared" si="1"/>
        <v>2.5532407409627922E-2</v>
      </c>
      <c r="N33" s="7">
        <f t="shared" si="2"/>
        <v>36.766666669864208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-19T05:08:00-0700',mode:absolute,to:'2017-02-19T07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3" s="188" t="str">
        <f t="shared" si="6"/>
        <v>N</v>
      </c>
      <c r="X33" s="188">
        <f t="shared" si="7"/>
        <v>1</v>
      </c>
      <c r="Y33" s="62">
        <f t="shared" si="8"/>
        <v>4.3999999999999997E-2</v>
      </c>
      <c r="Z33" s="62">
        <f t="shared" si="9"/>
        <v>23.331</v>
      </c>
      <c r="AA33" s="62">
        <f t="shared" si="10"/>
        <v>23.286999999999999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0121-19</v>
      </c>
      <c r="AE33" s="85" t="str">
        <f t="shared" si="12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33" s="82" t="str">
        <f t="shared" si="13"/>
        <v>"C:\Program Files (x86)\AstroGrep\AstroGrep.exe" /spath="%USERPROFILE%\AppData\Local\Temp\OnboardLogs" /stypes="app*4051*20170219*" /stext=" 13:.+((SYSTEM_STATE.+slice.+state.+changed )|(ment ac)|(multiple cpu faults)|(system.+state.+changed )|(\[timeout)|(PRM\|1\|D)|(kpr)|(kdp)|(\|loc)|(penalty))"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121-19 --locoid 4051 --swversion DE.1.0.9.0 --startMP 204:440 --initTime 2017-02-19T06:08:00 --startdatetime 2017-02-19T06:15:16 --delay 1 --endMP 204:233310 --enddatetime 2017-02-19T06:52:02 --enforcementcount 0 &gt;&gt;C:\Users\stu\Documents\GitHub\eaglep3-reporting\EC\2017-02-19-refined-times.txt</v>
      </c>
      <c r="AI33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{"issue":{"subject":"","project_id":79,"tracker_id":40,"status_id":1,"priority_id":2,"assigned_to_id":23,"start_date":"2017-02-19","description":"","custom_fields":[{"id":1,"name":"Subdivision","value":"EC"},{"id":4,"name":"Milepost","value":"23.331"},{"id":17,"name":"Train ID","value":"121-19"},{"id":16,"name":"Locomotive ID","value":"4051"},{"id":130,"name":"Impact","value":""},{"id":150,"name":"Time of Event (Mountain Time)","value":"06:52:02"},{"id":151,"name":"Denver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4051 --day 2017-02-19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491</v>
      </c>
      <c r="B34" s="7">
        <v>4052</v>
      </c>
      <c r="C34" s="21" t="s">
        <v>665</v>
      </c>
      <c r="D34" s="21" t="s">
        <v>280</v>
      </c>
      <c r="E34" s="13">
        <v>42785.29587962963</v>
      </c>
      <c r="F34" s="13">
        <v>42785.299537037034</v>
      </c>
      <c r="G34" s="7">
        <v>1</v>
      </c>
      <c r="H34" s="21" t="s">
        <v>184</v>
      </c>
      <c r="I34" s="13">
        <v>42785.326747685183</v>
      </c>
      <c r="J34" s="7">
        <v>0</v>
      </c>
      <c r="K34" s="98" t="str">
        <f t="shared" si="0"/>
        <v>4051/4052</v>
      </c>
      <c r="L34" s="21" t="str">
        <f>VLOOKUP(A34,'Trips&amp;Operators'!$C$1:$G$99999,5,FALSE)</f>
        <v>HAITHCOX MICHAEL</v>
      </c>
      <c r="M34" s="6">
        <f t="shared" si="1"/>
        <v>2.7210648149775807E-2</v>
      </c>
      <c r="N34" s="7">
        <f t="shared" si="2"/>
        <v>39.183333335677162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-19T06:06:04-0700',mode:absolute,to:'2017-02-19T08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4" s="188" t="str">
        <f t="shared" si="6"/>
        <v>N</v>
      </c>
      <c r="X34" s="188">
        <f t="shared" si="7"/>
        <v>1</v>
      </c>
      <c r="Y34" s="62">
        <f t="shared" si="8"/>
        <v>23.299600000000002</v>
      </c>
      <c r="Z34" s="62">
        <f t="shared" si="9"/>
        <v>1.49E-2</v>
      </c>
      <c r="AA34" s="62">
        <f t="shared" si="10"/>
        <v>23.284700000000001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0122-19</v>
      </c>
      <c r="AE34" s="85" t="str">
        <f t="shared" si="12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34" s="82" t="str">
        <f t="shared" si="13"/>
        <v>"C:\Program Files (x86)\AstroGrep\AstroGrep.exe" /spath="%USERPROFILE%\AppData\Local\Temp\OnboardLogs" /stypes="app*4052*20170219*" /stext=" 14:.+((SYSTEM_STATE.+slice.+state.+changed )|(ment ac)|(multiple cpu faults)|(system.+state.+changed )|(\[timeout)|(PRM\|1\|D)|(kpr)|(kdp)|(\|loc)|(penalty))"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122-19 --locoid 4052 --swversion DE.1.0.9.0 --startMP 204:232996 --initTime 2017-02-19T07:06:04 --startdatetime 2017-02-19T07:11:20 --delay 1 --endMP 204:149 --enddatetime 2017-02-19T07:50:31 --enforcementcount 0 &gt;&gt;C:\Users\stu\Documents\GitHub\eaglep3-reporting\EC\2017-02-19-refined-times.txt</v>
      </c>
      <c r="AI34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{"issue":{"subject":"","project_id":79,"tracker_id":40,"status_id":1,"priority_id":2,"assigned_to_id":23,"start_date":"2017-02-19","description":"","custom_fields":[{"id":1,"name":"Subdivision","value":"EC"},{"id":4,"name":"Milepost","value":"0.0149"},{"id":17,"name":"Train ID","value":"122-19"},{"id":16,"name":"Locomotive ID","value":"4052"},{"id":130,"name":"Impact","value":""},{"id":150,"name":"Time of Event (Mountain Time)","value":"07:50:31"},{"id":151,"name":"Denver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4052 --day 2017-02-19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485</v>
      </c>
      <c r="B35" s="7">
        <v>4031</v>
      </c>
      <c r="C35" s="21" t="s">
        <v>665</v>
      </c>
      <c r="D35" s="21" t="s">
        <v>395</v>
      </c>
      <c r="E35" s="13">
        <v>42785.266932870371</v>
      </c>
      <c r="F35" s="13">
        <v>42785.270995370367</v>
      </c>
      <c r="G35" s="7">
        <v>1</v>
      </c>
      <c r="H35" s="21" t="s">
        <v>679</v>
      </c>
      <c r="I35" s="13">
        <v>42785.295960648145</v>
      </c>
      <c r="J35" s="7">
        <v>0</v>
      </c>
      <c r="K35" s="98" t="str">
        <f t="shared" si="0"/>
        <v>4031/4032</v>
      </c>
      <c r="L35" s="21" t="str">
        <f>VLOOKUP(A35,'Trips&amp;Operators'!$C$1:$G$99999,5,FALSE)</f>
        <v>ROBINSON KADDIBA</v>
      </c>
      <c r="M35" s="6">
        <f t="shared" si="1"/>
        <v>2.4965277778392192E-2</v>
      </c>
      <c r="N35" s="7">
        <f t="shared" si="2"/>
        <v>35.950000000884756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-19T05:24:23-0700',mode:absolute,to:'2017-02-19T08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188" t="str">
        <f t="shared" si="6"/>
        <v>N</v>
      </c>
      <c r="X35" s="188">
        <f t="shared" si="7"/>
        <v>1</v>
      </c>
      <c r="Y35" s="62">
        <f t="shared" si="8"/>
        <v>4.7500000000000001E-2</v>
      </c>
      <c r="Z35" s="62">
        <f t="shared" si="9"/>
        <v>23.333200000000001</v>
      </c>
      <c r="AA35" s="62">
        <f t="shared" si="10"/>
        <v>23.285700000000002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0123-19</v>
      </c>
      <c r="AE35" s="85" t="str">
        <f t="shared" si="12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35" s="82" t="str">
        <f t="shared" si="13"/>
        <v>"C:\Program Files (x86)\AstroGrep\AstroGrep.exe" /spath="%USERPROFILE%\AppData\Local\Temp\OnboardLogs" /stypes="app*4031*20170219*" /stext=" 14:.+((SYSTEM_STATE.+slice.+state.+changed )|(ment ac)|(multiple cpu faults)|(system.+state.+changed )|(\[timeout)|(PRM\|1\|D)|(kpr)|(kdp)|(\|loc)|(penalty))"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123-19 --locoid 4031 --swversion DE.1.0.9.0 --startMP 204:475 --initTime 2017-02-19T06:24:23 --startdatetime 2017-02-19T06:30:14 --delay 1 --endMP 204:233332 --enddatetime 2017-02-19T07:06:11 --enforcementcount 0 &gt;&gt;C:\Users\stu\Documents\GitHub\eaglep3-reporting\EC\2017-02-19-refined-times.txt</v>
      </c>
      <c r="AI35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{"issue":{"subject":"","project_id":79,"tracker_id":40,"status_id":1,"priority_id":2,"assigned_to_id":23,"start_date":"2017-02-19","description":"","custom_fields":[{"id":1,"name":"Subdivision","value":"EC"},{"id":4,"name":"Milepost","value":"23.3332"},{"id":17,"name":"Train ID","value":"123-19"},{"id":16,"name":"Locomotive ID","value":"4031"},{"id":130,"name":"Impact","value":""},{"id":150,"name":"Time of Event (Mountain Time)","value":"07:06:11"},{"id":151,"name":"Denver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4031 --day 2017-02-19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422</v>
      </c>
      <c r="B36" s="7">
        <v>4032</v>
      </c>
      <c r="C36" s="21" t="s">
        <v>665</v>
      </c>
      <c r="D36" s="21" t="s">
        <v>359</v>
      </c>
      <c r="E36" s="13">
        <v>42785.298449074071</v>
      </c>
      <c r="F36" s="13">
        <v>42785.309884259259</v>
      </c>
      <c r="G36" s="7">
        <v>12</v>
      </c>
      <c r="H36" s="21" t="s">
        <v>194</v>
      </c>
      <c r="I36" s="13">
        <v>42785.337233796294</v>
      </c>
      <c r="J36" s="7">
        <v>0</v>
      </c>
      <c r="K36" s="98" t="str">
        <f t="shared" si="0"/>
        <v>4031/4032</v>
      </c>
      <c r="L36" s="21" t="str">
        <f>VLOOKUP(A36,'Trips&amp;Operators'!$C$1:$G$99999,5,FALSE)</f>
        <v>ROBINSON KADDIBA</v>
      </c>
      <c r="M36" s="6">
        <f t="shared" si="1"/>
        <v>2.7349537034751847E-2</v>
      </c>
      <c r="N36" s="7">
        <f t="shared" si="2"/>
        <v>39.38333333004266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-19T06:09:46-0700',mode:absolute,to:'2017-02-19T09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188" t="str">
        <f t="shared" si="6"/>
        <v>N</v>
      </c>
      <c r="X36" s="188">
        <f t="shared" si="7"/>
        <v>1</v>
      </c>
      <c r="Y36" s="62">
        <f t="shared" si="8"/>
        <v>23.3003</v>
      </c>
      <c r="Z36" s="62">
        <f t="shared" si="9"/>
        <v>1.4999999999999999E-2</v>
      </c>
      <c r="AA36" s="62">
        <f t="shared" si="10"/>
        <v>23.285299999999999</v>
      </c>
      <c r="AB36" s="59" t="str">
        <f>VLOOKUP(A36,Enforcements!$C$7:$K$13,8,0)</f>
        <v>Bulletin (2)</v>
      </c>
      <c r="AC36" s="55" t="str">
        <f>VLOOKUP(A36,Enforcements!$C$7:$E$13,3,0)</f>
        <v>GRADE CROSSING</v>
      </c>
      <c r="AD36" s="56" t="str">
        <f t="shared" si="11"/>
        <v>0124-19</v>
      </c>
      <c r="AE36" s="85" t="str">
        <f t="shared" si="12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36" s="82" t="str">
        <f t="shared" si="13"/>
        <v>"C:\Program Files (x86)\AstroGrep\AstroGrep.exe" /spath="%USERPROFILE%\AppData\Local\Temp\OnboardLogs" /stypes="app*4032*20170219*" /stext=" 15:.+((SYSTEM_STATE.+slice.+state.+changed )|(ment ac)|(multiple cpu faults)|(system.+state.+changed )|(\[timeout)|(PRM\|1\|D)|(kpr)|(kdp)|(\|loc)|(penalty))"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124-19 --locoid 4032 --swversion DE.1.0.9.0 --startMP 204:233003 --initTime 2017-02-19T07:09:46 --startdatetime 2017-02-19T07:26:14 --delay 12 --endMP 204:150 --enddatetime 2017-02-19T08:05:37 --enforcementcount 0 &gt;&gt;C:\Users\stu\Documents\GitHub\eaglep3-reporting\EC\2017-02-19-refined-times.txt</v>
      </c>
      <c r="AI3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{"issue":{"subject":"","project_id":79,"tracker_id":40,"status_id":1,"priority_id":2,"assigned_to_id":23,"start_date":"2017-02-19","description":"","custom_fields":[{"id":1,"name":"Subdivision","value":"EC"},{"id":4,"name":"Milepost","value":"0.015"},{"id":17,"name":"Train ID","value":"124-19"},{"id":16,"name":"Locomotive ID","value":"4032"},{"id":130,"name":"Impact","value":""},{"id":150,"name":"Time of Event (Mountain Time)","value":"08:05:37"},{"id":151,"name":"Denver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4032 --day 2017-02-19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488</v>
      </c>
      <c r="B37" s="7">
        <v>4003</v>
      </c>
      <c r="C37" s="21" t="s">
        <v>665</v>
      </c>
      <c r="D37" s="21" t="s">
        <v>680</v>
      </c>
      <c r="E37" s="13">
        <v>42785.277673611112</v>
      </c>
      <c r="F37" s="13">
        <v>42785.281423611108</v>
      </c>
      <c r="G37" s="7">
        <v>2</v>
      </c>
      <c r="H37" s="21" t="s">
        <v>681</v>
      </c>
      <c r="I37" s="13">
        <v>42785.306192129632</v>
      </c>
      <c r="J37" s="7">
        <v>0</v>
      </c>
      <c r="K37" s="98" t="str">
        <f t="shared" si="0"/>
        <v>4003/4004</v>
      </c>
      <c r="L37" s="21" t="str">
        <f>VLOOKUP(A37,'Trips&amp;Operators'!$C$1:$G$99999,5,FALSE)</f>
        <v>GEBRETEKLE DAGNEW</v>
      </c>
      <c r="M37" s="6">
        <f t="shared" si="1"/>
        <v>2.4768518524069805E-2</v>
      </c>
      <c r="N37" s="7">
        <f t="shared" si="2"/>
        <v>35.666666674660519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-19T05:39:51-0700',mode:absolute,to:'2017-02-19T08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88" t="str">
        <f t="shared" si="6"/>
        <v>N</v>
      </c>
      <c r="X37" s="188">
        <f t="shared" si="7"/>
        <v>1</v>
      </c>
      <c r="Y37" s="62">
        <f t="shared" si="8"/>
        <v>4.3499999999999997E-2</v>
      </c>
      <c r="Z37" s="62">
        <f t="shared" si="9"/>
        <v>23.334700000000002</v>
      </c>
      <c r="AA37" s="62">
        <f t="shared" si="10"/>
        <v>23.2912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0125-19</v>
      </c>
      <c r="AE37" s="85" t="str">
        <f t="shared" si="12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37" s="82" t="str">
        <f t="shared" si="13"/>
        <v>"C:\Program Files (x86)\AstroGrep\AstroGrep.exe" /spath="%USERPROFILE%\AppData\Local\Temp\OnboardLogs" /stypes="app*4003*20170219*" /stext=" 14:.+((SYSTEM_STATE.+slice.+state.+changed )|(ment ac)|(multiple cpu faults)|(system.+state.+changed )|(\[timeout)|(PRM\|1\|D)|(kpr)|(kdp)|(\|loc)|(penalty))"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125-19 --locoid 4003 --swversion DE.1.0.9.0 --startMP 204:435 --initTime 2017-02-19T06:39:51 --startdatetime 2017-02-19T06:45:15 --delay 2 --endMP 204:233347 --enddatetime 2017-02-19T07:20:55 --enforcementcount 0 &gt;&gt;C:\Users\stu\Documents\GitHub\eaglep3-reporting\EC\2017-02-19-refined-times.txt</v>
      </c>
      <c r="AI37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{"issue":{"subject":"","project_id":79,"tracker_id":40,"status_id":1,"priority_id":2,"assigned_to_id":23,"start_date":"2017-02-19","description":"","custom_fields":[{"id":1,"name":"Subdivision","value":"EC"},{"id":4,"name":"Milepost","value":"23.3347"},{"id":17,"name":"Train ID","value":"125-19"},{"id":16,"name":"Locomotive ID","value":"4003"},{"id":130,"name":"Impact","value":""},{"id":150,"name":"Time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4003 --day 2017-02-19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493</v>
      </c>
      <c r="B38" s="7">
        <v>4004</v>
      </c>
      <c r="C38" s="21" t="s">
        <v>665</v>
      </c>
      <c r="D38" s="21" t="s">
        <v>682</v>
      </c>
      <c r="E38" s="13">
        <v>42785.307500000003</v>
      </c>
      <c r="F38" s="13">
        <v>42785.320324074077</v>
      </c>
      <c r="G38" s="7">
        <v>1</v>
      </c>
      <c r="H38" s="21" t="s">
        <v>278</v>
      </c>
      <c r="I38" s="13">
        <v>42785.346400462964</v>
      </c>
      <c r="J38" s="7">
        <v>0</v>
      </c>
      <c r="K38" s="98" t="str">
        <f t="shared" si="0"/>
        <v>4003/4004</v>
      </c>
      <c r="L38" s="21" t="str">
        <f>VLOOKUP(A38,'Trips&amp;Operators'!$C$1:$G$99999,5,FALSE)</f>
        <v>GEBRETEKLE DAGNEW</v>
      </c>
      <c r="M38" s="6">
        <f t="shared" si="1"/>
        <v>2.6076388887304347E-2</v>
      </c>
      <c r="N38" s="7">
        <f t="shared" si="2"/>
        <v>37.54999999771826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-19T06:22:48-0700',mode:absolute,to:'2017-02-19T09:18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188" t="str">
        <f t="shared" si="6"/>
        <v>N</v>
      </c>
      <c r="X38" s="188">
        <f t="shared" si="7"/>
        <v>1</v>
      </c>
      <c r="Y38" s="62">
        <f t="shared" si="8"/>
        <v>23.303000000000001</v>
      </c>
      <c r="Z38" s="62">
        <f t="shared" si="9"/>
        <v>1.41E-2</v>
      </c>
      <c r="AA38" s="62">
        <f t="shared" si="10"/>
        <v>23.288900000000002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0126-19</v>
      </c>
      <c r="AE38" s="85" t="str">
        <f t="shared" si="12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38" s="82" t="str">
        <f t="shared" si="13"/>
        <v>"C:\Program Files (x86)\AstroGrep\AstroGrep.exe" /spath="%USERPROFILE%\AppData\Local\Temp\OnboardLogs" /stypes="app*4004*20170219*" /stext=" 15:.+((SYSTEM_STATE.+slice.+state.+changed )|(ment ac)|(multiple cpu faults)|(system.+state.+changed )|(\[timeout)|(PRM\|1\|D)|(kpr)|(kdp)|(\|loc)|(penalty))"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126-19 --locoid 4004 --swversion DE.1.0.9.0 --startMP 204:233030 --initTime 2017-02-19T07:22:48 --startdatetime 2017-02-19T07:41:16 --delay 1 --endMP 204:141 --enddatetime 2017-02-19T08:18:49 --enforcementcount 0 &gt;&gt;C:\Users\stu\Documents\GitHub\eaglep3-reporting\EC\2017-02-19-refined-times.txt</v>
      </c>
      <c r="AI38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{"issue":{"subject":"","project_id":79,"tracker_id":40,"status_id":1,"priority_id":2,"assigned_to_id":23,"start_date":"2017-02-19","description":"","custom_fields":[{"id":1,"name":"Subdivision","value":"EC"},{"id":4,"name":"Milepost","value":"0.0141"},{"id":17,"name":"Train ID","value":"126-19"},{"id":16,"name":"Locomotive ID","value":"4004"},{"id":130,"name":"Impact","value":""},{"id":150,"name":"Time of Event (Mountain Time)","value":"08:18:49"},{"id":151,"name":"Denver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4004 --day 2017-02-19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"%USERPROFILE%\AppData\Local\Temp\OnboardLogs"\RTDC4004\*4004*20170219* | grep -SE "(Enforcement Action)|(\[TIMEOUT)|(CHR.+\|PRM\|1\|D.+(SWITCH|SIGNAL).+UNKNOWN)" - &gt;&gt; 2017-02-19-UncaughtWiMAX.txt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490</v>
      </c>
      <c r="B39" s="7">
        <v>4016</v>
      </c>
      <c r="C39" s="21" t="s">
        <v>665</v>
      </c>
      <c r="D39" s="21" t="s">
        <v>228</v>
      </c>
      <c r="E39" s="13">
        <v>42785.2890162037</v>
      </c>
      <c r="F39" s="13">
        <v>42785.291851851849</v>
      </c>
      <c r="G39" s="7">
        <v>1</v>
      </c>
      <c r="H39" s="21" t="s">
        <v>683</v>
      </c>
      <c r="I39" s="13">
        <v>42785.316840277781</v>
      </c>
      <c r="J39" s="7">
        <v>0</v>
      </c>
      <c r="K39" s="98" t="str">
        <f t="shared" si="0"/>
        <v>4015/4016</v>
      </c>
      <c r="L39" s="21" t="str">
        <f>VLOOKUP(A39,'Trips&amp;Operators'!$C$1:$G$99999,5,FALSE)</f>
        <v>SWANSON BRYCE</v>
      </c>
      <c r="M39" s="6">
        <f t="shared" si="1"/>
        <v>2.4988425931951497E-2</v>
      </c>
      <c r="N39" s="7">
        <f t="shared" si="2"/>
        <v>35.983333342010155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-19T05:56:11-0700',mode:absolute,to:'2017-02-19T08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8" t="str">
        <f t="shared" si="6"/>
        <v>N</v>
      </c>
      <c r="X39" s="188">
        <f t="shared" si="7"/>
        <v>1</v>
      </c>
      <c r="Y39" s="62">
        <f t="shared" si="8"/>
        <v>4.5699999999999998E-2</v>
      </c>
      <c r="Z39" s="62">
        <f t="shared" si="9"/>
        <v>23.334299999999999</v>
      </c>
      <c r="AA39" s="62">
        <f t="shared" si="10"/>
        <v>23.288599999999999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0127-19</v>
      </c>
      <c r="AE39" s="85" t="str">
        <f t="shared" si="12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39" s="82" t="str">
        <f t="shared" si="13"/>
        <v>"C:\Program Files (x86)\AstroGrep\AstroGrep.exe" /spath="%USERPROFILE%\AppData\Local\Temp\OnboardLogs" /stypes="app*4016*20170219*" /stext=" 14:.+((SYSTEM_STATE.+slice.+state.+changed )|(ment ac)|(multiple cpu faults)|(system.+state.+changed )|(\[timeout)|(PRM\|1\|D)|(kpr)|(kdp)|(\|loc)|(penalty))"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127-19 --locoid 4016 --swversion DE.1.0.9.0 --startMP 204:457 --initTime 2017-02-19T06:56:11 --startdatetime 2017-02-19T07:00:16 --delay 1 --endMP 204:233343 --enddatetime 2017-02-19T07:36:15 --enforcementcount 0 &gt;&gt;C:\Users\stu\Documents\GitHub\eaglep3-reporting\EC\2017-02-19-refined-times.txt</v>
      </c>
      <c r="AI39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{"issue":{"subject":"","project_id":79,"tracker_id":40,"status_id":1,"priority_id":2,"assigned_to_id":23,"start_date":"2017-02-19","description":"","custom_fields":[{"id":1,"name":"Subdivision","value":"EC"},{"id":4,"name":"Milepost","value":"23.3343"},{"id":17,"name":"Train ID","value":"127-19"},{"id":16,"name":"Locomotive ID","value":"4016"},{"id":130,"name":"Impact","value":""},{"id":150,"name":"Time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4016 --day 2017-02-19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495</v>
      </c>
      <c r="B40" s="7">
        <v>4015</v>
      </c>
      <c r="C40" s="21" t="s">
        <v>665</v>
      </c>
      <c r="D40" s="21" t="s">
        <v>300</v>
      </c>
      <c r="E40" s="13">
        <v>42785.319074074076</v>
      </c>
      <c r="F40" s="13">
        <v>42785.330729166664</v>
      </c>
      <c r="G40" s="7">
        <v>1</v>
      </c>
      <c r="H40" s="21" t="s">
        <v>184</v>
      </c>
      <c r="I40" s="13">
        <v>42785.358495370368</v>
      </c>
      <c r="J40" s="7">
        <v>0</v>
      </c>
      <c r="K40" s="98" t="str">
        <f t="shared" si="0"/>
        <v>4015/4016</v>
      </c>
      <c r="L40" s="21" t="str">
        <f>VLOOKUP(A40,'Trips&amp;Operators'!$C$1:$G$99999,5,FALSE)</f>
        <v>SWANSON BRYCE</v>
      </c>
      <c r="M40" s="6">
        <f t="shared" si="1"/>
        <v>2.7766203704231884E-2</v>
      </c>
      <c r="N40" s="7">
        <f t="shared" si="2"/>
        <v>39.983333334093913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-19T06:39:28-0700',mode:absolute,to:'2017-02-19T09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88" t="str">
        <f t="shared" si="6"/>
        <v>N</v>
      </c>
      <c r="X40" s="188">
        <f t="shared" si="7"/>
        <v>1</v>
      </c>
      <c r="Y40" s="62">
        <f t="shared" si="8"/>
        <v>23.299800000000001</v>
      </c>
      <c r="Z40" s="62">
        <f t="shared" si="9"/>
        <v>1.49E-2</v>
      </c>
      <c r="AA40" s="62">
        <f t="shared" si="10"/>
        <v>23.2849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0128-19</v>
      </c>
      <c r="AE40" s="85" t="str">
        <f t="shared" si="12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40" s="82" t="str">
        <f t="shared" si="13"/>
        <v>"C:\Program Files (x86)\AstroGrep\AstroGrep.exe" /spath="%USERPROFILE%\AppData\Local\Temp\OnboardLogs" /stypes="app*4015*20170219*" /stext=" 15:.+((SYSTEM_STATE.+slice.+state.+changed )|(ment ac)|(multiple cpu faults)|(system.+state.+changed )|(\[timeout)|(PRM\|1\|D)|(kpr)|(kdp)|(\|loc)|(penalty))"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128-19 --locoid 4015 --swversion DE.1.0.9.0 --startMP 204:232998 --initTime 2017-02-19T07:39:28 --startdatetime 2017-02-19T07:56:15 --delay 1 --endMP 204:149 --enddatetime 2017-02-19T08:36:14 --enforcementcount 0 &gt;&gt;C:\Users\stu\Documents\GitHub\eaglep3-reporting\EC\2017-02-19-refined-times.txt</v>
      </c>
      <c r="AI40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{"issue":{"subject":"","project_id":79,"tracker_id":40,"status_id":1,"priority_id":2,"assigned_to_id":23,"start_date":"2017-02-19","description":"","custom_fields":[{"id":1,"name":"Subdivision","value":"EC"},{"id":4,"name":"Milepost","value":"0.0149"},{"id":17,"name":"Train ID","value":"128-19"},{"id":16,"name":"Locomotive ID","value":"4015"},{"id":130,"name":"Impact","value":""},{"id":150,"name":"Time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4015 --day 2017-02-19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492</v>
      </c>
      <c r="B41" s="7">
        <v>4044</v>
      </c>
      <c r="C41" s="21" t="s">
        <v>665</v>
      </c>
      <c r="D41" s="21" t="s">
        <v>259</v>
      </c>
      <c r="E41" s="13">
        <v>42785.30028935185</v>
      </c>
      <c r="F41" s="13">
        <v>42785.302268518521</v>
      </c>
      <c r="G41" s="7">
        <v>1</v>
      </c>
      <c r="H41" s="21" t="s">
        <v>672</v>
      </c>
      <c r="I41" s="13">
        <v>42785.327696759261</v>
      </c>
      <c r="J41" s="7">
        <v>0</v>
      </c>
      <c r="K41" s="98" t="str">
        <f t="shared" si="0"/>
        <v>4043/4044</v>
      </c>
      <c r="L41" s="21" t="str">
        <f>VLOOKUP(A41,'Trips&amp;Operators'!$C$1:$G$99999,5,FALSE)</f>
        <v>SHOOK JOHN</v>
      </c>
      <c r="M41" s="6">
        <f t="shared" si="1"/>
        <v>2.5428240740438923E-2</v>
      </c>
      <c r="N41" s="7">
        <f t="shared" si="2"/>
        <v>36.616666666232049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-19T06:12:25-0700',mode:absolute,to:'2017-02-19T08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88" t="str">
        <f t="shared" si="6"/>
        <v>N</v>
      </c>
      <c r="X41" s="188">
        <f t="shared" si="7"/>
        <v>1</v>
      </c>
      <c r="Y41" s="62">
        <f t="shared" si="8"/>
        <v>4.4600000000000001E-2</v>
      </c>
      <c r="Z41" s="62">
        <f t="shared" si="9"/>
        <v>23.3325</v>
      </c>
      <c r="AA41" s="62">
        <f t="shared" si="10"/>
        <v>23.2879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0129-19</v>
      </c>
      <c r="AE41" s="85" t="str">
        <f t="shared" si="12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41" s="82" t="str">
        <f t="shared" si="13"/>
        <v>"C:\Program Files (x86)\AstroGrep\AstroGrep.exe" /spath="%USERPROFILE%\AppData\Local\Temp\OnboardLogs" /stypes="app*4044*20170219*" /stext=" 14:.+((SYSTEM_STATE.+slice.+state.+changed )|(ment ac)|(multiple cpu faults)|(system.+state.+changed )|(\[timeout)|(PRM\|1\|D)|(kpr)|(kdp)|(\|loc)|(penalty))"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129-19 --locoid 4044 --swversion DE.1.0.9.0 --startMP 204:446 --initTime 2017-02-19T07:12:25 --startdatetime 2017-02-19T07:15:16 --delay 1 --endMP 204:233325 --enddatetime 2017-02-19T07:51:53 --enforcementcount 0 &gt;&gt;C:\Users\stu\Documents\GitHub\eaglep3-reporting\EC\2017-02-19-refined-times.txt</v>
      </c>
      <c r="AI41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{"issue":{"subject":"","project_id":79,"tracker_id":40,"status_id":1,"priority_id":2,"assigned_to_id":23,"start_date":"2017-02-19","description":"","custom_fields":[{"id":1,"name":"Subdivision","value":"EC"},{"id":4,"name":"Milepost","value":"23.3325"},{"id":17,"name":"Train ID","value":"129-19"},{"id":16,"name":"Locomotive ID","value":"4044"},{"id":130,"name":"Impact","value":""},{"id":150,"name":"Time of Event (Mountain Time)","value":"07:51:53"},{"id":151,"name":"Denver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4044 --day 2017-02-19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498</v>
      </c>
      <c r="B42" s="7">
        <v>4043</v>
      </c>
      <c r="C42" s="21" t="s">
        <v>665</v>
      </c>
      <c r="D42" s="21" t="s">
        <v>684</v>
      </c>
      <c r="E42" s="13">
        <v>42785.330289351848</v>
      </c>
      <c r="F42" s="13">
        <v>42785.341180555559</v>
      </c>
      <c r="G42" s="7">
        <v>1</v>
      </c>
      <c r="H42" s="21" t="s">
        <v>208</v>
      </c>
      <c r="I42" s="13">
        <v>42785.368067129632</v>
      </c>
      <c r="J42" s="7">
        <v>0</v>
      </c>
      <c r="K42" s="98" t="str">
        <f t="shared" si="0"/>
        <v>4043/4044</v>
      </c>
      <c r="L42" s="21" t="str">
        <f>VLOOKUP(A42,'Trips&amp;Operators'!$C$1:$G$99999,5,FALSE)</f>
        <v>SHOOK JOHN</v>
      </c>
      <c r="M42" s="6">
        <f t="shared" si="1"/>
        <v>2.6886574072705116E-2</v>
      </c>
      <c r="N42" s="7">
        <f t="shared" si="2"/>
        <v>38.716666664695367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-19T06:55:37-0700',mode:absolute,to:'2017-02-19T09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88" t="str">
        <f t="shared" si="6"/>
        <v>N</v>
      </c>
      <c r="X42" s="188">
        <f t="shared" si="7"/>
        <v>1</v>
      </c>
      <c r="Y42" s="62">
        <f t="shared" si="8"/>
        <v>23.302499999999998</v>
      </c>
      <c r="Z42" s="62">
        <f t="shared" si="9"/>
        <v>1.5800000000000002E-2</v>
      </c>
      <c r="AA42" s="62">
        <f t="shared" si="10"/>
        <v>23.2867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0130-19</v>
      </c>
      <c r="AE42" s="85" t="str">
        <f t="shared" si="12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42" s="82" t="str">
        <f t="shared" si="13"/>
        <v>"C:\Program Files (x86)\AstroGrep\AstroGrep.exe" /spath="%USERPROFILE%\AppData\Local\Temp\OnboardLogs" /stypes="app*4043*20170219*" /stext=" 15:.+((SYSTEM_STATE.+slice.+state.+changed )|(ment ac)|(multiple cpu faults)|(system.+state.+changed )|(\[timeout)|(PRM\|1\|D)|(kpr)|(kdp)|(\|loc)|(penalty))"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130-19 --locoid 4043 --swversion DE.1.0.9.0 --startMP 204:233025 --initTime 2017-02-19T07:55:37 --startdatetime 2017-02-19T08:11:18 --delay 1 --endMP 204:158 --enddatetime 2017-02-19T08:50:01 --enforcementcount 0 &gt;&gt;C:\Users\stu\Documents\GitHub\eaglep3-reporting\EC\2017-02-19-refined-times.txt</v>
      </c>
      <c r="AI42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ID","value":"130-19"},{"id":16,"name":"Locomotive ID","value":"4043"},{"id":130,"name":"Impact","value":""},{"id":150,"name":"Time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4043 --day 2017-02-19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"%USERPROFILE%\AppData\Local\Temp\OnboardLogs"\RTDC4043\*4043*20170219* | grep -SE "(Enforcement Action)|(\[TIMEOUT)|(CHR.+\|PRM\|1\|D.+(SWITCH|SIGNAL).+UNKNOWN)" - &gt;&gt; 2017-02-19-UncaughtWiMAX.txt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419</v>
      </c>
      <c r="B43" s="7">
        <v>4006</v>
      </c>
      <c r="C43" s="21" t="s">
        <v>665</v>
      </c>
      <c r="D43" s="21" t="s">
        <v>231</v>
      </c>
      <c r="E43" s="13">
        <v>42785.308854166666</v>
      </c>
      <c r="F43" s="13">
        <v>42785.312719907408</v>
      </c>
      <c r="G43" s="7">
        <v>1</v>
      </c>
      <c r="H43" s="21" t="s">
        <v>685</v>
      </c>
      <c r="I43" s="13">
        <v>42785.338738425926</v>
      </c>
      <c r="J43" s="7">
        <v>0</v>
      </c>
      <c r="K43" s="98" t="str">
        <f t="shared" si="0"/>
        <v>4005/4006</v>
      </c>
      <c r="L43" s="21" t="str">
        <f>VLOOKUP(A43,'Trips&amp;Operators'!$C$1:$G$99999,5,FALSE)</f>
        <v>ARVIDSON DANIEL</v>
      </c>
      <c r="M43" s="6">
        <f t="shared" si="1"/>
        <v>2.6018518517958E-2</v>
      </c>
      <c r="N43" s="7">
        <f t="shared" si="2"/>
        <v>37.46666666585952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-19T06:24:45-0700',mode:absolute,to:'2017-02-19T09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88" t="str">
        <f t="shared" si="6"/>
        <v>N</v>
      </c>
      <c r="X43" s="188">
        <f t="shared" si="7"/>
        <v>1</v>
      </c>
      <c r="Y43" s="62">
        <f t="shared" si="8"/>
        <v>4.5999999999999999E-2</v>
      </c>
      <c r="Z43" s="62">
        <f t="shared" si="9"/>
        <v>23.337199999999999</v>
      </c>
      <c r="AA43" s="62">
        <f t="shared" si="10"/>
        <v>23.2912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0131-19</v>
      </c>
      <c r="AE43" s="85" t="str">
        <f t="shared" si="12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43" s="82" t="str">
        <f t="shared" si="13"/>
        <v>"C:\Program Files (x86)\AstroGrep\AstroGrep.exe" /spath="%USERPROFILE%\AppData\Local\Temp\OnboardLogs" /stypes="app*4006*20170219*" /stext=" 15:.+((SYSTEM_STATE.+slice.+state.+changed )|(ment ac)|(multiple cpu faults)|(system.+state.+changed )|(\[timeout)|(PRM\|1\|D)|(kpr)|(kdp)|(\|loc)|(penalty))"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131-19 --locoid 4006 --swversion DE.1.0.9.0 --startMP 204:460 --initTime 2017-02-19T07:24:45 --startdatetime 2017-02-19T07:30:19 --delay 1 --endMP 204:233372 --enddatetime 2017-02-19T08:07:47 --enforcementcount 0 &gt;&gt;C:\Users\stu\Documents\GitHub\eaglep3-reporting\EC\2017-02-19-refined-times.txt</v>
      </c>
      <c r="AI43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{"issue":{"subject":"","project_id":79,"tracker_id":40,"status_id":1,"priority_id":2,"assigned_to_id":23,"start_date":"2017-02-19","description":"","custom_fields":[{"id":1,"name":"Subdivision","value":"EC"},{"id":4,"name":"Milepost","value":"23.3372"},{"id":17,"name":"Train ID","value":"131-19"},{"id":16,"name":"Locomotive ID","value":"4006"},{"id":130,"name":"Impact","value":""},{"id":150,"name":"Time of Event (Mountain Time)","value":"08:07:47"},{"id":151,"name":"Denver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4006 --day 2017-02-19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502</v>
      </c>
      <c r="B44" s="7">
        <v>4005</v>
      </c>
      <c r="C44" s="21" t="s">
        <v>665</v>
      </c>
      <c r="D44" s="21" t="s">
        <v>686</v>
      </c>
      <c r="E44" s="13">
        <v>42785.349236111113</v>
      </c>
      <c r="F44" s="13">
        <v>42785.351620370369</v>
      </c>
      <c r="G44" s="7">
        <v>1</v>
      </c>
      <c r="H44" s="21" t="s">
        <v>293</v>
      </c>
      <c r="I44" s="13">
        <v>42785.378935185188</v>
      </c>
      <c r="J44" s="7">
        <v>0</v>
      </c>
      <c r="K44" s="98" t="str">
        <f t="shared" si="0"/>
        <v>4005/4006</v>
      </c>
      <c r="L44" s="21" t="str">
        <f>VLOOKUP(A44,'Trips&amp;Operators'!$C$1:$G$99999,5,FALSE)</f>
        <v>ARVIDSON DANIEL</v>
      </c>
      <c r="M44" s="6">
        <f t="shared" si="1"/>
        <v>2.7314814818964805E-2</v>
      </c>
      <c r="N44" s="7">
        <f t="shared" si="2"/>
        <v>39.33333333930932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-19T07:22:54-0700',mode:absolute,to:'2017-02-19T10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88" t="str">
        <f t="shared" si="6"/>
        <v>N</v>
      </c>
      <c r="X44" s="188">
        <f t="shared" si="7"/>
        <v>1</v>
      </c>
      <c r="Y44" s="62">
        <f t="shared" si="8"/>
        <v>23.3017</v>
      </c>
      <c r="Z44" s="62">
        <f t="shared" si="9"/>
        <v>1.3599999999999999E-2</v>
      </c>
      <c r="AA44" s="62">
        <f t="shared" si="10"/>
        <v>23.2881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0132-19</v>
      </c>
      <c r="AE44" s="85" t="str">
        <f t="shared" si="12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44" s="82" t="str">
        <f t="shared" si="13"/>
        <v>"C:\Program Files (x86)\AstroGrep\AstroGrep.exe" /spath="%USERPROFILE%\AppData\Local\Temp\OnboardLogs" /stypes="app*4005*20170219*" /stext=" 16:.+((SYSTEM_STATE.+slice.+state.+changed )|(ment ac)|(multiple cpu faults)|(system.+state.+changed )|(\[timeout)|(PRM\|1\|D)|(kpr)|(kdp)|(\|loc)|(penalty))"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132-19 --locoid 4005 --swversion DE.1.0.9.0 --startMP 204:233017 --initTime 2017-02-19T08:22:54 --startdatetime 2017-02-19T08:26:20 --delay 1 --endMP 204:136 --enddatetime 2017-02-19T09:05:40 --enforcementcount 0 &gt;&gt;C:\Users\stu\Documents\GitHub\eaglep3-reporting\EC\2017-02-19-refined-times.txt</v>
      </c>
      <c r="AI44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{"issue":{"subject":"","project_id":79,"tracker_id":40,"status_id":1,"priority_id":2,"assigned_to_id":23,"start_date":"2017-02-19","description":"","custom_fields":[{"id":1,"name":"Subdivision","value":"EC"},{"id":4,"name":"Milepost","value":"0.0136"},{"id":17,"name":"Train ID","value":"132-19"},{"id":16,"name":"Locomotive ID","value":"4005"},{"id":130,"name":"Impact","value":""},{"id":150,"name":"Time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4005 --day 2017-02-19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494</v>
      </c>
      <c r="B45" s="7">
        <v>4025</v>
      </c>
      <c r="C45" s="21" t="s">
        <v>665</v>
      </c>
      <c r="D45" s="21" t="s">
        <v>270</v>
      </c>
      <c r="E45" s="13">
        <v>42785.319074074076</v>
      </c>
      <c r="F45" s="13">
        <v>42785.323240740741</v>
      </c>
      <c r="G45" s="7">
        <v>1</v>
      </c>
      <c r="H45" s="21" t="s">
        <v>402</v>
      </c>
      <c r="I45" s="13">
        <v>42785.34851851852</v>
      </c>
      <c r="J45" s="7">
        <v>0</v>
      </c>
      <c r="K45" s="98" t="str">
        <f t="shared" si="0"/>
        <v>4025/4026</v>
      </c>
      <c r="L45" s="21" t="str">
        <f>VLOOKUP(A45,'Trips&amp;Operators'!$C$1:$G$99999,5,FALSE)</f>
        <v>BADERTSCHER DIANE</v>
      </c>
      <c r="M45" s="6">
        <f t="shared" si="1"/>
        <v>2.527777777868323E-2</v>
      </c>
      <c r="N45" s="7">
        <f t="shared" si="2"/>
        <v>36.400000001303852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5"/>
        <v>https://d0f6bd738d7f1b3e5a7ca70fe4ff75f0.us-east-1.aws.found.io/app/kibana#/discover/Steve-Slow-Train-Analysis-(2080s-and-2083s)?_g=(refreshInterval:(display:Off,pause:!f,section:0,value:0),time:(from:'2017-02-19T06:39:28-0700',mode:absolute,to:'2017-02-19T09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188" t="str">
        <f t="shared" si="6"/>
        <v>N</v>
      </c>
      <c r="X45" s="188">
        <f t="shared" si="7"/>
        <v>1</v>
      </c>
      <c r="Y45" s="62">
        <f t="shared" si="8"/>
        <v>4.6399999999999997E-2</v>
      </c>
      <c r="Z45" s="62">
        <f t="shared" si="9"/>
        <v>23.332100000000001</v>
      </c>
      <c r="AA45" s="62">
        <f t="shared" si="10"/>
        <v>23.285700000000002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0133-19</v>
      </c>
      <c r="AE45" s="85" t="str">
        <f t="shared" si="12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45" s="82" t="str">
        <f t="shared" si="13"/>
        <v>"C:\Program Files (x86)\AstroGrep\AstroGrep.exe" /spath="%USERPROFILE%\AppData\Local\Temp\OnboardLogs" /stypes="app*4025*20170219*" /stext=" 15:.+((SYSTEM_STATE.+slice.+state.+changed )|(ment ac)|(multiple cpu faults)|(system.+state.+changed )|(\[timeout)|(PRM\|1\|D)|(kpr)|(kdp)|(\|loc)|(penalty))"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133-19 --locoid 4025 --swversion DE.1.0.9.0 --startMP 204:464 --initTime 2017-02-19T07:39:28 --startdatetime 2017-02-19T07:45:28 --delay 1 --endMP 204:233321 --enddatetime 2017-02-19T08:21:52 --enforcementcount 0 &gt;&gt;C:\Users\stu\Documents\GitHub\eaglep3-reporting\EC\2017-02-19-refined-times.txt</v>
      </c>
      <c r="AI45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{"issue":{"subject":"","project_id":79,"tracker_id":40,"status_id":1,"priority_id":2,"assigned_to_id":23,"start_date":"2017-02-19","description":"","custom_fields":[{"id":1,"name":"Subdivision","value":"EC"},{"id":4,"name":"Milepost","value":"23.3321"},{"id":17,"name":"Train ID","value":"133-19"},{"id":16,"name":"Locomotive ID","value":"4025"},{"id":130,"name":"Impact","value":""},{"id":150,"name":"Time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4025 --day 2017-02-19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"%USERPROFILE%\AppData\Local\Temp\OnboardLogs"\RTDC4025\*4025*20170219* | grep -SE "(Enforcement Action)|(\[TIMEOUT)|(CHR.+\|PRM\|1\|D.+(SWITCH|SIGNAL).+UNKNOWN)" - &gt;&gt; 2017-02-19-UncaughtWiMAX.txt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503</v>
      </c>
      <c r="B46" s="7">
        <v>4026</v>
      </c>
      <c r="C46" s="21" t="s">
        <v>665</v>
      </c>
      <c r="D46" s="21" t="s">
        <v>362</v>
      </c>
      <c r="E46" s="13">
        <v>42785.351782407408</v>
      </c>
      <c r="F46" s="13">
        <v>42785.362071759257</v>
      </c>
      <c r="G46" s="7">
        <v>1</v>
      </c>
      <c r="H46" s="21" t="s">
        <v>262</v>
      </c>
      <c r="I46" s="13">
        <v>42785.389120370368</v>
      </c>
      <c r="J46" s="7">
        <v>0</v>
      </c>
      <c r="K46" s="98" t="str">
        <f t="shared" si="0"/>
        <v>4025/4026</v>
      </c>
      <c r="L46" s="21" t="str">
        <f>VLOOKUP(A46,'Trips&amp;Operators'!$C$1:$G$99999,5,FALSE)</f>
        <v>BADERTSCHER DIANE</v>
      </c>
      <c r="M46" s="6">
        <f t="shared" si="1"/>
        <v>2.7048611111240461E-2</v>
      </c>
      <c r="N46" s="7">
        <f t="shared" si="2"/>
        <v>38.950000000186265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5"/>
        <v>https://d0f6bd738d7f1b3e5a7ca70fe4ff75f0.us-east-1.aws.found.io/app/kibana#/discover/Steve-Slow-Train-Analysis-(2080s-and-2083s)?_g=(refreshInterval:(display:Off,pause:!f,section:0,value:0),time:(from:'2017-02-19T07:26:34-0700',mode:absolute,to:'2017-02-19T10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188" t="str">
        <f t="shared" si="6"/>
        <v>N</v>
      </c>
      <c r="X46" s="188">
        <f t="shared" si="7"/>
        <v>1</v>
      </c>
      <c r="Y46" s="62">
        <f t="shared" si="8"/>
        <v>23.301500000000001</v>
      </c>
      <c r="Z46" s="62">
        <f t="shared" si="9"/>
        <v>1.3899999999999999E-2</v>
      </c>
      <c r="AA46" s="62">
        <f t="shared" si="10"/>
        <v>23.287600000000001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0134-19</v>
      </c>
      <c r="AE46" s="85" t="str">
        <f t="shared" si="12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46" s="82" t="str">
        <f t="shared" si="13"/>
        <v>"C:\Program Files (x86)\AstroGrep\AstroGrep.exe" /spath="%USERPROFILE%\AppData\Local\Temp\OnboardLogs" /stypes="app*4026*20170219*" /stext=" 16:.+((SYSTEM_STATE.+slice.+state.+changed )|(ment ac)|(multiple cpu faults)|(system.+state.+changed )|(\[timeout)|(PRM\|1\|D)|(kpr)|(kdp)|(\|loc)|(penalty))"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134-19 --locoid 4026 --swversion DE.1.0.9.0 --startMP 204:233015 --initTime 2017-02-19T08:26:34 --startdatetime 2017-02-19T08:41:23 --delay 1 --endMP 204:139 --enddatetime 2017-02-19T09:20:20 --enforcementcount 0 &gt;&gt;C:\Users\stu\Documents\GitHub\eaglep3-reporting\EC\2017-02-19-refined-times.txt</v>
      </c>
      <c r="AI4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{"issue":{"subject":"","project_id":79,"tracker_id":40,"status_id":1,"priority_id":2,"assigned_to_id":23,"start_date":"2017-02-19","description":"","custom_fields":[{"id":1,"name":"Subdivision","value":"EC"},{"id":4,"name":"Milepost","value":"0.0139"},{"id":17,"name":"Train ID","value":"134-19"},{"id":16,"name":"Locomotive ID","value":"4026"},{"id":130,"name":"Impact","value":""},{"id":150,"name":"Time of Event (Mountain Time)","value":"09:20:20"},{"id":151,"name":"Denver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4026 --day 2017-02-19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"%USERPROFILE%\AppData\Local\Temp\OnboardLogs"\RTDC4026\*4026*20170219* | grep -SE "(Enforcement Action)|(\[TIMEOUT)|(CHR.+\|PRM\|1\|D.+(SWITCH|SIGNAL).+UNKNOWN)" - &gt;&gt; 2017-02-19-UncaughtWiMAX.txt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497</v>
      </c>
      <c r="B47" s="7">
        <v>4051</v>
      </c>
      <c r="C47" s="21" t="s">
        <v>665</v>
      </c>
      <c r="D47" s="21" t="s">
        <v>671</v>
      </c>
      <c r="E47" s="13">
        <v>42785.328252314815</v>
      </c>
      <c r="F47" s="13">
        <v>42785.33357638889</v>
      </c>
      <c r="G47" s="7">
        <v>1</v>
      </c>
      <c r="H47" s="21" t="s">
        <v>406</v>
      </c>
      <c r="I47" s="13">
        <v>42785.358923611115</v>
      </c>
      <c r="J47" s="7">
        <v>0</v>
      </c>
      <c r="K47" s="98" t="str">
        <f t="shared" si="0"/>
        <v>4051/4052</v>
      </c>
      <c r="L47" s="21" t="str">
        <f>VLOOKUP(A47,'Trips&amp;Operators'!$C$1:$G$99999,5,FALSE)</f>
        <v>HAITHCOX MICHAEL</v>
      </c>
      <c r="M47" s="6">
        <f t="shared" si="1"/>
        <v>2.5347222224809229E-2</v>
      </c>
      <c r="N47" s="7">
        <f t="shared" si="2"/>
        <v>36.50000000372529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5"/>
        <v>https://d0f6bd738d7f1b3e5a7ca70fe4ff75f0.us-east-1.aws.found.io/app/kibana#/discover/Steve-Slow-Train-Analysis-(2080s-and-2083s)?_g=(refreshInterval:(display:Off,pause:!f,section:0,value:0),time:(from:'2017-02-19T06:52:41-0700',mode:absolute,to:'2017-02-19T09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188" t="str">
        <f t="shared" si="6"/>
        <v>N</v>
      </c>
      <c r="X47" s="188">
        <f t="shared" si="7"/>
        <v>1</v>
      </c>
      <c r="Y47" s="62">
        <f t="shared" si="8"/>
        <v>4.58E-2</v>
      </c>
      <c r="Z47" s="62">
        <f t="shared" si="9"/>
        <v>23.330100000000002</v>
      </c>
      <c r="AA47" s="62">
        <f t="shared" si="10"/>
        <v>23.284300000000002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0135-19</v>
      </c>
      <c r="AE47" s="85" t="str">
        <f t="shared" si="12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47" s="82" t="str">
        <f t="shared" si="13"/>
        <v>"C:\Program Files (x86)\AstroGrep\AstroGrep.exe" /spath="%USERPROFILE%\AppData\Local\Temp\OnboardLogs" /stypes="app*4051*20170219*" /stext=" 15:.+((SYSTEM_STATE.+slice.+state.+changed )|(ment ac)|(multiple cpu faults)|(system.+state.+changed )|(\[timeout)|(PRM\|1\|D)|(kpr)|(kdp)|(\|loc)|(penalty))"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135-19 --locoid 4051 --swversion DE.1.0.9.0 --startMP 204:458 --initTime 2017-02-19T07:52:41 --startdatetime 2017-02-19T08:00:21 --delay 1 --endMP 204:233301 --enddatetime 2017-02-19T08:36:51 --enforcementcount 0 &gt;&gt;C:\Users\stu\Documents\GitHub\eaglep3-reporting\EC\2017-02-19-refined-times.txt</v>
      </c>
      <c r="AI47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{"issue":{"subject":"","project_id":79,"tracker_id":40,"status_id":1,"priority_id":2,"assigned_to_id":23,"start_date":"2017-02-19","description":"","custom_fields":[{"id":1,"name":"Subdivision","value":"EC"},{"id":4,"name":"Milepost","value":"23.3301"},{"id":17,"name":"Train ID","value":"135-19"},{"id":16,"name":"Locomotive ID","value":"4051"},{"id":130,"name":"Impact","value":""},{"id":150,"name":"Time of Event (Mountain Time)","value":"08:36:51"},{"id":151,"name":"Denver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4051 --day 2017-02-19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506</v>
      </c>
      <c r="B48" s="7">
        <v>4052</v>
      </c>
      <c r="C48" s="21" t="s">
        <v>665</v>
      </c>
      <c r="D48" s="21" t="s">
        <v>282</v>
      </c>
      <c r="E48" s="13">
        <v>42785.365648148145</v>
      </c>
      <c r="F48" s="13">
        <v>42785.372453703705</v>
      </c>
      <c r="G48" s="7">
        <v>1</v>
      </c>
      <c r="H48" s="21" t="s">
        <v>390</v>
      </c>
      <c r="I48" s="13">
        <v>42785.399733796294</v>
      </c>
      <c r="J48" s="7">
        <v>0</v>
      </c>
      <c r="K48" s="98" t="str">
        <f t="shared" si="0"/>
        <v>4051/4052</v>
      </c>
      <c r="L48" s="21" t="str">
        <f>VLOOKUP(A48,'Trips&amp;Operators'!$C$1:$G$99999,5,FALSE)</f>
        <v>HAITHCOX MICHAEL</v>
      </c>
      <c r="M48" s="6">
        <f t="shared" si="1"/>
        <v>2.7280092588625848E-2</v>
      </c>
      <c r="N48" s="7">
        <f t="shared" si="2"/>
        <v>39.283333327621222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5"/>
        <v>https://d0f6bd738d7f1b3e5a7ca70fe4ff75f0.us-east-1.aws.found.io/app/kibana#/discover/Steve-Slow-Train-Analysis-(2080s-and-2083s)?_g=(refreshInterval:(display:Off,pause:!f,section:0,value:0),time:(from:'2017-02-19T07:46:32-0700',mode:absolute,to:'2017-02-19T10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8" s="188" t="str">
        <f t="shared" si="6"/>
        <v>N</v>
      </c>
      <c r="X48" s="188">
        <f t="shared" si="7"/>
        <v>1</v>
      </c>
      <c r="Y48" s="62">
        <f t="shared" si="8"/>
        <v>23.297999999999998</v>
      </c>
      <c r="Z48" s="62">
        <f t="shared" si="9"/>
        <v>1.6299999999999999E-2</v>
      </c>
      <c r="AA48" s="62">
        <f t="shared" si="10"/>
        <v>23.281699999999997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0136-19</v>
      </c>
      <c r="AE48" s="85" t="str">
        <f t="shared" si="12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48" s="82" t="str">
        <f t="shared" si="13"/>
        <v>"C:\Program Files (x86)\AstroGrep\AstroGrep.exe" /spath="%USERPROFILE%\AppData\Local\Temp\OnboardLogs" /stypes="app*4052*20170219*" /stext=" 16:.+((SYSTEM_STATE.+slice.+state.+changed )|(ment ac)|(multiple cpu faults)|(system.+state.+changed )|(\[timeout)|(PRM\|1\|D)|(kpr)|(kdp)|(\|loc)|(penalty))"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136-19 --locoid 4052 --swversion DE.1.0.9.0 --startMP 204:232980 --initTime 2017-02-19T08:46:32 --startdatetime 2017-02-19T08:56:20 --delay 1 --endMP 204:163 --enddatetime 2017-02-19T09:35:37 --enforcementcount 0 &gt;&gt;C:\Users\stu\Documents\GitHub\eaglep3-reporting\EC\2017-02-19-refined-times.txt</v>
      </c>
      <c r="AI48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{"issue":{"subject":"","project_id":79,"tracker_id":40,"status_id":1,"priority_id":2,"assigned_to_id":23,"start_date":"2017-02-19","description":"","custom_fields":[{"id":1,"name":"Subdivision","value":"EC"},{"id":4,"name":"Milepost","value":"0.0163"},{"id":17,"name":"Train ID","value":"136-19"},{"id":16,"name":"Locomotive ID","value":"4052"},{"id":130,"name":"Impact","value":""},{"id":150,"name":"Time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4052 --day 2017-02-19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500</v>
      </c>
      <c r="B49" s="7">
        <v>4031</v>
      </c>
      <c r="C49" s="21" t="s">
        <v>665</v>
      </c>
      <c r="D49" s="21" t="s">
        <v>253</v>
      </c>
      <c r="E49" s="13">
        <v>42785.340763888889</v>
      </c>
      <c r="F49" s="13">
        <v>42785.343923611108</v>
      </c>
      <c r="G49" s="7">
        <v>1</v>
      </c>
      <c r="H49" s="21" t="s">
        <v>672</v>
      </c>
      <c r="I49" s="13">
        <v>42785.369120370371</v>
      </c>
      <c r="J49" s="7">
        <v>0</v>
      </c>
      <c r="K49" s="98" t="str">
        <f t="shared" si="0"/>
        <v>4031/4032</v>
      </c>
      <c r="L49" s="21" t="str">
        <f>VLOOKUP(A49,'Trips&amp;Operators'!$C$1:$G$99999,5,FALSE)</f>
        <v>ROBINSON KADDIBA</v>
      </c>
      <c r="M49" s="6">
        <f t="shared" si="1"/>
        <v>2.5196759263053536E-2</v>
      </c>
      <c r="N49" s="7">
        <f t="shared" si="2"/>
        <v>36.283333338797092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5"/>
        <v>https://d0f6bd738d7f1b3e5a7ca70fe4ff75f0.us-east-1.aws.found.io/app/kibana#/discover/Steve-Slow-Train-Analysis-(2080s-and-2083s)?_g=(refreshInterval:(display:Off,pause:!f,section:0,value:0),time:(from:'2017-02-19T07:10:42-0700',mode:absolute,to:'2017-02-19T09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188" t="str">
        <f t="shared" si="6"/>
        <v>N</v>
      </c>
      <c r="X49" s="188">
        <f t="shared" si="7"/>
        <v>1</v>
      </c>
      <c r="Y49" s="62">
        <f t="shared" si="8"/>
        <v>4.53E-2</v>
      </c>
      <c r="Z49" s="62">
        <f t="shared" si="9"/>
        <v>23.3325</v>
      </c>
      <c r="AA49" s="62">
        <f t="shared" si="10"/>
        <v>23.287199999999999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0137-19</v>
      </c>
      <c r="AE49" s="85" t="str">
        <f t="shared" si="12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49" s="82" t="str">
        <f t="shared" si="13"/>
        <v>"C:\Program Files (x86)\AstroGrep\AstroGrep.exe" /spath="%USERPROFILE%\AppData\Local\Temp\OnboardLogs" /stypes="app*4031*20170219*" /stext=" 15:.+((SYSTEM_STATE.+slice.+state.+changed )|(ment ac)|(multiple cpu faults)|(system.+state.+changed )|(\[timeout)|(PRM\|1\|D)|(kpr)|(kdp)|(\|loc)|(penalty))"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137-19 --locoid 4031 --swversion DE.1.0.9.0 --startMP 204:453 --initTime 2017-02-19T08:10:42 --startdatetime 2017-02-19T08:15:15 --delay 1 --endMP 204:233325 --enddatetime 2017-02-19T08:51:32 --enforcementcount 0 &gt;&gt;C:\Users\stu\Documents\GitHub\eaglep3-reporting\EC\2017-02-19-refined-times.txt</v>
      </c>
      <c r="AI49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{"issue":{"subject":"","project_id":79,"tracker_id":40,"status_id":1,"priority_id":2,"assigned_to_id":23,"start_date":"2017-02-19","description":"","custom_fields":[{"id":1,"name":"Subdivision","value":"EC"},{"id":4,"name":"Milepost","value":"23.3325"},{"id":17,"name":"Train ID","value":"137-19"},{"id":16,"name":"Locomotive ID","value":"4031"},{"id":130,"name":"Impact","value":""},{"id":150,"name":"Time of Event (Mountain Time)","value":"08:51:32"},{"id":151,"name":"Denver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4031 --day 2017-02-19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510</v>
      </c>
      <c r="B50" s="7">
        <v>4032</v>
      </c>
      <c r="C50" s="21" t="s">
        <v>665</v>
      </c>
      <c r="D50" s="21" t="s">
        <v>400</v>
      </c>
      <c r="E50" s="13">
        <v>42785.38013888889</v>
      </c>
      <c r="F50" s="13">
        <v>42785.3828125</v>
      </c>
      <c r="G50" s="7">
        <v>1</v>
      </c>
      <c r="H50" s="21" t="s">
        <v>208</v>
      </c>
      <c r="I50" s="13">
        <v>42785.409444444442</v>
      </c>
      <c r="J50" s="7">
        <v>0</v>
      </c>
      <c r="K50" s="98" t="str">
        <f t="shared" si="0"/>
        <v>4031/4032</v>
      </c>
      <c r="L50" s="21" t="str">
        <f>VLOOKUP(A50,'Trips&amp;Operators'!$C$1:$G$99999,5,FALSE)</f>
        <v>ROBINSON KADDIBA</v>
      </c>
      <c r="M50" s="6">
        <f t="shared" si="1"/>
        <v>2.6631944441760425E-2</v>
      </c>
      <c r="N50" s="7">
        <f t="shared" si="2"/>
        <v>38.349999996135011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5"/>
        <v>https://d0f6bd738d7f1b3e5a7ca70fe4ff75f0.us-east-1.aws.found.io/app/kibana#/discover/Steve-Slow-Train-Analysis-(2080s-and-2083s)?_g=(refreshInterval:(display:Off,pause:!f,section:0,value:0),time:(from:'2017-02-19T08:07:24-0700',mode:absolute,to:'2017-02-19T10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188" t="str">
        <f t="shared" si="6"/>
        <v>N</v>
      </c>
      <c r="X50" s="188">
        <f t="shared" si="7"/>
        <v>1</v>
      </c>
      <c r="Y50" s="62">
        <f t="shared" si="8"/>
        <v>23.301100000000002</v>
      </c>
      <c r="Z50" s="62">
        <f t="shared" si="9"/>
        <v>1.5800000000000002E-2</v>
      </c>
      <c r="AA50" s="62">
        <f t="shared" si="10"/>
        <v>23.285300000000003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0138-19</v>
      </c>
      <c r="AE50" s="85" t="str">
        <f t="shared" si="12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50" s="82" t="str">
        <f t="shared" si="13"/>
        <v>"C:\Program Files (x86)\AstroGrep\AstroGrep.exe" /spath="%USERPROFILE%\AppData\Local\Temp\OnboardLogs" /stypes="app*4032*20170219*" /stext=" 16:.+((SYSTEM_STATE.+slice.+state.+changed )|(ment ac)|(multiple cpu faults)|(system.+state.+changed )|(\[timeout)|(PRM\|1\|D)|(kpr)|(kdp)|(\|loc)|(penalty))"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138-19 --locoid 4032 --swversion DE.1.0.9.0 --startMP 204:233011 --initTime 2017-02-19T09:07:24 --startdatetime 2017-02-19T09:11:15 --delay 1 --endMP 204:158 --enddatetime 2017-02-19T09:49:36 --enforcementcount 0 &gt;&gt;C:\Users\stu\Documents\GitHub\eaglep3-reporting\EC\2017-02-19-refined-times.txt</v>
      </c>
      <c r="AI50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ID","value":"138-19"},{"id":16,"name":"Locomotive ID","value":"4032"},{"id":130,"name":"Impact","value":""},{"id":150,"name":"Time of Event (Mountain Time)","value":"09:49:36"},{"id":151,"name":"Denver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4032 --day 2017-02-19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501</v>
      </c>
      <c r="B51" s="7">
        <v>4003</v>
      </c>
      <c r="C51" s="21" t="s">
        <v>665</v>
      </c>
      <c r="D51" s="21" t="s">
        <v>260</v>
      </c>
      <c r="E51" s="13">
        <v>42785.348819444444</v>
      </c>
      <c r="F51" s="13">
        <v>42785.354328703703</v>
      </c>
      <c r="G51" s="7">
        <v>2</v>
      </c>
      <c r="H51" s="21" t="s">
        <v>687</v>
      </c>
      <c r="I51" s="13">
        <v>42785.378761574073</v>
      </c>
      <c r="J51" s="7">
        <v>0</v>
      </c>
      <c r="K51" s="98" t="str">
        <f t="shared" si="0"/>
        <v>4003/4004</v>
      </c>
      <c r="L51" s="21" t="str">
        <f>VLOOKUP(A51,'Trips&amp;Operators'!$C$1:$G$99999,5,FALSE)</f>
        <v>GEBRETEKLE DAGNEW</v>
      </c>
      <c r="M51" s="6">
        <f t="shared" si="1"/>
        <v>2.4432870370219462E-2</v>
      </c>
      <c r="N51" s="7">
        <f t="shared" si="2"/>
        <v>35.183333333116025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5"/>
        <v>https://d0f6bd738d7f1b3e5a7ca70fe4ff75f0.us-east-1.aws.found.io/app/kibana#/discover/Steve-Slow-Train-Analysis-(2080s-and-2083s)?_g=(refreshInterval:(display:Off,pause:!f,section:0,value:0),time:(from:'2017-02-19T07:22:18-0700',mode:absolute,to:'2017-02-19T10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88" t="str">
        <f t="shared" si="6"/>
        <v>N</v>
      </c>
      <c r="X51" s="188">
        <f t="shared" si="7"/>
        <v>1</v>
      </c>
      <c r="Y51" s="62">
        <f t="shared" si="8"/>
        <v>4.5499999999999999E-2</v>
      </c>
      <c r="Z51" s="62">
        <f t="shared" si="9"/>
        <v>23.333400000000001</v>
      </c>
      <c r="AA51" s="62">
        <f t="shared" si="10"/>
        <v>23.2879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0139-19</v>
      </c>
      <c r="AE51" s="85" t="str">
        <f t="shared" si="12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51" s="82" t="str">
        <f t="shared" si="13"/>
        <v>"C:\Program Files (x86)\AstroGrep\AstroGrep.exe" /spath="%USERPROFILE%\AppData\Local\Temp\OnboardLogs" /stypes="app*4003*20170219*" /stext=" 16:.+((SYSTEM_STATE.+slice.+state.+changed )|(ment ac)|(multiple cpu faults)|(system.+state.+changed )|(\[timeout)|(PRM\|1\|D)|(kpr)|(kdp)|(\|loc)|(penalty))"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139-19 --locoid 4003 --swversion DE.1.0.9.0 --startMP 204:455 --initTime 2017-02-19T08:22:18 --startdatetime 2017-02-19T08:30:14 --delay 2 --endMP 204:233334 --enddatetime 2017-02-19T09:05:25 --enforcementcount 0 &gt;&gt;C:\Users\stu\Documents\GitHub\eaglep3-reporting\EC\2017-02-19-refined-times.txt</v>
      </c>
      <c r="AI51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{"issue":{"subject":"","project_id":79,"tracker_id":40,"status_id":1,"priority_id":2,"assigned_to_id":23,"start_date":"2017-02-19","description":"","custom_fields":[{"id":1,"name":"Subdivision","value":"EC"},{"id":4,"name":"Milepost","value":"23.3334"},{"id":17,"name":"Train ID","value":"139-19"},{"id":16,"name":"Locomotive ID","value":"4003"},{"id":130,"name":"Impact","value":""},{"id":150,"name":"Time of Event (Mountain Time)","value":"09:05:25"},{"id":151,"name":"Denver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4003 --day 2017-02-19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509</v>
      </c>
      <c r="B52" s="7">
        <v>4004</v>
      </c>
      <c r="C52" s="21" t="s">
        <v>665</v>
      </c>
      <c r="D52" s="21" t="s">
        <v>686</v>
      </c>
      <c r="E52" s="13">
        <v>42785.38009259259</v>
      </c>
      <c r="F52" s="13">
        <v>42785.393275462964</v>
      </c>
      <c r="G52" s="7">
        <v>0</v>
      </c>
      <c r="H52" s="21" t="s">
        <v>297</v>
      </c>
      <c r="I52" s="13">
        <v>42785.419317129628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GEBRETEKLE DAGNEW</v>
      </c>
      <c r="M52" s="6">
        <f t="shared" si="1"/>
        <v>2.6041666664241347E-2</v>
      </c>
      <c r="N52" s="7">
        <f t="shared" si="2"/>
        <v>37.49999999650754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5"/>
        <v>https://d0f6bd738d7f1b3e5a7ca70fe4ff75f0.us-east-1.aws.found.io/app/kibana#/discover/Steve-Slow-Train-Analysis-(2080s-and-2083s)?_g=(refreshInterval:(display:Off,pause:!f,section:0,value:0),time:(from:'2017-02-19T08:07:20-0700',mode:absolute,to:'2017-02-19T11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188" t="str">
        <f t="shared" si="6"/>
        <v>N</v>
      </c>
      <c r="X52" s="188">
        <f t="shared" si="7"/>
        <v>1</v>
      </c>
      <c r="Y52" s="62">
        <f t="shared" si="8"/>
        <v>23.3017</v>
      </c>
      <c r="Z52" s="62">
        <f t="shared" si="9"/>
        <v>1.47E-2</v>
      </c>
      <c r="AA52" s="62">
        <f t="shared" si="10"/>
        <v>23.286999999999999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0140-19</v>
      </c>
      <c r="AE52" s="85" t="str">
        <f t="shared" si="12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52" s="82" t="str">
        <f t="shared" si="13"/>
        <v>"C:\Program Files (x86)\AstroGrep\AstroGrep.exe" /spath="%USERPROFILE%\AppData\Local\Temp\OnboardLogs" /stypes="app*4004*20170219*" /stext=" 17:.+((SYSTEM_STATE.+slice.+state.+changed )|(ment ac)|(multiple cpu faults)|(system.+state.+changed )|(\[timeout)|(PRM\|1\|D)|(kpr)|(kdp)|(\|loc)|(penalty))"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140-19 --locoid 4004 --swversion DE.1.0.9.0 --startMP 204:233017 --initTime 2017-02-19T09:07:20 --startdatetime 2017-02-19T09:26:19 --delay 0 --endMP 204:147 --enddatetime 2017-02-19T10:03:49 --enforcementcount 0 &gt;&gt;C:\Users\stu\Documents\GitHub\eaglep3-reporting\EC\2017-02-19-refined-times.txt</v>
      </c>
      <c r="AI52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{"issue":{"subject":"","project_id":79,"tracker_id":40,"status_id":1,"priority_id":2,"assigned_to_id":23,"start_date":"2017-02-19","description":"","custom_fields":[{"id":1,"name":"Subdivision","value":"EC"},{"id":4,"name":"Milepost","value":"0.0147"},{"id":17,"name":"Train ID","value":"140-19"},{"id":16,"name":"Locomotive ID","value":"4004"},{"id":130,"name":"Impact","value":""},{"id":150,"name":"Time of Event (Mountain Time)","value":"10:03:49"},{"id":151,"name":"Denver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4004 --day 2017-02-19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"%USERPROFILE%\AppData\Local\Temp\OnboardLogs"\RTDC4004\*4004*20170219* | grep -SE "(Enforcement Action)|(\[TIMEOUT)|(CHR.+\|PRM\|1\|D.+(SWITCH|SIGNAL).+UNKNOWN)" - &gt;&gt; 2017-02-19-UncaughtWiMAX.txt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505</v>
      </c>
      <c r="B53" s="7">
        <v>4016</v>
      </c>
      <c r="C53" s="21" t="s">
        <v>665</v>
      </c>
      <c r="D53" s="21" t="s">
        <v>231</v>
      </c>
      <c r="E53" s="13">
        <v>42785.359918981485</v>
      </c>
      <c r="F53" s="13">
        <v>42785.364837962959</v>
      </c>
      <c r="G53" s="7">
        <v>1</v>
      </c>
      <c r="H53" s="21" t="s">
        <v>394</v>
      </c>
      <c r="I53" s="13">
        <v>42785.389849537038</v>
      </c>
      <c r="J53" s="7">
        <v>0</v>
      </c>
      <c r="K53" s="98" t="str">
        <f t="shared" si="0"/>
        <v>4015/4016</v>
      </c>
      <c r="L53" s="21" t="str">
        <f>VLOOKUP(A53,'Trips&amp;Operators'!$C$1:$G$99999,5,FALSE)</f>
        <v>SWANSON BRYCE</v>
      </c>
      <c r="M53" s="6">
        <f t="shared" si="1"/>
        <v>2.5011574078234844E-2</v>
      </c>
      <c r="N53" s="7">
        <f t="shared" si="2"/>
        <v>36.016666672658175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5"/>
        <v>https://d0f6bd738d7f1b3e5a7ca70fe4ff75f0.us-east-1.aws.found.io/app/kibana#/discover/Steve-Slow-Train-Analysis-(2080s-and-2083s)?_g=(refreshInterval:(display:Off,pause:!f,section:0,value:0),time:(from:'2017-02-19T07:38:17-0700',mode:absolute,to:'2017-02-19T10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88" t="str">
        <f t="shared" si="6"/>
        <v>N</v>
      </c>
      <c r="X53" s="188">
        <f t="shared" si="7"/>
        <v>1</v>
      </c>
      <c r="Y53" s="62">
        <f t="shared" si="8"/>
        <v>4.5999999999999999E-2</v>
      </c>
      <c r="Z53" s="62">
        <f t="shared" si="9"/>
        <v>23.329499999999999</v>
      </c>
      <c r="AA53" s="62">
        <f t="shared" si="10"/>
        <v>23.2835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0141-19</v>
      </c>
      <c r="AE53" s="85" t="str">
        <f t="shared" si="12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53" s="82" t="str">
        <f t="shared" si="13"/>
        <v>"C:\Program Files (x86)\AstroGrep\AstroGrep.exe" /spath="%USERPROFILE%\AppData\Local\Temp\OnboardLogs" /stypes="app*4016*20170219*" /stext=" 16:.+((SYSTEM_STATE.+slice.+state.+changed )|(ment ac)|(multiple cpu faults)|(system.+state.+changed )|(\[timeout)|(PRM\|1\|D)|(kpr)|(kdp)|(\|loc)|(penalty))"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141-19 --locoid 4016 --swversion DE.1.0.9.0 --startMP 204:460 --initTime 2017-02-19T08:38:17 --startdatetime 2017-02-19T08:45:22 --delay 1 --endMP 204:233295 --enddatetime 2017-02-19T09:21:23 --enforcementcount 0 &gt;&gt;C:\Users\stu\Documents\GitHub\eaglep3-reporting\EC\2017-02-19-refined-times.txt</v>
      </c>
      <c r="AI53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{"issue":{"subject":"","project_id":79,"tracker_id":40,"status_id":1,"priority_id":2,"assigned_to_id":23,"start_date":"2017-02-19","description":"","custom_fields":[{"id":1,"name":"Subdivision","value":"EC"},{"id":4,"name":"Milepost","value":"23.3295"},{"id":17,"name":"Train ID","value":"141-19"},{"id":16,"name":"Locomotive ID","value":"4016"},{"id":130,"name":"Impact","value":""},{"id":150,"name":"Time of Event (Mountain Time)","value":"09:21:23"},{"id":151,"name":"Denver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4016 --day 2017-02-19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512</v>
      </c>
      <c r="B54" s="7">
        <v>4015</v>
      </c>
      <c r="C54" s="21" t="s">
        <v>665</v>
      </c>
      <c r="D54" s="21" t="s">
        <v>355</v>
      </c>
      <c r="E54" s="13">
        <v>42785.391643518517</v>
      </c>
      <c r="F54" s="13">
        <v>42785.403703703705</v>
      </c>
      <c r="G54" s="7">
        <v>1</v>
      </c>
      <c r="H54" s="21" t="s">
        <v>207</v>
      </c>
      <c r="I54" s="13">
        <v>42785.431215277778</v>
      </c>
      <c r="J54" s="7">
        <v>0</v>
      </c>
      <c r="K54" s="98" t="str">
        <f t="shared" si="0"/>
        <v>4015/4016</v>
      </c>
      <c r="L54" s="21" t="str">
        <f>VLOOKUP(A54,'Trips&amp;Operators'!$C$1:$G$99999,5,FALSE)</f>
        <v>SWANSON BRYCE</v>
      </c>
      <c r="M54" s="6">
        <f t="shared" si="1"/>
        <v>2.7511574073287193E-2</v>
      </c>
      <c r="N54" s="7">
        <f t="shared" si="2"/>
        <v>39.616666665533558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5"/>
        <v>https://d0f6bd738d7f1b3e5a7ca70fe4ff75f0.us-east-1.aws.found.io/app/kibana#/discover/Steve-Slow-Train-Analysis-(2080s-and-2083s)?_g=(refreshInterval:(display:Off,pause:!f,section:0,value:0),time:(from:'2017-02-19T08:23:58-0700',mode:absolute,to:'2017-02-19T11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88" t="str">
        <f t="shared" si="6"/>
        <v>N</v>
      </c>
      <c r="X54" s="188">
        <f t="shared" si="7"/>
        <v>1</v>
      </c>
      <c r="Y54" s="62">
        <f t="shared" si="8"/>
        <v>23.2959</v>
      </c>
      <c r="Z54" s="62">
        <f t="shared" si="9"/>
        <v>1.52E-2</v>
      </c>
      <c r="AA54" s="62">
        <f t="shared" si="10"/>
        <v>23.2807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0142-19</v>
      </c>
      <c r="AE54" s="85" t="str">
        <f t="shared" si="12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54" s="82" t="str">
        <f t="shared" si="13"/>
        <v>"C:\Program Files (x86)\AstroGrep\AstroGrep.exe" /spath="%USERPROFILE%\AppData\Local\Temp\OnboardLogs" /stypes="app*4015*20170219*" /stext=" 17:.+((SYSTEM_STATE.+slice.+state.+changed )|(ment ac)|(multiple cpu faults)|(system.+state.+changed )|(\[timeout)|(PRM\|1\|D)|(kpr)|(kdp)|(\|loc)|(penalty))"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142-19 --locoid 4015 --swversion DE.1.0.9.0 --startMP 204:232959 --initTime 2017-02-19T09:23:58 --startdatetime 2017-02-19T09:41:20 --delay 1 --endMP 204:152 --enddatetime 2017-02-19T10:20:57 --enforcementcount 0 &gt;&gt;C:\Users\stu\Documents\GitHub\eaglep3-reporting\EC\2017-02-19-refined-times.txt</v>
      </c>
      <c r="AI54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ID","value":"142-19"},{"id":16,"name":"Locomotive ID","value":"4015"},{"id":130,"name":"Impact","value":""},{"id":150,"name":"Time of Event (Mountain Time)","value":"10:20:57"},{"id":151,"name":"Denver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4015 --day 2017-02-19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507</v>
      </c>
      <c r="B55" s="7">
        <v>4044</v>
      </c>
      <c r="C55" s="21" t="s">
        <v>665</v>
      </c>
      <c r="D55" s="21" t="s">
        <v>671</v>
      </c>
      <c r="E55" s="13">
        <v>42785.37</v>
      </c>
      <c r="F55" s="13">
        <v>42785.375185185185</v>
      </c>
      <c r="G55" s="7">
        <v>1</v>
      </c>
      <c r="H55" s="21" t="s">
        <v>688</v>
      </c>
      <c r="I55" s="13">
        <v>42785.400405092594</v>
      </c>
      <c r="J55" s="7">
        <v>0</v>
      </c>
      <c r="K55" s="98" t="str">
        <f t="shared" si="0"/>
        <v>4043/4044</v>
      </c>
      <c r="L55" s="21" t="str">
        <f>VLOOKUP(A55,'Trips&amp;Operators'!$C$1:$G$99999,5,FALSE)</f>
        <v>SHOOK JOHN</v>
      </c>
      <c r="M55" s="6">
        <f t="shared" si="1"/>
        <v>2.5219907409336884E-2</v>
      </c>
      <c r="N55" s="7">
        <f t="shared" si="2"/>
        <v>36.316666669445112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5"/>
        <v>https://d0f6bd738d7f1b3e5a7ca70fe4ff75f0.us-east-1.aws.found.io/app/kibana#/discover/Steve-Slow-Train-Analysis-(2080s-and-2083s)?_g=(refreshInterval:(display:Off,pause:!f,section:0,value:0),time:(from:'2017-02-19T07:52:48-0700',mode:absolute,to:'2017-02-19T10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88" t="str">
        <f t="shared" si="6"/>
        <v>N</v>
      </c>
      <c r="X55" s="188">
        <f t="shared" si="7"/>
        <v>1</v>
      </c>
      <c r="Y55" s="62">
        <f t="shared" si="8"/>
        <v>4.58E-2</v>
      </c>
      <c r="Z55" s="62">
        <f t="shared" si="9"/>
        <v>23.3291</v>
      </c>
      <c r="AA55" s="62">
        <f t="shared" si="10"/>
        <v>23.283300000000001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0143-19</v>
      </c>
      <c r="AE55" s="85" t="str">
        <f t="shared" si="12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55" s="82" t="str">
        <f t="shared" si="13"/>
        <v>"C:\Program Files (x86)\AstroGrep\AstroGrep.exe" /spath="%USERPROFILE%\AppData\Local\Temp\OnboardLogs" /stypes="app*4044*20170219*" /stext=" 16:.+((SYSTEM_STATE.+slice.+state.+changed )|(ment ac)|(multiple cpu faults)|(system.+state.+changed )|(\[timeout)|(PRM\|1\|D)|(kpr)|(kdp)|(\|loc)|(penalty))"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143-19 --locoid 4044 --swversion DE.1.0.9.0 --startMP 204:458 --initTime 2017-02-19T08:52:48 --startdatetime 2017-02-19T09:00:16 --delay 1 --endMP 204:233291 --enddatetime 2017-02-19T09:36:35 --enforcementcount 0 &gt;&gt;C:\Users\stu\Documents\GitHub\eaglep3-reporting\EC\2017-02-19-refined-times.txt</v>
      </c>
      <c r="AI55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{"issue":{"subject":"","project_id":79,"tracker_id":40,"status_id":1,"priority_id":2,"assigned_to_id":23,"start_date":"2017-02-19","description":"","custom_fields":[{"id":1,"name":"Subdivision","value":"EC"},{"id":4,"name":"Milepost","value":"23.3291"},{"id":17,"name":"Train ID","value":"143-19"},{"id":16,"name":"Locomotive ID","value":"4044"},{"id":130,"name":"Impact","value":""},{"id":150,"name":"Time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4044 --day 2017-02-19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513</v>
      </c>
      <c r="B56" s="7">
        <v>4043</v>
      </c>
      <c r="C56" s="21" t="s">
        <v>665</v>
      </c>
      <c r="D56" s="21" t="s">
        <v>389</v>
      </c>
      <c r="E56" s="13">
        <v>42785.402037037034</v>
      </c>
      <c r="F56" s="13">
        <v>42785.414120370369</v>
      </c>
      <c r="G56" s="7">
        <v>1</v>
      </c>
      <c r="H56" s="21" t="s">
        <v>207</v>
      </c>
      <c r="I56" s="13">
        <v>42785.441365740742</v>
      </c>
      <c r="J56" s="7">
        <v>0</v>
      </c>
      <c r="K56" s="98" t="str">
        <f t="shared" si="0"/>
        <v>4043/4044</v>
      </c>
      <c r="L56" s="21" t="str">
        <f>VLOOKUP(A56,'Trips&amp;Operators'!$C$1:$G$99999,5,FALSE)</f>
        <v>SHOOK JOHN</v>
      </c>
      <c r="M56" s="6">
        <f t="shared" si="1"/>
        <v>2.7245370372838806E-2</v>
      </c>
      <c r="N56" s="7">
        <f t="shared" si="2"/>
        <v>39.233333336887881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5"/>
        <v>https://d0f6bd738d7f1b3e5a7ca70fe4ff75f0.us-east-1.aws.found.io/app/kibana#/discover/Steve-Slow-Train-Analysis-(2080s-and-2083s)?_g=(refreshInterval:(display:Off,pause:!f,section:0,value:0),time:(from:'2017-02-19T08:38:56-0700',mode:absolute,to:'2017-02-19T11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88" t="str">
        <f t="shared" si="6"/>
        <v>N</v>
      </c>
      <c r="X56" s="188">
        <f t="shared" si="7"/>
        <v>1</v>
      </c>
      <c r="Y56" s="62">
        <f t="shared" si="8"/>
        <v>23.298200000000001</v>
      </c>
      <c r="Z56" s="62">
        <f t="shared" si="9"/>
        <v>1.52E-2</v>
      </c>
      <c r="AA56" s="62">
        <f t="shared" si="10"/>
        <v>23.283000000000001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0144-19</v>
      </c>
      <c r="AE56" s="85" t="str">
        <f t="shared" si="12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56" s="82" t="str">
        <f t="shared" si="13"/>
        <v>"C:\Program Files (x86)\AstroGrep\AstroGrep.exe" /spath="%USERPROFILE%\AppData\Local\Temp\OnboardLogs" /stypes="app*4043*20170219*" /stext=" 17:.+((SYSTEM_STATE.+slice.+state.+changed )|(ment ac)|(multiple cpu faults)|(system.+state.+changed )|(\[timeout)|(PRM\|1\|D)|(kpr)|(kdp)|(\|loc)|(penalty))"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144-19 --locoid 4043 --swversion DE.1.0.9.0 --startMP 204:232982 --initTime 2017-02-19T09:38:56 --startdatetime 2017-02-19T09:56:20 --delay 1 --endMP 204:152 --enddatetime 2017-02-19T10:35:34 --enforcementcount 0 &gt;&gt;C:\Users\stu\Documents\GitHub\eaglep3-reporting\EC\2017-02-19-refined-times.txt</v>
      </c>
      <c r="AI5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ID","value":"144-19"},{"id":16,"name":"Locomotive ID","value":"4043"},{"id":130,"name":"Impact","value":""},{"id":150,"name":"Time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4043 --day 2017-02-19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"%USERPROFILE%\AppData\Local\Temp\OnboardLogs"\RTDC4043\*4043*20170219* | grep -SE "(Enforcement Action)|(\[TIMEOUT)|(CHR.+\|PRM\|1\|D.+(SWITCH|SIGNAL).+UNKNOWN)" - &gt;&gt; 2017-02-19-UncaughtWiMAX.txt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423</v>
      </c>
      <c r="B57" s="7">
        <v>4006</v>
      </c>
      <c r="C57" s="21" t="s">
        <v>665</v>
      </c>
      <c r="D57" s="21" t="s">
        <v>689</v>
      </c>
      <c r="E57" s="13">
        <v>42785.383043981485</v>
      </c>
      <c r="F57" s="13">
        <v>42785.385682870372</v>
      </c>
      <c r="G57" s="7">
        <v>1</v>
      </c>
      <c r="H57" s="21" t="s">
        <v>690</v>
      </c>
      <c r="I57" s="13">
        <v>42785.411493055559</v>
      </c>
      <c r="J57" s="7">
        <v>0</v>
      </c>
      <c r="K57" s="98" t="str">
        <f t="shared" si="0"/>
        <v>4005/4006</v>
      </c>
      <c r="L57" s="21" t="str">
        <f>VLOOKUP(A57,'Trips&amp;Operators'!$C$1:$G$99999,5,FALSE)</f>
        <v>ARVIDSON DANIEL</v>
      </c>
      <c r="M57" s="6">
        <f t="shared" si="1"/>
        <v>2.5810185186855961E-2</v>
      </c>
      <c r="N57" s="7">
        <f t="shared" si="2"/>
        <v>37.166666669072583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5"/>
        <v>https://d0f6bd738d7f1b3e5a7ca70fe4ff75f0.us-east-1.aws.found.io/app/kibana#/discover/Steve-Slow-Train-Analysis-(2080s-and-2083s)?_g=(refreshInterval:(display:Off,pause:!f,section:0,value:0),time:(from:'2017-02-19T08:11:35-0700',mode:absolute,to:'2017-02-19T10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88" t="str">
        <f t="shared" si="6"/>
        <v>N</v>
      </c>
      <c r="X57" s="188">
        <f t="shared" si="7"/>
        <v>1</v>
      </c>
      <c r="Y57" s="62">
        <f t="shared" si="8"/>
        <v>4.1599999999999998E-2</v>
      </c>
      <c r="Z57" s="62">
        <f t="shared" si="9"/>
        <v>23.327000000000002</v>
      </c>
      <c r="AA57" s="62">
        <f t="shared" si="10"/>
        <v>23.285400000000003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0145-19</v>
      </c>
      <c r="AE57" s="85" t="str">
        <f t="shared" si="12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57" s="82" t="str">
        <f t="shared" si="13"/>
        <v>"C:\Program Files (x86)\AstroGrep\AstroGrep.exe" /spath="%USERPROFILE%\AppData\Local\Temp\OnboardLogs" /stypes="app*4006*20170219*" /stext=" 16:.+((SYSTEM_STATE.+slice.+state.+changed )|(ment ac)|(multiple cpu faults)|(system.+state.+changed )|(\[timeout)|(PRM\|1\|D)|(kpr)|(kdp)|(\|loc)|(penalty))"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145-19 --locoid 4006 --swversion DE.1.0.9.0 --startMP 204:416 --initTime 2017-02-19T09:11:35 --startdatetime 2017-02-19T09:15:23 --delay 1 --endMP 204:233270 --enddatetime 2017-02-19T09:52:33 --enforcementcount 0 &gt;&gt;C:\Users\stu\Documents\GitHub\eaglep3-reporting\EC\2017-02-19-refined-times.txt</v>
      </c>
      <c r="AI57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{"issue":{"subject":"","project_id":79,"tracker_id":40,"status_id":1,"priority_id":2,"assigned_to_id":23,"start_date":"2017-02-19","description":"","custom_fields":[{"id":1,"name":"Subdivision","value":"EC"},{"id":4,"name":"Milepost","value":"23.327"},{"id":17,"name":"Train ID","value":"145-19"},{"id":16,"name":"Locomotive ID","value":"4006"},{"id":130,"name":"Impact","value":""},{"id":150,"name":"Time of Event (Mountain Time)","value":"09:52:33"},{"id":151,"name":"Denver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4006 --day 2017-02-19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517</v>
      </c>
      <c r="B58" s="7">
        <v>4005</v>
      </c>
      <c r="C58" s="21" t="s">
        <v>665</v>
      </c>
      <c r="D58" s="21" t="s">
        <v>691</v>
      </c>
      <c r="E58" s="13">
        <v>42785.421446759261</v>
      </c>
      <c r="F58" s="13">
        <v>42785.42465277778</v>
      </c>
      <c r="G58" s="7">
        <v>1</v>
      </c>
      <c r="H58" s="21" t="s">
        <v>350</v>
      </c>
      <c r="I58" s="13">
        <v>42785.463182870371</v>
      </c>
      <c r="J58" s="7">
        <v>0</v>
      </c>
      <c r="K58" s="98" t="str">
        <f t="shared" si="0"/>
        <v>4005/4006</v>
      </c>
      <c r="L58" s="21" t="str">
        <f>VLOOKUP(A58,'Trips&amp;Operators'!$C$1:$G$99999,5,FALSE)</f>
        <v>ARVIDSON DANIEL</v>
      </c>
      <c r="M58" s="6">
        <f t="shared" si="1"/>
        <v>3.853009259182727E-2</v>
      </c>
      <c r="N58" s="7">
        <f t="shared" si="2"/>
        <v>55.483333332231268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5"/>
        <v>https://d0f6bd738d7f1b3e5a7ca70fe4ff75f0.us-east-1.aws.found.io/app/kibana#/discover/Steve-Slow-Train-Analysis-(2080s-and-2083s)?_g=(refreshInterval:(display:Off,pause:!f,section:0,value:0),time:(from:'2017-02-19T09:06:53-0700',mode:absolute,to:'2017-02-19T12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88" t="str">
        <f t="shared" si="6"/>
        <v>N</v>
      </c>
      <c r="X58" s="188">
        <f t="shared" si="7"/>
        <v>1</v>
      </c>
      <c r="Y58" s="62">
        <f t="shared" si="8"/>
        <v>23.296399999999998</v>
      </c>
      <c r="Z58" s="62">
        <f t="shared" si="9"/>
        <v>1.29E-2</v>
      </c>
      <c r="AA58" s="62">
        <f t="shared" si="10"/>
        <v>23.2835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0146-19</v>
      </c>
      <c r="AE58" s="85" t="str">
        <f t="shared" si="12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58" s="82" t="str">
        <f t="shared" si="13"/>
        <v>"C:\Program Files (x86)\AstroGrep\AstroGrep.exe" /spath="%USERPROFILE%\AppData\Local\Temp\OnboardLogs" /stypes="app*4005*20170219*" /stext=" 18:.+((SYSTEM_STATE.+slice.+state.+changed )|(ment ac)|(multiple cpu faults)|(system.+state.+changed )|(\[timeout)|(PRM\|1\|D)|(kpr)|(kdp)|(\|loc)|(penalty))"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146-19 --locoid 4005 --swversion DE.1.0.9.0 --startMP 204:232964 --initTime 2017-02-19T10:06:53 --startdatetime 2017-02-19T10:11:30 --delay 1 --endMP 204:129 --enddatetime 2017-02-19T11:06:59 --enforcementcount 0 &gt;&gt;C:\Users\stu\Documents\GitHub\eaglep3-reporting\EC\2017-02-19-refined-times.txt</v>
      </c>
      <c r="AI58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{"issue":{"subject":"","project_id":79,"tracker_id":40,"status_id":1,"priority_id":2,"assigned_to_id":23,"start_date":"2017-02-19","description":"","custom_fields":[{"id":1,"name":"Subdivision","value":"EC"},{"id":4,"name":"Milepost","value":"0.0129"},{"id":17,"name":"Train ID","value":"146-19"},{"id":16,"name":"Locomotive ID","value":"4005"},{"id":130,"name":"Impact","value":""},{"id":150,"name":"Time of Event (Mountain Time)","value":"11:06:59"},{"id":151,"name":"Denver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4005 --day 2017-02-19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511</v>
      </c>
      <c r="B59" s="7">
        <v>4025</v>
      </c>
      <c r="C59" s="21" t="s">
        <v>665</v>
      </c>
      <c r="D59" s="21" t="s">
        <v>671</v>
      </c>
      <c r="E59" s="13">
        <v>42785.39135416667</v>
      </c>
      <c r="F59" s="13">
        <v>42785.395995370367</v>
      </c>
      <c r="G59" s="7">
        <v>1</v>
      </c>
      <c r="H59" s="21" t="s">
        <v>692</v>
      </c>
      <c r="I59" s="13">
        <v>42785.421238425923</v>
      </c>
      <c r="J59" s="7">
        <v>0</v>
      </c>
      <c r="K59" s="98" t="str">
        <f t="shared" si="0"/>
        <v>4025/4026</v>
      </c>
      <c r="L59" s="21" t="str">
        <f>VLOOKUP(A59,'Trips&amp;Operators'!$C$1:$G$99999,5,FALSE)</f>
        <v>BADERTSCHER DIANE</v>
      </c>
      <c r="M59" s="6">
        <f t="shared" si="1"/>
        <v>2.5243055555620231E-2</v>
      </c>
      <c r="N59" s="7">
        <f t="shared" si="2"/>
        <v>36.350000000093132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5"/>
        <v>https://d0f6bd738d7f1b3e5a7ca70fe4ff75f0.us-east-1.aws.found.io/app/kibana#/discover/Steve-Slow-Train-Analysis-(2080s-and-2083s)?_g=(refreshInterval:(display:Off,pause:!f,section:0,value:0),time:(from:'2017-02-19T08:23:33-0700',mode:absolute,to:'2017-02-19T11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188" t="str">
        <f t="shared" si="6"/>
        <v>N</v>
      </c>
      <c r="X59" s="188">
        <f t="shared" si="7"/>
        <v>1</v>
      </c>
      <c r="Y59" s="62">
        <f t="shared" si="8"/>
        <v>4.58E-2</v>
      </c>
      <c r="Z59" s="62">
        <f t="shared" si="9"/>
        <v>23.323799999999999</v>
      </c>
      <c r="AA59" s="62">
        <f t="shared" si="10"/>
        <v>23.277999999999999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0147-19</v>
      </c>
      <c r="AE59" s="85" t="str">
        <f t="shared" si="12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59" s="82" t="str">
        <f t="shared" si="13"/>
        <v>"C:\Program Files (x86)\AstroGrep\AstroGrep.exe" /spath="%USERPROFILE%\AppData\Local\Temp\OnboardLogs" /stypes="app*4025*20170219*" /stext=" 17:.+((SYSTEM_STATE.+slice.+state.+changed )|(ment ac)|(multiple cpu faults)|(system.+state.+changed )|(\[timeout)|(PRM\|1\|D)|(kpr)|(kdp)|(\|loc)|(penalty))"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147-19 --locoid 4025 --swversion DE.1.0.9.0 --startMP 204:458 --initTime 2017-02-19T09:23:33 --startdatetime 2017-02-19T09:30:14 --delay 1 --endMP 204:233238 --enddatetime 2017-02-19T10:06:35 --enforcementcount 0 &gt;&gt;C:\Users\stu\Documents\GitHub\eaglep3-reporting\EC\2017-02-19-refined-times.txt</v>
      </c>
      <c r="AI59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{"issue":{"subject":"","project_id":79,"tracker_id":40,"status_id":1,"priority_id":2,"assigned_to_id":23,"start_date":"2017-02-19","description":"","custom_fields":[{"id":1,"name":"Subdivision","value":"EC"},{"id":4,"name":"Milepost","value":"23.3238"},{"id":17,"name":"Train ID","value":"147-19"},{"id":16,"name":"Locomotive ID","value":"4025"},{"id":130,"name":"Impact","value":""},{"id":150,"name":"Time of Event (Mountain Time)","value":"10:06:35"},{"id":151,"name":"Denver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4025 --day 2017-02-19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"%USERPROFILE%\AppData\Local\Temp\OnboardLogs"\RTDC4025\*4025*20170219* | grep -SE "(Enforcement Action)|(\[TIMEOUT)|(CHR.+\|PRM\|1\|D.+(SWITCH|SIGNAL).+UNKNOWN)" - &gt;&gt; 2017-02-19-UncaughtWiMAX.txt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425</v>
      </c>
      <c r="B60" s="7">
        <v>4026</v>
      </c>
      <c r="C60" s="21" t="s">
        <v>665</v>
      </c>
      <c r="D60" s="21" t="s">
        <v>693</v>
      </c>
      <c r="E60" s="13">
        <v>42785.427928240744</v>
      </c>
      <c r="F60" s="13">
        <v>42785.434907407405</v>
      </c>
      <c r="G60" s="7">
        <v>1</v>
      </c>
      <c r="H60" s="21" t="s">
        <v>262</v>
      </c>
      <c r="I60" s="13">
        <v>42785.481215277781</v>
      </c>
      <c r="J60" s="7">
        <v>0</v>
      </c>
      <c r="K60" s="98" t="str">
        <f t="shared" si="0"/>
        <v>4025/4026</v>
      </c>
      <c r="L60" s="21" t="str">
        <f>VLOOKUP(A60,'Trips&amp;Operators'!$C$1:$G$99999,5,FALSE)</f>
        <v>BADERTSCHER DIANE</v>
      </c>
      <c r="M60" s="6">
        <f t="shared" si="1"/>
        <v>4.6307870376040228E-2</v>
      </c>
      <c r="N60" s="7">
        <f t="shared" si="2"/>
        <v>66.683333341497928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5"/>
        <v>https://d0f6bd738d7f1b3e5a7ca70fe4ff75f0.us-east-1.aws.found.io/app/kibana#/discover/Steve-Slow-Train-Analysis-(2080s-and-2083s)?_g=(refreshInterval:(display:Off,pause:!f,section:0,value:0),time:(from:'2017-02-19T09:16:13-0700',mode:absolute,to:'2017-02-19T12:32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188" t="str">
        <f t="shared" si="6"/>
        <v>N</v>
      </c>
      <c r="X60" s="188">
        <f t="shared" si="7"/>
        <v>1</v>
      </c>
      <c r="Y60" s="62">
        <f t="shared" si="8"/>
        <v>23.291699999999999</v>
      </c>
      <c r="Z60" s="62">
        <f t="shared" si="9"/>
        <v>1.3899999999999999E-2</v>
      </c>
      <c r="AA60" s="62">
        <f t="shared" si="10"/>
        <v>23.277799999999999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0148-19</v>
      </c>
      <c r="AE60" s="85" t="str">
        <f t="shared" si="12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60" s="82" t="str">
        <f t="shared" si="13"/>
        <v>"C:\Program Files (x86)\AstroGrep\AstroGrep.exe" /spath="%USERPROFILE%\AppData\Local\Temp\OnboardLogs" /stypes="app*4026*20170219*" /stext=" 18:.+((SYSTEM_STATE.+slice.+state.+changed )|(ment ac)|(multiple cpu faults)|(system.+state.+changed )|(\[timeout)|(PRM\|1\|D)|(kpr)|(kdp)|(\|loc)|(penalty))"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148-19 --locoid 4026 --swversion DE.1.0.9.0 --startMP 204:232917 --initTime 2017-02-19T10:16:13 --startdatetime 2017-02-19T10:26:16 --delay 1 --endMP 204:139 --enddatetime 2017-02-19T11:32:57 --enforcementcount 0 &gt;&gt;C:\Users\stu\Documents\GitHub\eaglep3-reporting\EC\2017-02-19-refined-times.txt</v>
      </c>
      <c r="AI60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{"issue":{"subject":"","project_id":79,"tracker_id":40,"status_id":1,"priority_id":2,"assigned_to_id":23,"start_date":"2017-02-19","description":"","custom_fields":[{"id":1,"name":"Subdivision","value":"EC"},{"id":4,"name":"Milepost","value":"0.0139"},{"id":17,"name":"Train ID","value":"148-19"},{"id":16,"name":"Locomotive ID","value":"4026"},{"id":130,"name":"Impact","value":""},{"id":150,"name":"Time of Event (Mountain Time)","value":"11:32:57"},{"id":151,"name":"Denver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4026 --day 2017-02-19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"%USERPROFILE%\AppData\Local\Temp\OnboardLogs"\RTDC4026\*4026*20170219* | grep -SE "(Enforcement Action)|(\[TIMEOUT)|(CHR.+\|PRM\|1\|D.+(SWITCH|SIGNAL).+UNKNOWN)" - &gt;&gt; 2017-02-19-UncaughtWiMAX.txt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424</v>
      </c>
      <c r="B61" s="7">
        <v>4051</v>
      </c>
      <c r="C61" s="21" t="s">
        <v>665</v>
      </c>
      <c r="D61" s="21" t="s">
        <v>397</v>
      </c>
      <c r="E61" s="13">
        <v>42785.401087962964</v>
      </c>
      <c r="F61" s="13">
        <v>42785.406469907408</v>
      </c>
      <c r="G61" s="7">
        <v>1</v>
      </c>
      <c r="H61" s="21" t="s">
        <v>687</v>
      </c>
      <c r="I61" s="13">
        <v>42785.432303240741</v>
      </c>
      <c r="J61" s="7">
        <v>0</v>
      </c>
      <c r="K61" s="98" t="str">
        <f t="shared" si="0"/>
        <v>4051/4052</v>
      </c>
      <c r="L61" s="21" t="str">
        <f>VLOOKUP(A61,'Trips&amp;Operators'!$C$1:$G$99999,5,FALSE)</f>
        <v>HAITHCOX MICHAEL</v>
      </c>
      <c r="M61" s="6">
        <f t="shared" si="1"/>
        <v>2.5833333333139308E-2</v>
      </c>
      <c r="N61" s="7">
        <f t="shared" si="2"/>
        <v>37.199999999720603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5"/>
        <v>https://d0f6bd738d7f1b3e5a7ca70fe4ff75f0.us-east-1.aws.found.io/app/kibana#/discover/Steve-Slow-Train-Analysis-(2080s-and-2083s)?_g=(refreshInterval:(display:Off,pause:!f,section:0,value:0),time:(from:'2017-02-19T08:37:34-0700',mode:absolute,to:'2017-02-19T11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188" t="str">
        <f t="shared" si="6"/>
        <v>N</v>
      </c>
      <c r="X61" s="188">
        <f t="shared" si="7"/>
        <v>1</v>
      </c>
      <c r="Y61" s="62">
        <f t="shared" si="8"/>
        <v>4.4699999999999997E-2</v>
      </c>
      <c r="Z61" s="62">
        <f t="shared" si="9"/>
        <v>23.333400000000001</v>
      </c>
      <c r="AA61" s="62">
        <f t="shared" si="10"/>
        <v>23.288700000000002</v>
      </c>
      <c r="AB61" s="59" t="str">
        <f>VLOOKUP(A61,Enforcements!$C$7:$K$13,8,0)</f>
        <v>Bulletin (2)</v>
      </c>
      <c r="AC61" s="55" t="str">
        <f>VLOOKUP(A61,Enforcements!$C$7:$E$13,3,0)</f>
        <v>GRADE CROSSING</v>
      </c>
      <c r="AD61" s="56" t="str">
        <f t="shared" si="11"/>
        <v>0149-19</v>
      </c>
      <c r="AE61" s="85" t="str">
        <f t="shared" si="12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61" s="82" t="str">
        <f t="shared" si="13"/>
        <v>"C:\Program Files (x86)\AstroGrep\AstroGrep.exe" /spath="%USERPROFILE%\AppData\Local\Temp\OnboardLogs" /stypes="app*4051*20170219*" /stext=" 17:.+((SYSTEM_STATE.+slice.+state.+changed )|(ment ac)|(multiple cpu faults)|(system.+state.+changed )|(\[timeout)|(PRM\|1\|D)|(kpr)|(kdp)|(\|loc)|(penalty))"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149-19 --locoid 4051 --swversion DE.1.0.9.0 --startMP 204:447 --initTime 2017-02-19T09:37:34 --startdatetime 2017-02-19T09:45:19 --delay 1 --endMP 204:233334 --enddatetime 2017-02-19T10:22:31 --enforcementcount 0 &gt;&gt;C:\Users\stu\Documents\GitHub\eaglep3-reporting\EC\2017-02-19-refined-times.txt</v>
      </c>
      <c r="AI61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{"issue":{"subject":"","project_id":79,"tracker_id":40,"status_id":1,"priority_id":2,"assigned_to_id":23,"start_date":"2017-02-19","description":"","custom_fields":[{"id":1,"name":"Subdivision","value":"EC"},{"id":4,"name":"Milepost","value":"23.3334"},{"id":17,"name":"Train ID","value":"149-19"},{"id":16,"name":"Locomotive ID","value":"4051"},{"id":130,"name":"Impact","value":""},{"id":150,"name":"Time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4051 --day 2017-02-19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524</v>
      </c>
      <c r="B62" s="7">
        <v>4052</v>
      </c>
      <c r="C62" s="21" t="s">
        <v>665</v>
      </c>
      <c r="D62" s="21" t="s">
        <v>694</v>
      </c>
      <c r="E62" s="13">
        <v>42785.442754629628</v>
      </c>
      <c r="F62" s="13">
        <v>42785.445868055554</v>
      </c>
      <c r="G62" s="7">
        <v>3</v>
      </c>
      <c r="H62" s="21" t="s">
        <v>184</v>
      </c>
      <c r="I62" s="13">
        <v>42785.480821759258</v>
      </c>
      <c r="J62" s="7">
        <v>0</v>
      </c>
      <c r="K62" s="98" t="str">
        <f t="shared" si="0"/>
        <v>4051/4052</v>
      </c>
      <c r="L62" s="21" t="str">
        <f>VLOOKUP(A62,'Trips&amp;Operators'!$C$1:$G$99999,5,FALSE)</f>
        <v>HAITHCOX MICHAEL</v>
      </c>
      <c r="M62" s="6">
        <f t="shared" si="1"/>
        <v>3.4953703703649808E-2</v>
      </c>
      <c r="N62" s="7">
        <f t="shared" si="2"/>
        <v>50.333333333255723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5"/>
        <v>https://d0f6bd738d7f1b3e5a7ca70fe4ff75f0.us-east-1.aws.found.io/app/kibana#/discover/Steve-Slow-Train-Analysis-(2080s-and-2083s)?_g=(refreshInterval:(display:Off,pause:!f,section:0,value:0),time:(from:'2017-02-19T09:37:34-0700',mode:absolute,to:'2017-02-19T12:32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188" t="str">
        <f t="shared" si="6"/>
        <v>N</v>
      </c>
      <c r="X62" s="188">
        <f t="shared" si="7"/>
        <v>1</v>
      </c>
      <c r="Y62" s="62">
        <f t="shared" si="8"/>
        <v>23.300799999999999</v>
      </c>
      <c r="Z62" s="62">
        <f t="shared" si="9"/>
        <v>1.49E-2</v>
      </c>
      <c r="AA62" s="62">
        <f t="shared" si="10"/>
        <v>23.285899999999998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0150-19</v>
      </c>
      <c r="AE62" s="85" t="str">
        <f t="shared" si="12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62" s="82" t="str">
        <f t="shared" si="13"/>
        <v>"C:\Program Files (x86)\AstroGrep\AstroGrep.exe" /spath="%USERPROFILE%\AppData\Local\Temp\OnboardLogs" /stypes="app*4052*20170219*" /stext=" 18:.+((SYSTEM_STATE.+slice.+state.+changed )|(ment ac)|(multiple cpu faults)|(system.+state.+changed )|(\[timeout)|(PRM\|1\|D)|(kpr)|(kdp)|(\|loc)|(penalty))"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150-19 --locoid 4052 --swversion DE.1.0.9.0 --startMP 204:233008 --initTime 2017-02-19T10:37:34 --startdatetime 2017-02-19T10:42:03 --delay 3 --endMP 204:149 --enddatetime 2017-02-19T11:32:23 --enforcementcount 0 &gt;&gt;C:\Users\stu\Documents\GitHub\eaglep3-reporting\EC\2017-02-19-refined-times.txt</v>
      </c>
      <c r="AI62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{"issue":{"subject":"","project_id":79,"tracker_id":40,"status_id":1,"priority_id":2,"assigned_to_id":23,"start_date":"2017-02-19","description":"","custom_fields":[{"id":1,"name":"Subdivision","value":"EC"},{"id":4,"name":"Milepost","value":"0.0149"},{"id":17,"name":"Train ID","value":"150-19"},{"id":16,"name":"Locomotive ID","value":"4052"},{"id":130,"name":"Impact","value":""},{"id":150,"name":"Time of Event (Mountain Time)","value":"11:32:23"},{"id":151,"name":"Denver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4052 --day 2017-02-19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515</v>
      </c>
      <c r="B63" s="7">
        <v>4031</v>
      </c>
      <c r="C63" s="21" t="s">
        <v>665</v>
      </c>
      <c r="D63" s="21" t="s">
        <v>314</v>
      </c>
      <c r="E63" s="13">
        <v>42785.413263888891</v>
      </c>
      <c r="F63" s="13">
        <v>42785.416875000003</v>
      </c>
      <c r="G63" s="7">
        <v>1</v>
      </c>
      <c r="H63" s="21" t="s">
        <v>695</v>
      </c>
      <c r="I63" s="13">
        <v>42785.441782407404</v>
      </c>
      <c r="J63" s="7">
        <v>0</v>
      </c>
      <c r="K63" s="98" t="str">
        <f t="shared" si="0"/>
        <v>4031/4032</v>
      </c>
      <c r="L63" s="21" t="str">
        <f>VLOOKUP(A63,'Trips&amp;Operators'!$C$1:$G$99999,5,FALSE)</f>
        <v>ROBINSON KADDIBA</v>
      </c>
      <c r="M63" s="6">
        <f t="shared" si="1"/>
        <v>2.4907407401769888E-2</v>
      </c>
      <c r="N63" s="7">
        <f t="shared" si="2"/>
        <v>35.866666658548638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5"/>
        <v>https://d0f6bd738d7f1b3e5a7ca70fe4ff75f0.us-east-1.aws.found.io/app/kibana#/discover/Steve-Slow-Train-Analysis-(2080s-and-2083s)?_g=(refreshInterval:(display:Off,pause:!f,section:0,value:0),time:(from:'2017-02-19T08:55:06-0700',mode:absolute,to:'2017-02-19T11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188" t="str">
        <f t="shared" si="6"/>
        <v>N</v>
      </c>
      <c r="X63" s="188">
        <f t="shared" si="7"/>
        <v>1</v>
      </c>
      <c r="Y63" s="62">
        <f t="shared" si="8"/>
        <v>4.7100000000000003E-2</v>
      </c>
      <c r="Z63" s="62">
        <f t="shared" si="9"/>
        <v>23.3324</v>
      </c>
      <c r="AA63" s="62">
        <f t="shared" si="10"/>
        <v>23.285299999999999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0151-19</v>
      </c>
      <c r="AE63" s="85" t="str">
        <f t="shared" si="12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63" s="82" t="str">
        <f t="shared" si="13"/>
        <v>"C:\Program Files (x86)\AstroGrep\AstroGrep.exe" /spath="%USERPROFILE%\AppData\Local\Temp\OnboardLogs" /stypes="app*4031*20170219*" /stext=" 17:.+((SYSTEM_STATE.+slice.+state.+changed )|(ment ac)|(multiple cpu faults)|(system.+state.+changed )|(\[timeout)|(PRM\|1\|D)|(kpr)|(kdp)|(\|loc)|(penalty))"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151-19 --locoid 4031 --swversion DE.1.0.9.0 --startMP 204:471 --initTime 2017-02-19T09:55:06 --startdatetime 2017-02-19T10:00:18 --delay 1 --endMP 204:233324 --enddatetime 2017-02-19T10:36:10 --enforcementcount 0 &gt;&gt;C:\Users\stu\Documents\GitHub\eaglep3-reporting\EC\2017-02-19-refined-times.txt</v>
      </c>
      <c r="AI63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{"issue":{"subject":"","project_id":79,"tracker_id":40,"status_id":1,"priority_id":2,"assigned_to_id":23,"start_date":"2017-02-19","description":"","custom_fields":[{"id":1,"name":"Subdivision","value":"EC"},{"id":4,"name":"Milepost","value":"23.3324"},{"id":17,"name":"Train ID","value":"151-19"},{"id":16,"name":"Locomotive ID","value":"4031"},{"id":130,"name":"Impact","value":""},{"id":150,"name":"Time of Event (Mountain Time)","value":"10:36:10"},{"id":151,"name":"Denver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4031 --day 2017-02-19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526</v>
      </c>
      <c r="B64" s="7">
        <v>4032</v>
      </c>
      <c r="C64" s="21" t="s">
        <v>665</v>
      </c>
      <c r="D64" s="21" t="s">
        <v>670</v>
      </c>
      <c r="E64" s="13">
        <v>42785.449699074074</v>
      </c>
      <c r="F64" s="13">
        <v>42785.45579861111</v>
      </c>
      <c r="G64" s="7">
        <v>1</v>
      </c>
      <c r="H64" s="21" t="s">
        <v>207</v>
      </c>
      <c r="I64" s="13">
        <v>42785.495833333334</v>
      </c>
      <c r="J64" s="7">
        <v>0</v>
      </c>
      <c r="K64" s="98" t="str">
        <f t="shared" si="0"/>
        <v>4031/4032</v>
      </c>
      <c r="L64" s="21" t="str">
        <f>VLOOKUP(A64,'Trips&amp;Operators'!$C$1:$G$99999,5,FALSE)</f>
        <v>ROBINSON KADDIBA</v>
      </c>
      <c r="M64" s="6">
        <f t="shared" si="1"/>
        <v>4.0034722223936114E-2</v>
      </c>
      <c r="N64" s="7">
        <f t="shared" si="2"/>
        <v>57.650000002468005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5"/>
        <v>https://d0f6bd738d7f1b3e5a7ca70fe4ff75f0.us-east-1.aws.found.io/app/kibana#/discover/Steve-Slow-Train-Analysis-(2080s-and-2083s)?_g=(refreshInterval:(display:Off,pause:!f,section:0,value:0),time:(from:'2017-02-19T09:47:34-0700',mode:absolute,to:'2017-02-19T12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88" t="str">
        <f t="shared" si="6"/>
        <v>N</v>
      </c>
      <c r="X64" s="188">
        <f t="shared" si="7"/>
        <v>1</v>
      </c>
      <c r="Y64" s="62">
        <f t="shared" si="8"/>
        <v>23.298999999999999</v>
      </c>
      <c r="Z64" s="62">
        <f t="shared" si="9"/>
        <v>1.52E-2</v>
      </c>
      <c r="AA64" s="62">
        <f t="shared" si="10"/>
        <v>23.283799999999999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0152-19</v>
      </c>
      <c r="AE64" s="85" t="str">
        <f t="shared" si="12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64" s="82" t="str">
        <f t="shared" si="13"/>
        <v>"C:\Program Files (x86)\AstroGrep\AstroGrep.exe" /spath="%USERPROFILE%\AppData\Local\Temp\OnboardLogs" /stypes="app*4032*20170219*" /stext=" 18:.+((SYSTEM_STATE.+slice.+state.+changed )|(ment ac)|(multiple cpu faults)|(system.+state.+changed )|(\[timeout)|(PRM\|1\|D)|(kpr)|(kdp)|(\|loc)|(penalty))"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152-19 --locoid 4032 --swversion DE.1.0.9.0 --startMP 204:232990 --initTime 2017-02-19T10:47:34 --startdatetime 2017-02-19T10:56:21 --delay 1 --endMP 204:152 --enddatetime 2017-02-19T11:54:00 --enforcementcount 0 &gt;&gt;C:\Users\stu\Documents\GitHub\eaglep3-reporting\EC\2017-02-19-refined-times.txt</v>
      </c>
      <c r="AI64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ID","value":"152-19"},{"id":16,"name":"Locomotive ID","value":"4032"},{"id":130,"name":"Impact","value":""},{"id":150,"name":"Time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4032 --day 2017-02-19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518</v>
      </c>
      <c r="B65" s="7">
        <v>4003</v>
      </c>
      <c r="C65" s="21" t="s">
        <v>665</v>
      </c>
      <c r="D65" s="21" t="s">
        <v>259</v>
      </c>
      <c r="E65" s="13">
        <v>42785.422233796293</v>
      </c>
      <c r="F65" s="13">
        <v>42785.427303240744</v>
      </c>
      <c r="G65" s="7">
        <v>1</v>
      </c>
      <c r="H65" s="21" t="s">
        <v>401</v>
      </c>
      <c r="I65" s="13">
        <v>42785.459907407407</v>
      </c>
      <c r="J65" s="7">
        <v>0</v>
      </c>
      <c r="K65" s="98" t="str">
        <f t="shared" si="0"/>
        <v>4003/4004</v>
      </c>
      <c r="L65" s="21" t="str">
        <f>VLOOKUP(A65,'Trips&amp;Operators'!$C$1:$G$99999,5,FALSE)</f>
        <v>GEBRETEKLE DAGNEW</v>
      </c>
      <c r="M65" s="6">
        <f t="shared" si="1"/>
        <v>3.2604166663077194E-2</v>
      </c>
      <c r="N65" s="7">
        <f t="shared" si="2"/>
        <v>46.94999999483116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5"/>
        <v>https://d0f6bd738d7f1b3e5a7ca70fe4ff75f0.us-east-1.aws.found.io/app/kibana#/discover/Steve-Slow-Train-Analysis-(2080s-and-2083s)?_g=(refreshInterval:(display:Off,pause:!f,section:0,value:0),time:(from:'2017-02-19T09:08:01-0700',mode:absolute,to:'2017-02-19T12:02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88" t="str">
        <f t="shared" si="6"/>
        <v>N</v>
      </c>
      <c r="X65" s="188">
        <f t="shared" si="7"/>
        <v>1</v>
      </c>
      <c r="Y65" s="62">
        <f t="shared" si="8"/>
        <v>4.4600000000000001E-2</v>
      </c>
      <c r="Z65" s="62">
        <f t="shared" si="9"/>
        <v>23.330400000000001</v>
      </c>
      <c r="AA65" s="62">
        <f t="shared" si="10"/>
        <v>23.285800000000002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0153-19</v>
      </c>
      <c r="AE65" s="85" t="str">
        <f t="shared" si="12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65" s="82" t="str">
        <f t="shared" si="13"/>
        <v>"C:\Program Files (x86)\AstroGrep\AstroGrep.exe" /spath="%USERPROFILE%\AppData\Local\Temp\OnboardLogs" /stypes="app*4003*20170219*" /stext=" 18:.+((SYSTEM_STATE.+slice.+state.+changed )|(ment ac)|(multiple cpu faults)|(system.+state.+changed )|(\[timeout)|(PRM\|1\|D)|(kpr)|(kdp)|(\|loc)|(penalty))"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153-19 --locoid 4003 --swversion DE.1.0.9.0 --startMP 204:446 --initTime 2017-02-19T10:08:01 --startdatetime 2017-02-19T10:15:19 --delay 1 --endMP 204:233304 --enddatetime 2017-02-19T11:02:16 --enforcementcount 0 &gt;&gt;C:\Users\stu\Documents\GitHub\eaglep3-reporting\EC\2017-02-19-refined-times.txt</v>
      </c>
      <c r="AI65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{"issue":{"subject":"","project_id":79,"tracker_id":40,"status_id":1,"priority_id":2,"assigned_to_id":23,"start_date":"2017-02-19","description":"","custom_fields":[{"id":1,"name":"Subdivision","value":"EC"},{"id":4,"name":"Milepost","value":"23.3304"},{"id":17,"name":"Train ID","value":"153-19"},{"id":16,"name":"Locomotive ID","value":"4003"},{"id":130,"name":"Impact","value":""},{"id":150,"name":"Time of Event (Mountain Time)","value":"11:02:16"},{"id":151,"name":"Denver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4003 --day 2017-02-19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528</v>
      </c>
      <c r="B66" s="7">
        <v>4004</v>
      </c>
      <c r="C66" s="21" t="s">
        <v>665</v>
      </c>
      <c r="D66" s="21" t="s">
        <v>682</v>
      </c>
      <c r="E66" s="13">
        <v>42785.46162037037</v>
      </c>
      <c r="F66" s="13">
        <v>42785.466145833336</v>
      </c>
      <c r="G66" s="7">
        <v>1</v>
      </c>
      <c r="H66" s="21" t="s">
        <v>184</v>
      </c>
      <c r="I66" s="13">
        <v>42785.500439814816</v>
      </c>
      <c r="J66" s="7">
        <v>0</v>
      </c>
      <c r="K66" s="98" t="str">
        <f t="shared" si="0"/>
        <v>4003/4004</v>
      </c>
      <c r="L66" s="21" t="str">
        <f>VLOOKUP(A66,'Trips&amp;Operators'!$C$1:$G$99999,5,FALSE)</f>
        <v>GEBRETEKLE DAGNEW</v>
      </c>
      <c r="M66" s="6">
        <f t="shared" si="1"/>
        <v>3.4293981480004732E-2</v>
      </c>
      <c r="N66" s="7">
        <f t="shared" si="2"/>
        <v>49.383333331206813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5"/>
        <v>https://d0f6bd738d7f1b3e5a7ca70fe4ff75f0.us-east-1.aws.found.io/app/kibana#/discover/Steve-Slow-Train-Analysis-(2080s-and-2083s)?_g=(refreshInterval:(display:Off,pause:!f,section:0,value:0),time:(from:'2017-02-19T10:04:44-0700',mode:absolute,to:'2017-02-19T13:00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6" s="188" t="str">
        <f t="shared" si="6"/>
        <v>N</v>
      </c>
      <c r="X66" s="188">
        <f t="shared" si="7"/>
        <v>1</v>
      </c>
      <c r="Y66" s="62">
        <f t="shared" si="8"/>
        <v>23.303000000000001</v>
      </c>
      <c r="Z66" s="62">
        <f t="shared" si="9"/>
        <v>1.49E-2</v>
      </c>
      <c r="AA66" s="62">
        <f t="shared" si="10"/>
        <v>23.2881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0154-19</v>
      </c>
      <c r="AE66" s="85" t="str">
        <f t="shared" si="12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66" s="82" t="str">
        <f t="shared" si="13"/>
        <v>"C:\Program Files (x86)\AstroGrep\AstroGrep.exe" /spath="%USERPROFILE%\AppData\Local\Temp\OnboardLogs" /stypes="app*4004*20170219*" /stext=" 19:.+((SYSTEM_STATE.+slice.+state.+changed )|(ment ac)|(multiple cpu faults)|(system.+state.+changed )|(\[timeout)|(PRM\|1\|D)|(kpr)|(kdp)|(\|loc)|(penalty))"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154-19 --locoid 4004 --swversion DE.1.0.9.0 --startMP 204:233030 --initTime 2017-02-19T11:04:44 --startdatetime 2017-02-19T11:11:15 --delay 1 --endMP 204:149 --enddatetime 2017-02-19T12:00:38 --enforcementcount 0 &gt;&gt;C:\Users\stu\Documents\GitHub\eaglep3-reporting\EC\2017-02-19-refined-times.txt</v>
      </c>
      <c r="AI6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{"issue":{"subject":"","project_id":79,"tracker_id":40,"status_id":1,"priority_id":2,"assigned_to_id":23,"start_date":"2017-02-19","description":"","custom_fields":[{"id":1,"name":"Subdivision","value":"EC"},{"id":4,"name":"Milepost","value":"0.0149"},{"id":17,"name":"Train ID","value":"154-19"},{"id":16,"name":"Locomotive ID","value":"4004"},{"id":130,"name":"Impact","value":""},{"id":150,"name":"Time of Event (Mountain Time)","value":"12:00:38"},{"id":151,"name":"Denver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4004 --day 2017-02-19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"%USERPROFILE%\AppData\Local\Temp\OnboardLogs"\RTDC4004\*4004*20170219* | grep -SE "(Enforcement Action)|(\[TIMEOUT)|(CHR.+\|PRM\|1\|D.+(SWITCH|SIGNAL).+UNKNOWN)" - &gt;&gt; 2017-02-19-UncaughtWiMAX.txt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519</v>
      </c>
      <c r="B67" s="7">
        <v>4016</v>
      </c>
      <c r="C67" s="21" t="s">
        <v>665</v>
      </c>
      <c r="D67" s="21" t="s">
        <v>228</v>
      </c>
      <c r="E67" s="13">
        <v>42785.433703703704</v>
      </c>
      <c r="F67" s="13">
        <v>42785.439826388887</v>
      </c>
      <c r="G67" s="7">
        <v>2</v>
      </c>
      <c r="H67" s="21" t="s">
        <v>403</v>
      </c>
      <c r="I67" s="13">
        <v>42785.4684375</v>
      </c>
      <c r="J67" s="7">
        <v>0</v>
      </c>
      <c r="K67" s="98" t="str">
        <f t="shared" si="0"/>
        <v>4015/4016</v>
      </c>
      <c r="L67" s="21" t="str">
        <f>VLOOKUP(A67,'Trips&amp;Operators'!$C$1:$G$99999,5,FALSE)</f>
        <v>ROMERO CHAD</v>
      </c>
      <c r="M67" s="6">
        <f t="shared" si="1"/>
        <v>2.8611111112695653E-2</v>
      </c>
      <c r="N67" s="7">
        <f t="shared" si="2"/>
        <v>41.20000000228174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5"/>
        <v>https://d0f6bd738d7f1b3e5a7ca70fe4ff75f0.us-east-1.aws.found.io/app/kibana#/discover/Steve-Slow-Train-Analysis-(2080s-and-2083s)?_g=(refreshInterval:(display:Off,pause:!f,section:0,value:0),time:(from:'2017-02-19T09:24:32-0700',mode:absolute,to:'2017-02-19T12:14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88" t="str">
        <f t="shared" si="6"/>
        <v>N</v>
      </c>
      <c r="X67" s="188">
        <f t="shared" si="7"/>
        <v>1</v>
      </c>
      <c r="Y67" s="62">
        <f t="shared" si="8"/>
        <v>4.5699999999999998E-2</v>
      </c>
      <c r="Z67" s="62">
        <f t="shared" si="9"/>
        <v>23.330300000000001</v>
      </c>
      <c r="AA67" s="62">
        <f t="shared" si="10"/>
        <v>23.284600000000001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0155-19</v>
      </c>
      <c r="AE67" s="85" t="str">
        <f t="shared" si="12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67" s="82" t="str">
        <f t="shared" si="13"/>
        <v>"C:\Program Files (x86)\AstroGrep\AstroGrep.exe" /spath="%USERPROFILE%\AppData\Local\Temp\OnboardLogs" /stypes="app*4016*20170219*" /stext=" 18:.+((SYSTEM_STATE.+slice.+state.+changed )|(ment ac)|(multiple cpu faults)|(system.+state.+changed )|(\[timeout)|(PRM\|1\|D)|(kpr)|(kdp)|(\|loc)|(penalty))"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155-19 --locoid 4016 --swversion DE.1.0.9.0 --startMP 204:457 --initTime 2017-02-19T10:24:32 --startdatetime 2017-02-19T10:33:21 --delay 2 --endMP 204:233303 --enddatetime 2017-02-19T11:14:33 --enforcementcount 0 &gt;&gt;C:\Users\stu\Documents\GitHub\eaglep3-reporting\EC\2017-02-19-refined-times.txt</v>
      </c>
      <c r="AI67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{"issue":{"subject":"","project_id":79,"tracker_id":40,"status_id":1,"priority_id":2,"assigned_to_id":23,"start_date":"2017-02-19","description":"","custom_fields":[{"id":1,"name":"Subdivision","value":"EC"},{"id":4,"name":"Milepost","value":"23.3303"},{"id":17,"name":"Train ID","value":"155-19"},{"id":16,"name":"Locomotive ID","value":"4016"},{"id":130,"name":"Impact","value":""},{"id":150,"name":"Time of Event (Mountain Time)","value":"11:14:33"},{"id":151,"name":"Denver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4016 --day 2017-02-19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428</v>
      </c>
      <c r="B68" s="7">
        <v>4015</v>
      </c>
      <c r="C68" s="21" t="s">
        <v>665</v>
      </c>
      <c r="D68" s="21" t="s">
        <v>265</v>
      </c>
      <c r="E68" s="13">
        <v>42785.469907407409</v>
      </c>
      <c r="F68" s="13">
        <v>42785.476574074077</v>
      </c>
      <c r="G68" s="7">
        <v>1</v>
      </c>
      <c r="H68" s="21" t="s">
        <v>408</v>
      </c>
      <c r="I68" s="13">
        <v>42785.505833333336</v>
      </c>
      <c r="J68" s="7">
        <v>0</v>
      </c>
      <c r="K68" s="98" t="str">
        <f t="shared" si="0"/>
        <v>4015/4016</v>
      </c>
      <c r="L68" s="21" t="str">
        <f>VLOOKUP(A68,'Trips&amp;Operators'!$C$1:$G$99999,5,FALSE)</f>
        <v>ROMERO CHAD</v>
      </c>
      <c r="M68" s="6">
        <f t="shared" si="1"/>
        <v>2.9259259259561077E-2</v>
      </c>
      <c r="N68" s="7">
        <f t="shared" si="2"/>
        <v>42.133333333767951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5"/>
        <v>https://d0f6bd738d7f1b3e5a7ca70fe4ff75f0.us-east-1.aws.found.io/app/kibana#/discover/Steve-Slow-Train-Analysis-(2080s-and-2083s)?_g=(refreshInterval:(display:Off,pause:!f,section:0,value:0),time:(from:'2017-02-19T10:16:40-0700',mode:absolute,to:'2017-02-19T13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88" t="str">
        <f t="shared" si="6"/>
        <v>N</v>
      </c>
      <c r="X68" s="188">
        <f t="shared" si="7"/>
        <v>1</v>
      </c>
      <c r="Y68" s="62">
        <f t="shared" si="8"/>
        <v>23.297699999999999</v>
      </c>
      <c r="Z68" s="62">
        <f t="shared" si="9"/>
        <v>1.2500000000000001E-2</v>
      </c>
      <c r="AA68" s="62">
        <f t="shared" si="10"/>
        <v>23.2852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11"/>
        <v>0156-19</v>
      </c>
      <c r="AE68" s="85" t="str">
        <f t="shared" si="12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68" s="82" t="str">
        <f t="shared" si="13"/>
        <v>"C:\Program Files (x86)\AstroGrep\AstroGrep.exe" /spath="%USERPROFILE%\AppData\Local\Temp\OnboardLogs" /stypes="app*4015*20170219*" /stext=" 19:.+((SYSTEM_STATE.+slice.+state.+changed )|(ment ac)|(multiple cpu faults)|(system.+state.+changed )|(\[timeout)|(PRM\|1\|D)|(kpr)|(kdp)|(\|loc)|(penalty))"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156-19 --locoid 4015 --swversion DE.1.0.9.0 --startMP 204:232977 --initTime 2017-02-19T11:16:40 --startdatetime 2017-02-19T11:26:16 --delay 1 --endMP 204:125 --enddatetime 2017-02-19T12:08:24 --enforcementcount 0 &gt;&gt;C:\Users\stu\Documents\GitHub\eaglep3-reporting\EC\2017-02-19-refined-times.txt</v>
      </c>
      <c r="AI68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{"issue":{"subject":"","project_id":79,"tracker_id":40,"status_id":1,"priority_id":2,"assigned_to_id":23,"start_date":"2017-02-19","description":"","custom_fields":[{"id":1,"name":"Subdivision","value":"EC"},{"id":4,"name":"Milepost","value":"0.0125"},{"id":17,"name":"Train ID","value":"156-19"},{"id":16,"name":"Locomotive ID","value":"4015"},{"id":130,"name":"Impact","value":""},{"id":150,"name":"Time of Event (Mountain Time)","value":"12:08:24"},{"id":151,"name":"Denver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4015 --day 2017-02-19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525</v>
      </c>
      <c r="B69" s="7">
        <v>4044</v>
      </c>
      <c r="C69" s="21" t="s">
        <v>665</v>
      </c>
      <c r="D69" s="21" t="s">
        <v>299</v>
      </c>
      <c r="E69" s="13">
        <v>42785.444606481484</v>
      </c>
      <c r="F69" s="13">
        <v>42785.448078703703</v>
      </c>
      <c r="G69" s="7">
        <v>3</v>
      </c>
      <c r="H69" s="21" t="s">
        <v>672</v>
      </c>
      <c r="I69" s="13">
        <v>42785.484375</v>
      </c>
      <c r="J69" s="7">
        <v>0</v>
      </c>
      <c r="K69" s="98" t="str">
        <f t="shared" si="0"/>
        <v>4043/4044</v>
      </c>
      <c r="L69" s="21" t="str">
        <f>VLOOKUP(A69,'Trips&amp;Operators'!$C$1:$G$99999,5,FALSE)</f>
        <v>SHOOK JOHN</v>
      </c>
      <c r="M69" s="6">
        <f t="shared" si="1"/>
        <v>3.6296296297223307E-2</v>
      </c>
      <c r="N69" s="7">
        <f t="shared" si="2"/>
        <v>52.266666668001562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5"/>
        <v>https://d0f6bd738d7f1b3e5a7ca70fe4ff75f0.us-east-1.aws.found.io/app/kibana#/discover/Steve-Slow-Train-Analysis-(2080s-and-2083s)?_g=(refreshInterval:(display:Off,pause:!f,section:0,value:0),time:(from:'2017-02-19T09:40:14-0700',mode:absolute,to:'2017-02-19T12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88" t="str">
        <f t="shared" si="6"/>
        <v>N</v>
      </c>
      <c r="X69" s="188">
        <f t="shared" si="7"/>
        <v>1</v>
      </c>
      <c r="Y69" s="62">
        <f t="shared" si="8"/>
        <v>4.7699999999999999E-2</v>
      </c>
      <c r="Z69" s="62">
        <f t="shared" si="9"/>
        <v>23.3325</v>
      </c>
      <c r="AA69" s="62">
        <f t="shared" si="10"/>
        <v>23.284800000000001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0157-19</v>
      </c>
      <c r="AE69" s="85" t="str">
        <f t="shared" si="12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69" s="82" t="str">
        <f t="shared" si="13"/>
        <v>"C:\Program Files (x86)\AstroGrep\AstroGrep.exe" /spath="%USERPROFILE%\AppData\Local\Temp\OnboardLogs" /stypes="app*4044*20170219*" /stext=" 18:.+((SYSTEM_STATE.+slice.+state.+changed )|(ment ac)|(multiple cpu faults)|(system.+state.+changed )|(\[timeout)|(PRM\|1\|D)|(kpr)|(kdp)|(\|loc)|(penalty))"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157-19 --locoid 4044 --swversion DE.1.0.9.0 --startMP 204:477 --initTime 2017-02-19T10:40:14 --startdatetime 2017-02-19T10:45:14 --delay 3 --endMP 204:233325 --enddatetime 2017-02-19T11:37:30 --enforcementcount 0 &gt;&gt;C:\Users\stu\Documents\GitHub\eaglep3-reporting\EC\2017-02-19-refined-times.txt</v>
      </c>
      <c r="AI69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{"issue":{"subject":"","project_id":79,"tracker_id":40,"status_id":1,"priority_id":2,"assigned_to_id":23,"start_date":"2017-02-19","description":"","custom_fields":[{"id":1,"name":"Subdivision","value":"EC"},{"id":4,"name":"Milepost","value":"23.3325"},{"id":17,"name":"Train ID","value":"157-19"},{"id":16,"name":"Locomotive ID","value":"4044"},{"id":130,"name":"Impact","value":""},{"id":150,"name":"Time of Event (Mountain Time)","value":"11:37:30"},{"id":151,"name":"Denver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4044 --day 2017-02-19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427</v>
      </c>
      <c r="B70" s="7">
        <v>4043</v>
      </c>
      <c r="C70" s="21" t="s">
        <v>665</v>
      </c>
      <c r="D70" s="21" t="s">
        <v>362</v>
      </c>
      <c r="E70" s="13">
        <v>42785.485983796294</v>
      </c>
      <c r="F70" s="13">
        <v>42785.487187500003</v>
      </c>
      <c r="G70" s="7">
        <v>0</v>
      </c>
      <c r="H70" s="21" t="s">
        <v>301</v>
      </c>
      <c r="I70" s="13">
        <v>42785.519050925926</v>
      </c>
      <c r="J70" s="7">
        <v>0</v>
      </c>
      <c r="K70" s="98" t="str">
        <f t="shared" si="0"/>
        <v>4043/4044</v>
      </c>
      <c r="L70" s="21" t="str">
        <f>VLOOKUP(A70,'Trips&amp;Operators'!$C$1:$G$99999,5,FALSE)</f>
        <v>SHOOK JOHN</v>
      </c>
      <c r="M70" s="6">
        <f t="shared" si="1"/>
        <v>3.1863425923802424E-2</v>
      </c>
      <c r="N70" s="7">
        <f t="shared" si="2"/>
        <v>45.883333330275491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5"/>
        <v>https://d0f6bd738d7f1b3e5a7ca70fe4ff75f0.us-east-1.aws.found.io/app/kibana#/discover/Steve-Slow-Train-Analysis-(2080s-and-2083s)?_g=(refreshInterval:(display:Off,pause:!f,section:0,value:0),time:(from:'2017-02-19T10:39:49-0700',mode:absolute,to:'2017-02-19T13:27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88" t="str">
        <f t="shared" si="6"/>
        <v>N</v>
      </c>
      <c r="X70" s="188">
        <f t="shared" si="7"/>
        <v>1</v>
      </c>
      <c r="Y70" s="62">
        <f t="shared" si="8"/>
        <v>23.301500000000001</v>
      </c>
      <c r="Z70" s="62">
        <f t="shared" si="9"/>
        <v>1.38E-2</v>
      </c>
      <c r="AA70" s="62">
        <f t="shared" si="10"/>
        <v>23.287700000000001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0158-19</v>
      </c>
      <c r="AE70" s="85" t="str">
        <f t="shared" si="12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70" s="82" t="str">
        <f t="shared" si="13"/>
        <v>"C:\Program Files (x86)\AstroGrep\AstroGrep.exe" /spath="%USERPROFILE%\AppData\Local\Temp\OnboardLogs" /stypes="app*4043*20170219*" /stext=" 19:.+((SYSTEM_STATE.+slice.+state.+changed )|(ment ac)|(multiple cpu faults)|(system.+state.+changed )|(\[timeout)|(PRM\|1\|D)|(kpr)|(kdp)|(\|loc)|(penalty))"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158-19 --locoid 4043 --swversion DE.1.0.9.0 --startMP 204:233015 --initTime 2017-02-19T11:39:49 --startdatetime 2017-02-19T11:41:33 --delay 0 --endMP 204:138 --enddatetime 2017-02-19T12:27:26 --enforcementcount 0 &gt;&gt;C:\Users\stu\Documents\GitHub\eaglep3-reporting\EC\2017-02-19-refined-times.txt</v>
      </c>
      <c r="AI70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{"issue":{"subject":"","project_id":79,"tracker_id":40,"status_id":1,"priority_id":2,"assigned_to_id":23,"start_date":"2017-02-19","description":"","custom_fields":[{"id":1,"name":"Subdivision","value":"EC"},{"id":4,"name":"Milepost","value":"0.0138"},{"id":17,"name":"Train ID","value":"158-19"},{"id":16,"name":"Locomotive ID","value":"4043"},{"id":130,"name":"Impact","value":""},{"id":150,"name":"Time of Event (Mountain Time)","value":"12:27:26"},{"id":151,"name":"Denver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4043 --day 2017-02-19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"%USERPROFILE%\AppData\Local\Temp\OnboardLogs"\RTDC4043\*4043*20170219* | grep -SE "(Enforcement Action)|(\[TIMEOUT)|(CHR.+\|PRM\|1\|D.+(SWITCH|SIGNAL).+UNKNOWN)" - &gt;&gt; 2017-02-19-UncaughtWiMAX.txt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426</v>
      </c>
      <c r="B71" s="7">
        <v>4006</v>
      </c>
      <c r="C71" s="21" t="s">
        <v>665</v>
      </c>
      <c r="D71" s="21" t="s">
        <v>671</v>
      </c>
      <c r="E71" s="13">
        <v>42785.467395833337</v>
      </c>
      <c r="F71" s="13">
        <v>42785.471759259257</v>
      </c>
      <c r="G71" s="7">
        <v>1</v>
      </c>
      <c r="H71" s="21" t="s">
        <v>696</v>
      </c>
      <c r="I71" s="13">
        <v>42785.483171296299</v>
      </c>
      <c r="J71" s="7">
        <v>0</v>
      </c>
      <c r="K71" s="98" t="str">
        <f t="shared" si="0"/>
        <v>4005/4006</v>
      </c>
      <c r="L71" s="21" t="str">
        <f>VLOOKUP(A71,'Trips&amp;Operators'!$C$1:$G$99999,5,FALSE)</f>
        <v>STEWART MICHAEL</v>
      </c>
      <c r="M71" s="6">
        <f t="shared" si="1"/>
        <v>1.1412037041736767E-2</v>
      </c>
      <c r="N71" s="7"/>
      <c r="O71" s="7"/>
      <c r="P71" s="7">
        <f t="shared" si="2"/>
        <v>16.433333340100944</v>
      </c>
      <c r="Q71" s="22"/>
      <c r="R71" s="22" t="s">
        <v>836</v>
      </c>
      <c r="S71" s="31">
        <f t="shared" si="3"/>
        <v>0.58333333333333337</v>
      </c>
      <c r="T71" s="46" t="str">
        <f t="shared" si="4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7</v>
      </c>
      <c r="V71" s="187" t="str">
        <f t="shared" si="5"/>
        <v>https://d0f6bd738d7f1b3e5a7ca70fe4ff75f0.us-east-1.aws.found.io/app/kibana#/discover/Steve-Slow-Train-Analysis-(2080s-and-2083s)?_g=(refreshInterval:(display:Off,pause:!f,section:0,value:0),time:(from:'2017-02-19T10:13:03-0700',mode:absolute,to:'2017-02-19T12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188" t="str">
        <f t="shared" si="6"/>
        <v>Y</v>
      </c>
      <c r="X71" s="188">
        <f t="shared" si="7"/>
        <v>3</v>
      </c>
      <c r="Y71" s="62">
        <f t="shared" si="8"/>
        <v>4.58E-2</v>
      </c>
      <c r="Z71" s="62">
        <f t="shared" si="9"/>
        <v>5.8573000000000004</v>
      </c>
      <c r="AA71" s="62">
        <f t="shared" si="10"/>
        <v>5.8115000000000006</v>
      </c>
      <c r="AB71" s="59" t="str">
        <f>VLOOKUP(A71,Enforcements!$C$7:$K$13,8,0)</f>
        <v>Bulletin (2)</v>
      </c>
      <c r="AC71" s="55" t="str">
        <f>VLOOKUP(A71,Enforcements!$C$7:$E$13,3,0)</f>
        <v>GRADE CROSSING</v>
      </c>
      <c r="AD71" s="56" t="str">
        <f t="shared" si="11"/>
        <v>0161-19</v>
      </c>
      <c r="AE71" s="85" t="str">
        <f t="shared" si="12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71" s="82" t="str">
        <f t="shared" si="13"/>
        <v>"C:\Program Files (x86)\AstroGrep\AstroGrep.exe" /spath="%USERPROFILE%\AppData\Local\Temp\OnboardLogs" /stypes="app*4006*20170219*" /stext=" 18:.+((SYSTEM_STATE.+slice.+state.+changed )|(ment ac)|(multiple cpu faults)|(system.+state.+changed )|(\[timeout)|(PRM\|1\|D)|(kpr)|(kdp)|(\|loc)|(penalty))"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161-19 --locoid 4006 --swversion DE.1.0.9.0 --startMP 204:458 --initTime 2017-02-19T11:13:03 --startdatetime 2017-02-19T11:19:20 --delay 1 --endMP 204:58573 --enddatetime 2017-02-19T11:35:46 --enforcementcount 0 &gt;&gt;C:\Users\stu\Documents\GitHub\eaglep3-reporting\EC\2017-02-19-refined-times.txt</v>
      </c>
      <c r="AI71" s="108" t="str">
        <f t="shared" si="19"/>
        <v>echo {"issue":{"subject":"Mistakenly thought NB Quebec XING not enforced by PTC","project_id":79,"tracker_id":40,"status_id":1,"priority_id":2,"assigned_to_id":23,"start_date":"2017-02-19","description":"Log entries show that XING was protected
CHR :2017/02/19 18:34:25.491:VETMS_CHM_RECORDER:2017/02/19|18:34:25.491|13|PRM|1|D|XING ACTIVATION FAILURE AT MP 5.8117    PRESS KEY IF CROSSING IS PROTECTED
CHR :2017/02/19 18:35:11.491:VETMS_CHM_RECORDER:2017/02/19|18:35:11.491|13|PRM|1|D|XING ACTIVATION FAILURE AT MP 5.8783    PRESS KEY IF CROSSING IS PROTECTED
","custom_fields":[{"id":1,"name":"Subdivision","value":"EC"},{"id":4,"name":"Milepost","value":"5.8573"},{"id":17,"name":"Train ID","value":"161-19"},{"id":16,"name":"Locomotive ID","value":"4006"},{"id":130,"name":"Impact","value":""},{"id":150,"name":"Time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195" t="s">
        <v>837</v>
      </c>
      <c r="AK71" s="48"/>
      <c r="AL71" s="48"/>
      <c r="AM71" s="154" t="str">
        <f t="shared" si="20"/>
        <v>start /low /b %USERPROFILE%\Documents\GitHub\eaglep3\Utilities\DownloadLogsFromS3.py --loco 4006 --day 2017-02-19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544</v>
      </c>
      <c r="B72" s="7">
        <v>4005</v>
      </c>
      <c r="C72" s="21" t="s">
        <v>665</v>
      </c>
      <c r="D72" s="21" t="s">
        <v>356</v>
      </c>
      <c r="E72" s="13">
        <v>42785.506377314814</v>
      </c>
      <c r="F72" s="13">
        <v>42785.508009259262</v>
      </c>
      <c r="G72" s="7">
        <v>1</v>
      </c>
      <c r="H72" s="21" t="s">
        <v>297</v>
      </c>
      <c r="I72" s="13">
        <v>42785.536724537036</v>
      </c>
      <c r="J72" s="7">
        <v>0</v>
      </c>
      <c r="K72" s="98" t="str">
        <f t="shared" si="0"/>
        <v>4005/4006</v>
      </c>
      <c r="L72" s="21" t="str">
        <f>VLOOKUP(A72,'Trips&amp;Operators'!$C$1:$G$99999,5,FALSE)</f>
        <v>STEWART MICHAEL</v>
      </c>
      <c r="M72" s="6">
        <f t="shared" si="1"/>
        <v>2.8715277774608694E-2</v>
      </c>
      <c r="N72" s="7">
        <f t="shared" si="2"/>
        <v>41.349999995436519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5"/>
        <v>https://d0f6bd738d7f1b3e5a7ca70fe4ff75f0.us-east-1.aws.found.io/app/kibana#/discover/Steve-Slow-Train-Analysis-(2080s-and-2083s)?_g=(refreshInterval:(display:Off,pause:!f,section:0,value:0),time:(from:'2017-02-19T11:09:11-0700',mode:absolute,to:'2017-02-19T13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188" t="str">
        <f t="shared" si="6"/>
        <v>N</v>
      </c>
      <c r="X72" s="188">
        <f t="shared" si="7"/>
        <v>1</v>
      </c>
      <c r="Y72" s="62">
        <f t="shared" si="8"/>
        <v>23.296700000000001</v>
      </c>
      <c r="Z72" s="62">
        <f t="shared" si="9"/>
        <v>1.47E-2</v>
      </c>
      <c r="AA72" s="62">
        <f t="shared" si="10"/>
        <v>23.282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0162-19</v>
      </c>
      <c r="AE72" s="85" t="str">
        <f t="shared" si="12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72" s="82" t="str">
        <f t="shared" si="13"/>
        <v>"C:\Program Files (x86)\AstroGrep\AstroGrep.exe" /spath="%USERPROFILE%\AppData\Local\Temp\OnboardLogs" /stypes="app*4005*20170219*" /stext=" 19:.+((SYSTEM_STATE.+slice.+state.+changed )|(ment ac)|(multiple cpu faults)|(system.+state.+changed )|(\[timeout)|(PRM\|1\|D)|(kpr)|(kdp)|(\|loc)|(penalty))"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162-19 --locoid 4005 --swversion DE.1.0.9.0 --startMP 204:232967 --initTime 2017-02-19T12:09:11 --startdatetime 2017-02-19T12:11:32 --delay 1 --endMP 204:147 --enddatetime 2017-02-19T12:52:53 --enforcementcount 0 &gt;&gt;C:\Users\stu\Documents\GitHub\eaglep3-reporting\EC\2017-02-19-refined-times.txt</v>
      </c>
      <c r="AI72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{"issue":{"subject":"","project_id":79,"tracker_id":40,"status_id":1,"priority_id":2,"assigned_to_id":23,"start_date":"2017-02-19","description":"","custom_fields":[{"id":1,"name":"Subdivision","value":"EC"},{"id":4,"name":"Milepost","value":"0.0147"},{"id":17,"name":"Train ID","value":"162-19"},{"id":16,"name":"Locomotive ID","value":"4005"},{"id":130,"name":"Impact","value":""},{"id":150,"name":"Time of Event (Mountain Time)","value":"12:52:53"},{"id":151,"name":"Denver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4005 --day 2017-02-19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538</v>
      </c>
      <c r="B73" s="7">
        <v>4025</v>
      </c>
      <c r="C73" s="21" t="s">
        <v>665</v>
      </c>
      <c r="D73" s="21" t="s">
        <v>697</v>
      </c>
      <c r="E73" s="13">
        <v>42785.495567129627</v>
      </c>
      <c r="F73" s="13">
        <v>42785.496967592589</v>
      </c>
      <c r="G73" s="7">
        <v>1</v>
      </c>
      <c r="H73" s="21" t="s">
        <v>698</v>
      </c>
      <c r="I73" s="13">
        <v>42785.522777777776</v>
      </c>
      <c r="J73" s="7">
        <v>0</v>
      </c>
      <c r="K73" s="98" t="str">
        <f t="shared" si="0"/>
        <v>4025/4026</v>
      </c>
      <c r="L73" s="21" t="str">
        <f>VLOOKUP(A73,'Trips&amp;Operators'!$C$1:$G$99999,5,FALSE)</f>
        <v>DAVIS MICHAEL</v>
      </c>
      <c r="M73" s="6">
        <f t="shared" si="1"/>
        <v>2.5810185186855961E-2</v>
      </c>
      <c r="N73" s="7"/>
      <c r="O73" s="7"/>
      <c r="P73" s="7">
        <f t="shared" si="2"/>
        <v>37.166666669072583</v>
      </c>
      <c r="Q73" s="22"/>
      <c r="R73" s="22" t="s">
        <v>838</v>
      </c>
      <c r="S73" s="31">
        <f t="shared" si="3"/>
        <v>1</v>
      </c>
      <c r="T73" s="46" t="str">
        <f t="shared" si="4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5"/>
        <v>https://d0f6bd738d7f1b3e5a7ca70fe4ff75f0.us-east-1.aws.found.io/app/kibana#/discover/Steve-Slow-Train-Analysis-(2080s-and-2083s)?_g=(refreshInterval:(display:Off,pause:!f,section:0,value:0),time:(from:'2017-02-19T10:53:37-0700',mode:absolute,to:'2017-02-19T13:32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188" t="str">
        <f t="shared" si="6"/>
        <v>Y</v>
      </c>
      <c r="X73" s="188">
        <f t="shared" si="7"/>
        <v>1</v>
      </c>
      <c r="Y73" s="62">
        <f t="shared" si="8"/>
        <v>1.9120999999999999</v>
      </c>
      <c r="Z73" s="62">
        <f t="shared" si="9"/>
        <v>23.339500000000001</v>
      </c>
      <c r="AA73" s="62">
        <f t="shared" si="10"/>
        <v>21.427400000000002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0163-19</v>
      </c>
      <c r="AE73" s="85" t="str">
        <f t="shared" si="12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73" s="82" t="str">
        <f t="shared" si="13"/>
        <v>"C:\Program Files (x86)\AstroGrep\AstroGrep.exe" /spath="%USERPROFILE%\AppData\Local\Temp\OnboardLogs" /stypes="app*4025*20170219*" /stext=" 19:.+((SYSTEM_STATE.+slice.+state.+changed )|(ment ac)|(multiple cpu faults)|(system.+state.+changed )|(\[timeout)|(PRM\|1\|D)|(kpr)|(kdp)|(\|loc)|(penalty))"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163-19 --locoid 4025 --swversion DE.1.0.9.0 --startMP 204:19121 --initTime 2017-02-19T11:53:37 --startdatetime 2017-02-19T11:55:38 --delay 1 --endMP 204:233395 --enddatetime 2017-02-19T12:32:48 --enforcementcount 0 &gt;&gt;C:\Users\stu\Documents\GitHub\eaglep3-reporting\EC\2017-02-19-refined-times.txt</v>
      </c>
      <c r="AI73" s="108" t="str">
        <f t="shared" si="19"/>
        <v>echo {"issue":{"subject":"CCROC/crew/equipment mismatch","project_id":79,"tracker_id":40,"status_id":1,"priority_id":2,"assigned_to_id":23,"start_date":"2017-02-19","description":"","custom_fields":[{"id":1,"name":"Subdivision","value":"EC"},{"id":4,"name":"Milepost","value":"23.3395"},{"id":17,"name":"Train ID","value":"163-19"},{"id":16,"name":"Locomotive ID","value":"4025"},{"id":130,"name":"Impact","value":""},{"id":150,"name":"Time of Event (Mountain Time)","value":"12:32:48"},{"id":151,"name":"Denver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4025 --day 2017-02-19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"%USERPROFILE%\AppData\Local\Temp\OnboardLogs"\RTDC4025\*4025*20170219* | grep -SE "(Enforcement Action)|(\[TIMEOUT)|(CHR.+\|PRM\|1\|D.+(SWITCH|SIGNAL).+UNKNOWN)" - &gt;&gt; 2017-02-19-UncaughtWiMAX.txt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x14ac:dyDescent="0.25">
      <c r="A74" s="33" t="s">
        <v>429</v>
      </c>
      <c r="B74" s="7">
        <v>4026</v>
      </c>
      <c r="C74" s="21" t="s">
        <v>665</v>
      </c>
      <c r="D74" s="21" t="s">
        <v>699</v>
      </c>
      <c r="E74" s="13">
        <v>42785.525717592594</v>
      </c>
      <c r="F74" s="13">
        <v>42785.528333333335</v>
      </c>
      <c r="G74" s="7">
        <v>1</v>
      </c>
      <c r="H74" s="21" t="s">
        <v>700</v>
      </c>
      <c r="I74" s="13">
        <v>42785.55945601852</v>
      </c>
      <c r="J74" s="7">
        <v>0</v>
      </c>
      <c r="K74" s="98" t="str">
        <f t="shared" si="0"/>
        <v>4025/4026</v>
      </c>
      <c r="L74" s="21" t="str">
        <f>VLOOKUP(A74,'Trips&amp;Operators'!$C$1:$G$99999,5,FALSE)</f>
        <v>DAVIS MICHAEL</v>
      </c>
      <c r="M74" s="6">
        <f t="shared" si="1"/>
        <v>3.1122685184527654E-2</v>
      </c>
      <c r="N74" s="7">
        <f t="shared" si="2"/>
        <v>44.816666665719822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5"/>
        <v>https://d0f6bd738d7f1b3e5a7ca70fe4ff75f0.us-east-1.aws.found.io/app/kibana#/discover/Steve-Slow-Train-Analysis-(2080s-and-2083s)?_g=(refreshInterval:(display:Off,pause:!f,section:0,value:0),time:(from:'2017-02-19T11:37:02-0700',mode:absolute,to:'2017-02-19T14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188" t="str">
        <f t="shared" si="6"/>
        <v>N</v>
      </c>
      <c r="X74" s="188">
        <f t="shared" si="7"/>
        <v>1</v>
      </c>
      <c r="Y74" s="62">
        <f t="shared" si="8"/>
        <v>23.303599999999999</v>
      </c>
      <c r="Z74" s="62">
        <f t="shared" si="9"/>
        <v>9.0700000000000003E-2</v>
      </c>
      <c r="AA74" s="62">
        <f t="shared" si="10"/>
        <v>23.212899999999998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0164-19</v>
      </c>
      <c r="AE74" s="85" t="str">
        <f t="shared" si="12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74" s="82" t="str">
        <f t="shared" si="13"/>
        <v>"C:\Program Files (x86)\AstroGrep\AstroGrep.exe" /spath="%USERPROFILE%\AppData\Local\Temp\OnboardLogs" /stypes="app*4026*20170219*" /stext=" 20:.+((SYSTEM_STATE.+slice.+state.+changed )|(ment ac)|(multiple cpu faults)|(system.+state.+changed )|(\[timeout)|(PRM\|1\|D)|(kpr)|(kdp)|(\|loc)|(penalty))"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164-19 --locoid 4026 --swversion DE.1.0.9.0 --startMP 204:233036 --initTime 2017-02-19T12:37:02 --startdatetime 2017-02-19T12:40:48 --delay 1 --endMP 204:907 --enddatetime 2017-02-19T13:25:37 --enforcementcount 0 &gt;&gt;C:\Users\stu\Documents\GitHub\eaglep3-reporting\EC\2017-02-19-refined-times.txt</v>
      </c>
      <c r="AI74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{"issue":{"subject":"","project_id":79,"tracker_id":40,"status_id":1,"priority_id":2,"assigned_to_id":23,"start_date":"2017-02-19","description":"","custom_fields":[{"id":1,"name":"Subdivision","value":"EC"},{"id":4,"name":"Milepost","value":"0.0907"},{"id":17,"name":"Train ID","value":"164-19"},{"id":16,"name":"Locomotive ID","value":"4026"},{"id":130,"name":"Impact","value":""},{"id":150,"name":"Time of Event (Mountain Time)","value":"13:25:37"},{"id":151,"name":"Denver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4026 --day 2017-02-19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"%USERPROFILE%\AppData\Local\Temp\OnboardLogs"\RTDC4026\*4026*20170219* | grep -SE "(Enforcement Action)|(\[TIMEOUT)|(CHR.+\|PRM\|1\|D.+(SWITCH|SIGNAL).+UNKNOWN)" - &gt;&gt; 2017-02-19-UncaughtWiMAX.txt</v>
      </c>
    </row>
    <row r="75" spans="1:91" x14ac:dyDescent="0.25">
      <c r="A75" s="33" t="s">
        <v>535</v>
      </c>
      <c r="B75" s="7">
        <v>4051</v>
      </c>
      <c r="C75" s="21" t="s">
        <v>665</v>
      </c>
      <c r="D75" s="21" t="s">
        <v>204</v>
      </c>
      <c r="E75" s="13">
        <v>42785.486759259256</v>
      </c>
      <c r="F75" s="13">
        <v>42785.495856481481</v>
      </c>
      <c r="G75" s="7">
        <v>0</v>
      </c>
      <c r="H75" s="21" t="s">
        <v>701</v>
      </c>
      <c r="I75" s="13">
        <v>42785.524791666663</v>
      </c>
      <c r="J75" s="7">
        <v>0</v>
      </c>
      <c r="K75" s="98" t="str">
        <f t="shared" si="0"/>
        <v>4051/4052</v>
      </c>
      <c r="L75" s="21" t="str">
        <f>VLOOKUP(A75,'Trips&amp;Operators'!$C$1:$G$99999,5,FALSE)</f>
        <v>LEVIN SCOTT</v>
      </c>
      <c r="M75" s="6">
        <f t="shared" si="1"/>
        <v>2.8935185182490386E-2</v>
      </c>
      <c r="N75" s="7">
        <f t="shared" si="2"/>
        <v>41.666666662786156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5"/>
        <v>https://d0f6bd738d7f1b3e5a7ca70fe4ff75f0.us-east-1.aws.found.io/app/kibana#/discover/Steve-Slow-Train-Analysis-(2080s-and-2083s)?_g=(refreshInterval:(display:Off,pause:!f,section:0,value:0),time:(from:'2017-02-19T10:40:56-0700',mode:absolute,to:'2017-02-19T13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188" t="str">
        <f t="shared" si="6"/>
        <v>N</v>
      </c>
      <c r="X75" s="188">
        <f t="shared" si="7"/>
        <v>1</v>
      </c>
      <c r="Y75" s="62">
        <f t="shared" si="8"/>
        <v>4.6199999999999998E-2</v>
      </c>
      <c r="Z75" s="62">
        <f t="shared" si="9"/>
        <v>23.336300000000001</v>
      </c>
      <c r="AA75" s="62">
        <f t="shared" si="10"/>
        <v>23.290100000000002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0165-19</v>
      </c>
      <c r="AE75" s="85" t="str">
        <f t="shared" si="12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75" s="82" t="str">
        <f t="shared" si="13"/>
        <v>"C:\Program Files (x86)\AstroGrep\AstroGrep.exe" /spath="%USERPROFILE%\AppData\Local\Temp\OnboardLogs" /stypes="app*4051*20170219*" /stext=" 19:.+((SYSTEM_STATE.+slice.+state.+changed )|(ment ac)|(multiple cpu faults)|(system.+state.+changed )|(\[timeout)|(PRM\|1\|D)|(kpr)|(kdp)|(\|loc)|(penalty))"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165-19 --locoid 4051 --swversion DE.1.0.9.0 --startMP 204:462 --initTime 2017-02-19T11:40:56 --startdatetime 2017-02-19T11:54:02 --delay 0 --endMP 204:233363 --enddatetime 2017-02-19T12:35:42 --enforcementcount 0 &gt;&gt;C:\Users\stu\Documents\GitHub\eaglep3-reporting\EC\2017-02-19-refined-times.txt</v>
      </c>
      <c r="AI75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{"issue":{"subject":"","project_id":79,"tracker_id":40,"status_id":1,"priority_id":2,"assigned_to_id":23,"start_date":"2017-02-19","description":"","custom_fields":[{"id":1,"name":"Subdivision","value":"EC"},{"id":4,"name":"Milepost","value":"23.3363"},{"id":17,"name":"Train ID","value":"165-19"},{"id":16,"name":"Locomotive ID","value":"4051"},{"id":130,"name":"Impact","value":""},{"id":150,"name":"Time of Event (Mountain Time)","value":"12:35:42"},{"id":151,"name":"Denver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4051 --day 2017-02-19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</row>
    <row r="76" spans="1:91" s="20" customFormat="1" x14ac:dyDescent="0.25">
      <c r="A76" s="33" t="s">
        <v>553</v>
      </c>
      <c r="B76" s="7">
        <v>4052</v>
      </c>
      <c r="C76" s="21" t="s">
        <v>665</v>
      </c>
      <c r="D76" s="21" t="s">
        <v>702</v>
      </c>
      <c r="E76" s="13">
        <v>42785.52847222222</v>
      </c>
      <c r="F76" s="13">
        <v>42785.531458333331</v>
      </c>
      <c r="G76" s="7">
        <v>2</v>
      </c>
      <c r="H76" s="21" t="s">
        <v>703</v>
      </c>
      <c r="I76" s="13">
        <v>42785.564560185187</v>
      </c>
      <c r="J76" s="7">
        <v>0</v>
      </c>
      <c r="K76" s="98" t="str">
        <f t="shared" ref="K76:K138" si="21">IF(ISEVEN(B76),(B76-1)&amp;"/"&amp;B76,B76&amp;"/"&amp;(B76+1))</f>
        <v>4051/4052</v>
      </c>
      <c r="L76" s="21" t="str">
        <f>VLOOKUP(A76,'Trips&amp;Operators'!$C$1:$G$99999,5,FALSE)</f>
        <v>LEVIN SCOTT</v>
      </c>
      <c r="M76" s="6">
        <f t="shared" ref="M76:M138" si="22">I76-F76</f>
        <v>3.3101851855462883E-2</v>
      </c>
      <c r="N76" s="7">
        <f t="shared" ref="N76:P138" si="23">24*60*SUM($M76:$M76)</f>
        <v>47.666666671866551</v>
      </c>
      <c r="O76" s="7"/>
      <c r="P76" s="7"/>
      <c r="Q76" s="22"/>
      <c r="R76" s="22"/>
      <c r="S76" s="31">
        <f t="shared" ref="S76:S138" si="24">SUM(U76:U76)/IF(AG76="EC",12,1)</f>
        <v>1</v>
      </c>
      <c r="T76" s="46" t="str">
        <f t="shared" ref="T76:T138" si="25">IF(ISEVEN(LEFT(AD76,4)),"Southbound","NorthBound")</f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ref="V76:V138" si="26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-02-19T11:41:00-0700',mode:absolute,to:'2017-02-19T14:32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188" t="str">
        <f t="shared" ref="W76:W138" si="27">IF(AA76&lt;IF(AG76="EC",23,5.65),"Y","N")</f>
        <v>N</v>
      </c>
      <c r="X76" s="188">
        <f t="shared" ref="X76:X138" si="28">VALUE(LEFT(AD76,4))-VALUE(LEFT(AD75,4))</f>
        <v>1</v>
      </c>
      <c r="Y76" s="62">
        <f t="shared" ref="Y76:Y138" si="29">RIGHT(D76,LEN(D76)-4)/10000</f>
        <v>23.3066</v>
      </c>
      <c r="Z76" s="62">
        <f t="shared" ref="Z76:Z138" si="30">RIGHT(H76,LEN(H76)-4)/10000</f>
        <v>0.1158</v>
      </c>
      <c r="AA76" s="62">
        <f t="shared" ref="AA76:AA138" si="31">ABS(Z76-Y76)</f>
        <v>23.190799999999999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ref="AD76:AD138" si="32">IF(LEN(A76)=6,"0"&amp;A76,A76)</f>
        <v>0166-19</v>
      </c>
      <c r="AE76" s="85" t="str">
        <f t="shared" ref="AE76:AE138" si="33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76" s="82" t="str">
        <f t="shared" ref="AF76:AF138" si="34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/stypes="app*4052*20170219*" /stext=" 20:.+((SYSTEM_STATE.+slice.+state.+changed )|(ment ac)|(multiple cpu faults)|(system.+state.+changed )|(\[timeout)|(PRM\|1\|D)|(kpr)|(kdp)|(\|loc)|(penalty))" /e /r /s</v>
      </c>
      <c r="AG76" s="1" t="str">
        <f t="shared" ref="AG76:AG138" si="35">IFERROR(IF(VALUE(LEFT(AD76,2))&lt;=2,"EC",IF(OR(VALUE(LEFT(AD76,2))=8,VALUE(LEFT(AD76,2))=18),"NW","Other")),"Other")</f>
        <v>EC</v>
      </c>
      <c r="AH76" s="86" t="str">
        <f t="shared" si="18"/>
        <v>"%USERPROFILE%\Documents\GitHub\eaglep3\Utilities\RefineRTDCRunTimes.py" --tripid 166-19 --locoid 4052 --swversion DE.1.0.9.0 --startMP 204:233066 --initTime 2017-02-19T12:41:00 --startdatetime 2017-02-19T12:45:18 --delay 2 --endMP 204:1158 --enddatetime 2017-02-19T13:32:58 --enforcementcount 0 &gt;&gt;C:\Users\stu\Documents\GitHub\eaglep3-reporting\EC\2017-02-19-refined-times.txt</v>
      </c>
      <c r="AI76" s="108" t="str">
        <f t="shared" si="19"/>
        <v>echo {"issue":{"subject":"","project_id":79,"tracker_id":40,"status_id":1,"priority_id":2,"assigned_to_id":23,"start_date":"2017-02-19","description":"","custom_fields":[{"id":1,"name":"Subdivision","value":"EC"},{"id":4,"name":"Milepost","value":"0.1158"},{"id":17,"name":"Train ID","value":"166-19"},{"id":16,"name":"Locomotive ID","value":"4052"},{"id":130,"name":"Impact","value":""},{"id":150,"name":"Time of Event (Mountain Time)","value":"13:32:58"},{"id":151,"name":"Denver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4052 --day 2017-02-19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541</v>
      </c>
      <c r="B77" s="7">
        <v>4031</v>
      </c>
      <c r="C77" s="21" t="s">
        <v>665</v>
      </c>
      <c r="D77" s="21" t="s">
        <v>313</v>
      </c>
      <c r="E77" s="13">
        <v>42785.498796296299</v>
      </c>
      <c r="F77" s="13">
        <v>42785.50240740741</v>
      </c>
      <c r="G77" s="7">
        <v>2</v>
      </c>
      <c r="H77" s="21" t="s">
        <v>704</v>
      </c>
      <c r="I77" s="13">
        <v>42785.531770833331</v>
      </c>
      <c r="J77" s="7">
        <v>0</v>
      </c>
      <c r="K77" s="98" t="str">
        <f t="shared" si="21"/>
        <v>4031/4032</v>
      </c>
      <c r="L77" s="21" t="str">
        <f>VLOOKUP(A77,'Trips&amp;Operators'!$C$1:$G$99999,5,FALSE)</f>
        <v>BRUDER RICHARD</v>
      </c>
      <c r="M77" s="6">
        <f t="shared" si="22"/>
        <v>2.9363425921474118E-2</v>
      </c>
      <c r="N77" s="7">
        <f t="shared" si="23"/>
        <v>42.28333332692273</v>
      </c>
      <c r="O77" s="7"/>
      <c r="P77" s="7"/>
      <c r="Q77" s="22"/>
      <c r="R77" s="22"/>
      <c r="S77" s="31">
        <f t="shared" si="24"/>
        <v>1</v>
      </c>
      <c r="T77" s="46" t="str">
        <f t="shared" si="25"/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si="26"/>
        <v>https://d0f6bd738d7f1b3e5a7ca70fe4ff75f0.us-east-1.aws.found.io/app/kibana#/discover/Steve-Slow-Train-Analysis-(2080s-and-2083s)?_g=(refreshInterval:(display:Off,pause:!f,section:0,value:0),time:(from:'2017-02-19T10:58:16-0700',mode:absolute,to:'2017-02-19T13:45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188" t="str">
        <f t="shared" si="27"/>
        <v>N</v>
      </c>
      <c r="X77" s="188">
        <f t="shared" si="28"/>
        <v>1</v>
      </c>
      <c r="Y77" s="62">
        <f t="shared" si="29"/>
        <v>4.7300000000000002E-2</v>
      </c>
      <c r="Z77" s="62">
        <f t="shared" si="30"/>
        <v>23.3309</v>
      </c>
      <c r="AA77" s="62">
        <f t="shared" si="31"/>
        <v>23.2836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32"/>
        <v>0167-19</v>
      </c>
      <c r="AE77" s="85" t="str">
        <f t="shared" si="33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77" s="82" t="str">
        <f t="shared" si="34"/>
        <v>"C:\Program Files (x86)\AstroGrep\AstroGrep.exe" /spath="%USERPROFILE%\AppData\Local\Temp\OnboardLogs" /stypes="app*4031*20170219*" /stext=" 19:.+((SYSTEM_STATE.+slice.+state.+changed )|(ment ac)|(multiple cpu faults)|(system.+state.+changed )|(\[timeout)|(PRM\|1\|D)|(kpr)|(kdp)|(\|loc)|(penalty))" /e /r /s</v>
      </c>
      <c r="AG77" s="1" t="str">
        <f t="shared" si="35"/>
        <v>EC</v>
      </c>
      <c r="AH77" s="86" t="str">
        <f t="shared" ref="AH77:AH139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167-19 --locoid 4031 --swversion DE.1.0.9.0 --startMP 204:473 --initTime 2017-02-19T11:58:16 --startdatetime 2017-02-19T12:03:28 --delay 2 --endMP 204:233309 --enddatetime 2017-02-19T12:45:45 --enforcementcount 0 &gt;&gt;C:\Users\stu\Documents\GitHub\eaglep3-reporting\EC\2017-02-19-refined-times.txt</v>
      </c>
      <c r="AI77" s="108" t="str">
        <f t="shared" ref="AI77:AI139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{"issue":{"subject":"","project_id":79,"tracker_id":40,"status_id":1,"priority_id":2,"assigned_to_id":23,"start_date":"2017-02-19","description":"","custom_fields":[{"id":1,"name":"Subdivision","value":"EC"},{"id":4,"name":"Milepost","value":"23.3309"},{"id":17,"name":"Train ID","value":"167-19"},{"id":16,"name":"Locomotive ID","value":"4031"},{"id":130,"name":"Impact","value":""},{"id":150,"name":"Time of Event (Mountain Time)","value":"12:45:45"},{"id":151,"name":"Denver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39" si="38">"start /low /b "&amp;dls3logs&amp;" --loco "&amp;B77&amp;" --day "&amp;TEXT(F77,"YYYY-MM-DD")</f>
        <v>start /low /b %USERPROFILE%\Documents\GitHub\eaglep3\Utilities\DownloadLogsFromS3.py --loco 4031 --day 2017-02-19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554</v>
      </c>
      <c r="B78" s="7">
        <v>4032</v>
      </c>
      <c r="C78" s="21" t="s">
        <v>665</v>
      </c>
      <c r="D78" s="21" t="s">
        <v>266</v>
      </c>
      <c r="E78" s="13">
        <v>42785.53564814815</v>
      </c>
      <c r="F78" s="13">
        <v>42785.539351851854</v>
      </c>
      <c r="G78" s="7">
        <v>1</v>
      </c>
      <c r="H78" s="21" t="s">
        <v>194</v>
      </c>
      <c r="I78" s="13">
        <v>42785.567453703705</v>
      </c>
      <c r="J78" s="7">
        <v>0</v>
      </c>
      <c r="K78" s="98" t="str">
        <f t="shared" si="21"/>
        <v>4031/4032</v>
      </c>
      <c r="L78" s="21" t="str">
        <f>VLOOKUP(A78,'Trips&amp;Operators'!$C$1:$G$99999,5,FALSE)</f>
        <v>BRUDER RICHARD</v>
      </c>
      <c r="M78" s="6">
        <f t="shared" si="22"/>
        <v>2.810185185080627E-2</v>
      </c>
      <c r="N78" s="7">
        <f t="shared" si="23"/>
        <v>40.466666665161029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26"/>
        <v>https://d0f6bd738d7f1b3e5a7ca70fe4ff75f0.us-east-1.aws.found.io/app/kibana#/discover/Steve-Slow-Train-Analysis-(2080s-and-2083s)?_g=(refreshInterval:(display:Off,pause:!f,section:0,value:0),time:(from:'2017-02-19T11:51:20-0700',mode:absolute,to:'2017-02-19T14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188" t="str">
        <f t="shared" si="27"/>
        <v>N</v>
      </c>
      <c r="X78" s="188">
        <f t="shared" si="28"/>
        <v>1</v>
      </c>
      <c r="Y78" s="62">
        <f t="shared" si="29"/>
        <v>23.297799999999999</v>
      </c>
      <c r="Z78" s="62">
        <f t="shared" si="30"/>
        <v>1.4999999999999999E-2</v>
      </c>
      <c r="AA78" s="62">
        <f t="shared" si="31"/>
        <v>23.282799999999998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0168-19</v>
      </c>
      <c r="AE78" s="85" t="str">
        <f t="shared" si="33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78" s="82" t="str">
        <f t="shared" si="34"/>
        <v>"C:\Program Files (x86)\AstroGrep\AstroGrep.exe" /spath="%USERPROFILE%\AppData\Local\Temp\OnboardLogs" /stypes="app*4032*20170219*" /stext=" 20:.+((SYSTEM_STATE.+slice.+state.+changed )|(ment ac)|(multiple cpu faults)|(system.+state.+changed )|(\[timeout)|(PRM\|1\|D)|(kpr)|(kdp)|(\|loc)|(penalty))" /e /r /s</v>
      </c>
      <c r="AG78" s="1" t="str">
        <f t="shared" si="35"/>
        <v>EC</v>
      </c>
      <c r="AH78" s="86" t="str">
        <f t="shared" si="36"/>
        <v>"%USERPROFILE%\Documents\GitHub\eaglep3\Utilities\RefineRTDCRunTimes.py" --tripid 168-19 --locoid 4032 --swversion DE.1.0.9.0 --startMP 204:232978 --initTime 2017-02-19T12:51:20 --startdatetime 2017-02-19T12:56:40 --delay 1 --endMP 204:150 --enddatetime 2017-02-19T13:37:08 --enforcementcount 0 &gt;&gt;C:\Users\stu\Documents\GitHub\eaglep3-reporting\EC\2017-02-19-refined-times.txt</v>
      </c>
      <c r="AI7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{"issue":{"subject":"","project_id":79,"tracker_id":40,"status_id":1,"priority_id":2,"assigned_to_id":23,"start_date":"2017-02-19","description":"","custom_fields":[{"id":1,"name":"Subdivision","value":"EC"},{"id":4,"name":"Milepost","value":"0.015"},{"id":17,"name":"Train ID","value":"168-19"},{"id":16,"name":"Locomotive ID","value":"4032"},{"id":130,"name":"Impact","value":""},{"id":150,"name":"Time of Event (Mountain Time)","value":"13:37:08"},{"id":151,"name":"Denver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38"/>
        <v>start /low /b %USERPROFILE%\Documents\GitHub\eaglep3\Utilities\DownloadLogsFromS3.py --loco 4032 --day 2017-02-19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543</v>
      </c>
      <c r="B79" s="7">
        <v>4003</v>
      </c>
      <c r="C79" s="21" t="s">
        <v>665</v>
      </c>
      <c r="D79" s="21" t="s">
        <v>228</v>
      </c>
      <c r="E79" s="13">
        <v>42785.503738425927</v>
      </c>
      <c r="F79" s="13">
        <v>42785.51059027778</v>
      </c>
      <c r="G79" s="7">
        <v>2</v>
      </c>
      <c r="H79" s="21" t="s">
        <v>315</v>
      </c>
      <c r="I79" s="13">
        <v>42785.537789351853</v>
      </c>
      <c r="J79" s="7">
        <v>0</v>
      </c>
      <c r="K79" s="98" t="str">
        <f t="shared" si="21"/>
        <v>4003/4004</v>
      </c>
      <c r="L79" s="21" t="str">
        <f>VLOOKUP(A79,'Trips&amp;Operators'!$C$1:$G$99999,5,FALSE)</f>
        <v>CRAYTON QUNTRELL</v>
      </c>
      <c r="M79" s="6">
        <f t="shared" si="22"/>
        <v>2.7199074072996154E-2</v>
      </c>
      <c r="N79" s="7">
        <f t="shared" si="23"/>
        <v>39.166666665114462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26"/>
        <v>https://d0f6bd738d7f1b3e5a7ca70fe4ff75f0.us-east-1.aws.found.io/app/kibana#/discover/Steve-Slow-Train-Analysis-(2080s-and-2083s)?_g=(refreshInterval:(display:Off,pause:!f,section:0,value:0),time:(from:'2017-02-19T11:05:23-0700',mode:absolute,to:'2017-02-19T13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88" t="str">
        <f t="shared" si="27"/>
        <v>N</v>
      </c>
      <c r="X79" s="188">
        <f t="shared" si="28"/>
        <v>1</v>
      </c>
      <c r="Y79" s="62">
        <f t="shared" si="29"/>
        <v>4.5699999999999998E-2</v>
      </c>
      <c r="Z79" s="62">
        <f t="shared" si="30"/>
        <v>23.3306</v>
      </c>
      <c r="AA79" s="62">
        <f t="shared" si="31"/>
        <v>23.2849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0169-19</v>
      </c>
      <c r="AE79" s="85" t="str">
        <f t="shared" si="33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79" s="82" t="str">
        <f t="shared" si="34"/>
        <v>"C:\Program Files (x86)\AstroGrep\AstroGrep.exe" /spath="%USERPROFILE%\AppData\Local\Temp\OnboardLogs" /stypes="app*4003*20170219*" /stext=" 19:.+((SYSTEM_STATE.+slice.+state.+changed )|(ment ac)|(multiple cpu faults)|(system.+state.+changed )|(\[timeout)|(PRM\|1\|D)|(kpr)|(kdp)|(\|loc)|(penalty))"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169-19 --locoid 4003 --swversion DE.1.0.9.0 --startMP 204:457 --initTime 2017-02-19T12:05:23 --startdatetime 2017-02-19T12:15:15 --delay 2 --endMP 204:233306 --enddatetime 2017-02-19T12:54:25 --enforcementcount 0 &gt;&gt;C:\Users\stu\Documents\GitHub\eaglep3-reporting\EC\2017-02-19-refined-times.txt</v>
      </c>
      <c r="AI7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{"issue":{"subject":"","project_id":79,"tracker_id":40,"status_id":1,"priority_id":2,"assigned_to_id":23,"start_date":"2017-02-19","description":"","custom_fields":[{"id":1,"name":"Subdivision","value":"EC"},{"id":4,"name":"Milepost","value":"23.3306"},{"id":17,"name":"Train ID","value":"169-19"},{"id":16,"name":"Locomotive ID","value":"4003"},{"id":130,"name":"Impact","value":""},{"id":150,"name":"Time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4003 --day 2017-02-19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556</v>
      </c>
      <c r="B80" s="7">
        <v>4004</v>
      </c>
      <c r="C80" s="21" t="s">
        <v>665</v>
      </c>
      <c r="D80" s="21" t="s">
        <v>353</v>
      </c>
      <c r="E80" s="13">
        <v>42785.539872685185</v>
      </c>
      <c r="F80" s="13">
        <v>42785.549467592595</v>
      </c>
      <c r="G80" s="7">
        <v>1</v>
      </c>
      <c r="H80" s="21" t="s">
        <v>309</v>
      </c>
      <c r="I80" s="13">
        <v>42785.575949074075</v>
      </c>
      <c r="J80" s="7">
        <v>0</v>
      </c>
      <c r="K80" s="98" t="str">
        <f t="shared" si="21"/>
        <v>4003/4004</v>
      </c>
      <c r="L80" s="21" t="str">
        <f>VLOOKUP(A80,'Trips&amp;Operators'!$C$1:$G$99999,5,FALSE)</f>
        <v>CRAYTON QUNTRELL</v>
      </c>
      <c r="M80" s="6">
        <f t="shared" si="22"/>
        <v>2.6481481480004732E-2</v>
      </c>
      <c r="N80" s="7">
        <f t="shared" si="23"/>
        <v>38.133333331206813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26"/>
        <v>https://d0f6bd738d7f1b3e5a7ca70fe4ff75f0.us-east-1.aws.found.io/app/kibana#/discover/Steve-Slow-Train-Analysis-(2080s-and-2083s)?_g=(refreshInterval:(display:Off,pause:!f,section:0,value:0),time:(from:'2017-02-19T11:57:25-0700',mode:absolute,to:'2017-02-19T14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0" s="188" t="str">
        <f t="shared" si="27"/>
        <v>N</v>
      </c>
      <c r="X80" s="188">
        <f t="shared" si="28"/>
        <v>1</v>
      </c>
      <c r="Y80" s="62">
        <f t="shared" si="29"/>
        <v>23.2989</v>
      </c>
      <c r="Z80" s="62">
        <f t="shared" si="30"/>
        <v>1.67E-2</v>
      </c>
      <c r="AA80" s="62">
        <f t="shared" si="31"/>
        <v>23.2822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0170-19</v>
      </c>
      <c r="AE80" s="85" t="str">
        <f t="shared" si="33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80" s="82" t="str">
        <f t="shared" si="34"/>
        <v>"C:\Program Files (x86)\AstroGrep\AstroGrep.exe" /spath="%USERPROFILE%\AppData\Local\Temp\OnboardLogs" /stypes="app*4004*20170219*" /stext=" 20:.+((SYSTEM_STATE.+slice.+state.+changed )|(ment ac)|(multiple cpu faults)|(system.+state.+changed )|(\[timeout)|(PRM\|1\|D)|(kpr)|(kdp)|(\|loc)|(penalty))"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170-19 --locoid 4004 --swversion DE.1.0.9.0 --startMP 204:232989 --initTime 2017-02-19T12:57:25 --startdatetime 2017-02-19T13:11:14 --delay 1 --endMP 204:167 --enddatetime 2017-02-19T13:49:22 --enforcementcount 0 &gt;&gt;C:\Users\stu\Documents\GitHub\eaglep3-reporting\EC\2017-02-19-refined-times.txt</v>
      </c>
      <c r="AI80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{"issue":{"subject":"","project_id":79,"tracker_id":40,"status_id":1,"priority_id":2,"assigned_to_id":23,"start_date":"2017-02-19","description":"","custom_fields":[{"id":1,"name":"Subdivision","value":"EC"},{"id":4,"name":"Milepost","value":"0.0167"},{"id":17,"name":"Train ID","value":"170-19"},{"id":16,"name":"Locomotive ID","value":"4004"},{"id":130,"name":"Impact","value":""},{"id":150,"name":"Time of Event (Mountain Time)","value":"13:49:22"},{"id":151,"name":"Denver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4004 --day 2017-02-19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"%USERPROFILE%\AppData\Local\Temp\OnboardLogs"\RTDC4004\*4004*20170219* | grep -SE "(Enforcement Action)|(\[TIMEOUT)|(CHR.+\|PRM\|1\|D.+(SWITCH|SIGNAL).+UNKNOWN)" - &gt;&gt; 2017-02-19-UncaughtWiMAX.txt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546</v>
      </c>
      <c r="B81" s="7">
        <v>4016</v>
      </c>
      <c r="C81" s="21" t="s">
        <v>665</v>
      </c>
      <c r="D81" s="21" t="s">
        <v>231</v>
      </c>
      <c r="E81" s="13">
        <v>42785.508750000001</v>
      </c>
      <c r="F81" s="13">
        <v>42785.521111111113</v>
      </c>
      <c r="G81" s="7">
        <v>2</v>
      </c>
      <c r="H81" s="21" t="s">
        <v>705</v>
      </c>
      <c r="I81" s="13">
        <v>42785.545995370368</v>
      </c>
      <c r="J81" s="7">
        <v>0</v>
      </c>
      <c r="K81" s="98" t="str">
        <f t="shared" si="21"/>
        <v>4015/4016</v>
      </c>
      <c r="L81" s="21" t="str">
        <f>VLOOKUP(A81,'Trips&amp;Operators'!$C$1:$G$99999,5,FALSE)</f>
        <v>ROMERO CHAD</v>
      </c>
      <c r="M81" s="6">
        <f t="shared" si="22"/>
        <v>2.488425925548654E-2</v>
      </c>
      <c r="N81" s="7">
        <f t="shared" si="23"/>
        <v>35.833333327900618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26"/>
        <v>https://d0f6bd738d7f1b3e5a7ca70fe4ff75f0.us-east-1.aws.found.io/app/kibana#/discover/Steve-Slow-Train-Analysis-(2080s-and-2083s)?_g=(refreshInterval:(display:Off,pause:!f,section:0,value:0),time:(from:'2017-02-19T11:12:36-0700',mode:absolute,to:'2017-02-19T14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88" t="str">
        <f t="shared" si="27"/>
        <v>N</v>
      </c>
      <c r="X81" s="188">
        <f t="shared" si="28"/>
        <v>1</v>
      </c>
      <c r="Y81" s="62">
        <f t="shared" si="29"/>
        <v>4.5999999999999999E-2</v>
      </c>
      <c r="Z81" s="62">
        <f t="shared" si="30"/>
        <v>23.3337</v>
      </c>
      <c r="AA81" s="62">
        <f t="shared" si="31"/>
        <v>23.287700000000001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0171-19</v>
      </c>
      <c r="AE81" s="85" t="str">
        <f t="shared" si="33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81" s="82" t="str">
        <f t="shared" si="34"/>
        <v>"C:\Program Files (x86)\AstroGrep\AstroGrep.exe" /spath="%USERPROFILE%\AppData\Local\Temp\OnboardLogs" /stypes="app*4016*20170219*" /stext=" 20:.+((SYSTEM_STATE.+slice.+state.+changed )|(ment ac)|(multiple cpu faults)|(system.+state.+changed )|(\[timeout)|(PRM\|1\|D)|(kpr)|(kdp)|(\|loc)|(penalty))"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171-19 --locoid 4016 --swversion DE.1.0.9.0 --startMP 204:460 --initTime 2017-02-19T12:12:36 --startdatetime 2017-02-19T12:30:24 --delay 2 --endMP 204:233337 --enddatetime 2017-02-19T13:06:14 --enforcementcount 0 &gt;&gt;C:\Users\stu\Documents\GitHub\eaglep3-reporting\EC\2017-02-19-refined-times.txt</v>
      </c>
      <c r="AI81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{"issue":{"subject":"","project_id":79,"tracker_id":40,"status_id":1,"priority_id":2,"assigned_to_id":23,"start_date":"2017-02-19","description":"","custom_fields":[{"id":1,"name":"Subdivision","value":"EC"},{"id":4,"name":"Milepost","value":"23.3337"},{"id":17,"name":"Train ID","value":"171-19"},{"id":16,"name":"Locomotive ID","value":"4016"},{"id":130,"name":"Impact","value":""},{"id":150,"name":"Time of Event (Mountain Time)","value":"13:06:14"},{"id":151,"name":"Denver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4016 --day 2017-02-19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</row>
    <row r="82" spans="1:91" s="20" customFormat="1" x14ac:dyDescent="0.25">
      <c r="A82" s="33" t="s">
        <v>558</v>
      </c>
      <c r="B82" s="7">
        <v>4015</v>
      </c>
      <c r="C82" s="21" t="s">
        <v>665</v>
      </c>
      <c r="D82" s="21" t="s">
        <v>682</v>
      </c>
      <c r="E82" s="13">
        <v>42785.550127314818</v>
      </c>
      <c r="F82" s="13">
        <v>42785.559895833336</v>
      </c>
      <c r="G82" s="7">
        <v>1</v>
      </c>
      <c r="H82" s="21" t="s">
        <v>293</v>
      </c>
      <c r="I82" s="13">
        <v>42785.587083333332</v>
      </c>
      <c r="J82" s="7">
        <v>0</v>
      </c>
      <c r="K82" s="98" t="str">
        <f t="shared" si="21"/>
        <v>4015/4016</v>
      </c>
      <c r="L82" s="21" t="str">
        <f>VLOOKUP(A82,'Trips&amp;Operators'!$C$1:$G$99999,5,FALSE)</f>
        <v>ROMERO CHAD</v>
      </c>
      <c r="M82" s="6">
        <f t="shared" si="22"/>
        <v>2.7187499996216502E-2</v>
      </c>
      <c r="N82" s="7">
        <f t="shared" si="23"/>
        <v>39.149999994551763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26"/>
        <v>https://d0f6bd738d7f1b3e5a7ca70fe4ff75f0.us-east-1.aws.found.io/app/kibana#/discover/Steve-Slow-Train-Analysis-(2080s-and-2083s)?_g=(refreshInterval:(display:Off,pause:!f,section:0,value:0),time:(from:'2017-02-19T12:12:11-0700',mode:absolute,to:'2017-02-19T15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88" t="str">
        <f t="shared" si="27"/>
        <v>N</v>
      </c>
      <c r="X82" s="188">
        <f t="shared" si="28"/>
        <v>1</v>
      </c>
      <c r="Y82" s="62">
        <f t="shared" si="29"/>
        <v>23.303000000000001</v>
      </c>
      <c r="Z82" s="62">
        <f t="shared" si="30"/>
        <v>1.3599999999999999E-2</v>
      </c>
      <c r="AA82" s="62">
        <f t="shared" si="31"/>
        <v>23.289400000000001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0172-19</v>
      </c>
      <c r="AE82" s="85" t="str">
        <f t="shared" si="33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82" s="82" t="str">
        <f t="shared" si="34"/>
        <v>"C:\Program Files (x86)\AstroGrep\AstroGrep.exe" /spath="%USERPROFILE%\AppData\Local\Temp\OnboardLogs" /stypes="app*4015*20170219*" /stext=" 21:.+((SYSTEM_STATE.+slice.+state.+changed )|(ment ac)|(multiple cpu faults)|(system.+state.+changed )|(\[timeout)|(PRM\|1\|D)|(kpr)|(kdp)|(\|loc)|(penalty))"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172-19 --locoid 4015 --swversion DE.1.0.9.0 --startMP 204:233030 --initTime 2017-02-19T13:12:11 --startdatetime 2017-02-19T13:26:15 --delay 1 --endMP 204:136 --enddatetime 2017-02-19T14:05:24 --enforcementcount 0 &gt;&gt;C:\Users\stu\Documents\GitHub\eaglep3-reporting\EC\2017-02-19-refined-times.txt</v>
      </c>
      <c r="AI82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{"issue":{"subject":"","project_id":79,"tracker_id":40,"status_id":1,"priority_id":2,"assigned_to_id":23,"start_date":"2017-02-19","description":"","custom_fields":[{"id":1,"name":"Subdivision","value":"EC"},{"id":4,"name":"Milepost","value":"0.0136"},{"id":17,"name":"Train ID","value":"172-19"},{"id":16,"name":"Locomotive ID","value":"4015"},{"id":130,"name":"Impact","value":""},{"id":150,"name":"Time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4015 --day 2017-02-19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550</v>
      </c>
      <c r="B83" s="7">
        <v>4044</v>
      </c>
      <c r="C83" s="21" t="s">
        <v>665</v>
      </c>
      <c r="D83" s="21" t="s">
        <v>308</v>
      </c>
      <c r="E83" s="13">
        <v>42785.521145833336</v>
      </c>
      <c r="F83" s="13">
        <v>42785.531481481485</v>
      </c>
      <c r="G83" s="7">
        <v>2</v>
      </c>
      <c r="H83" s="21" t="s">
        <v>401</v>
      </c>
      <c r="I83" s="13">
        <v>42785.556689814817</v>
      </c>
      <c r="J83" s="7">
        <v>0</v>
      </c>
      <c r="K83" s="98" t="str">
        <f t="shared" si="21"/>
        <v>4043/4044</v>
      </c>
      <c r="L83" s="21" t="str">
        <f>VLOOKUP(A83,'Trips&amp;Operators'!$C$1:$G$99999,5,FALSE)</f>
        <v>KILLION DAVID</v>
      </c>
      <c r="M83" s="6">
        <f t="shared" si="22"/>
        <v>2.5208333332557231E-2</v>
      </c>
      <c r="N83" s="7">
        <f t="shared" si="23"/>
        <v>36.299999998882413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26"/>
        <v>https://d0f6bd738d7f1b3e5a7ca70fe4ff75f0.us-east-1.aws.found.io/app/kibana#/discover/Steve-Slow-Train-Analysis-(2080s-and-2083s)?_g=(refreshInterval:(display:Off,pause:!f,section:0,value:0),time:(from:'2017-02-19T11:30:27-0700',mode:absolute,to:'2017-02-19T14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88" t="str">
        <f t="shared" si="27"/>
        <v>N</v>
      </c>
      <c r="X83" s="188">
        <f t="shared" si="28"/>
        <v>1</v>
      </c>
      <c r="Y83" s="62">
        <f t="shared" si="29"/>
        <v>4.4200000000000003E-2</v>
      </c>
      <c r="Z83" s="62">
        <f t="shared" si="30"/>
        <v>23.330400000000001</v>
      </c>
      <c r="AA83" s="62">
        <f t="shared" si="31"/>
        <v>23.286200000000001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0173-19</v>
      </c>
      <c r="AE83" s="85" t="str">
        <f t="shared" si="33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83" s="82" t="str">
        <f t="shared" si="34"/>
        <v>"C:\Program Files (x86)\AstroGrep\AstroGrep.exe" /spath="%USERPROFILE%\AppData\Local\Temp\OnboardLogs" /stypes="app*4044*20170219*" /stext=" 20:.+((SYSTEM_STATE.+slice.+state.+changed )|(ment ac)|(multiple cpu faults)|(system.+state.+changed )|(\[timeout)|(PRM\|1\|D)|(kpr)|(kdp)|(\|loc)|(penalty))"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173-19 --locoid 4044 --swversion DE.1.0.9.0 --startMP 204:442 --initTime 2017-02-19T12:30:27 --startdatetime 2017-02-19T12:45:20 --delay 2 --endMP 204:233304 --enddatetime 2017-02-19T13:21:38 --enforcementcount 0 &gt;&gt;C:\Users\stu\Documents\GitHub\eaglep3-reporting\EC\2017-02-19-refined-times.txt</v>
      </c>
      <c r="AI83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{"issue":{"subject":"","project_id":79,"tracker_id":40,"status_id":1,"priority_id":2,"assigned_to_id":23,"start_date":"2017-02-19","description":"","custom_fields":[{"id":1,"name":"Subdivision","value":"EC"},{"id":4,"name":"Milepost","value":"23.3304"},{"id":17,"name":"Train ID","value":"173-19"},{"id":16,"name":"Locomotive ID","value":"4044"},{"id":130,"name":"Impact","value":""},{"id":150,"name":"Time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4044 --day 2017-02-19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430</v>
      </c>
      <c r="B84" s="7">
        <v>4043</v>
      </c>
      <c r="C84" s="21" t="s">
        <v>665</v>
      </c>
      <c r="D84" s="21" t="s">
        <v>310</v>
      </c>
      <c r="E84" s="13">
        <v>42785.565636574072</v>
      </c>
      <c r="F84" s="13">
        <v>42785.570370370369</v>
      </c>
      <c r="G84" s="7">
        <v>2</v>
      </c>
      <c r="H84" s="21" t="s">
        <v>706</v>
      </c>
      <c r="I84" s="13">
        <v>42785.598611111112</v>
      </c>
      <c r="J84" s="7">
        <v>0</v>
      </c>
      <c r="K84" s="98" t="str">
        <f t="shared" si="21"/>
        <v>4043/4044</v>
      </c>
      <c r="L84" s="21" t="str">
        <f>VLOOKUP(A84,'Trips&amp;Operators'!$C$1:$G$99999,5,FALSE)</f>
        <v>KILLION DAVID</v>
      </c>
      <c r="M84" s="6">
        <f t="shared" si="22"/>
        <v>2.8240740743058268E-2</v>
      </c>
      <c r="N84" s="7">
        <f t="shared" si="23"/>
        <v>40.666666670003906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26"/>
        <v>https://d0f6bd738d7f1b3e5a7ca70fe4ff75f0.us-east-1.aws.found.io/app/kibana#/discover/Steve-Slow-Train-Analysis-(2080s-and-2083s)?_g=(refreshInterval:(display:Off,pause:!f,section:0,value:0),time:(from:'2017-02-19T12:34:31-0700',mode:absolute,to:'2017-02-19T15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88" t="str">
        <f t="shared" si="27"/>
        <v>N</v>
      </c>
      <c r="X84" s="188">
        <f t="shared" si="28"/>
        <v>1</v>
      </c>
      <c r="Y84" s="62">
        <f t="shared" si="29"/>
        <v>23.298500000000001</v>
      </c>
      <c r="Z84" s="62">
        <f t="shared" si="30"/>
        <v>1.9199999999999998E-2</v>
      </c>
      <c r="AA84" s="62">
        <f t="shared" si="31"/>
        <v>23.279299999999999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0174-19</v>
      </c>
      <c r="AE84" s="85" t="str">
        <f t="shared" si="33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84" s="82" t="str">
        <f t="shared" si="34"/>
        <v>"C:\Program Files (x86)\AstroGrep\AstroGrep.exe" /spath="%USERPROFILE%\AppData\Local\Temp\OnboardLogs" /stypes="app*4043*20170219*" /stext=" 21:.+((SYSTEM_STATE.+slice.+state.+changed )|(ment ac)|(multiple cpu faults)|(system.+state.+changed )|(\[timeout)|(PRM\|1\|D)|(kpr)|(kdp)|(\|loc)|(penalty))"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174-19 --locoid 4043 --swversion DE.1.0.9.0 --startMP 204:232985 --initTime 2017-02-19T13:34:31 --startdatetime 2017-02-19T13:41:20 --delay 2 --endMP 204:192 --enddatetime 2017-02-19T14:22:00 --enforcementcount 0 &gt;&gt;C:\Users\stu\Documents\GitHub\eaglep3-reporting\EC\2017-02-19-refined-times.txt</v>
      </c>
      <c r="AI84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{"issue":{"subject":"","project_id":79,"tracker_id":40,"status_id":1,"priority_id":2,"assigned_to_id":23,"start_date":"2017-02-19","description":"","custom_fields":[{"id":1,"name":"Subdivision","value":"EC"},{"id":4,"name":"Milepost","value":"0.0192"},{"id":17,"name":"Train ID","value":"174-19"},{"id":16,"name":"Locomotive ID","value":"4043"},{"id":130,"name":"Impact","value":""},{"id":150,"name":"Time of Event (Mountain Time)","value":"14:22:00"},{"id":151,"name":"Denver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4043 --day 2017-02-19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"%USERPROFILE%\AppData\Local\Temp\OnboardLogs"\RTDC4043\*4043*20170219* | grep -SE "(Enforcement Action)|(\[TIMEOUT)|(CHR.+\|PRM\|1\|D.+(SWITCH|SIGNAL).+UNKNOWN)" - &gt;&gt; 2017-02-19-UncaughtWiMAX.txt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557</v>
      </c>
      <c r="B85" s="7">
        <v>4006</v>
      </c>
      <c r="C85" s="21" t="s">
        <v>665</v>
      </c>
      <c r="D85" s="21" t="s">
        <v>258</v>
      </c>
      <c r="E85" s="13">
        <v>42785.540416666663</v>
      </c>
      <c r="F85" s="13">
        <v>42785.54215277778</v>
      </c>
      <c r="G85" s="7">
        <v>1</v>
      </c>
      <c r="H85" s="21" t="s">
        <v>394</v>
      </c>
      <c r="I85" s="13">
        <v>42785.566365740742</v>
      </c>
      <c r="J85" s="7">
        <v>0</v>
      </c>
      <c r="K85" s="98" t="str">
        <f t="shared" si="21"/>
        <v>4005/4006</v>
      </c>
      <c r="L85" s="21" t="str">
        <f>VLOOKUP(A85,'Trips&amp;Operators'!$C$1:$G$99999,5,FALSE)</f>
        <v>STEWART MICHAEL</v>
      </c>
      <c r="M85" s="6">
        <f t="shared" si="22"/>
        <v>2.421296296233777E-2</v>
      </c>
      <c r="N85" s="7">
        <f t="shared" si="23"/>
        <v>34.866666665766388</v>
      </c>
      <c r="O85" s="7"/>
      <c r="P85" s="7"/>
      <c r="Q85" s="22"/>
      <c r="R85" s="22"/>
      <c r="S85" s="31">
        <f t="shared" si="24"/>
        <v>1</v>
      </c>
      <c r="T85" s="46" t="str">
        <f t="shared" si="25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26"/>
        <v>https://d0f6bd738d7f1b3e5a7ca70fe4ff75f0.us-east-1.aws.found.io/app/kibana#/discover/Steve-Slow-Train-Analysis-(2080s-and-2083s)?_g=(refreshInterval:(display:Off,pause:!f,section:0,value:0),time:(from:'2017-02-19T11:58:12-0700',mode:absolute,to:'2017-02-19T14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88" t="str">
        <f t="shared" si="27"/>
        <v>N</v>
      </c>
      <c r="X85" s="188">
        <f t="shared" si="28"/>
        <v>1</v>
      </c>
      <c r="Y85" s="62">
        <f t="shared" si="29"/>
        <v>4.6699999999999998E-2</v>
      </c>
      <c r="Z85" s="62">
        <f t="shared" si="30"/>
        <v>23.329499999999999</v>
      </c>
      <c r="AA85" s="62">
        <f t="shared" si="31"/>
        <v>23.282799999999998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0175-19</v>
      </c>
      <c r="AE85" s="85" t="str">
        <f t="shared" si="33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85" s="82" t="str">
        <f t="shared" si="34"/>
        <v>"C:\Program Files (x86)\AstroGrep\AstroGrep.exe" /spath="%USERPROFILE%\AppData\Local\Temp\OnboardLogs" /stypes="app*4006*20170219*" /stext=" 20:.+((SYSTEM_STATE.+slice.+state.+changed )|(ment ac)|(multiple cpu faults)|(system.+state.+changed )|(\[timeout)|(PRM\|1\|D)|(kpr)|(kdp)|(\|loc)|(penalty))"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175-19 --locoid 4006 --swversion DE.1.0.9.0 --startMP 204:467 --initTime 2017-02-19T12:58:12 --startdatetime 2017-02-19T13:00:42 --delay 1 --endMP 204:233295 --enddatetime 2017-02-19T13:35:34 --enforcementcount 0 &gt;&gt;C:\Users\stu\Documents\GitHub\eaglep3-reporting\EC\2017-02-19-refined-times.txt</v>
      </c>
      <c r="AI85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{"issue":{"subject":"","project_id":79,"tracker_id":40,"status_id":1,"priority_id":2,"assigned_to_id":23,"start_date":"2017-02-19","description":"","custom_fields":[{"id":1,"name":"Subdivision","value":"EC"},{"id":4,"name":"Milepost","value":"23.3295"},{"id":17,"name":"Train ID","value":"175-19"},{"id":16,"name":"Locomotive ID","value":"4006"},{"id":130,"name":"Impact","value":""},{"id":150,"name":"Time of Event (Mountain Time)","value":"13:35:34"},{"id":151,"name":"Denver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4006 --day 2017-02-19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2017-02-19-UncaughtWiMAX.txt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564</v>
      </c>
      <c r="B86" s="7">
        <v>4005</v>
      </c>
      <c r="C86" s="21" t="s">
        <v>665</v>
      </c>
      <c r="D86" s="21" t="s">
        <v>284</v>
      </c>
      <c r="E86" s="13">
        <v>42785.576354166667</v>
      </c>
      <c r="F86" s="13">
        <v>42785.58084490741</v>
      </c>
      <c r="G86" s="7">
        <v>2</v>
      </c>
      <c r="H86" s="21" t="s">
        <v>707</v>
      </c>
      <c r="I86" s="13">
        <v>42785.609814814816</v>
      </c>
      <c r="J86" s="7">
        <v>0</v>
      </c>
      <c r="K86" s="98" t="str">
        <f t="shared" si="21"/>
        <v>4005/4006</v>
      </c>
      <c r="L86" s="21" t="str">
        <f>VLOOKUP(A86,'Trips&amp;Operators'!$C$1:$G$99999,5,FALSE)</f>
        <v>STEWART MICHAEL</v>
      </c>
      <c r="M86" s="6">
        <f t="shared" si="22"/>
        <v>2.8969907405553386E-2</v>
      </c>
      <c r="N86" s="7">
        <f t="shared" si="23"/>
        <v>41.716666663996875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26"/>
        <v>https://d0f6bd738d7f1b3e5a7ca70fe4ff75f0.us-east-1.aws.found.io/app/kibana#/discover/Steve-Slow-Train-Analysis-(2080s-and-2083s)?_g=(refreshInterval:(display:Off,pause:!f,section:0,value:0),time:(from:'2017-02-19T12:49:57-0700',mode:absolute,to:'2017-02-19T15:38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88" t="str">
        <f t="shared" si="27"/>
        <v>N</v>
      </c>
      <c r="X86" s="188">
        <f t="shared" si="28"/>
        <v>1</v>
      </c>
      <c r="Y86" s="62">
        <f t="shared" si="29"/>
        <v>23.2986</v>
      </c>
      <c r="Z86" s="62">
        <f t="shared" si="30"/>
        <v>0.11650000000000001</v>
      </c>
      <c r="AA86" s="62">
        <f t="shared" si="31"/>
        <v>23.182100000000002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0176-19</v>
      </c>
      <c r="AE86" s="85" t="str">
        <f t="shared" si="33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86" s="82" t="str">
        <f t="shared" si="34"/>
        <v>"C:\Program Files (x86)\AstroGrep\AstroGrep.exe" /spath="%USERPROFILE%\AppData\Local\Temp\OnboardLogs" /stypes="app*4005*20170219*" /stext=" 21:.+((SYSTEM_STATE.+slice.+state.+changed )|(ment ac)|(multiple cpu faults)|(system.+state.+changed )|(\[timeout)|(PRM\|1\|D)|(kpr)|(kdp)|(\|loc)|(penalty))"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176-19 --locoid 4005 --swversion DE.1.0.9.0 --startMP 204:232986 --initTime 2017-02-19T13:49:57 --startdatetime 2017-02-19T13:56:25 --delay 2 --endMP 204:1165 --enddatetime 2017-02-19T14:38:08 --enforcementcount 0 &gt;&gt;C:\Users\stu\Documents\GitHub\eaglep3-reporting\EC\2017-02-19-refined-times.txt</v>
      </c>
      <c r="AI86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{"issue":{"subject":"","project_id":79,"tracker_id":40,"status_id":1,"priority_id":2,"assigned_to_id":23,"start_date":"2017-02-19","description":"","custom_fields":[{"id":1,"name":"Subdivision","value":"EC"},{"id":4,"name":"Milepost","value":"0.1165"},{"id":17,"name":"Train ID","value":"176-19"},{"id":16,"name":"Locomotive ID","value":"4005"},{"id":130,"name":"Impact","value":""},{"id":150,"name":"Time of Event (Mountain Time)","value":"14:38:08"},{"id":151,"name":"Denver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4005 --day 2017-02-19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547</v>
      </c>
      <c r="B87" s="7">
        <v>4014</v>
      </c>
      <c r="C87" s="21" t="s">
        <v>665</v>
      </c>
      <c r="D87" s="21" t="s">
        <v>227</v>
      </c>
      <c r="E87" s="13">
        <v>42785.542453703703</v>
      </c>
      <c r="F87" s="13">
        <v>42785.552245370367</v>
      </c>
      <c r="G87" s="7">
        <v>1</v>
      </c>
      <c r="H87" s="21" t="s">
        <v>268</v>
      </c>
      <c r="I87" s="13">
        <v>42785.578402777777</v>
      </c>
      <c r="J87" s="7">
        <v>0</v>
      </c>
      <c r="K87" s="98" t="str">
        <f t="shared" si="21"/>
        <v>4013/4014</v>
      </c>
      <c r="L87" s="21" t="str">
        <f>VLOOKUP(A87,'Trips&amp;Operators'!$C$1:$G$99999,5,FALSE)</f>
        <v>LOPES KIMBERLY</v>
      </c>
      <c r="M87" s="6">
        <f t="shared" si="22"/>
        <v>2.6157407410209998E-2</v>
      </c>
      <c r="N87" s="7">
        <f t="shared" si="23"/>
        <v>37.666666670702398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26"/>
        <v>https://d0f6bd738d7f1b3e5a7ca70fe4ff75f0.us-east-1.aws.found.io/app/kibana#/discover/Steve-Slow-Train-Analysis-(2080s-and-2083s)?_g=(refreshInterval:(display:Off,pause:!f,section:0,value:0),time:(from:'2017-02-19T12:01:08-0700',mode:absolute,to:'2017-02-19T14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188" t="str">
        <f t="shared" si="27"/>
        <v>N</v>
      </c>
      <c r="X87" s="188">
        <f t="shared" si="28"/>
        <v>1</v>
      </c>
      <c r="Y87" s="62">
        <f t="shared" si="29"/>
        <v>4.5100000000000001E-2</v>
      </c>
      <c r="Z87" s="62">
        <f t="shared" si="30"/>
        <v>23.3293</v>
      </c>
      <c r="AA87" s="62">
        <f t="shared" si="31"/>
        <v>23.284199999999998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0177-19</v>
      </c>
      <c r="AE87" s="85" t="str">
        <f t="shared" si="33"/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AF87" s="82" t="str">
        <f t="shared" si="34"/>
        <v>"C:\Program Files (x86)\AstroGrep\AstroGrep.exe" /spath="%USERPROFILE%\AppData\Local\Temp\OnboardLogs" /stypes="app*4014*20170219*" /stext=" 20:.+((SYSTEM_STATE.+slice.+state.+changed )|(ment ac)|(multiple cpu faults)|(system.+state.+changed )|(\[timeout)|(PRM\|1\|D)|(kpr)|(kdp)|(\|loc)|(penalty))"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177-19 --locoid 4014 --swversion DE.1.0.9.0 --startMP 204:451 --initTime 2017-02-19T13:01:08 --startdatetime 2017-02-19T13:15:14 --delay 1 --endMP 204:233293 --enddatetime 2017-02-19T13:52:54 --enforcementcount 0 &gt;&gt;C:\Users\stu\Documents\GitHub\eaglep3-reporting\EC\2017-02-19-refined-times.txt</v>
      </c>
      <c r="AI87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{"issue":{"subject":"","project_id":79,"tracker_id":40,"status_id":1,"priority_id":2,"assigned_to_id":23,"start_date":"2017-02-19","description":"","custom_fields":[{"id":1,"name":"Subdivision","value":"EC"},{"id":4,"name":"Milepost","value":"23.3293"},{"id":17,"name":"Train ID","value":"177-19"},{"id":16,"name":"Locomotive ID","value":"4014"},{"id":130,"name":"Impact","value":""},{"id":150,"name":"Time of Event (Mountain Time)","value":"13:52:54"},{"id":151,"name":"Denver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4014 --day 2017-02-19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"%USERPROFILE%\AppData\Local\Temp\OnboardLogs"\RTDC4014\*4014*20170219* | grep -SE "(Enforcement Action)|(\[TIMEOUT)|(CHR.+\|PRM\|1\|D.+(SWITCH|SIGNAL).+UNKNOWN)" - &gt;&gt; 2017-02-19-UncaughtWiMAX.txt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566</v>
      </c>
      <c r="B88" s="7">
        <v>4013</v>
      </c>
      <c r="C88" s="21" t="s">
        <v>665</v>
      </c>
      <c r="D88" s="21" t="s">
        <v>279</v>
      </c>
      <c r="E88" s="13">
        <v>42785.582673611112</v>
      </c>
      <c r="F88" s="13">
        <v>42785.591134259259</v>
      </c>
      <c r="G88" s="7">
        <v>1</v>
      </c>
      <c r="H88" s="21" t="s">
        <v>306</v>
      </c>
      <c r="I88" s="13">
        <v>42785.619155092594</v>
      </c>
      <c r="J88" s="7">
        <v>0</v>
      </c>
      <c r="K88" s="98" t="str">
        <f t="shared" si="21"/>
        <v>4013/4014</v>
      </c>
      <c r="L88" s="21" t="str">
        <f>VLOOKUP(A88,'Trips&amp;Operators'!$C$1:$G$99999,5,FALSE)</f>
        <v>LOPES KIMBERLY</v>
      </c>
      <c r="M88" s="6">
        <f t="shared" si="22"/>
        <v>2.8020833335176576E-2</v>
      </c>
      <c r="N88" s="7">
        <f t="shared" si="23"/>
        <v>40.350000002654269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26"/>
        <v>https://d0f6bd738d7f1b3e5a7ca70fe4ff75f0.us-east-1.aws.found.io/app/kibana#/discover/Steve-Slow-Train-Analysis-(2080s-and-2083s)?_g=(refreshInterval:(display:Off,pause:!f,section:0,value:0),time:(from:'2017-02-19T12:59:03-0700',mode:absolute,to:'2017-02-19T15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188" t="str">
        <f t="shared" si="27"/>
        <v>N</v>
      </c>
      <c r="X88" s="188">
        <f t="shared" si="28"/>
        <v>1</v>
      </c>
      <c r="Y88" s="62">
        <f t="shared" si="29"/>
        <v>23.298300000000001</v>
      </c>
      <c r="Z88" s="62">
        <f t="shared" si="30"/>
        <v>1.7000000000000001E-2</v>
      </c>
      <c r="AA88" s="62">
        <f t="shared" si="31"/>
        <v>23.281300000000002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0178-19</v>
      </c>
      <c r="AE88" s="85" t="str">
        <f t="shared" si="33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88" s="82" t="str">
        <f t="shared" si="34"/>
        <v>"C:\Program Files (x86)\AstroGrep\AstroGrep.exe" /spath="%USERPROFILE%\AppData\Local\Temp\OnboardLogs" /stypes="app*4013*20170219*" /stext=" 21:.+((SYSTEM_STATE.+slice.+state.+changed )|(ment ac)|(multiple cpu faults)|(system.+state.+changed )|(\[timeout)|(PRM\|1\|D)|(kpr)|(kdp)|(\|loc)|(penalty))"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178-19 --locoid 4013 --swversion DE.1.0.9.0 --startMP 204:232983 --initTime 2017-02-19T13:59:03 --startdatetime 2017-02-19T14:11:14 --delay 1 --endMP 204:170 --enddatetime 2017-02-19T14:51:35 --enforcementcount 0 &gt;&gt;C:\Users\stu\Documents\GitHub\eaglep3-reporting\EC\2017-02-19-refined-times.txt</v>
      </c>
      <c r="AI8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{"issue":{"subject":"","project_id":79,"tracker_id":40,"status_id":1,"priority_id":2,"assigned_to_id":23,"start_date":"2017-02-19","description":"","custom_fields":[{"id":1,"name":"Subdivision","value":"EC"},{"id":4,"name":"Milepost","value":"0.017"},{"id":17,"name":"Train ID","value":"178-19"},{"id":16,"name":"Locomotive ID","value":"4013"},{"id":130,"name":"Impact","value":""},{"id":150,"name":"Time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4013 --day 2017-02-19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"%USERPROFILE%\AppData\Local\Temp\OnboardLogs"\RTDC4013\*4013*20170219* | grep -SE "(Enforcement Action)|(\[TIMEOUT)|(CHR.+\|PRM\|1\|D.+(SWITCH|SIGNAL).+UNKNOWN)" - &gt;&gt; 2017-02-19-UncaughtWiMAX.txt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559</v>
      </c>
      <c r="B89" s="7">
        <v>4020</v>
      </c>
      <c r="C89" s="21" t="s">
        <v>665</v>
      </c>
      <c r="D89" s="21" t="s">
        <v>206</v>
      </c>
      <c r="E89" s="13">
        <v>42785.555196759262</v>
      </c>
      <c r="F89" s="13">
        <v>42785.562754629631</v>
      </c>
      <c r="G89" s="7">
        <v>2</v>
      </c>
      <c r="H89" s="21" t="s">
        <v>268</v>
      </c>
      <c r="I89" s="13">
        <v>42785.586712962962</v>
      </c>
      <c r="J89" s="7">
        <v>0</v>
      </c>
      <c r="K89" s="98" t="str">
        <f t="shared" si="21"/>
        <v>4019/4020</v>
      </c>
      <c r="L89" s="21" t="str">
        <f>VLOOKUP(A89,'Trips&amp;Operators'!$C$1:$G$99999,5,FALSE)</f>
        <v>HOLCOMB KAMDEN</v>
      </c>
      <c r="M89" s="6">
        <f t="shared" si="22"/>
        <v>2.3958333331393078E-2</v>
      </c>
      <c r="N89" s="7">
        <f t="shared" si="23"/>
        <v>34.499999997206032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26"/>
        <v>https://d0f6bd738d7f1b3e5a7ca70fe4ff75f0.us-east-1.aws.found.io/app/kibana#/discover/Steve-Slow-Train-Analysis-(2080s-and-2083s)?_g=(refreshInterval:(display:Off,pause:!f,section:0,value:0),time:(from:'2017-02-19T12:19:29-0700',mode:absolute,to:'2017-02-19T15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88" t="str">
        <f t="shared" si="27"/>
        <v>N</v>
      </c>
      <c r="X89" s="188">
        <f t="shared" si="28"/>
        <v>1</v>
      </c>
      <c r="Y89" s="62">
        <f t="shared" si="29"/>
        <v>4.4900000000000002E-2</v>
      </c>
      <c r="Z89" s="62">
        <f t="shared" si="30"/>
        <v>23.3293</v>
      </c>
      <c r="AA89" s="62">
        <f t="shared" si="31"/>
        <v>23.284400000000002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0179-19</v>
      </c>
      <c r="AE89" s="85" t="str">
        <f t="shared" si="33"/>
        <v>aws s3 cp s3://rtdc.mdm.uploadarchive.raw/RTDC4020/ "%USERPROFILE%\AppData\Local\Temp\OnboardLogs"\RTDC4020\2017-02-19 --exclude "*" --recursive --include "*20170219*" &amp; "%USERPROFILE%\Documents\GitHub\mrs-test-scripts\Headless Mode &amp; Sideloading\WalkAndUnGZ.bat" "%USERPROFILE%\AppData\Local\Temp\OnboardLogs"\RTDC4020\2017-02-19 &amp; 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</v>
      </c>
      <c r="AF89" s="82" t="str">
        <f t="shared" si="34"/>
        <v>"C:\Program Files (x86)\AstroGrep\AstroGrep.exe" /spath="%USERPROFILE%\AppData\Local\Temp\OnboardLogs" /stypes="app*4020*20170219*" /stext=" 21:.+((SYSTEM_STATE.+slice.+state.+changed )|(ment ac)|(multiple cpu faults)|(system.+state.+changed )|(\[timeout)|(PRM\|1\|D)|(kpr)|(kdp)|(\|loc)|(penalty))"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179-19 --locoid 4020 --swversion DE.1.0.9.0 --startMP 204:449 --initTime 2017-02-19T13:19:29 --startdatetime 2017-02-19T13:30:22 --delay 2 --endMP 204:233293 --enddatetime 2017-02-19T14:04:52 --enforcementcount 0 &gt;&gt;C:\Users\stu\Documents\GitHub\eaglep3-reporting\EC\2017-02-19-refined-times.txt</v>
      </c>
      <c r="AI8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{"issue":{"subject":"","project_id":79,"tracker_id":40,"status_id":1,"priority_id":2,"assigned_to_id":23,"start_date":"2017-02-19","description":"","custom_fields":[{"id":1,"name":"Subdivision","value":"EC"},{"id":4,"name":"Milepost","value":"23.3293"},{"id":17,"name":"Train ID","value":"179-19"},{"id":16,"name":"Locomotive ID","value":"4020"},{"id":130,"name":"Impact","value":""},{"id":150,"name":"Time of Event (Mountain Time)","value":"14:04:52"},{"id":151,"name":"Denver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4020 --day 2017-02-19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"%USERPROFILE%\AppData\Local\Temp\OnboardLogs"\RTDC4020\*4020*20170219* | grep -SE "(Enforcement Action)|(\[TIMEOUT)|(CHR.+\|PRM\|1\|D.+(SWITCH|SIGNAL).+UNKNOWN)" - &gt;&gt; 2017-02-19-UncaughtWiMAX.txt</v>
      </c>
    </row>
    <row r="90" spans="1:91" s="20" customFormat="1" x14ac:dyDescent="0.25">
      <c r="A90" s="33" t="s">
        <v>432</v>
      </c>
      <c r="B90" s="7">
        <v>4019</v>
      </c>
      <c r="C90" s="21" t="s">
        <v>665</v>
      </c>
      <c r="D90" s="21" t="s">
        <v>352</v>
      </c>
      <c r="E90" s="13">
        <v>42785.589895833335</v>
      </c>
      <c r="F90" s="13">
        <v>42785.601747685185</v>
      </c>
      <c r="G90" s="7">
        <v>1</v>
      </c>
      <c r="H90" s="21" t="s">
        <v>708</v>
      </c>
      <c r="I90" s="13">
        <v>42785.629687499997</v>
      </c>
      <c r="J90" s="7">
        <v>0</v>
      </c>
      <c r="K90" s="98" t="str">
        <f t="shared" si="21"/>
        <v>4019/4020</v>
      </c>
      <c r="L90" s="21" t="str">
        <f>VLOOKUP(A90,'Trips&amp;Operators'!$C$1:$G$99999,5,FALSE)</f>
        <v>HOLCOMB KAMDEN</v>
      </c>
      <c r="M90" s="6">
        <f t="shared" si="22"/>
        <v>2.7939814812270924E-2</v>
      </c>
      <c r="N90" s="7">
        <f t="shared" si="23"/>
        <v>40.233333329670131</v>
      </c>
      <c r="O90" s="7"/>
      <c r="P90" s="7"/>
      <c r="Q90" s="22"/>
      <c r="R90" s="22" t="s">
        <v>848</v>
      </c>
      <c r="S90" s="31">
        <f t="shared" si="24"/>
        <v>1</v>
      </c>
      <c r="T90" s="46" t="str">
        <f t="shared" si="25"/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26"/>
        <v>https://d0f6bd738d7f1b3e5a7ca70fe4ff75f0.us-east-1.aws.found.io/app/kibana#/discover/Steve-Slow-Train-Analysis-(2080s-and-2083s)?_g=(refreshInterval:(display:Off,pause:!f,section:0,value:0),time:(from:'2017-02-19T13:09:27-0700',mode:absolute,to:'2017-02-19T16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88" t="str">
        <f t="shared" si="27"/>
        <v>N</v>
      </c>
      <c r="X90" s="188">
        <f t="shared" si="28"/>
        <v>1</v>
      </c>
      <c r="Y90" s="62">
        <f t="shared" si="29"/>
        <v>23.297499999999999</v>
      </c>
      <c r="Z90" s="62">
        <f t="shared" si="30"/>
        <v>2.07E-2</v>
      </c>
      <c r="AA90" s="62">
        <f t="shared" si="31"/>
        <v>23.276799999999998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0180-19</v>
      </c>
      <c r="AE90" s="85" t="str">
        <f t="shared" si="33"/>
        <v>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 &amp; 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</v>
      </c>
      <c r="AF90" s="82" t="str">
        <f t="shared" si="34"/>
        <v>"C:\Program Files (x86)\AstroGrep\AstroGrep.exe" /spath="%USERPROFILE%\AppData\Local\Temp\OnboardLogs" /stypes="app*4019*20170219*" /stext=" 22:.+((SYSTEM_STATE.+slice.+state.+changed )|(ment ac)|(multiple cpu faults)|(system.+state.+changed )|(\[timeout)|(PRM\|1\|D)|(kpr)|(kdp)|(\|loc)|(penalty))"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180-19 --locoid 4019 --swversion DE.1.0.9.0 --startMP 204:232975 --initTime 2017-02-19T14:09:27 --startdatetime 2017-02-19T14:26:31 --delay 1 --endMP 204:207 --enddatetime 2017-02-19T15:06:45 --enforcementcount 0 &gt;&gt;C:\Users\stu\Documents\GitHub\eaglep3-reporting\EC\2017-02-19-refined-times.txt</v>
      </c>
      <c r="AI90" s="108" t="str">
        <f t="shared" si="37"/>
        <v>echo {"issue":{"subject":"No evidence of enforcement found (compare vs incident 38188)","project_id":79,"tracker_id":40,"status_id":1,"priority_id":2,"assigned_to_id":23,"start_date":"2017-02-19","description":"","custom_fields":[{"id":1,"name":"Subdivision","value":"EC"},{"id":4,"name":"Milepost","value":"0.0207"},{"id":17,"name":"Train ID","value":"180-19"},{"id":16,"name":"Locomotive ID","value":"4019"},{"id":130,"name":"Impact","value":""},{"id":150,"name":"Time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4019 --day 2017-02-19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"%USERPROFILE%\AppData\Local\Temp\OnboardLogs"\RTDC4019\*4019*20170219* | grep -SE "(Enforcement Action)|(\[TIMEOUT)|(CHR.+\|PRM\|1\|D.+(SWITCH|SIGNAL).+UNKNOWN)" - &gt;&gt; 2017-02-19-UncaughtWiMAX.txt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563</v>
      </c>
      <c r="B91" s="7">
        <v>4031</v>
      </c>
      <c r="C91" s="21" t="s">
        <v>665</v>
      </c>
      <c r="D91" s="21" t="s">
        <v>395</v>
      </c>
      <c r="E91" s="13">
        <v>42785.56890046296</v>
      </c>
      <c r="F91" s="13">
        <v>42785.573113425926</v>
      </c>
      <c r="G91" s="7">
        <v>1</v>
      </c>
      <c r="H91" s="21" t="s">
        <v>402</v>
      </c>
      <c r="I91" s="13">
        <v>42785.599143518521</v>
      </c>
      <c r="J91" s="7">
        <v>0</v>
      </c>
      <c r="K91" s="98" t="str">
        <f t="shared" si="21"/>
        <v>4031/4032</v>
      </c>
      <c r="L91" s="21" t="str">
        <f>VLOOKUP(A91,'Trips&amp;Operators'!$C$1:$G$99999,5,FALSE)</f>
        <v>BRUDER RICHARD</v>
      </c>
      <c r="M91" s="6">
        <f t="shared" si="22"/>
        <v>2.6030092594737653E-2</v>
      </c>
      <c r="N91" s="7">
        <f t="shared" si="23"/>
        <v>37.48333333642222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26"/>
        <v>https://d0f6bd738d7f1b3e5a7ca70fe4ff75f0.us-east-1.aws.found.io/app/kibana#/discover/Steve-Slow-Train-Analysis-(2080s-and-2083s)?_g=(refreshInterval:(display:Off,pause:!f,section:0,value:0),time:(from:'2017-02-19T12:39:13-0700',mode:absolute,to:'2017-02-19T15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188" t="str">
        <f t="shared" si="27"/>
        <v>N</v>
      </c>
      <c r="X91" s="188">
        <f t="shared" si="28"/>
        <v>1</v>
      </c>
      <c r="Y91" s="62">
        <f t="shared" si="29"/>
        <v>4.7500000000000001E-2</v>
      </c>
      <c r="Z91" s="62">
        <f t="shared" si="30"/>
        <v>23.332100000000001</v>
      </c>
      <c r="AA91" s="62">
        <f t="shared" si="31"/>
        <v>23.284600000000001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0181-19</v>
      </c>
      <c r="AE91" s="85" t="str">
        <f t="shared" si="33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91" s="82" t="str">
        <f t="shared" si="34"/>
        <v>"C:\Program Files (x86)\AstroGrep\AstroGrep.exe" /spath="%USERPROFILE%\AppData\Local\Temp\OnboardLogs" /stypes="app*4031*20170219*" /stext=" 21:.+((SYSTEM_STATE.+slice.+state.+changed )|(ment ac)|(multiple cpu faults)|(system.+state.+changed )|(\[timeout)|(PRM\|1\|D)|(kpr)|(kdp)|(\|loc)|(penalty))"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181-19 --locoid 4031 --swversion DE.1.0.9.0 --startMP 204:475 --initTime 2017-02-19T13:39:13 --startdatetime 2017-02-19T13:45:17 --delay 1 --endMP 204:233321 --enddatetime 2017-02-19T14:22:46 --enforcementcount 0 &gt;&gt;C:\Users\stu\Documents\GitHub\eaglep3-reporting\EC\2017-02-19-refined-times.txt</v>
      </c>
      <c r="AI91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{"issue":{"subject":"","project_id":79,"tracker_id":40,"status_id":1,"priority_id":2,"assigned_to_id":23,"start_date":"2017-02-19","description":"","custom_fields":[{"id":1,"name":"Subdivision","value":"EC"},{"id":4,"name":"Milepost","value":"23.3321"},{"id":17,"name":"Train ID","value":"181-19"},{"id":16,"name":"Locomotive ID","value":"4031"},{"id":130,"name":"Impact","value":""},{"id":150,"name":"Time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4031 --day 2017-02-19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570</v>
      </c>
      <c r="B92" s="7">
        <v>4032</v>
      </c>
      <c r="C92" s="21" t="s">
        <v>665</v>
      </c>
      <c r="D92" s="21" t="s">
        <v>353</v>
      </c>
      <c r="E92" s="13">
        <v>42785.607928240737</v>
      </c>
      <c r="F92" s="13">
        <v>42785.612002314818</v>
      </c>
      <c r="G92" s="7">
        <v>1</v>
      </c>
      <c r="H92" s="21" t="s">
        <v>733</v>
      </c>
      <c r="I92" s="13">
        <v>42785.639641203707</v>
      </c>
      <c r="J92" s="7">
        <v>0</v>
      </c>
      <c r="K92" s="98" t="str">
        <f t="shared" si="21"/>
        <v>4031/4032</v>
      </c>
      <c r="L92" s="21" t="str">
        <f>VLOOKUP(A92,'Trips&amp;Operators'!$C$1:$G$99999,5,FALSE)</f>
        <v>BRUDER RICHARD</v>
      </c>
      <c r="M92" s="6">
        <f t="shared" si="22"/>
        <v>2.7638888888759539E-2</v>
      </c>
      <c r="N92" s="7">
        <f t="shared" si="23"/>
        <v>39.799999999813735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26"/>
        <v>https://d0f6bd738d7f1b3e5a7ca70fe4ff75f0.us-east-1.aws.found.io/app/kibana#/discover/Steve-Slow-Train-Analysis-(2080s-and-2083s)?_g=(refreshInterval:(display:Off,pause:!f,section:0,value:0),time:(from:'2017-02-19T13:35:25-0700',mode:absolute,to:'2017-02-19T16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188" t="str">
        <f t="shared" si="27"/>
        <v>N</v>
      </c>
      <c r="X92" s="188">
        <f t="shared" si="28"/>
        <v>1</v>
      </c>
      <c r="Y92" s="62">
        <f t="shared" si="29"/>
        <v>23.2989</v>
      </c>
      <c r="Z92" s="62">
        <f t="shared" si="30"/>
        <v>1.21E-2</v>
      </c>
      <c r="AA92" s="62">
        <f t="shared" si="31"/>
        <v>23.286799999999999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0182-19</v>
      </c>
      <c r="AE92" s="85" t="str">
        <f t="shared" si="33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92" s="82" t="str">
        <f t="shared" si="34"/>
        <v>"C:\Program Files (x86)\AstroGrep\AstroGrep.exe" /spath="%USERPROFILE%\AppData\Local\Temp\OnboardLogs" /stypes="app*4032*20170219*" /stext=" 22:.+((SYSTEM_STATE.+slice.+state.+changed )|(ment ac)|(multiple cpu faults)|(system.+state.+changed )|(\[timeout)|(PRM\|1\|D)|(kpr)|(kdp)|(\|loc)|(penalty))"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182-19 --locoid 4032 --swversion DE.1.0.9.0 --startMP 204:232989 --initTime 2017-02-19T14:35:25 --startdatetime 2017-02-19T14:41:17 --delay 1 --endMP 204:121 --enddatetime 2017-02-19T15:21:05 --enforcementcount 0 &gt;&gt;C:\Users\stu\Documents\GitHub\eaglep3-reporting\EC\2017-02-19-refined-times.txt</v>
      </c>
      <c r="AI92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{"issue":{"subject":"","project_id":79,"tracker_id":40,"status_id":1,"priority_id":2,"assigned_to_id":23,"start_date":"2017-02-19","description":"","custom_fields":[{"id":1,"name":"Subdivision","value":"EC"},{"id":4,"name":"Milepost","value":"0.0121"},{"id":17,"name":"Train ID","value":"182-19"},{"id":16,"name":"Locomotive ID","value":"4032"},{"id":130,"name":"Impact","value":""},{"id":150,"name":"Time of Event (Mountain Time)","value":"15:21:05"},{"id":151,"name":"Denver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4032 --day 2017-02-19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565</v>
      </c>
      <c r="B93" s="7">
        <v>4003</v>
      </c>
      <c r="C93" s="21" t="s">
        <v>665</v>
      </c>
      <c r="D93" s="21" t="s">
        <v>270</v>
      </c>
      <c r="E93" s="13">
        <v>42785.577638888892</v>
      </c>
      <c r="F93" s="13">
        <v>42785.583553240744</v>
      </c>
      <c r="G93" s="7">
        <v>1</v>
      </c>
      <c r="H93" s="21" t="s">
        <v>406</v>
      </c>
      <c r="I93" s="13">
        <v>42785.609259259261</v>
      </c>
      <c r="J93" s="7">
        <v>0</v>
      </c>
      <c r="K93" s="98" t="str">
        <f t="shared" si="21"/>
        <v>4003/4004</v>
      </c>
      <c r="L93" s="21" t="str">
        <f>VLOOKUP(A93,'Trips&amp;Operators'!$C$1:$G$99999,5,FALSE)</f>
        <v>CRAYTON QUNTRELL</v>
      </c>
      <c r="M93" s="6">
        <f t="shared" si="22"/>
        <v>2.5706018517666962E-2</v>
      </c>
      <c r="N93" s="7">
        <f t="shared" si="23"/>
        <v>37.016666665440425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26"/>
        <v>https://d0f6bd738d7f1b3e5a7ca70fe4ff75f0.us-east-1.aws.found.io/app/kibana#/discover/Steve-Slow-Train-Analysis-(2080s-and-2083s)?_g=(refreshInterval:(display:Off,pause:!f,section:0,value:0),time:(from:'2017-02-19T12:51:48-0700',mode:absolute,to:'2017-02-19T15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188" t="str">
        <f t="shared" si="27"/>
        <v>N</v>
      </c>
      <c r="X93" s="188">
        <f t="shared" si="28"/>
        <v>1</v>
      </c>
      <c r="Y93" s="62">
        <f t="shared" si="29"/>
        <v>4.6399999999999997E-2</v>
      </c>
      <c r="Z93" s="62">
        <f t="shared" si="30"/>
        <v>23.330100000000002</v>
      </c>
      <c r="AA93" s="62">
        <f t="shared" si="31"/>
        <v>23.283700000000003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0183-19</v>
      </c>
      <c r="AE93" s="85" t="str">
        <f t="shared" si="33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93" s="82" t="str">
        <f t="shared" si="34"/>
        <v>"C:\Program Files (x86)\AstroGrep\AstroGrep.exe" /spath="%USERPROFILE%\AppData\Local\Temp\OnboardLogs" /stypes="app*4003*20170219*" /stext=" 21:.+((SYSTEM_STATE.+slice.+state.+changed )|(ment ac)|(multiple cpu faults)|(system.+state.+changed )|(\[timeout)|(PRM\|1\|D)|(kpr)|(kdp)|(\|loc)|(penalty))"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183-19 --locoid 4003 --swversion DE.1.0.9.0 --startMP 204:464 --initTime 2017-02-19T13:51:48 --startdatetime 2017-02-19T14:00:19 --delay 1 --endMP 204:233301 --enddatetime 2017-02-19T14:37:20 --enforcementcount 0 &gt;&gt;C:\Users\stu\Documents\GitHub\eaglep3-reporting\EC\2017-02-19-refined-times.txt</v>
      </c>
      <c r="AI93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{"issue":{"subject":"","project_id":79,"tracker_id":40,"status_id":1,"priority_id":2,"assigned_to_id":23,"start_date":"2017-02-19","description":"","custom_fields":[{"id":1,"name":"Subdivision","value":"EC"},{"id":4,"name":"Milepost","value":"23.3301"},{"id":17,"name":"Train ID","value":"183-19"},{"id":16,"name":"Locomotive ID","value":"4003"},{"id":130,"name":"Impact","value":""},{"id":150,"name":"Time of Event (Mountain Time)","value":"14:37:20"},{"id":151,"name":"Denver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4003 --day 2017-02-19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571</v>
      </c>
      <c r="B94" s="7">
        <v>4004</v>
      </c>
      <c r="C94" s="21" t="s">
        <v>665</v>
      </c>
      <c r="D94" s="21" t="s">
        <v>360</v>
      </c>
      <c r="E94" s="13">
        <v>42785.612847222219</v>
      </c>
      <c r="F94" s="13">
        <v>42785.622569444444</v>
      </c>
      <c r="G94" s="7">
        <v>1</v>
      </c>
      <c r="H94" s="21" t="s">
        <v>273</v>
      </c>
      <c r="I94" s="13">
        <v>42785.651145833333</v>
      </c>
      <c r="J94" s="7">
        <v>0</v>
      </c>
      <c r="K94" s="98" t="str">
        <f t="shared" si="21"/>
        <v>4003/4004</v>
      </c>
      <c r="L94" s="21" t="str">
        <f>VLOOKUP(A94,'Trips&amp;Operators'!$C$1:$G$99999,5,FALSE)</f>
        <v>CRAYTON QUNTRELL</v>
      </c>
      <c r="M94" s="6">
        <f t="shared" si="22"/>
        <v>2.8576388889632653E-2</v>
      </c>
      <c r="N94" s="7">
        <f t="shared" si="23"/>
        <v>41.150000001071021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26"/>
        <v>https://d0f6bd738d7f1b3e5a7ca70fe4ff75f0.us-east-1.aws.found.io/app/kibana#/discover/Steve-Slow-Train-Analysis-(2080s-and-2083s)?_g=(refreshInterval:(display:Off,pause:!f,section:0,value:0),time:(from:'2017-02-19T13:42:30-0700',mode:absolute,to:'2017-02-19T16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4" s="188" t="str">
        <f t="shared" si="27"/>
        <v>N</v>
      </c>
      <c r="X94" s="188">
        <f t="shared" si="28"/>
        <v>1</v>
      </c>
      <c r="Y94" s="62">
        <f t="shared" si="29"/>
        <v>23.2973</v>
      </c>
      <c r="Z94" s="62">
        <f t="shared" si="30"/>
        <v>1.61E-2</v>
      </c>
      <c r="AA94" s="62">
        <f t="shared" si="31"/>
        <v>23.281199999999998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0184-19</v>
      </c>
      <c r="AE94" s="85" t="str">
        <f t="shared" si="33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94" s="82" t="str">
        <f t="shared" si="34"/>
        <v>"C:\Program Files (x86)\AstroGrep\AstroGrep.exe" /spath="%USERPROFILE%\AppData\Local\Temp\OnboardLogs" /stypes="app*4004*20170219*" /stext=" 22:.+((SYSTEM_STATE.+slice.+state.+changed )|(ment ac)|(multiple cpu faults)|(system.+state.+changed )|(\[timeout)|(PRM\|1\|D)|(kpr)|(kdp)|(\|loc)|(penalty))"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184-19 --locoid 4004 --swversion DE.1.0.9.0 --startMP 204:232973 --initTime 2017-02-19T14:42:30 --startdatetime 2017-02-19T14:56:30 --delay 1 --endMP 204:161 --enddatetime 2017-02-19T15:37:39 --enforcementcount 0 &gt;&gt;C:\Users\stu\Documents\GitHub\eaglep3-reporting\EC\2017-02-19-refined-times.txt</v>
      </c>
      <c r="AI94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{"issue":{"subject":"","project_id":79,"tracker_id":40,"status_id":1,"priority_id":2,"assigned_to_id":23,"start_date":"2017-02-19","description":"","custom_fields":[{"id":1,"name":"Subdivision","value":"EC"},{"id":4,"name":"Milepost","value":"0.0161"},{"id":17,"name":"Train ID","value":"184-19"},{"id":16,"name":"Locomotive ID","value":"4004"},{"id":130,"name":"Impact","value":""},{"id":150,"name":"Time of Event (Mountain Time)","value":"15:37:39"},{"id":151,"name":"Denver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4004 --day 2017-02-19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"%USERPROFILE%\AppData\Local\Temp\OnboardLogs"\RTDC4004\*4004*20170219* | grep -SE "(Enforcement Action)|(\[TIMEOUT)|(CHR.+\|PRM\|1\|D.+(SWITCH|SIGNAL).+UNKNOWN)" - &gt;&gt; 2017-02-19-UncaughtWiMAX.txt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567</v>
      </c>
      <c r="B95" s="7">
        <v>4016</v>
      </c>
      <c r="C95" s="21" t="s">
        <v>665</v>
      </c>
      <c r="D95" s="21" t="s">
        <v>398</v>
      </c>
      <c r="E95" s="13">
        <v>42785.589074074072</v>
      </c>
      <c r="F95" s="13">
        <v>42785.593969907408</v>
      </c>
      <c r="G95" s="7">
        <v>1</v>
      </c>
      <c r="H95" s="21" t="s">
        <v>311</v>
      </c>
      <c r="I95" s="13">
        <v>42785.619039351855</v>
      </c>
      <c r="J95" s="7">
        <v>0</v>
      </c>
      <c r="K95" s="98" t="str">
        <f t="shared" si="21"/>
        <v>4015/4016</v>
      </c>
      <c r="L95" s="21" t="str">
        <f>VLOOKUP(A95,'Trips&amp;Operators'!$C$1:$G$99999,5,FALSE)</f>
        <v>ROMERO CHAD</v>
      </c>
      <c r="M95" s="6">
        <f t="shared" si="22"/>
        <v>2.5069444447581191E-2</v>
      </c>
      <c r="N95" s="7">
        <f t="shared" si="23"/>
        <v>36.100000004516914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26"/>
        <v>https://d0f6bd738d7f1b3e5a7ca70fe4ff75f0.us-east-1.aws.found.io/app/kibana#/discover/Steve-Slow-Train-Analysis-(2080s-and-2083s)?_g=(refreshInterval:(display:Off,pause:!f,section:0,value:0),time:(from:'2017-02-19T13:08:16-0700',mode:absolute,to:'2017-02-19T15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188" t="str">
        <f t="shared" si="27"/>
        <v>N</v>
      </c>
      <c r="X95" s="188">
        <f t="shared" si="28"/>
        <v>1</v>
      </c>
      <c r="Y95" s="62">
        <f t="shared" si="29"/>
        <v>4.6600000000000003E-2</v>
      </c>
      <c r="Z95" s="62">
        <f t="shared" si="30"/>
        <v>23.332699999999999</v>
      </c>
      <c r="AA95" s="62">
        <f t="shared" si="31"/>
        <v>23.286099999999998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0185-19</v>
      </c>
      <c r="AE95" s="85" t="str">
        <f t="shared" si="33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95" s="82" t="str">
        <f t="shared" si="34"/>
        <v>"C:\Program Files (x86)\AstroGrep\AstroGrep.exe" /spath="%USERPROFILE%\AppData\Local\Temp\OnboardLogs" /stypes="app*4016*20170219*" /stext=" 21:.+((SYSTEM_STATE.+slice.+state.+changed )|(ment ac)|(multiple cpu faults)|(system.+state.+changed )|(\[timeout)|(PRM\|1\|D)|(kpr)|(kdp)|(\|loc)|(penalty))"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185-19 --locoid 4016 --swversion DE.1.0.9.0 --startMP 204:466 --initTime 2017-02-19T14:08:16 --startdatetime 2017-02-19T14:15:19 --delay 1 --endMP 204:233327 --enddatetime 2017-02-19T14:51:25 --enforcementcount 0 &gt;&gt;C:\Users\stu\Documents\GitHub\eaglep3-reporting\EC\2017-02-19-refined-times.txt</v>
      </c>
      <c r="AI95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{"issue":{"subject":"","project_id":79,"tracker_id":40,"status_id":1,"priority_id":2,"assigned_to_id":23,"start_date":"2017-02-19","description":"","custom_fields":[{"id":1,"name":"Subdivision","value":"EC"},{"id":4,"name":"Milepost","value":"23.3327"},{"id":17,"name":"Train ID","value":"185-19"},{"id":16,"name":"Locomotive ID","value":"4016"},{"id":130,"name":"Impact","value":""},{"id":150,"name":"Time of Event (Mountain Time)","value":"14:51:25"},{"id":151,"name":"Denver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4016 --day 2017-02-19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433</v>
      </c>
      <c r="B96" s="7">
        <v>4015</v>
      </c>
      <c r="C96" s="21" t="s">
        <v>665</v>
      </c>
      <c r="D96" s="21" t="s">
        <v>694</v>
      </c>
      <c r="E96" s="13">
        <v>42785.620659722219</v>
      </c>
      <c r="F96" s="13">
        <v>42785.6328125</v>
      </c>
      <c r="G96" s="7">
        <v>1</v>
      </c>
      <c r="H96" s="21" t="s">
        <v>293</v>
      </c>
      <c r="I96" s="13">
        <v>42785.663773148146</v>
      </c>
      <c r="J96" s="7">
        <v>0</v>
      </c>
      <c r="K96" s="98" t="str">
        <f t="shared" si="21"/>
        <v>4015/4016</v>
      </c>
      <c r="L96" s="21" t="str">
        <f>VLOOKUP(A96,'Trips&amp;Operators'!$C$1:$G$99999,5,FALSE)</f>
        <v>ROMERO CHAD</v>
      </c>
      <c r="M96" s="6">
        <f t="shared" si="22"/>
        <v>3.0960648145992309E-2</v>
      </c>
      <c r="N96" s="7">
        <f t="shared" si="23"/>
        <v>44.583333330228925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26"/>
        <v>https://d0f6bd738d7f1b3e5a7ca70fe4ff75f0.us-east-1.aws.found.io/app/kibana#/discover/Steve-Slow-Train-Analysis-(2080s-and-2083s)?_g=(refreshInterval:(display:Off,pause:!f,section:0,value:0),time:(from:'2017-02-19T13:53:45-0700',mode:absolute,to:'2017-02-19T16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188" t="str">
        <f t="shared" si="27"/>
        <v>N</v>
      </c>
      <c r="X96" s="188">
        <f t="shared" si="28"/>
        <v>1</v>
      </c>
      <c r="Y96" s="62">
        <f t="shared" si="29"/>
        <v>23.300799999999999</v>
      </c>
      <c r="Z96" s="62">
        <f t="shared" si="30"/>
        <v>1.3599999999999999E-2</v>
      </c>
      <c r="AA96" s="62">
        <f t="shared" si="31"/>
        <v>23.287199999999999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0186-19</v>
      </c>
      <c r="AE96" s="85" t="str">
        <f t="shared" si="33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96" s="82" t="str">
        <f t="shared" si="34"/>
        <v>"C:\Program Files (x86)\AstroGrep\AstroGrep.exe" /spath="%USERPROFILE%\AppData\Local\Temp\OnboardLogs" /stypes="app*4015*20170219*" /stext=" 22:.+((SYSTEM_STATE.+slice.+state.+changed )|(ment ac)|(multiple cpu faults)|(system.+state.+changed )|(\[timeout)|(PRM\|1\|D)|(kpr)|(kdp)|(\|loc)|(penalty))"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186-19 --locoid 4015 --swversion DE.1.0.9.0 --startMP 204:233008 --initTime 2017-02-19T14:53:45 --startdatetime 2017-02-19T15:11:15 --delay 1 --endMP 204:136 --enddatetime 2017-02-19T15:55:50 --enforcementcount 0 &gt;&gt;C:\Users\stu\Documents\GitHub\eaglep3-reporting\EC\2017-02-19-refined-times.txt</v>
      </c>
      <c r="AI96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{"issue":{"subject":"","project_id":79,"tracker_id":40,"status_id":1,"priority_id":2,"assigned_to_id":23,"start_date":"2017-02-19","description":"","custom_fields":[{"id":1,"name":"Subdivision","value":"EC"},{"id":4,"name":"Milepost","value":"0.0136"},{"id":17,"name":"Train ID","value":"186-19"},{"id":16,"name":"Locomotive ID","value":"4015"},{"id":130,"name":"Impact","value":""},{"id":150,"name":"Time of Event (Mountain Time)","value":"15:55:50"},{"id":151,"name":"Denver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4015 --day 2017-02-19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569</v>
      </c>
      <c r="B97" s="7">
        <v>4044</v>
      </c>
      <c r="C97" s="21" t="s">
        <v>665</v>
      </c>
      <c r="D97" s="21" t="s">
        <v>753</v>
      </c>
      <c r="E97" s="13">
        <v>42785.601655092592</v>
      </c>
      <c r="F97" s="13">
        <v>42785.604351851849</v>
      </c>
      <c r="G97" s="7">
        <v>1</v>
      </c>
      <c r="H97" s="21" t="s">
        <v>268</v>
      </c>
      <c r="I97" s="13">
        <v>42785.63077546296</v>
      </c>
      <c r="J97" s="7">
        <v>0</v>
      </c>
      <c r="K97" s="98" t="str">
        <f t="shared" si="21"/>
        <v>4043/4044</v>
      </c>
      <c r="L97" s="21" t="str">
        <f>VLOOKUP(A97,'Trips&amp;Operators'!$C$1:$G$99999,5,FALSE)</f>
        <v>KILLION DAVID</v>
      </c>
      <c r="M97" s="6">
        <f t="shared" si="22"/>
        <v>2.6423611110658385E-2</v>
      </c>
      <c r="N97" s="7">
        <f t="shared" si="23"/>
        <v>38.049999999348074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26"/>
        <v>https://d0f6bd738d7f1b3e5a7ca70fe4ff75f0.us-east-1.aws.found.io/app/kibana#/discover/Steve-Slow-Train-Analysis-(2080s-and-2083s)?_g=(refreshInterval:(display:Off,pause:!f,section:0,value:0),time:(from:'2017-02-19T13:26:23-0700',mode:absolute,to:'2017-02-19T16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88" t="str">
        <f t="shared" si="27"/>
        <v>N</v>
      </c>
      <c r="X97" s="188">
        <f t="shared" si="28"/>
        <v>1</v>
      </c>
      <c r="Y97" s="62">
        <f t="shared" si="29"/>
        <v>5.0799999999999998E-2</v>
      </c>
      <c r="Z97" s="62">
        <f t="shared" si="30"/>
        <v>23.3293</v>
      </c>
      <c r="AA97" s="62">
        <f t="shared" si="31"/>
        <v>23.278500000000001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0187-19</v>
      </c>
      <c r="AE97" s="85" t="str">
        <f t="shared" si="33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97" s="82" t="str">
        <f t="shared" si="34"/>
        <v>"C:\Program Files (x86)\AstroGrep\AstroGrep.exe" /spath="%USERPROFILE%\AppData\Local\Temp\OnboardLogs" /stypes="app*4044*20170219*" /stext=" 22:.+((SYSTEM_STATE.+slice.+state.+changed )|(ment ac)|(multiple cpu faults)|(system.+state.+changed )|(\[timeout)|(PRM\|1\|D)|(kpr)|(kdp)|(\|loc)|(penalty))"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187-19 --locoid 4044 --swversion DE.1.0.9.0 --startMP 204:508 --initTime 2017-02-19T14:26:23 --startdatetime 2017-02-19T14:30:16 --delay 1 --endMP 204:233293 --enddatetime 2017-02-19T15:08:19 --enforcementcount 0 &gt;&gt;C:\Users\stu\Documents\GitHub\eaglep3-reporting\EC\2017-02-19-refined-times.txt</v>
      </c>
      <c r="AI97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{"issue":{"subject":"","project_id":79,"tracker_id":40,"status_id":1,"priority_id":2,"assigned_to_id":23,"start_date":"2017-02-19","description":"","custom_fields":[{"id":1,"name":"Subdivision","value":"EC"},{"id":4,"name":"Milepost","value":"23.3293"},{"id":17,"name":"Train ID","value":"187-19"},{"id":16,"name":"Locomotive ID","value":"4044"},{"id":130,"name":"Impact","value":""},{"id":150,"name":"Time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4044 --day 2017-02-19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577</v>
      </c>
      <c r="B98" s="7">
        <v>4043</v>
      </c>
      <c r="C98" s="21" t="s">
        <v>665</v>
      </c>
      <c r="D98" s="21" t="s">
        <v>266</v>
      </c>
      <c r="E98" s="13">
        <v>42785.636770833335</v>
      </c>
      <c r="F98" s="13">
        <v>42785.643321759257</v>
      </c>
      <c r="G98" s="7">
        <v>1</v>
      </c>
      <c r="H98" s="21" t="s">
        <v>194</v>
      </c>
      <c r="I98" s="13">
        <v>42785.674861111111</v>
      </c>
      <c r="J98" s="7">
        <v>0</v>
      </c>
      <c r="K98" s="98" t="str">
        <f t="shared" si="21"/>
        <v>4043/4044</v>
      </c>
      <c r="L98" s="21" t="str">
        <f>VLOOKUP(A98,'Trips&amp;Operators'!$C$1:$G$99999,5,FALSE)</f>
        <v>KILLION DAVID</v>
      </c>
      <c r="M98" s="6">
        <f t="shared" si="22"/>
        <v>3.1539351854007691E-2</v>
      </c>
      <c r="N98" s="7">
        <f t="shared" si="23"/>
        <v>45.416666669771075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26"/>
        <v>https://d0f6bd738d7f1b3e5a7ca70fe4ff75f0.us-east-1.aws.found.io/app/kibana#/discover/Steve-Slow-Train-Analysis-(2080s-and-2083s)?_g=(refreshInterval:(display:Off,pause:!f,section:0,value:0),time:(from:'2017-02-19T14:16:57-0700',mode:absolute,to:'2017-02-19T17:11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88" t="str">
        <f t="shared" si="27"/>
        <v>N</v>
      </c>
      <c r="X98" s="188">
        <f t="shared" si="28"/>
        <v>1</v>
      </c>
      <c r="Y98" s="62">
        <f t="shared" si="29"/>
        <v>23.297799999999999</v>
      </c>
      <c r="Z98" s="62">
        <f t="shared" si="30"/>
        <v>1.4999999999999999E-2</v>
      </c>
      <c r="AA98" s="62">
        <f t="shared" si="31"/>
        <v>23.282799999999998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0188-19</v>
      </c>
      <c r="AE98" s="85" t="str">
        <f t="shared" si="33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98" s="82" t="str">
        <f t="shared" si="34"/>
        <v>"C:\Program Files (x86)\AstroGrep\AstroGrep.exe" /spath="%USERPROFILE%\AppData\Local\Temp\OnboardLogs" /stypes="app*4043*20170219*" /stext=" 23:.+((SYSTEM_STATE.+slice.+state.+changed )|(ment ac)|(multiple cpu faults)|(system.+state.+changed )|(\[timeout)|(PRM\|1\|D)|(kpr)|(kdp)|(\|loc)|(penalty))"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188-19 --locoid 4043 --swversion DE.1.0.9.0 --startMP 204:232978 --initTime 2017-02-19T15:16:57 --startdatetime 2017-02-19T15:26:23 --delay 1 --endMP 204:150 --enddatetime 2017-02-19T16:11:48 --enforcementcount 0 &gt;&gt;C:\Users\stu\Documents\GitHub\eaglep3-reporting\EC\2017-02-19-refined-times.txt</v>
      </c>
      <c r="AI9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{"issue":{"subject":"","project_id":79,"tracker_id":40,"status_id":1,"priority_id":2,"assigned_to_id":23,"start_date":"2017-02-19","description":"","custom_fields":[{"id":1,"name":"Subdivision","value":"EC"},{"id":4,"name":"Milepost","value":"0.015"},{"id":17,"name":"Train ID","value":"188-19"},{"id":16,"name":"Locomotive ID","value":"4043"},{"id":130,"name":"Impact","value":""},{"id":150,"name":"Time of Event (Mountain Time)","value":"16:11:48"},{"id":151,"name":"Denver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4043 --day 2017-02-19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"%USERPROFILE%\AppData\Local\Temp\OnboardLogs"\RTDC4043\*4043*20170219* | grep -SE "(Enforcement Action)|(\[TIMEOUT)|(CHR.+\|PRM\|1\|D.+(SWITCH|SIGNAL).+UNKNOWN)" - &gt;&gt; 2017-02-19-UncaughtWiMAX.txt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572</v>
      </c>
      <c r="B99" s="7">
        <v>4051</v>
      </c>
      <c r="C99" s="21" t="s">
        <v>665</v>
      </c>
      <c r="D99" s="21" t="s">
        <v>680</v>
      </c>
      <c r="E99" s="13">
        <v>42785.614027777781</v>
      </c>
      <c r="F99" s="13">
        <v>42785.616435185184</v>
      </c>
      <c r="G99" s="7">
        <v>2</v>
      </c>
      <c r="H99" s="21" t="s">
        <v>688</v>
      </c>
      <c r="I99" s="13">
        <v>42785.642083333332</v>
      </c>
      <c r="J99" s="7">
        <v>0</v>
      </c>
      <c r="K99" s="98" t="str">
        <f t="shared" si="21"/>
        <v>4051/4052</v>
      </c>
      <c r="L99" s="21" t="str">
        <f>VLOOKUP(A99,'Trips&amp;Operators'!$C$1:$G$99999,5,FALSE)</f>
        <v>STEWART MICHAEL</v>
      </c>
      <c r="M99" s="6">
        <f t="shared" si="22"/>
        <v>2.5648148148320615E-2</v>
      </c>
      <c r="N99" s="7">
        <f t="shared" si="23"/>
        <v>36.933333333581686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26"/>
        <v>https://d0f6bd738d7f1b3e5a7ca70fe4ff75f0.us-east-1.aws.found.io/app/kibana#/discover/Steve-Slow-Train-Analysis-(2080s-and-2083s)?_g=(refreshInterval:(display:Off,pause:!f,section:0,value:0),time:(from:'2017-02-19T13:44:12-0700',mode:absolute,to:'2017-02-19T16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9" s="188" t="str">
        <f t="shared" si="27"/>
        <v>N</v>
      </c>
      <c r="X99" s="188">
        <f t="shared" si="28"/>
        <v>1</v>
      </c>
      <c r="Y99" s="62">
        <f t="shared" si="29"/>
        <v>4.3499999999999997E-2</v>
      </c>
      <c r="Z99" s="62">
        <f t="shared" si="30"/>
        <v>23.3291</v>
      </c>
      <c r="AA99" s="62">
        <f t="shared" si="31"/>
        <v>23.285599999999999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0189-19</v>
      </c>
      <c r="AE99" s="85" t="str">
        <f t="shared" si="33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99" s="82" t="str">
        <f t="shared" si="34"/>
        <v>"C:\Program Files (x86)\AstroGrep\AstroGrep.exe" /spath="%USERPROFILE%\AppData\Local\Temp\OnboardLogs" /stypes="app*4051*20170219*" /stext=" 22:.+((SYSTEM_STATE.+slice.+state.+changed )|(ment ac)|(multiple cpu faults)|(system.+state.+changed )|(\[timeout)|(PRM\|1\|D)|(kpr)|(kdp)|(\|loc)|(penalty))"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189-19 --locoid 4051 --swversion DE.1.0.9.0 --startMP 204:435 --initTime 2017-02-19T14:44:12 --startdatetime 2017-02-19T14:47:40 --delay 2 --endMP 204:233291 --enddatetime 2017-02-19T15:24:36 --enforcementcount 0 &gt;&gt;C:\Users\stu\Documents\GitHub\eaglep3-reporting\EC\2017-02-19-refined-times.txt</v>
      </c>
      <c r="AI9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{"issue":{"subject":"","project_id":79,"tracker_id":40,"status_id":1,"priority_id":2,"assigned_to_id":23,"start_date":"2017-02-19","description":"","custom_fields":[{"id":1,"name":"Subdivision","value":"EC"},{"id":4,"name":"Milepost","value":"23.3291"},{"id":17,"name":"Train ID","value":"189-19"},{"id":16,"name":"Locomotive ID","value":"4051"},{"id":130,"name":"Impact","value":""},{"id":150,"name":"Time of Event (Mountain Time)","value":"15:24:36"},{"id":151,"name":"Denver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4051 --day 2017-02-19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581</v>
      </c>
      <c r="B100" s="7">
        <v>4052</v>
      </c>
      <c r="C100" s="21" t="s">
        <v>665</v>
      </c>
      <c r="D100" s="21" t="s">
        <v>265</v>
      </c>
      <c r="E100" s="13">
        <v>42785.650208333333</v>
      </c>
      <c r="F100" s="13">
        <v>42785.653715277775</v>
      </c>
      <c r="G100" s="7">
        <v>2</v>
      </c>
      <c r="H100" s="21" t="s">
        <v>194</v>
      </c>
      <c r="I100" s="13">
        <v>42785.682268518518</v>
      </c>
      <c r="J100" s="7">
        <v>0</v>
      </c>
      <c r="K100" s="98" t="str">
        <f t="shared" si="21"/>
        <v>4051/4052</v>
      </c>
      <c r="L100" s="21" t="str">
        <f>VLOOKUP(A100,'Trips&amp;Operators'!$C$1:$G$99999,5,FALSE)</f>
        <v>STEWART MICHAEL</v>
      </c>
      <c r="M100" s="6">
        <f t="shared" si="22"/>
        <v>2.8553240743349306E-2</v>
      </c>
      <c r="N100" s="7">
        <f t="shared" si="23"/>
        <v>41.116666670423001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26"/>
        <v>https://d0f6bd738d7f1b3e5a7ca70fe4ff75f0.us-east-1.aws.found.io/app/kibana#/discover/Steve-Slow-Train-Analysis-(2080s-and-2083s)?_g=(refreshInterval:(display:Off,pause:!f,section:0,value:0),time:(from:'2017-02-19T14:36:18-0700',mode:absolute,to:'2017-02-19T17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0" s="188" t="str">
        <f t="shared" si="27"/>
        <v>N</v>
      </c>
      <c r="X100" s="188">
        <f t="shared" si="28"/>
        <v>1</v>
      </c>
      <c r="Y100" s="62">
        <f t="shared" si="29"/>
        <v>23.297699999999999</v>
      </c>
      <c r="Z100" s="62">
        <f t="shared" si="30"/>
        <v>1.4999999999999999E-2</v>
      </c>
      <c r="AA100" s="62">
        <f t="shared" si="31"/>
        <v>23.282699999999998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0190-19</v>
      </c>
      <c r="AE100" s="85" t="str">
        <f t="shared" si="33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100" s="82" t="str">
        <f t="shared" si="34"/>
        <v>"C:\Program Files (x86)\AstroGrep\AstroGrep.exe" /spath="%USERPROFILE%\AppData\Local\Temp\OnboardLogs" /stypes="app*4052*20170219*" /stext=" 23:.+((SYSTEM_STATE.+slice.+state.+changed )|(ment ac)|(multiple cpu faults)|(system.+state.+changed )|(\[timeout)|(PRM\|1\|D)|(kpr)|(kdp)|(\|loc)|(penalty))"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190-19 --locoid 4052 --swversion DE.1.0.9.0 --startMP 204:232977 --initTime 2017-02-19T15:36:18 --startdatetime 2017-02-19T15:41:21 --delay 2 --endMP 204:150 --enddatetime 2017-02-19T16:22:28 --enforcementcount 0 &gt;&gt;C:\Users\stu\Documents\GitHub\eaglep3-reporting\EC\2017-02-19-refined-times.txt</v>
      </c>
      <c r="AI100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{"issue":{"subject":"","project_id":79,"tracker_id":40,"status_id":1,"priority_id":2,"assigned_to_id":23,"start_date":"2017-02-19","description":"","custom_fields":[{"id":1,"name":"Subdivision","value":"EC"},{"id":4,"name":"Milepost","value":"0.015"},{"id":17,"name":"Train ID","value":"190-19"},{"id":16,"name":"Locomotive ID","value":"4052"},{"id":130,"name":"Impact","value":""},{"id":150,"name":"Time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4052 --day 2017-02-19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573</v>
      </c>
      <c r="B101" s="7">
        <v>4014</v>
      </c>
      <c r="C101" s="21" t="s">
        <v>665</v>
      </c>
      <c r="D101" s="21" t="s">
        <v>314</v>
      </c>
      <c r="E101" s="13">
        <v>42785.622719907406</v>
      </c>
      <c r="F101" s="13">
        <v>42785.626307870371</v>
      </c>
      <c r="G101" s="7">
        <v>2</v>
      </c>
      <c r="H101" s="21" t="s">
        <v>756</v>
      </c>
      <c r="I101" s="13">
        <v>42785.655219907407</v>
      </c>
      <c r="J101" s="7">
        <v>0</v>
      </c>
      <c r="K101" s="98" t="str">
        <f t="shared" si="21"/>
        <v>4013/4014</v>
      </c>
      <c r="L101" s="21" t="str">
        <f>VLOOKUP(A101,'Trips&amp;Operators'!$C$1:$G$99999,5,FALSE)</f>
        <v>DAVIS MICHAEL</v>
      </c>
      <c r="M101" s="6">
        <f t="shared" si="22"/>
        <v>2.8912037036207039E-2</v>
      </c>
      <c r="N101" s="7">
        <f t="shared" si="23"/>
        <v>41.633333332138136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26"/>
        <v>https://d0f6bd738d7f1b3e5a7ca70fe4ff75f0.us-east-1.aws.found.io/app/kibana#/discover/Steve-Slow-Train-Analysis-(2080s-and-2083s)?_g=(refreshInterval:(display:Off,pause:!f,section:0,value:0),time:(from:'2017-02-19T13:56:43-0700',mode:absolute,to:'2017-02-19T16:43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88" t="str">
        <f t="shared" si="27"/>
        <v>N</v>
      </c>
      <c r="X101" s="188">
        <f t="shared" si="28"/>
        <v>1</v>
      </c>
      <c r="Y101" s="62">
        <f t="shared" si="29"/>
        <v>4.7100000000000003E-2</v>
      </c>
      <c r="Z101" s="62">
        <f t="shared" si="30"/>
        <v>23.3322</v>
      </c>
      <c r="AA101" s="62">
        <f t="shared" si="31"/>
        <v>23.2851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0191-19</v>
      </c>
      <c r="AE101" s="85" t="str">
        <f t="shared" si="33"/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AF101" s="82" t="str">
        <f t="shared" si="34"/>
        <v>"C:\Program Files (x86)\AstroGrep\AstroGrep.exe" /spath="%USERPROFILE%\AppData\Local\Temp\OnboardLogs" /stypes="app*4014*20170219*" /stext=" 22:.+((SYSTEM_STATE.+slice.+state.+changed )|(ment ac)|(multiple cpu faults)|(system.+state.+changed )|(\[timeout)|(PRM\|1\|D)|(kpr)|(kdp)|(\|loc)|(penalty))"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191-19 --locoid 4014 --swversion DE.1.0.9.0 --startMP 204:471 --initTime 2017-02-19T14:56:43 --startdatetime 2017-02-19T15:01:53 --delay 2 --endMP 204:233322 --enddatetime 2017-02-19T15:43:31 --enforcementcount 0 &gt;&gt;C:\Users\stu\Documents\GitHub\eaglep3-reporting\EC\2017-02-19-refined-times.txt</v>
      </c>
      <c r="AI101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{"issue":{"subject":"","project_id":79,"tracker_id":40,"status_id":1,"priority_id":2,"assigned_to_id":23,"start_date":"2017-02-19","description":"","custom_fields":[{"id":1,"name":"Subdivision","value":"EC"},{"id":4,"name":"Milepost","value":"23.3322"},{"id":17,"name":"Train ID","value":"191-19"},{"id":16,"name":"Locomotive ID","value":"4014"},{"id":130,"name":"Impact","value":""},{"id":150,"name":"Time of Event (Mountain Time)","value":"15:43:31"},{"id":151,"name":"Denver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4014 --day 2017-02-19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"%USERPROFILE%\AppData\Local\Temp\OnboardLogs"\RTDC4014\*4014*20170219* | grep -SE "(Enforcement Action)|(\[TIMEOUT)|(CHR.+\|PRM\|1\|D.+(SWITCH|SIGNAL).+UNKNOWN)" - &gt;&gt; 2017-02-19-UncaughtWiMAX.txt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583</v>
      </c>
      <c r="B102" s="7">
        <v>4013</v>
      </c>
      <c r="C102" s="21" t="s">
        <v>665</v>
      </c>
      <c r="D102" s="21" t="s">
        <v>360</v>
      </c>
      <c r="E102" s="13">
        <v>42785.660104166665</v>
      </c>
      <c r="F102" s="13">
        <v>42785.664375</v>
      </c>
      <c r="G102" s="7">
        <v>2</v>
      </c>
      <c r="H102" s="21" t="s">
        <v>196</v>
      </c>
      <c r="I102" s="13">
        <v>42785.693877314814</v>
      </c>
      <c r="J102" s="7">
        <v>0</v>
      </c>
      <c r="K102" s="98" t="str">
        <f t="shared" si="21"/>
        <v>4013/4014</v>
      </c>
      <c r="L102" s="21" t="str">
        <f>VLOOKUP(A102,'Trips&amp;Operators'!$C$1:$G$99999,5,FALSE)</f>
        <v>DAVIS MICHAEL</v>
      </c>
      <c r="M102" s="6">
        <f t="shared" si="22"/>
        <v>2.9502314813726116E-2</v>
      </c>
      <c r="N102" s="7">
        <f t="shared" si="23"/>
        <v>42.483333331765607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26"/>
        <v>https://d0f6bd738d7f1b3e5a7ca70fe4ff75f0.us-east-1.aws.found.io/app/kibana#/discover/Steve-Slow-Train-Analysis-(2080s-and-2083s)?_g=(refreshInterval:(display:Off,pause:!f,section:0,value:0),time:(from:'2017-02-19T14:50:33-0700',mode:absolute,to:'2017-02-19T17:39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188" t="str">
        <f t="shared" si="27"/>
        <v>N</v>
      </c>
      <c r="X102" s="188">
        <f t="shared" si="28"/>
        <v>1</v>
      </c>
      <c r="Y102" s="62">
        <f t="shared" si="29"/>
        <v>23.2973</v>
      </c>
      <c r="Z102" s="62">
        <f t="shared" si="30"/>
        <v>1.4500000000000001E-2</v>
      </c>
      <c r="AA102" s="62">
        <f t="shared" si="31"/>
        <v>23.282799999999998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0192-19</v>
      </c>
      <c r="AE102" s="85" t="str">
        <f t="shared" si="33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02" s="82" t="str">
        <f t="shared" si="34"/>
        <v>"C:\Program Files (x86)\AstroGrep\AstroGrep.exe" /spath="%USERPROFILE%\AppData\Local\Temp\OnboardLogs" /stypes="app*4013*20170219*" /stext=" 23:.+((SYSTEM_STATE.+slice.+state.+changed )|(ment ac)|(multiple cpu faults)|(system.+state.+changed )|(\[timeout)|(PRM\|1\|D)|(kpr)|(kdp)|(\|loc)|(penalty))"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192-19 --locoid 4013 --swversion DE.1.0.9.0 --startMP 204:232973 --initTime 2017-02-19T15:50:33 --startdatetime 2017-02-19T15:56:42 --delay 2 --endMP 204:145 --enddatetime 2017-02-19T16:39:11 --enforcementcount 0 &gt;&gt;C:\Users\stu\Documents\GitHub\eaglep3-reporting\EC\2017-02-19-refined-times.txt</v>
      </c>
      <c r="AI102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{"issue":{"subject":"","project_id":79,"tracker_id":40,"status_id":1,"priority_id":2,"assigned_to_id":23,"start_date":"2017-02-19","description":"","custom_fields":[{"id":1,"name":"Subdivision","value":"EC"},{"id":4,"name":"Milepost","value":"0.0145"},{"id":17,"name":"Train ID","value":"192-19"},{"id":16,"name":"Locomotive ID","value":"4013"},{"id":130,"name":"Impact","value":""},{"id":150,"name":"Time of Event (Mountain Time)","value":"16:39:11"},{"id":151,"name":"Denver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4013 --day 2017-02-19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"%USERPROFILE%\AppData\Local\Temp\OnboardLogs"\RTDC4013\*4013*20170219* | grep -SE "(Enforcement Action)|(\[TIMEOUT)|(CHR.+\|PRM\|1\|D.+(SWITCH|SIGNAL).+UNKNOWN)" - &gt;&gt; 2017-02-19-UncaughtWiMAX.txt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574</v>
      </c>
      <c r="B103" s="7">
        <v>4020</v>
      </c>
      <c r="C103" s="21" t="s">
        <v>665</v>
      </c>
      <c r="D103" s="21" t="s">
        <v>753</v>
      </c>
      <c r="E103" s="13">
        <v>42785.633159722223</v>
      </c>
      <c r="F103" s="13">
        <v>42785.635613425926</v>
      </c>
      <c r="G103" s="7">
        <v>1</v>
      </c>
      <c r="H103" s="21" t="s">
        <v>354</v>
      </c>
      <c r="I103" s="13">
        <v>42785.661273148151</v>
      </c>
      <c r="J103" s="7">
        <v>0</v>
      </c>
      <c r="K103" s="98" t="str">
        <f t="shared" si="21"/>
        <v>4019/4020</v>
      </c>
      <c r="L103" s="21" t="str">
        <f>VLOOKUP(A103,'Trips&amp;Operators'!$C$1:$G$99999,5,FALSE)</f>
        <v>LALONDE GREGORY</v>
      </c>
      <c r="M103" s="6">
        <f t="shared" si="22"/>
        <v>2.5659722225100268E-2</v>
      </c>
      <c r="N103" s="7">
        <f t="shared" si="23"/>
        <v>36.950000004144385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26"/>
        <v>https://d0f6bd738d7f1b3e5a7ca70fe4ff75f0.us-east-1.aws.found.io/app/kibana#/discover/Steve-Slow-Train-Analysis-(2080s-and-2083s)?_g=(refreshInterval:(display:Off,pause:!f,section:0,value:0),time:(from:'2017-02-19T14:11:45-0700',mode:absolute,to:'2017-02-19T16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8" t="str">
        <f t="shared" si="27"/>
        <v>N</v>
      </c>
      <c r="X103" s="188">
        <f t="shared" si="28"/>
        <v>1</v>
      </c>
      <c r="Y103" s="62">
        <f t="shared" si="29"/>
        <v>5.0799999999999998E-2</v>
      </c>
      <c r="Z103" s="62">
        <f t="shared" si="30"/>
        <v>23.331700000000001</v>
      </c>
      <c r="AA103" s="62">
        <f t="shared" si="31"/>
        <v>23.280900000000003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0193-19</v>
      </c>
      <c r="AE103" s="85" t="str">
        <f t="shared" si="33"/>
        <v>aws s3 cp s3://rtdc.mdm.uploadarchive.raw/RTDC4020/ "%USERPROFILE%\AppData\Local\Temp\OnboardLogs"\RTDC4020\2017-02-19 --exclude "*" --recursive --include "*20170219*" &amp; "%USERPROFILE%\Documents\GitHub\mrs-test-scripts\Headless Mode &amp; Sideloading\WalkAndUnGZ.bat" "%USERPROFILE%\AppData\Local\Temp\OnboardLogs"\RTDC4020\2017-02-19 &amp; 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</v>
      </c>
      <c r="AF103" s="82" t="str">
        <f t="shared" si="34"/>
        <v>"C:\Program Files (x86)\AstroGrep\AstroGrep.exe" /spath="%USERPROFILE%\AppData\Local\Temp\OnboardLogs" /stypes="app*4020*20170219*" /stext=" 22:.+((SYSTEM_STATE.+slice.+state.+changed )|(ment ac)|(multiple cpu faults)|(system.+state.+changed )|(\[timeout)|(PRM\|1\|D)|(kpr)|(kdp)|(\|loc)|(penalty))"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193-19 --locoid 4020 --swversion DE.1.0.9.0 --startMP 204:508 --initTime 2017-02-19T15:11:45 --startdatetime 2017-02-19T15:15:17 --delay 1 --endMP 204:233317 --enddatetime 2017-02-19T15:52:14 --enforcementcount 0 &gt;&gt;C:\Users\stu\Documents\GitHub\eaglep3-reporting\EC\2017-02-19-refined-times.txt</v>
      </c>
      <c r="AI103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{"issue":{"subject":"","project_id":79,"tracker_id":40,"status_id":1,"priority_id":2,"assigned_to_id":23,"start_date":"2017-02-19","description":"","custom_fields":[{"id":1,"name":"Subdivision","value":"EC"},{"id":4,"name":"Milepost","value":"23.3317"},{"id":17,"name":"Train ID","value":"193-19"},{"id":16,"name":"Locomotive ID","value":"4020"},{"id":130,"name":"Impact","value":""},{"id":150,"name":"Time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4020 --day 2017-02-19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"%USERPROFILE%\AppData\Local\Temp\OnboardLogs"\RTDC4020\*4020*20170219* | grep -SE "(Enforcement Action)|(\[TIMEOUT)|(CHR.+\|PRM\|1\|D.+(SWITCH|SIGNAL).+UNKNOWN)" - &gt;&gt; 2017-02-19-UncaughtWiMAX.txt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3" t="s">
        <v>435</v>
      </c>
      <c r="B104" s="7">
        <v>4019</v>
      </c>
      <c r="C104" s="21" t="s">
        <v>665</v>
      </c>
      <c r="D104" s="21" t="s">
        <v>757</v>
      </c>
      <c r="E104" s="13">
        <v>42785.66333333333</v>
      </c>
      <c r="F104" s="13">
        <v>42785.674490740741</v>
      </c>
      <c r="G104" s="7">
        <v>1</v>
      </c>
      <c r="H104" s="21" t="s">
        <v>294</v>
      </c>
      <c r="I104" s="13">
        <v>42785.701099537036</v>
      </c>
      <c r="J104" s="7">
        <v>0</v>
      </c>
      <c r="K104" s="98" t="str">
        <f t="shared" si="21"/>
        <v>4019/4020</v>
      </c>
      <c r="L104" s="21" t="str">
        <f>VLOOKUP(A104,'Trips&amp;Operators'!$C$1:$G$99999,5,FALSE)</f>
        <v>LALONDE GREGORY</v>
      </c>
      <c r="M104" s="6">
        <f t="shared" si="22"/>
        <v>2.6608796295477077E-2</v>
      </c>
      <c r="N104" s="7">
        <f t="shared" si="23"/>
        <v>38.316666665486991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26"/>
        <v>https://d0f6bd738d7f1b3e5a7ca70fe4ff75f0.us-east-1.aws.found.io/app/kibana#/discover/Steve-Slow-Train-Analysis-(2080s-and-2083s)?_g=(refreshInterval:(display:Off,pause:!f,section:0,value:0),time:(from:'2017-02-19T14:55:12-0700',mode:absolute,to:'2017-02-19T17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8" t="str">
        <f t="shared" si="27"/>
        <v>N</v>
      </c>
      <c r="X104" s="188">
        <f t="shared" si="28"/>
        <v>1</v>
      </c>
      <c r="Y104" s="62">
        <f t="shared" si="29"/>
        <v>23.300999999999998</v>
      </c>
      <c r="Z104" s="62">
        <f t="shared" si="30"/>
        <v>1.5599999999999999E-2</v>
      </c>
      <c r="AA104" s="62">
        <f t="shared" si="31"/>
        <v>23.285399999999999</v>
      </c>
      <c r="AB104" s="59" t="str">
        <f>VLOOKUP(A104,Enforcements!$C$7:$K$13,8,0)</f>
        <v>Bulletin (2)</v>
      </c>
      <c r="AC104" s="55" t="str">
        <f>VLOOKUP(A104,Enforcements!$C$7:$E$13,3,0)</f>
        <v>GRADE CROSSING</v>
      </c>
      <c r="AD104" s="56" t="str">
        <f t="shared" si="32"/>
        <v>0194-19</v>
      </c>
      <c r="AE104" s="85" t="str">
        <f t="shared" si="33"/>
        <v>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 &amp; 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</v>
      </c>
      <c r="AF104" s="82" t="str">
        <f t="shared" si="34"/>
        <v>"C:\Program Files (x86)\AstroGrep\AstroGrep.exe" /spath="%USERPROFILE%\AppData\Local\Temp\OnboardLogs" /stypes="app*4019*20170219*" /stext=" 23:.+((SYSTEM_STATE.+slice.+state.+changed )|(ment ac)|(multiple cpu faults)|(system.+state.+changed )|(\[timeout)|(PRM\|1\|D)|(kpr)|(kdp)|(\|loc)|(penalty))"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194-19 --locoid 4019 --swversion DE.1.0.9.0 --startMP 204:233010 --initTime 2017-02-19T15:55:12 --startdatetime 2017-02-19T16:11:16 --delay 1 --endMP 204:156 --enddatetime 2017-02-19T16:49:35 --enforcementcount 0 &gt;&gt;C:\Users\stu\Documents\GitHub\eaglep3-reporting\EC\2017-02-19-refined-times.txt</v>
      </c>
      <c r="AI104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{"issue":{"subject":"","project_id":79,"tracker_id":40,"status_id":1,"priority_id":2,"assigned_to_id":23,"start_date":"2017-02-19","description":"","custom_fields":[{"id":1,"name":"Subdivision","value":"EC"},{"id":4,"name":"Milepost","value":"0.0156"},{"id":17,"name":"Train ID","value":"194-19"},{"id":16,"name":"Locomotive ID","value":"4019"},{"id":130,"name":"Impact","value":""},{"id":150,"name":"Time of Event (Mountain Time)","value":"16:49:35"},{"id":151,"name":"Denver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8"/>
        <v>start /low /b %USERPROFILE%\Documents\GitHub\eaglep3\Utilities\DownloadLogsFromS3.py --loco 4019 --day 2017-02-19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"%USERPROFILE%\AppData\Local\Temp\OnboardLogs"\RTDC4019\*4019*20170219* | grep -SE "(Enforcement Action)|(\[TIMEOUT)|(CHR.+\|PRM\|1\|D.+(SWITCH|SIGNAL).+UNKNOWN)" - &gt;&gt; 2017-02-19-UncaughtWiMAX.txt</v>
      </c>
    </row>
    <row r="105" spans="1:91" s="20" customFormat="1" x14ac:dyDescent="0.25">
      <c r="A105" s="33" t="s">
        <v>579</v>
      </c>
      <c r="B105" s="7">
        <v>4031</v>
      </c>
      <c r="C105" s="21" t="s">
        <v>665</v>
      </c>
      <c r="D105" s="21" t="s">
        <v>305</v>
      </c>
      <c r="E105" s="13">
        <v>42785.642511574071</v>
      </c>
      <c r="F105" s="13">
        <v>42785.646157407406</v>
      </c>
      <c r="G105" s="7">
        <v>2</v>
      </c>
      <c r="H105" s="21" t="s">
        <v>758</v>
      </c>
      <c r="I105" s="13">
        <v>42785.672546296293</v>
      </c>
      <c r="J105" s="7">
        <v>0</v>
      </c>
      <c r="K105" s="98" t="str">
        <f t="shared" si="21"/>
        <v>4031/4032</v>
      </c>
      <c r="L105" s="21" t="str">
        <f>VLOOKUP(A105,'Trips&amp;Operators'!$C$1:$G$99999,5,FALSE)</f>
        <v>WHITED DUSTIN</v>
      </c>
      <c r="M105" s="6">
        <f t="shared" si="22"/>
        <v>2.6388888887595385E-2</v>
      </c>
      <c r="N105" s="7">
        <f t="shared" si="23"/>
        <v>37.999999998137355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26"/>
        <v>https://d0f6bd738d7f1b3e5a7ca70fe4ff75f0.us-east-1.aws.found.io/app/kibana#/discover/Steve-Slow-Train-Analysis-(2080s-and-2083s)?_g=(refreshInterval:(display:Off,pause:!f,section:0,value:0),time:(from:'2017-02-19T14:25:13-0700',mode:absolute,to:'2017-02-19T17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188" t="str">
        <f t="shared" si="27"/>
        <v>N</v>
      </c>
      <c r="X105" s="188">
        <f t="shared" si="28"/>
        <v>1</v>
      </c>
      <c r="Y105" s="62">
        <f t="shared" si="29"/>
        <v>4.3799999999999999E-2</v>
      </c>
      <c r="Z105" s="62">
        <f t="shared" si="30"/>
        <v>23.3339</v>
      </c>
      <c r="AA105" s="62">
        <f t="shared" si="31"/>
        <v>23.290099999999999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0195-19</v>
      </c>
      <c r="AE105" s="85" t="str">
        <f t="shared" si="33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105" s="82" t="str">
        <f t="shared" si="34"/>
        <v>"C:\Program Files (x86)\AstroGrep\AstroGrep.exe" /spath="%USERPROFILE%\AppData\Local\Temp\OnboardLogs" /stypes="app*4031*20170219*" /stext=" 23:.+((SYSTEM_STATE.+slice.+state.+changed )|(ment ac)|(multiple cpu faults)|(system.+state.+changed )|(\[timeout)|(PRM\|1\|D)|(kpr)|(kdp)|(\|loc)|(penalty))"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195-19 --locoid 4031 --swversion DE.1.0.9.0 --startMP 204:438 --initTime 2017-02-19T15:25:13 --startdatetime 2017-02-19T15:30:28 --delay 2 --endMP 204:233339 --enddatetime 2017-02-19T16:08:28 --enforcementcount 0 &gt;&gt;C:\Users\stu\Documents\GitHub\eaglep3-reporting\EC\2017-02-19-refined-times.txt</v>
      </c>
      <c r="AI105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{"issue":{"subject":"","project_id":79,"tracker_id":40,"status_id":1,"priority_id":2,"assigned_to_id":23,"start_date":"2017-02-19","description":"","custom_fields":[{"id":1,"name":"Subdivision","value":"EC"},{"id":4,"name":"Milepost","value":"23.3339"},{"id":17,"name":"Train ID","value":"195-19"},{"id":16,"name":"Locomotive ID","value":"4031"},{"id":130,"name":"Impact","value":""},{"id":150,"name":"Time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4031 --day 2017-02-19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3" t="s">
        <v>587</v>
      </c>
      <c r="B106" s="7">
        <v>4032</v>
      </c>
      <c r="C106" s="21" t="s">
        <v>665</v>
      </c>
      <c r="D106" s="21" t="s">
        <v>759</v>
      </c>
      <c r="E106" s="13">
        <v>42785.679293981484</v>
      </c>
      <c r="F106" s="13">
        <v>42785.684942129628</v>
      </c>
      <c r="G106" s="7">
        <v>1</v>
      </c>
      <c r="H106" s="21" t="s">
        <v>224</v>
      </c>
      <c r="I106" s="13">
        <v>42785.712719907409</v>
      </c>
      <c r="J106" s="7">
        <v>0</v>
      </c>
      <c r="K106" s="98" t="str">
        <f t="shared" si="21"/>
        <v>4031/4032</v>
      </c>
      <c r="L106" s="21" t="str">
        <f>VLOOKUP(A106,'Trips&amp;Operators'!$C$1:$G$99999,5,FALSE)</f>
        <v>WHITED DUSTIN</v>
      </c>
      <c r="M106" s="6">
        <f t="shared" si="22"/>
        <v>2.7777777781011537E-2</v>
      </c>
      <c r="N106" s="7">
        <f t="shared" si="23"/>
        <v>40.000000004656613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26"/>
        <v>https://d0f6bd738d7f1b3e5a7ca70fe4ff75f0.us-east-1.aws.found.io/app/kibana#/discover/Steve-Slow-Train-Analysis-(2080s-and-2083s)?_g=(refreshInterval:(display:Off,pause:!f,section:0,value:0),time:(from:'2017-02-19T15:18:11-0700',mode:absolute,to:'2017-02-19T18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88" t="str">
        <f t="shared" si="27"/>
        <v>N</v>
      </c>
      <c r="X106" s="188">
        <f t="shared" si="28"/>
        <v>1</v>
      </c>
      <c r="Y106" s="62">
        <f t="shared" si="29"/>
        <v>23.302099999999999</v>
      </c>
      <c r="Z106" s="62">
        <f t="shared" si="30"/>
        <v>1.43E-2</v>
      </c>
      <c r="AA106" s="62">
        <f t="shared" si="31"/>
        <v>23.287800000000001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0196-19</v>
      </c>
      <c r="AE106" s="85" t="str">
        <f t="shared" si="33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106" s="82" t="str">
        <f t="shared" si="34"/>
        <v>"C:\Program Files (x86)\AstroGrep\AstroGrep.exe" /spath="%USERPROFILE%\AppData\Local\Temp\OnboardLogs" /stypes="app*4032*20170220*" /stext=" 00:.+((SYSTEM_STATE.+slice.+state.+changed )|(ment ac)|(multiple cpu faults)|(system.+state.+changed )|(\[timeout)|(PRM\|1\|D)|(kpr)|(kdp)|(\|loc)|(penalty))"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196-19 --locoid 4032 --swversion DE.1.0.9.0 --startMP 204:233021 --initTime 2017-02-19T16:18:11 --startdatetime 2017-02-19T16:26:19 --delay 1 --endMP 204:143 --enddatetime 2017-02-19T17:06:19 --enforcementcount 0 &gt;&gt;C:\Users\stu\Documents\GitHub\eaglep3-reporting\EC\2017-02-19-refined-times.txt</v>
      </c>
      <c r="AI106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{"issue":{"subject":"","project_id":79,"tracker_id":40,"status_id":1,"priority_id":2,"assigned_to_id":23,"start_date":"2017-02-19","description":"","custom_fields":[{"id":1,"name":"Subdivision","value":"EC"},{"id":4,"name":"Milepost","value":"0.0143"},{"id":17,"name":"Train ID","value":"196-19"},{"id":16,"name":"Locomotive ID","value":"4032"},{"id":130,"name":"Impact","value":""},{"id":150,"name":"Time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4032 --day 2017-02-19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</row>
    <row r="107" spans="1:91" s="20" customFormat="1" x14ac:dyDescent="0.25">
      <c r="A107" s="33" t="s">
        <v>582</v>
      </c>
      <c r="B107" s="7">
        <v>4003</v>
      </c>
      <c r="C107" s="21" t="s">
        <v>665</v>
      </c>
      <c r="D107" s="21" t="s">
        <v>258</v>
      </c>
      <c r="E107" s="13">
        <v>42785.653113425928</v>
      </c>
      <c r="F107" s="13">
        <v>42785.656458333331</v>
      </c>
      <c r="G107" s="7">
        <v>0</v>
      </c>
      <c r="H107" s="21" t="s">
        <v>760</v>
      </c>
      <c r="I107" s="13">
        <v>42785.681886574072</v>
      </c>
      <c r="J107" s="7">
        <v>0</v>
      </c>
      <c r="K107" s="98" t="str">
        <f t="shared" si="21"/>
        <v>4003/4004</v>
      </c>
      <c r="L107" s="21" t="str">
        <f>VLOOKUP(A107,'Trips&amp;Operators'!$C$1:$G$99999,5,FALSE)</f>
        <v>CRAYTON QUNTRELL</v>
      </c>
      <c r="M107" s="6">
        <f t="shared" si="22"/>
        <v>2.5428240740438923E-2</v>
      </c>
      <c r="N107" s="7">
        <f t="shared" si="23"/>
        <v>36.616666666232049</v>
      </c>
      <c r="O107" s="7"/>
      <c r="P107" s="7"/>
      <c r="Q107" s="22"/>
      <c r="R107" s="22"/>
      <c r="S107" s="31">
        <f t="shared" si="24"/>
        <v>1</v>
      </c>
      <c r="T107" s="46" t="str">
        <f t="shared" si="25"/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26"/>
        <v>https://d0f6bd738d7f1b3e5a7ca70fe4ff75f0.us-east-1.aws.found.io/app/kibana#/discover/Steve-Slow-Train-Analysis-(2080s-and-2083s)?_g=(refreshInterval:(display:Off,pause:!f,section:0,value:0),time:(from:'2017-02-19T14:40:29-0700',mode:absolute,to:'2017-02-19T17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88" t="str">
        <f t="shared" si="27"/>
        <v>N</v>
      </c>
      <c r="X107" s="188">
        <f t="shared" si="28"/>
        <v>1</v>
      </c>
      <c r="Y107" s="62">
        <f t="shared" si="29"/>
        <v>4.6699999999999998E-2</v>
      </c>
      <c r="Z107" s="62">
        <f t="shared" si="30"/>
        <v>23.331900000000001</v>
      </c>
      <c r="AA107" s="62">
        <f t="shared" si="31"/>
        <v>23.2852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0197-19</v>
      </c>
      <c r="AE107" s="85" t="str">
        <f t="shared" si="33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107" s="82" t="str">
        <f t="shared" si="34"/>
        <v>"C:\Program Files (x86)\AstroGrep\AstroGrep.exe" /spath="%USERPROFILE%\AppData\Local\Temp\OnboardLogs" /stypes="app*4003*20170219*" /stext=" 23:.+((SYSTEM_STATE.+slice.+state.+changed )|(ment ac)|(multiple cpu faults)|(system.+state.+changed )|(\[timeout)|(PRM\|1\|D)|(kpr)|(kdp)|(\|loc)|(penalty))"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197-19 --locoid 4003 --swversion DE.1.0.9.0 --startMP 204:467 --initTime 2017-02-19T15:40:29 --startdatetime 2017-02-19T15:45:18 --delay 0 --endMP 204:233319 --enddatetime 2017-02-19T16:21:55 --enforcementcount 0 &gt;&gt;C:\Users\stu\Documents\GitHub\eaglep3-reporting\EC\2017-02-19-refined-times.txt</v>
      </c>
      <c r="AI107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{"issue":{"subject":"","project_id":79,"tracker_id":40,"status_id":1,"priority_id":2,"assigned_to_id":23,"start_date":"2017-02-19","description":"","custom_fields":[{"id":1,"name":"Subdivision","value":"EC"},{"id":4,"name":"Milepost","value":"23.3319"},{"id":17,"name":"Train ID","value":"197-19"},{"id":16,"name":"Locomotive ID","value":"4003"},{"id":130,"name":"Impact","value":""},{"id":150,"name":"Time of Event (Mountain Time)","value":"16:21:55"},{"id":151,"name":"Denver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4003 --day 2017-02-19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"%USERPROFILE%\AppData\Local\Temp\OnboardLogs"\RTDC4003\*4003*20170219* | grep -SE "(Enforcement Action)|(\[TIMEOUT)|(CHR.+\|PRM\|1\|D.+(SWITCH|SIGNAL).+UNKNOWN)" - &gt;&gt; 2017-02-19-UncaughtWiMAX.txt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588</v>
      </c>
      <c r="B108" s="7">
        <v>4004</v>
      </c>
      <c r="C108" s="21" t="s">
        <v>665</v>
      </c>
      <c r="D108" s="21" t="s">
        <v>392</v>
      </c>
      <c r="E108" s="13">
        <v>42785.688726851855</v>
      </c>
      <c r="F108" s="13">
        <v>42785.695381944446</v>
      </c>
      <c r="G108" s="7">
        <v>1</v>
      </c>
      <c r="H108" s="21" t="s">
        <v>208</v>
      </c>
      <c r="I108" s="13">
        <v>42785.723020833335</v>
      </c>
      <c r="J108" s="7">
        <v>0</v>
      </c>
      <c r="K108" s="98" t="str">
        <f t="shared" si="21"/>
        <v>4003/4004</v>
      </c>
      <c r="L108" s="21" t="str">
        <f>VLOOKUP(A108,'Trips&amp;Operators'!$C$1:$G$99999,5,FALSE)</f>
        <v>CRAYTON QUNTRELL</v>
      </c>
      <c r="M108" s="6">
        <f t="shared" si="22"/>
        <v>2.7638888888759539E-2</v>
      </c>
      <c r="N108" s="7">
        <f t="shared" si="23"/>
        <v>39.799999999813735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26"/>
        <v>https://d0f6bd738d7f1b3e5a7ca70fe4ff75f0.us-east-1.aws.found.io/app/kibana#/discover/Steve-Slow-Train-Analysis-(2080s-and-2083s)?_g=(refreshInterval:(display:Off,pause:!f,section:0,value:0),time:(from:'2017-02-19T15:31:46-0700',mode:absolute,to:'2017-02-19T18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8" s="188" t="str">
        <f t="shared" si="27"/>
        <v>N</v>
      </c>
      <c r="X108" s="188">
        <f t="shared" si="28"/>
        <v>1</v>
      </c>
      <c r="Y108" s="62">
        <f t="shared" si="29"/>
        <v>23.3004</v>
      </c>
      <c r="Z108" s="62">
        <f t="shared" si="30"/>
        <v>1.5800000000000002E-2</v>
      </c>
      <c r="AA108" s="62">
        <f t="shared" si="31"/>
        <v>23.284600000000001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0198-19</v>
      </c>
      <c r="AE108" s="85" t="str">
        <f t="shared" si="33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108" s="82" t="str">
        <f t="shared" si="34"/>
        <v>"C:\Program Files (x86)\AstroGrep\AstroGrep.exe" /spath="%USERPROFILE%\AppData\Local\Temp\OnboardLogs" /stypes="app*4004*20170220*" /stext=" 00:.+((SYSTEM_STATE.+slice.+state.+changed )|(ment ac)|(multiple cpu faults)|(system.+state.+changed )|(\[timeout)|(PRM\|1\|D)|(kpr)|(kdp)|(\|loc)|(penalty))"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198-19 --locoid 4004 --swversion DE.1.0.9.0 --startMP 204:233004 --initTime 2017-02-19T16:31:46 --startdatetime 2017-02-19T16:41:21 --delay 1 --endMP 204:158 --enddatetime 2017-02-19T17:21:09 --enforcementcount 0 &gt;&gt;C:\Users\stu\Documents\GitHub\eaglep3-reporting\EC\2017-02-19-refined-times.txt</v>
      </c>
      <c r="AI10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ID","value":"198-19"},{"id":16,"name":"Locomotive ID","value":"4004"},{"id":130,"name":"Impact","value":""},{"id":150,"name":"Time of Event (Mountain Time)","value":"17:21:09"},{"id":151,"name":"Denver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4004 --day 2017-02-19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2017-02-19-UncaughtWiMAX.txt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584</v>
      </c>
      <c r="B109" s="7">
        <v>4016</v>
      </c>
      <c r="C109" s="21" t="s">
        <v>665</v>
      </c>
      <c r="D109" s="21" t="s">
        <v>761</v>
      </c>
      <c r="E109" s="13">
        <v>42785.665659722225</v>
      </c>
      <c r="F109" s="13">
        <v>42785.667407407411</v>
      </c>
      <c r="G109" s="7">
        <v>1</v>
      </c>
      <c r="H109" s="21" t="s">
        <v>762</v>
      </c>
      <c r="I109" s="13">
        <v>42785.692372685182</v>
      </c>
      <c r="J109" s="7">
        <v>0</v>
      </c>
      <c r="K109" s="98" t="str">
        <f t="shared" si="21"/>
        <v>4015/4016</v>
      </c>
      <c r="L109" s="21" t="str">
        <f>VLOOKUP(A109,'Trips&amp;Operators'!$C$1:$G$99999,5,FALSE)</f>
        <v>ROMERO CHAD</v>
      </c>
      <c r="M109" s="6">
        <f t="shared" si="22"/>
        <v>2.4965277771116234E-2</v>
      </c>
      <c r="N109" s="7">
        <f t="shared" si="23"/>
        <v>35.949999990407377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26"/>
        <v>https://d0f6bd738d7f1b3e5a7ca70fe4ff75f0.us-east-1.aws.found.io/app/kibana#/discover/Steve-Slow-Train-Analysis-(2080s-and-2083s)?_g=(refreshInterval:(display:Off,pause:!f,section:0,value:0),time:(from:'2017-02-19T14:58:33-0700',mode:absolute,to:'2017-02-19T17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188" t="str">
        <f t="shared" si="27"/>
        <v>N</v>
      </c>
      <c r="X109" s="188">
        <f t="shared" si="28"/>
        <v>1</v>
      </c>
      <c r="Y109" s="62">
        <f t="shared" si="29"/>
        <v>4.2700000000000002E-2</v>
      </c>
      <c r="Z109" s="62">
        <f t="shared" si="30"/>
        <v>23.332000000000001</v>
      </c>
      <c r="AA109" s="62">
        <f t="shared" si="31"/>
        <v>23.289300000000001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0199-19</v>
      </c>
      <c r="AE109" s="85" t="str">
        <f t="shared" si="33"/>
        <v>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 &amp; 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</v>
      </c>
      <c r="AF109" s="82" t="str">
        <f t="shared" si="34"/>
        <v>"C:\Program Files (x86)\AstroGrep\AstroGrep.exe" /spath="%USERPROFILE%\AppData\Local\Temp\OnboardLogs" /stypes="app*4016*20170219*" /stext=" 23:.+((SYSTEM_STATE.+slice.+state.+changed )|(ment ac)|(multiple cpu faults)|(system.+state.+changed )|(\[timeout)|(PRM\|1\|D)|(kpr)|(kdp)|(\|loc)|(penalty))"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199-19 --locoid 4016 --swversion DE.1.0.9.0 --startMP 204:427 --initTime 2017-02-19T15:58:33 --startdatetime 2017-02-19T16:01:04 --delay 1 --endMP 204:233320 --enddatetime 2017-02-19T16:37:01 --enforcementcount 0 &gt;&gt;C:\Users\stu\Documents\GitHub\eaglep3-reporting\EC\2017-02-19-refined-times.txt</v>
      </c>
      <c r="AI10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{"issue":{"subject":"","project_id":79,"tracker_id":40,"status_id":1,"priority_id":2,"assigned_to_id":23,"start_date":"2017-02-19","description":"","custom_fields":[{"id":1,"name":"Subdivision","value":"EC"},{"id":4,"name":"Milepost","value":"23.332"},{"id":17,"name":"Train ID","value":"199-19"},{"id":16,"name":"Locomotive ID","value":"4016"},{"id":130,"name":"Impact","value":""},{"id":150,"name":"Time of Event (Mountain Time)","value":"16:37:01"},{"id":151,"name":"Denver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4016 --day 2017-02-19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"%USERPROFILE%\AppData\Local\Temp\OnboardLogs"\RTDC4016\*4016*20170219* | grep -SE "(Enforcement Action)|(\[TIMEOUT)|(CHR.+\|PRM\|1\|D.+(SWITCH|SIGNAL).+UNKNOWN)" - &gt;&gt; 2017-02-19-UncaughtWiMAX.txt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592</v>
      </c>
      <c r="B110" s="7">
        <v>4015</v>
      </c>
      <c r="C110" s="21" t="s">
        <v>665</v>
      </c>
      <c r="D110" s="21" t="s">
        <v>280</v>
      </c>
      <c r="E110" s="13">
        <v>42785.703668981485</v>
      </c>
      <c r="F110" s="13">
        <v>42785.705659722225</v>
      </c>
      <c r="G110" s="7">
        <v>2</v>
      </c>
      <c r="H110" s="21" t="s">
        <v>763</v>
      </c>
      <c r="I110" s="13">
        <v>42785.706111111111</v>
      </c>
      <c r="J110" s="7">
        <v>0</v>
      </c>
      <c r="K110" s="98" t="str">
        <f t="shared" si="21"/>
        <v>4015/4016</v>
      </c>
      <c r="L110" s="21" t="str">
        <f>VLOOKUP(A110,'Trips&amp;Operators'!$C$1:$G$99999,5,FALSE)</f>
        <v>ROMERO CHAD</v>
      </c>
      <c r="M110" s="6">
        <f t="shared" si="22"/>
        <v>4.5138888526707888E-4</v>
      </c>
      <c r="N110" s="7"/>
      <c r="O110" s="7"/>
      <c r="P110" s="7">
        <f t="shared" si="23"/>
        <v>0.64999999478459358</v>
      </c>
      <c r="Q110" s="22"/>
      <c r="R110" s="22" t="s">
        <v>835</v>
      </c>
      <c r="S110" s="31">
        <f t="shared" si="24"/>
        <v>0</v>
      </c>
      <c r="T110" s="46" t="str">
        <f t="shared" si="25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87" t="str">
        <f t="shared" si="26"/>
        <v>https://d0f6bd738d7f1b3e5a7ca70fe4ff75f0.us-east-1.aws.found.io/app/kibana#/discover/Steve-Slow-Train-Analysis-(2080s-and-2083s)?_g=(refreshInterval:(display:Off,pause:!f,section:0,value:0),time:(from:'2017-02-19T15:53:17-0700',mode:absolute,to:'2017-02-19T17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188" t="str">
        <f t="shared" si="27"/>
        <v>Y</v>
      </c>
      <c r="X110" s="188">
        <f t="shared" si="28"/>
        <v>1</v>
      </c>
      <c r="Y110" s="62">
        <f t="shared" si="29"/>
        <v>23.299600000000002</v>
      </c>
      <c r="Z110" s="62">
        <f t="shared" si="30"/>
        <v>23.1813</v>
      </c>
      <c r="AA110" s="62">
        <f t="shared" si="31"/>
        <v>0.1183000000000014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0200-19</v>
      </c>
      <c r="AE110" s="85" t="str">
        <f t="shared" si="33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110" s="82" t="str">
        <f t="shared" si="34"/>
        <v>"C:\Program Files (x86)\AstroGrep\AstroGrep.exe" /spath="%USERPROFILE%\AppData\Local\Temp\OnboardLogs" /stypes="app*4015*20170219*" /stext=" 23:.+((SYSTEM_STATE.+slice.+state.+changed )|(ment ac)|(multiple cpu faults)|(system.+state.+changed )|(\[timeout)|(PRM\|1\|D)|(kpr)|(kdp)|(\|loc)|(penalty))"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200-19 --locoid 4015 --swversion DE.1.0.9.0 --startMP 204:232996 --initTime 2017-02-19T16:53:17 --startdatetime 2017-02-19T16:56:09 --delay 2 --endMP 204:231813 --enddatetime 2017-02-19T16:56:48 --enforcementcount 0 &gt;&gt;C:\Users\stu\Documents\GitHub\eaglep3-reporting\EC\2017-02-19-refined-times.txt</v>
      </c>
      <c r="AI110" s="108" t="str">
        <f t="shared" si="37"/>
        <v>echo {"issue":{"subject":"Onboard in-route failure","project_id":79,"tracker_id":40,"status_id":1,"priority_id":2,"assigned_to_id":23,"start_date":"2017-02-19","description":"","custom_fields":[{"id":1,"name":"Subdivision","value":"EC"},{"id":4,"name":"Milepost","value":"23.1813"},{"id":17,"name":"Train ID","value":"200-19"},{"id":16,"name":"Locomotive ID","value":"4015"},{"id":130,"name":"Impact","value":""},{"id":150,"name":"Time of Event (Mountain Time)","value":"16:56:48"},{"id":151,"name":"Denver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4015 --day 2017-02-19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585</v>
      </c>
      <c r="B111" s="7">
        <v>4044</v>
      </c>
      <c r="C111" s="21" t="s">
        <v>665</v>
      </c>
      <c r="D111" s="21" t="s">
        <v>671</v>
      </c>
      <c r="E111" s="13">
        <v>42785.676504629628</v>
      </c>
      <c r="F111" s="13">
        <v>42785.678449074076</v>
      </c>
      <c r="G111" s="7">
        <v>1</v>
      </c>
      <c r="H111" s="21" t="s">
        <v>764</v>
      </c>
      <c r="I111" s="13">
        <v>42785.703981481478</v>
      </c>
      <c r="J111" s="7">
        <v>0</v>
      </c>
      <c r="K111" s="98" t="str">
        <f t="shared" si="21"/>
        <v>4043/4044</v>
      </c>
      <c r="L111" s="21" t="str">
        <f>VLOOKUP(A111,'Trips&amp;Operators'!$C$1:$G$99999,5,FALSE)</f>
        <v>KILLION DAVID</v>
      </c>
      <c r="M111" s="6">
        <f t="shared" si="22"/>
        <v>2.5532407402351964E-2</v>
      </c>
      <c r="N111" s="7">
        <f t="shared" si="23"/>
        <v>36.766666659386829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26"/>
        <v>https://d0f6bd738d7f1b3e5a7ca70fe4ff75f0.us-east-1.aws.found.io/app/kibana#/discover/Steve-Slow-Train-Analysis-(2080s-and-2083s)?_g=(refreshInterval:(display:Off,pause:!f,section:0,value:0),time:(from:'2017-02-19T15:14:10-0700',mode:absolute,to:'2017-02-19T17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88" t="str">
        <f t="shared" si="27"/>
        <v>N</v>
      </c>
      <c r="X111" s="188">
        <f t="shared" si="28"/>
        <v>1</v>
      </c>
      <c r="Y111" s="62">
        <f t="shared" si="29"/>
        <v>4.58E-2</v>
      </c>
      <c r="Z111" s="62">
        <f t="shared" si="30"/>
        <v>23.329799999999999</v>
      </c>
      <c r="AA111" s="62">
        <f t="shared" si="31"/>
        <v>23.283999999999999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0201-19</v>
      </c>
      <c r="AE111" s="85" t="str">
        <f t="shared" si="33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111" s="82" t="str">
        <f t="shared" si="34"/>
        <v>"C:\Program Files (x86)\AstroGrep\AstroGrep.exe" /spath="%USERPROFILE%\AppData\Local\Temp\OnboardLogs" /stypes="app*4044*20170219*" /stext=" 23:.+((SYSTEM_STATE.+slice.+state.+changed )|(ment ac)|(multiple cpu faults)|(system.+state.+changed )|(\[timeout)|(PRM\|1\|D)|(kpr)|(kdp)|(\|loc)|(penalty))"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201-19 --locoid 4044 --swversion DE.1.0.9.0 --startMP 204:458 --initTime 2017-02-19T16:14:10 --startdatetime 2017-02-19T16:16:58 --delay 1 --endMP 204:233298 --enddatetime 2017-02-19T16:53:44 --enforcementcount 0 &gt;&gt;C:\Users\stu\Documents\GitHub\eaglep3-reporting\EC\2017-02-19-refined-times.txt</v>
      </c>
      <c r="AI111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{"issue":{"subject":"","project_id":79,"tracker_id":40,"status_id":1,"priority_id":2,"assigned_to_id":23,"start_date":"2017-02-19","description":"","custom_fields":[{"id":1,"name":"Subdivision","value":"EC"},{"id":4,"name":"Milepost","value":"23.3298"},{"id":17,"name":"Train ID","value":"201-19"},{"id":16,"name":"Locomotive ID","value":"4044"},{"id":130,"name":"Impact","value":""},{"id":150,"name":"Time of Event (Mountain Time)","value":"16:53:44"},{"id":151,"name":"Denver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4044 --day 2017-02-19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"%USERPROFILE%\AppData\Local\Temp\OnboardLogs"\RTDC4044\*4044*20170219* | grep -SE "(Enforcement Action)|(\[TIMEOUT)|(CHR.+\|PRM\|1\|D.+(SWITCH|SIGNAL).+UNKNOWN)" - &gt;&gt; 2017-02-19-UncaughtWiMAX.txt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593</v>
      </c>
      <c r="B112" s="7">
        <v>4043</v>
      </c>
      <c r="C112" s="21" t="s">
        <v>665</v>
      </c>
      <c r="D112" s="21" t="s">
        <v>765</v>
      </c>
      <c r="E112" s="13">
        <v>42785.709537037037</v>
      </c>
      <c r="F112" s="13">
        <v>42785.719641203701</v>
      </c>
      <c r="G112" s="7">
        <v>1</v>
      </c>
      <c r="H112" s="21" t="s">
        <v>208</v>
      </c>
      <c r="I112" s="13">
        <v>42785.749189814815</v>
      </c>
      <c r="J112" s="7">
        <v>0</v>
      </c>
      <c r="K112" s="98" t="str">
        <f t="shared" si="21"/>
        <v>4043/4044</v>
      </c>
      <c r="L112" s="21" t="str">
        <f>VLOOKUP(A112,'Trips&amp;Operators'!$C$1:$G$99999,5,FALSE)</f>
        <v>KILLION DAVID</v>
      </c>
      <c r="M112" s="6">
        <f t="shared" si="22"/>
        <v>2.9548611113568768E-2</v>
      </c>
      <c r="N112" s="7">
        <f t="shared" si="23"/>
        <v>42.550000003539026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26"/>
        <v>https://d0f6bd738d7f1b3e5a7ca70fe4ff75f0.us-east-1.aws.found.io/app/kibana#/discover/Steve-Slow-Train-Analysis-(2080s-and-2083s)?_g=(refreshInterval:(display:Off,pause:!f,section:0,value:0),time:(from:'2017-02-19T16:01:44-0700',mode:absolute,to:'2017-02-19T18:58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88" t="str">
        <f t="shared" si="27"/>
        <v>N</v>
      </c>
      <c r="X112" s="188">
        <f t="shared" si="28"/>
        <v>1</v>
      </c>
      <c r="Y112" s="62">
        <f t="shared" si="29"/>
        <v>23.299399999999999</v>
      </c>
      <c r="Z112" s="62">
        <f t="shared" si="30"/>
        <v>1.5800000000000002E-2</v>
      </c>
      <c r="AA112" s="62">
        <f t="shared" si="31"/>
        <v>23.2836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0202-19</v>
      </c>
      <c r="AE112" s="85" t="str">
        <f t="shared" si="33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112" s="82" t="str">
        <f t="shared" si="34"/>
        <v>"C:\Program Files (x86)\AstroGrep\AstroGrep.exe" /spath="%USERPROFILE%\AppData\Local\Temp\OnboardLogs" /stypes="app*4043*20170220*" /stext=" 00:.+((SYSTEM_STATE.+slice.+state.+changed )|(ment ac)|(multiple cpu faults)|(system.+state.+changed )|(\[timeout)|(PRM\|1\|D)|(kpr)|(kdp)|(\|loc)|(penalty))"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202-19 --locoid 4043 --swversion DE.1.0.9.0 --startMP 204:232994 --initTime 2017-02-19T17:01:44 --startdatetime 2017-02-19T17:16:17 --delay 1 --endMP 204:158 --enddatetime 2017-02-19T17:58:50 --enforcementcount 0 &gt;&gt;C:\Users\stu\Documents\GitHub\eaglep3-reporting\EC\2017-02-19-refined-times.txt</v>
      </c>
      <c r="AI112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ID","value":"202-19"},{"id":16,"name":"Locomotive ID","value":"4043"},{"id":130,"name":"Impact","value":""},{"id":150,"name":"Time of Event (Mountain Time)","value":"17:58:50"},{"id":151,"name":"Denver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4043 --day 2017-02-19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2017-02-19-UncaughtWiMAX.txt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434</v>
      </c>
      <c r="B113" s="7">
        <v>4051</v>
      </c>
      <c r="C113" s="21" t="s">
        <v>665</v>
      </c>
      <c r="D113" s="21" t="s">
        <v>227</v>
      </c>
      <c r="E113" s="13">
        <v>42785.68476851852</v>
      </c>
      <c r="F113" s="13">
        <v>42785.6878125</v>
      </c>
      <c r="G113" s="7">
        <v>2</v>
      </c>
      <c r="H113" s="21" t="s">
        <v>396</v>
      </c>
      <c r="I113" s="13">
        <v>42785.719710648147</v>
      </c>
      <c r="J113" s="7">
        <v>0</v>
      </c>
      <c r="K113" s="98" t="str">
        <f t="shared" si="21"/>
        <v>4051/4052</v>
      </c>
      <c r="L113" s="21" t="str">
        <f>VLOOKUP(A113,'Trips&amp;Operators'!$C$1:$G$99999,5,FALSE)</f>
        <v>STEWART MICHAEL</v>
      </c>
      <c r="M113" s="6">
        <f t="shared" si="22"/>
        <v>3.1898148146865424E-2</v>
      </c>
      <c r="N113" s="7">
        <f t="shared" si="23"/>
        <v>45.93333333148621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26"/>
        <v>https://d0f6bd738d7f1b3e5a7ca70fe4ff75f0.us-east-1.aws.found.io/app/kibana#/discover/Steve-Slow-Train-Analysis-(2080s-and-2083s)?_g=(refreshInterval:(display:Off,pause:!f,section:0,value:0),time:(from:'2017-02-19T15:26:04-0700',mode:absolute,to:'2017-02-19T18:16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188" t="str">
        <f t="shared" si="27"/>
        <v>N</v>
      </c>
      <c r="X113" s="188">
        <f t="shared" si="28"/>
        <v>1</v>
      </c>
      <c r="Y113" s="62">
        <f t="shared" si="29"/>
        <v>4.5100000000000001E-2</v>
      </c>
      <c r="Z113" s="62">
        <f t="shared" si="30"/>
        <v>23.3264</v>
      </c>
      <c r="AA113" s="62">
        <f t="shared" si="31"/>
        <v>23.281299999999998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0203-19</v>
      </c>
      <c r="AE113" s="85" t="str">
        <f t="shared" si="33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113" s="82" t="str">
        <f t="shared" si="34"/>
        <v>"C:\Program Files (x86)\AstroGrep\AstroGrep.exe" /spath="%USERPROFILE%\AppData\Local\Temp\OnboardLogs" /stypes="app*4051*20170220*" /stext=" 00:.+((SYSTEM_STATE.+slice.+state.+changed )|(ment ac)|(multiple cpu faults)|(system.+state.+changed )|(\[timeout)|(PRM\|1\|D)|(kpr)|(kdp)|(\|loc)|(penalty))"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203-19 --locoid 4051 --swversion DE.1.0.9.0 --startMP 204:451 --initTime 2017-02-19T16:26:04 --startdatetime 2017-02-19T16:30:27 --delay 2 --endMP 204:233264 --enddatetime 2017-02-19T17:16:23 --enforcementcount 0 &gt;&gt;C:\Users\stu\Documents\GitHub\eaglep3-reporting\EC\2017-02-19-refined-times.txt</v>
      </c>
      <c r="AI113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{"issue":{"subject":"","project_id":79,"tracker_id":40,"status_id":1,"priority_id":2,"assigned_to_id":23,"start_date":"2017-02-19","description":"","custom_fields":[{"id":1,"name":"Subdivision","value":"EC"},{"id":4,"name":"Milepost","value":"23.3264"},{"id":17,"name":"Train ID","value":"203-19"},{"id":16,"name":"Locomotive ID","value":"4051"},{"id":130,"name":"Impact","value":""},{"id":150,"name":"Time of Event (Mountain Time)","value":"17:16:23"},{"id":151,"name":"Denver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4051 --day 2017-02-19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"%USERPROFILE%\AppData\Local\Temp\OnboardLogs"\RTDC4051\*4051*20170219* | grep -SE "(Enforcement Action)|(\[TIMEOUT)|(CHR.+\|PRM\|1\|D.+(SWITCH|SIGNAL).+UNKNOWN)" - &gt;&gt; 2017-02-19-UncaughtWiMAX.txt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597</v>
      </c>
      <c r="B114" s="7">
        <v>4052</v>
      </c>
      <c r="C114" s="21" t="s">
        <v>665</v>
      </c>
      <c r="D114" s="21" t="s">
        <v>360</v>
      </c>
      <c r="E114" s="13">
        <v>42785.72457175926</v>
      </c>
      <c r="F114" s="13">
        <v>42785.727731481478</v>
      </c>
      <c r="G114" s="7">
        <v>3</v>
      </c>
      <c r="H114" s="21" t="s">
        <v>766</v>
      </c>
      <c r="I114" s="13">
        <v>42785.75644675926</v>
      </c>
      <c r="J114" s="7">
        <v>0</v>
      </c>
      <c r="K114" s="98" t="str">
        <f t="shared" si="21"/>
        <v>4051/4052</v>
      </c>
      <c r="L114" s="21" t="str">
        <f>VLOOKUP(A114,'Trips&amp;Operators'!$C$1:$G$99999,5,FALSE)</f>
        <v>STEWART MICHAEL</v>
      </c>
      <c r="M114" s="6">
        <f t="shared" si="22"/>
        <v>2.8715277781884652E-2</v>
      </c>
      <c r="N114" s="7">
        <f t="shared" si="23"/>
        <v>41.350000005913898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26"/>
        <v>https://d0f6bd738d7f1b3e5a7ca70fe4ff75f0.us-east-1.aws.found.io/app/kibana#/discover/Steve-Slow-Train-Analysis-(2080s-and-2083s)?_g=(refreshInterval:(display:Off,pause:!f,section:0,value:0),time:(from:'2017-02-19T16:23:23-0700',mode:absolute,to:'2017-02-19T19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188" t="str">
        <f t="shared" si="27"/>
        <v>N</v>
      </c>
      <c r="X114" s="188">
        <f t="shared" si="28"/>
        <v>1</v>
      </c>
      <c r="Y114" s="62">
        <f t="shared" si="29"/>
        <v>23.2973</v>
      </c>
      <c r="Z114" s="62">
        <f t="shared" si="30"/>
        <v>3.7400000000000003E-2</v>
      </c>
      <c r="AA114" s="62">
        <f t="shared" si="31"/>
        <v>23.259899999999998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0204-19</v>
      </c>
      <c r="AE114" s="85" t="str">
        <f t="shared" si="33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114" s="82" t="str">
        <f t="shared" si="34"/>
        <v>"C:\Program Files (x86)\AstroGrep\AstroGrep.exe" /spath="%USERPROFILE%\AppData\Local\Temp\OnboardLogs" /stypes="app*4052*20170220*" /stext=" 01:.+((SYSTEM_STATE.+slice.+state.+changed )|(ment ac)|(multiple cpu faults)|(system.+state.+changed )|(\[timeout)|(PRM\|1\|D)|(kpr)|(kdp)|(\|loc)|(penalty))"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204-19 --locoid 4052 --swversion DE.1.0.9.0 --startMP 204:232973 --initTime 2017-02-19T17:23:23 --startdatetime 2017-02-19T17:27:56 --delay 3 --endMP 204:374 --enddatetime 2017-02-19T18:09:17 --enforcementcount 0 &gt;&gt;C:\Users\stu\Documents\GitHub\eaglep3-reporting\EC\2017-02-19-refined-times.txt</v>
      </c>
      <c r="AI114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{"issue":{"subject":"","project_id":79,"tracker_id":40,"status_id":1,"priority_id":2,"assigned_to_id":23,"start_date":"2017-02-19","description":"","custom_fields":[{"id":1,"name":"Subdivision","value":"EC"},{"id":4,"name":"Milepost","value":"0.0374"},{"id":17,"name":"Train ID","value":"204-19"},{"id":16,"name":"Locomotive ID","value":"4052"},{"id":130,"name":"Impact","value":""},{"id":150,"name":"Time of Event (Mountain Time)","value":"18:09:17"},{"id":151,"name":"Denver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4052 --day 2017-02-19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"%USERPROFILE%\AppData\Local\Temp\OnboardLogs"\RTDC4052\*4052*20170220* | grep -SE "(Enforcement Action)|(\[TIMEOUT)|(CHR.+\|PRM\|1\|D.+(SWITCH|SIGNAL).+UNKNOWN)" - &gt;&gt; 2017-02-19-UncaughtWiMAX.txt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590</v>
      </c>
      <c r="B115" s="7">
        <v>4014</v>
      </c>
      <c r="C115" s="21" t="s">
        <v>665</v>
      </c>
      <c r="D115" s="21" t="s">
        <v>260</v>
      </c>
      <c r="E115" s="13">
        <v>42785.695567129631</v>
      </c>
      <c r="F115" s="13">
        <v>42785.698391203703</v>
      </c>
      <c r="G115" s="7">
        <v>1</v>
      </c>
      <c r="H115" s="21" t="s">
        <v>767</v>
      </c>
      <c r="I115" s="13">
        <v>42785.725046296298</v>
      </c>
      <c r="J115" s="7">
        <v>0</v>
      </c>
      <c r="K115" s="98" t="str">
        <f t="shared" si="21"/>
        <v>4013/4014</v>
      </c>
      <c r="L115" s="21" t="str">
        <f>VLOOKUP(A115,'Trips&amp;Operators'!$C$1:$G$99999,5,FALSE)</f>
        <v>DAVIS MICHAEL</v>
      </c>
      <c r="M115" s="6">
        <f t="shared" si="22"/>
        <v>2.6655092595319729E-2</v>
      </c>
      <c r="N115" s="7">
        <f t="shared" si="23"/>
        <v>38.38333333726041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26"/>
        <v>https://d0f6bd738d7f1b3e5a7ca70fe4ff75f0.us-east-1.aws.found.io/app/kibana#/discover/Steve-Slow-Train-Analysis-(2080s-and-2083s)?_g=(refreshInterval:(display:Off,pause:!f,section:0,value:0),time:(from:'2017-02-19T15:41:37-0700',mode:absolute,to:'2017-02-19T18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188" t="str">
        <f t="shared" si="27"/>
        <v>N</v>
      </c>
      <c r="X115" s="188">
        <f t="shared" si="28"/>
        <v>1</v>
      </c>
      <c r="Y115" s="62">
        <f t="shared" si="29"/>
        <v>4.5499999999999999E-2</v>
      </c>
      <c r="Z115" s="62">
        <f t="shared" si="30"/>
        <v>23.3323</v>
      </c>
      <c r="AA115" s="62">
        <f t="shared" si="31"/>
        <v>23.286799999999999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0205-19</v>
      </c>
      <c r="AE115" s="85" t="str">
        <f t="shared" si="33"/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AF115" s="82" t="str">
        <f t="shared" si="34"/>
        <v>"C:\Program Files (x86)\AstroGrep\AstroGrep.exe" /spath="%USERPROFILE%\AppData\Local\Temp\OnboardLogs" /stypes="app*4014*20170220*" /stext=" 00:.+((SYSTEM_STATE.+slice.+state.+changed )|(ment ac)|(multiple cpu faults)|(system.+state.+changed )|(\[timeout)|(PRM\|1\|D)|(kpr)|(kdp)|(\|loc)|(penalty))"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205-19 --locoid 4014 --swversion DE.1.0.9.0 --startMP 204:455 --initTime 2017-02-19T16:41:37 --startdatetime 2017-02-19T16:45:41 --delay 1 --endMP 204:233323 --enddatetime 2017-02-19T17:24:04 --enforcementcount 0 &gt;&gt;C:\Users\stu\Documents\GitHub\eaglep3-reporting\EC\2017-02-19-refined-times.txt</v>
      </c>
      <c r="AI115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{"issue":{"subject":"","project_id":79,"tracker_id":40,"status_id":1,"priority_id":2,"assigned_to_id":23,"start_date":"2017-02-19","description":"","custom_fields":[{"id":1,"name":"Subdivision","value":"EC"},{"id":4,"name":"Milepost","value":"23.3323"},{"id":17,"name":"Train ID","value":"205-19"},{"id":16,"name":"Locomotive ID","value":"4014"},{"id":130,"name":"Impact","value":""},{"id":150,"name":"Time of Event (Mountain Time)","value":"17:24:04"},{"id":151,"name":"Denver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4014 --day 2017-02-19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"%USERPROFILE%\AppData\Local\Temp\OnboardLogs"\RTDC4014\*4014*20170220* | grep -SE "(Enforcement Action)|(\[TIMEOUT)|(CHR.+\|PRM\|1\|D.+(SWITCH|SIGNAL).+UNKNOWN)" - &gt;&gt; 2017-02-19-UncaughtWiMAX.txt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603</v>
      </c>
      <c r="B116" s="7">
        <v>4013</v>
      </c>
      <c r="C116" s="21" t="s">
        <v>665</v>
      </c>
      <c r="D116" s="21" t="s">
        <v>392</v>
      </c>
      <c r="E116" s="13">
        <v>42785.7346875</v>
      </c>
      <c r="F116" s="13">
        <v>42785.737199074072</v>
      </c>
      <c r="G116" s="7">
        <v>2</v>
      </c>
      <c r="H116" s="21" t="s">
        <v>208</v>
      </c>
      <c r="I116" s="13">
        <v>42785.768275462964</v>
      </c>
      <c r="J116" s="7">
        <v>0</v>
      </c>
      <c r="K116" s="98" t="str">
        <f t="shared" si="21"/>
        <v>4013/4014</v>
      </c>
      <c r="L116" s="21" t="str">
        <f>VLOOKUP(A116,'Trips&amp;Operators'!$C$1:$G$99999,5,FALSE)</f>
        <v>DAVIS MICHAEL</v>
      </c>
      <c r="M116" s="6">
        <f t="shared" si="22"/>
        <v>3.107638889196096E-2</v>
      </c>
      <c r="N116" s="7">
        <f t="shared" si="23"/>
        <v>44.750000004423782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26"/>
        <v>https://d0f6bd738d7f1b3e5a7ca70fe4ff75f0.us-east-1.aws.found.io/app/kibana#/discover/Steve-Slow-Train-Analysis-(2080s-and-2083s)?_g=(refreshInterval:(display:Off,pause:!f,section:0,value:0),time:(from:'2017-02-19T16:37:57-0700',mode:absolute,to:'2017-02-19T19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188" t="str">
        <f t="shared" si="27"/>
        <v>N</v>
      </c>
      <c r="X116" s="188">
        <f t="shared" si="28"/>
        <v>1</v>
      </c>
      <c r="Y116" s="62">
        <f t="shared" si="29"/>
        <v>23.3004</v>
      </c>
      <c r="Z116" s="62">
        <f t="shared" si="30"/>
        <v>1.5800000000000002E-2</v>
      </c>
      <c r="AA116" s="62">
        <f t="shared" si="31"/>
        <v>23.284600000000001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0206-19</v>
      </c>
      <c r="AE116" s="85" t="str">
        <f t="shared" si="33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16" s="82" t="str">
        <f t="shared" si="34"/>
        <v>"C:\Program Files (x86)\AstroGrep\AstroGrep.exe" /spath="%USERPROFILE%\AppData\Local\Temp\OnboardLogs" /stypes="app*4013*20170220*" /stext=" 01:.+((SYSTEM_STATE.+slice.+state.+changed )|(ment ac)|(multiple cpu faults)|(system.+state.+changed )|(\[timeout)|(PRM\|1\|D)|(kpr)|(kdp)|(\|loc)|(penalty))"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206-19 --locoid 4013 --swversion DE.1.0.9.0 --startMP 204:233004 --initTime 2017-02-19T17:37:57 --startdatetime 2017-02-19T17:41:34 --delay 2 --endMP 204:158 --enddatetime 2017-02-19T18:26:19 --enforcementcount 0 &gt;&gt;C:\Users\stu\Documents\GitHub\eaglep3-reporting\EC\2017-02-19-refined-times.txt</v>
      </c>
      <c r="AI116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ID","value":"206-19"},{"id":16,"name":"Locomotive ID","value":"4013"},{"id":130,"name":"Impact","value":""},{"id":150,"name":"Time of Event (Mountain Time)","value":"18:26:19"},{"id":151,"name":"Denver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4013 --day 2017-02-19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"%USERPROFILE%\AppData\Local\Temp\OnboardLogs"\RTDC4013\*4013*20170220* | grep -SE "(Enforcement Action)|(\[TIMEOUT)|(CHR.+\|PRM\|1\|D.+(SWITCH|SIGNAL).+UNKNOWN)" - &gt;&gt; 2017-02-19-UncaughtWiMAX.txt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591</v>
      </c>
      <c r="B117" s="7">
        <v>4020</v>
      </c>
      <c r="C117" s="21" t="s">
        <v>665</v>
      </c>
      <c r="D117" s="21" t="s">
        <v>308</v>
      </c>
      <c r="E117" s="13">
        <v>42785.702673611115</v>
      </c>
      <c r="F117" s="13">
        <v>42785.70853009259</v>
      </c>
      <c r="G117" s="7">
        <v>1</v>
      </c>
      <c r="H117" s="21" t="s">
        <v>762</v>
      </c>
      <c r="I117" s="13">
        <v>42785.735520833332</v>
      </c>
      <c r="J117" s="7">
        <v>0</v>
      </c>
      <c r="K117" s="98" t="str">
        <f t="shared" si="21"/>
        <v>4019/4020</v>
      </c>
      <c r="L117" s="21" t="str">
        <f>VLOOKUP(A117,'Trips&amp;Operators'!$C$1:$G$99999,5,FALSE)</f>
        <v>LEVIN SCOTT</v>
      </c>
      <c r="M117" s="6">
        <f t="shared" si="22"/>
        <v>2.6990740741894115E-2</v>
      </c>
      <c r="N117" s="7">
        <f t="shared" si="23"/>
        <v>38.866666668327525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26"/>
        <v>https://d0f6bd738d7f1b3e5a7ca70fe4ff75f0.us-east-1.aws.found.io/app/kibana#/discover/Steve-Slow-Train-Analysis-(2080s-and-2083s)?_g=(refreshInterval:(display:Off,pause:!f,section:0,value:0),time:(from:'2017-02-19T15:51:51-0700',mode:absolute,to:'2017-02-19T18:39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88" t="str">
        <f t="shared" si="27"/>
        <v>N</v>
      </c>
      <c r="X117" s="188">
        <f t="shared" si="28"/>
        <v>1</v>
      </c>
      <c r="Y117" s="62">
        <f t="shared" si="29"/>
        <v>4.4200000000000003E-2</v>
      </c>
      <c r="Z117" s="62">
        <f t="shared" si="30"/>
        <v>23.332000000000001</v>
      </c>
      <c r="AA117" s="62">
        <f t="shared" si="31"/>
        <v>23.287800000000001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0207-19</v>
      </c>
      <c r="AE117" s="85" t="str">
        <f t="shared" si="33"/>
        <v>aws s3 cp s3://rtdc.mdm.uploadarchive.raw/RTDC4020/ "%USERPROFILE%\AppData\Local\Temp\OnboardLogs"\RTDC4020\2017-02-19 --exclude "*" --recursive --include "*20170219*" &amp; "%USERPROFILE%\Documents\GitHub\mrs-test-scripts\Headless Mode &amp; Sideloading\WalkAndUnGZ.bat" "%USERPROFILE%\AppData\Local\Temp\OnboardLogs"\RTDC4020\2017-02-19 &amp; 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</v>
      </c>
      <c r="AF117" s="82" t="str">
        <f t="shared" si="34"/>
        <v>"C:\Program Files (x86)\AstroGrep\AstroGrep.exe" /spath="%USERPROFILE%\AppData\Local\Temp\OnboardLogs" /stypes="app*4020*20170220*" /stext=" 00:.+((SYSTEM_STATE.+slice.+state.+changed )|(ment ac)|(multiple cpu faults)|(system.+state.+changed )|(\[timeout)|(PRM\|1\|D)|(kpr)|(kdp)|(\|loc)|(penalty))"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207-19 --locoid 4020 --swversion DE.1.0.9.0 --startMP 204:442 --initTime 2017-02-19T16:51:51 --startdatetime 2017-02-19T17:00:17 --delay 1 --endMP 204:233320 --enddatetime 2017-02-19T17:39:09 --enforcementcount 0 &gt;&gt;C:\Users\stu\Documents\GitHub\eaglep3-reporting\EC\2017-02-19-refined-times.txt</v>
      </c>
      <c r="AI117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{"issue":{"subject":"","project_id":79,"tracker_id":40,"status_id":1,"priority_id":2,"assigned_to_id":23,"start_date":"2017-02-19","description":"","custom_fields":[{"id":1,"name":"Subdivision","value":"EC"},{"id":4,"name":"Milepost","value":"23.332"},{"id":17,"name":"Train ID","value":"207-19"},{"id":16,"name":"Locomotive ID","value":"4020"},{"id":130,"name":"Impact","value":""},{"id":150,"name":"Time of Event (Mountain Time)","value":"17:39:09"},{"id":151,"name":"Denver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4020 --day 2017-02-19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2017-02-19-UncaughtWiMAX.txt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605</v>
      </c>
      <c r="B118" s="7">
        <v>4019</v>
      </c>
      <c r="C118" s="21" t="s">
        <v>665</v>
      </c>
      <c r="D118" s="21" t="s">
        <v>768</v>
      </c>
      <c r="E118" s="13">
        <v>42785.741423611114</v>
      </c>
      <c r="F118" s="13">
        <v>42785.747407407405</v>
      </c>
      <c r="G118" s="7">
        <v>1</v>
      </c>
      <c r="H118" s="21" t="s">
        <v>769</v>
      </c>
      <c r="I118" s="13">
        <v>42785.773738425924</v>
      </c>
      <c r="J118" s="7">
        <v>0</v>
      </c>
      <c r="K118" s="98" t="str">
        <f t="shared" si="21"/>
        <v>4019/4020</v>
      </c>
      <c r="L118" s="21" t="str">
        <f>VLOOKUP(A118,'Trips&amp;Operators'!$C$1:$G$99999,5,FALSE)</f>
        <v>LEVIN SCOTT</v>
      </c>
      <c r="M118" s="6">
        <f t="shared" si="22"/>
        <v>2.6331018518249039E-2</v>
      </c>
      <c r="N118" s="7">
        <f t="shared" si="23"/>
        <v>37.916666666278616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26"/>
        <v>https://d0f6bd738d7f1b3e5a7ca70fe4ff75f0.us-east-1.aws.found.io/app/kibana#/discover/Steve-Slow-Train-Analysis-(2080s-and-2083s)?_g=(refreshInterval:(display:Off,pause:!f,section:0,value:0),time:(from:'2017-02-19T16:47:39-0700',mode:absolute,to:'2017-02-19T19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88" t="str">
        <f t="shared" si="27"/>
        <v>N</v>
      </c>
      <c r="X118" s="188">
        <f t="shared" si="28"/>
        <v>1</v>
      </c>
      <c r="Y118" s="62">
        <f t="shared" si="29"/>
        <v>23.298400000000001</v>
      </c>
      <c r="Z118" s="62">
        <f t="shared" si="30"/>
        <v>1.34E-2</v>
      </c>
      <c r="AA118" s="62">
        <f t="shared" si="31"/>
        <v>23.285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0208-19</v>
      </c>
      <c r="AE118" s="85" t="str">
        <f t="shared" si="33"/>
        <v>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 &amp; 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</v>
      </c>
      <c r="AF118" s="82" t="str">
        <f t="shared" si="34"/>
        <v>"C:\Program Files (x86)\AstroGrep\AstroGrep.exe" /spath="%USERPROFILE%\AppData\Local\Temp\OnboardLogs" /stypes="app*4019*20170220*" /stext=" 01:.+((SYSTEM_STATE.+slice.+state.+changed )|(ment ac)|(multiple cpu faults)|(system.+state.+changed )|(\[timeout)|(PRM\|1\|D)|(kpr)|(kdp)|(\|loc)|(penalty))"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208-19 --locoid 4019 --swversion DE.1.0.9.0 --startMP 204:232984 --initTime 2017-02-19T17:47:39 --startdatetime 2017-02-19T17:56:16 --delay 1 --endMP 204:134 --enddatetime 2017-02-19T18:34:11 --enforcementcount 0 &gt;&gt;C:\Users\stu\Documents\GitHub\eaglep3-reporting\EC\2017-02-19-refined-times.txt</v>
      </c>
      <c r="AI11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{"issue":{"subject":"","project_id":79,"tracker_id":40,"status_id":1,"priority_id":2,"assigned_to_id":23,"start_date":"2017-02-19","description":"","custom_fields":[{"id":1,"name":"Subdivision","value":"EC"},{"id":4,"name":"Milepost","value":"0.0134"},{"id":17,"name":"Train ID","value":"208-19"},{"id":16,"name":"Locomotive ID","value":"4019"},{"id":130,"name":"Impact","value":""},{"id":150,"name":"Time of Event (Mountain Time)","value":"18:34:11"},{"id":151,"name":"Denver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4019 --day 2017-02-19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2017-02-19-UncaughtWiMAX.txt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594</v>
      </c>
      <c r="B119" s="7">
        <v>4031</v>
      </c>
      <c r="C119" s="21" t="s">
        <v>665</v>
      </c>
      <c r="D119" s="21" t="s">
        <v>671</v>
      </c>
      <c r="E119" s="13">
        <v>42785.715324074074</v>
      </c>
      <c r="F119" s="13">
        <v>42785.720601851855</v>
      </c>
      <c r="G119" s="7">
        <v>1</v>
      </c>
      <c r="H119" s="21" t="s">
        <v>281</v>
      </c>
      <c r="I119" s="13">
        <v>42785.747013888889</v>
      </c>
      <c r="J119" s="7">
        <v>0</v>
      </c>
      <c r="K119" s="98" t="str">
        <f t="shared" si="21"/>
        <v>4031/4032</v>
      </c>
      <c r="L119" s="21" t="str">
        <f>VLOOKUP(A119,'Trips&amp;Operators'!$C$1:$G$99999,5,FALSE)</f>
        <v>DAVIDSON DAVID</v>
      </c>
      <c r="M119" s="6">
        <f t="shared" si="22"/>
        <v>2.6412037033878732E-2</v>
      </c>
      <c r="N119" s="7">
        <f t="shared" si="23"/>
        <v>38.033333328785375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26"/>
        <v>https://d0f6bd738d7f1b3e5a7ca70fe4ff75f0.us-east-1.aws.found.io/app/kibana#/discover/Steve-Slow-Train-Analysis-(2080s-and-2083s)?_g=(refreshInterval:(display:Off,pause:!f,section:0,value:0),time:(from:'2017-02-19T16:10:04-0700',mode:absolute,to:'2017-02-19T18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188" t="str">
        <f t="shared" si="27"/>
        <v>N</v>
      </c>
      <c r="X119" s="188">
        <f t="shared" si="28"/>
        <v>1</v>
      </c>
      <c r="Y119" s="62">
        <f t="shared" si="29"/>
        <v>4.58E-2</v>
      </c>
      <c r="Z119" s="62">
        <f t="shared" si="30"/>
        <v>23.331199999999999</v>
      </c>
      <c r="AA119" s="62">
        <f t="shared" si="31"/>
        <v>23.285399999999999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0209-19</v>
      </c>
      <c r="AE119" s="85" t="str">
        <f t="shared" si="33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119" s="82" t="str">
        <f t="shared" si="34"/>
        <v>"C:\Program Files (x86)\AstroGrep\AstroGrep.exe" /spath="%USERPROFILE%\AppData\Local\Temp\OnboardLogs" /stypes="app*4031*20170220*" /stext=" 00:.+((SYSTEM_STATE.+slice.+state.+changed )|(ment ac)|(multiple cpu faults)|(system.+state.+changed )|(\[timeout)|(PRM\|1\|D)|(kpr)|(kdp)|(\|loc)|(penalty))"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209-19 --locoid 4031 --swversion DE.1.0.9.0 --startMP 204:458 --initTime 2017-02-19T17:10:04 --startdatetime 2017-02-19T17:17:40 --delay 1 --endMP 204:233312 --enddatetime 2017-02-19T17:55:42 --enforcementcount 0 &gt;&gt;C:\Users\stu\Documents\GitHub\eaglep3-reporting\EC\2017-02-19-refined-times.txt</v>
      </c>
      <c r="AI11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{"issue":{"subject":"","project_id":79,"tracker_id":40,"status_id":1,"priority_id":2,"assigned_to_id":23,"start_date":"2017-02-19","description":"","custom_fields":[{"id":1,"name":"Subdivision","value":"EC"},{"id":4,"name":"Milepost","value":"23.3312"},{"id":17,"name":"Train ID","value":"209-19"},{"id":16,"name":"Locomotive ID","value":"4031"},{"id":130,"name":"Impact","value":""},{"id":150,"name":"Time of Event (Mountain Time)","value":"17:55:42"},{"id":151,"name":"Denver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4031 --day 2017-02-19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"%USERPROFILE%\AppData\Local\Temp\OnboardLogs"\RTDC4031\*4031*20170220* | grep -SE "(Enforcement Action)|(\[TIMEOUT)|(CHR.+\|PRM\|1\|D.+(SWITCH|SIGNAL).+UNKNOWN)" - &gt;&gt; 2017-02-19-UncaughtWiMAX.txt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608</v>
      </c>
      <c r="B120" s="7">
        <v>4032</v>
      </c>
      <c r="C120" s="21" t="s">
        <v>665</v>
      </c>
      <c r="D120" s="21" t="s">
        <v>280</v>
      </c>
      <c r="E120" s="13">
        <v>42785.751122685186</v>
      </c>
      <c r="F120" s="13">
        <v>42785.758020833331</v>
      </c>
      <c r="G120" s="7">
        <v>1</v>
      </c>
      <c r="H120" s="21" t="s">
        <v>203</v>
      </c>
      <c r="I120" s="13">
        <v>42785.786736111113</v>
      </c>
      <c r="J120" s="7">
        <v>0</v>
      </c>
      <c r="K120" s="98" t="str">
        <f t="shared" si="21"/>
        <v>4031/4032</v>
      </c>
      <c r="L120" s="21" t="str">
        <f>VLOOKUP(A120,'Trips&amp;Operators'!$C$1:$G$99999,5,FALSE)</f>
        <v>DAVIDSON DAVID</v>
      </c>
      <c r="M120" s="6">
        <f t="shared" si="22"/>
        <v>2.8715277781884652E-2</v>
      </c>
      <c r="N120" s="7">
        <f t="shared" si="23"/>
        <v>41.350000005913898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26"/>
        <v>https://d0f6bd738d7f1b3e5a7ca70fe4ff75f0.us-east-1.aws.found.io/app/kibana#/discover/Steve-Slow-Train-Analysis-(2080s-and-2083s)?_g=(refreshInterval:(display:Off,pause:!f,section:0,value:0),time:(from:'2017-02-19T17:01:37-0700',mode:absolute,to:'2017-02-19T19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188" t="str">
        <f t="shared" si="27"/>
        <v>N</v>
      </c>
      <c r="X120" s="188">
        <f t="shared" si="28"/>
        <v>1</v>
      </c>
      <c r="Y120" s="62">
        <f t="shared" si="29"/>
        <v>23.299600000000002</v>
      </c>
      <c r="Z120" s="62">
        <f t="shared" si="30"/>
        <v>1.6E-2</v>
      </c>
      <c r="AA120" s="62">
        <f t="shared" si="31"/>
        <v>23.283600000000003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0210-19</v>
      </c>
      <c r="AE120" s="85" t="str">
        <f t="shared" si="33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120" s="82" t="str">
        <f t="shared" si="34"/>
        <v>"C:\Program Files (x86)\AstroGrep\AstroGrep.exe" /spath="%USERPROFILE%\AppData\Local\Temp\OnboardLogs" /stypes="app*4032*20170220*" /stext=" 01:.+((SYSTEM_STATE.+slice.+state.+changed )|(ment ac)|(multiple cpu faults)|(system.+state.+changed )|(\[timeout)|(PRM\|1\|D)|(kpr)|(kdp)|(\|loc)|(penalty))"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210-19 --locoid 4032 --swversion DE.1.0.9.0 --startMP 204:232996 --initTime 2017-02-19T18:01:37 --startdatetime 2017-02-19T18:11:33 --delay 1 --endMP 204:160 --enddatetime 2017-02-19T18:52:54 --enforcementcount 0 &gt;&gt;C:\Users\stu\Documents\GitHub\eaglep3-reporting\EC\2017-02-19-refined-times.txt</v>
      </c>
      <c r="AI120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{"issue":{"subject":"","project_id":79,"tracker_id":40,"status_id":1,"priority_id":2,"assigned_to_id":23,"start_date":"2017-02-19","description":"","custom_fields":[{"id":1,"name":"Subdivision","value":"EC"},{"id":4,"name":"Milepost","value":"0.016"},{"id":17,"name":"Train ID","value":"210-19"},{"id":16,"name":"Locomotive ID","value":"4032"},{"id":130,"name":"Impact","value":""},{"id":150,"name":"Time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4032 --day 2017-02-19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"%USERPROFILE%\AppData\Local\Temp\OnboardLogs"\RTDC4032\*4032*20170220* | grep -SE "(Enforcement Action)|(\[TIMEOUT)|(CHR.+\|PRM\|1\|D.+(SWITCH|SIGNAL).+UNKNOWN)" - &gt;&gt; 2017-02-19-UncaughtWiMAX.txt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598</v>
      </c>
      <c r="B121" s="7">
        <v>4003</v>
      </c>
      <c r="C121" s="21" t="s">
        <v>665</v>
      </c>
      <c r="D121" s="21" t="s">
        <v>270</v>
      </c>
      <c r="E121" s="13">
        <v>42785.728958333333</v>
      </c>
      <c r="F121" s="13">
        <v>42785.730104166665</v>
      </c>
      <c r="G121" s="7">
        <v>1</v>
      </c>
      <c r="H121" s="21" t="s">
        <v>363</v>
      </c>
      <c r="I121" s="13">
        <v>42785.756006944444</v>
      </c>
      <c r="J121" s="7">
        <v>0</v>
      </c>
      <c r="K121" s="98" t="str">
        <f t="shared" si="21"/>
        <v>4003/4004</v>
      </c>
      <c r="L121" s="21" t="str">
        <f>VLOOKUP(A121,'Trips&amp;Operators'!$C$1:$G$99999,5,FALSE)</f>
        <v>CRAYTON QUNTRELL</v>
      </c>
      <c r="M121" s="6">
        <f t="shared" si="22"/>
        <v>2.5902777779265307E-2</v>
      </c>
      <c r="N121" s="7">
        <f t="shared" si="23"/>
        <v>37.300000002142042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26"/>
        <v>https://d0f6bd738d7f1b3e5a7ca70fe4ff75f0.us-east-1.aws.found.io/app/kibana#/discover/Steve-Slow-Train-Analysis-(2080s-and-2083s)?_g=(refreshInterval:(display:Off,pause:!f,section:0,value:0),time:(from:'2017-02-19T16:29:42-0700',mode:absolute,to:'2017-02-19T19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188" t="str">
        <f t="shared" si="27"/>
        <v>N</v>
      </c>
      <c r="X121" s="188">
        <f t="shared" si="28"/>
        <v>1</v>
      </c>
      <c r="Y121" s="62">
        <f t="shared" si="29"/>
        <v>4.6399999999999997E-2</v>
      </c>
      <c r="Z121" s="62">
        <f t="shared" si="30"/>
        <v>23.327200000000001</v>
      </c>
      <c r="AA121" s="62">
        <f t="shared" si="31"/>
        <v>23.280800000000003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0211-19</v>
      </c>
      <c r="AE121" s="85" t="str">
        <f t="shared" si="33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121" s="82" t="str">
        <f t="shared" si="34"/>
        <v>"C:\Program Files (x86)\AstroGrep\AstroGrep.exe" /spath="%USERPROFILE%\AppData\Local\Temp\OnboardLogs" /stypes="app*4003*20170220*" /stext=" 01:.+((SYSTEM_STATE.+slice.+state.+changed )|(ment ac)|(multiple cpu faults)|(system.+state.+changed )|(\[timeout)|(PRM\|1\|D)|(kpr)|(kdp)|(\|loc)|(penalty))"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211-19 --locoid 4003 --swversion DE.1.0.9.0 --startMP 204:464 --initTime 2017-02-19T17:29:42 --startdatetime 2017-02-19T17:31:21 --delay 1 --endMP 204:233272 --enddatetime 2017-02-19T18:08:39 --enforcementcount 0 &gt;&gt;C:\Users\stu\Documents\GitHub\eaglep3-reporting\EC\2017-02-19-refined-times.txt</v>
      </c>
      <c r="AI121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{"issue":{"subject":"","project_id":79,"tracker_id":40,"status_id":1,"priority_id":2,"assigned_to_id":23,"start_date":"2017-02-19","description":"","custom_fields":[{"id":1,"name":"Subdivision","value":"EC"},{"id":4,"name":"Milepost","value":"23.3272"},{"id":17,"name":"Train ID","value":"211-19"},{"id":16,"name":"Locomotive ID","value":"4003"},{"id":130,"name":"Impact","value":""},{"id":150,"name":"Time of Event (Mountain Time)","value":"18:08:39"},{"id":151,"name":"Denver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4003 --day 2017-02-19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2017-02-19-UncaughtWiMAX.txt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612</v>
      </c>
      <c r="B122" s="7">
        <v>4004</v>
      </c>
      <c r="C122" s="21" t="s">
        <v>665</v>
      </c>
      <c r="D122" s="21" t="s">
        <v>389</v>
      </c>
      <c r="E122" s="13">
        <v>42785.763067129628</v>
      </c>
      <c r="F122" s="13">
        <v>42785.768449074072</v>
      </c>
      <c r="G122" s="7">
        <v>3</v>
      </c>
      <c r="H122" s="21" t="s">
        <v>294</v>
      </c>
      <c r="I122" s="13">
        <v>42785.797974537039</v>
      </c>
      <c r="J122" s="7">
        <v>0</v>
      </c>
      <c r="K122" s="98" t="str">
        <f t="shared" si="21"/>
        <v>4003/4004</v>
      </c>
      <c r="L122" s="21" t="str">
        <f>VLOOKUP(A122,'Trips&amp;Operators'!$C$1:$G$99999,5,FALSE)</f>
        <v>MAGEE KENYA</v>
      </c>
      <c r="M122" s="6">
        <f t="shared" si="22"/>
        <v>2.9525462967285421E-2</v>
      </c>
      <c r="N122" s="7">
        <f t="shared" si="23"/>
        <v>42.516666672891006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26"/>
        <v>https://d0f6bd738d7f1b3e5a7ca70fe4ff75f0.us-east-1.aws.found.io/app/kibana#/discover/Steve-Slow-Train-Analysis-(2080s-and-2083s)?_g=(refreshInterval:(display:Off,pause:!f,section:0,value:0),time:(from:'2017-02-19T17:18:49-0700',mode:absolute,to:'2017-02-19T20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188" t="str">
        <f t="shared" si="27"/>
        <v>N</v>
      </c>
      <c r="X122" s="188">
        <f t="shared" si="28"/>
        <v>1</v>
      </c>
      <c r="Y122" s="62">
        <f t="shared" si="29"/>
        <v>23.298200000000001</v>
      </c>
      <c r="Z122" s="62">
        <f t="shared" si="30"/>
        <v>1.5599999999999999E-2</v>
      </c>
      <c r="AA122" s="62">
        <f t="shared" si="31"/>
        <v>23.282600000000002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0212-19</v>
      </c>
      <c r="AE122" s="85" t="str">
        <f t="shared" si="33"/>
        <v>aws s3 cp s3://rtdc.mdm.uploadarchive.raw/RTDC4004/ "%USERPROFILE%\AppData\Local\Temp\OnboardLogs"\RTDC4004\2017-02-19 --exclude "*" --recursive --include "*20170219*" &amp; "%USERPROFILE%\Documents\GitHub\mrs-test-scripts\Headless Mode &amp; Sideloading\WalkAndUnGZ.bat" "%USERPROFILE%\AppData\Local\Temp\OnboardLogs"\RTDC4004\2017-02-19 &amp; 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</v>
      </c>
      <c r="AF122" s="82" t="str">
        <f t="shared" si="34"/>
        <v>"C:\Program Files (x86)\AstroGrep\AstroGrep.exe" /spath="%USERPROFILE%\AppData\Local\Temp\OnboardLogs" /stypes="app*4004*20170220*" /stext=" 02:.+((SYSTEM_STATE.+slice.+state.+changed )|(ment ac)|(multiple cpu faults)|(system.+state.+changed )|(\[timeout)|(PRM\|1\|D)|(kpr)|(kdp)|(\|loc)|(penalty))"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212-19 --locoid 4004 --swversion DE.1.0.9.0 --startMP 204:232982 --initTime 2017-02-19T18:18:49 --startdatetime 2017-02-19T18:26:34 --delay 3 --endMP 204:156 --enddatetime 2017-02-19T19:09:05 --enforcementcount 0 &gt;&gt;C:\Users\stu\Documents\GitHub\eaglep3-reporting\EC\2017-02-19-refined-times.txt</v>
      </c>
      <c r="AI122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{"issue":{"subject":"","project_id":79,"tracker_id":40,"status_id":1,"priority_id":2,"assigned_to_id":23,"start_date":"2017-02-19","description":"","custom_fields":[{"id":1,"name":"Subdivision","value":"EC"},{"id":4,"name":"Milepost","value":"0.0156"},{"id":17,"name":"Train ID","value":"212-19"},{"id":16,"name":"Locomotive ID","value":"4004"},{"id":130,"name":"Impact","value":""},{"id":150,"name":"Time of Event (Mountain Time)","value":"19:09:05"},{"id":151,"name":"Denver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4004 --day 2017-02-19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2017-02-19-UncaughtWiMAX.txt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599</v>
      </c>
      <c r="B123" s="7">
        <v>4006</v>
      </c>
      <c r="C123" s="21" t="s">
        <v>665</v>
      </c>
      <c r="D123" s="21" t="s">
        <v>308</v>
      </c>
      <c r="E123" s="13">
        <v>42785.733032407406</v>
      </c>
      <c r="F123" s="13">
        <v>42785.739803240744</v>
      </c>
      <c r="G123" s="7">
        <v>2</v>
      </c>
      <c r="H123" s="21" t="s">
        <v>295</v>
      </c>
      <c r="I123" s="13">
        <v>42785.765231481484</v>
      </c>
      <c r="J123" s="7">
        <v>0</v>
      </c>
      <c r="K123" s="98" t="str">
        <f t="shared" si="21"/>
        <v>4005/4006</v>
      </c>
      <c r="L123" s="21" t="str">
        <f>VLOOKUP(A123,'Trips&amp;Operators'!$C$1:$G$99999,5,FALSE)</f>
        <v>SAFIEF AEIMEN</v>
      </c>
      <c r="M123" s="6">
        <f t="shared" si="22"/>
        <v>2.5428240740438923E-2</v>
      </c>
      <c r="N123" s="7">
        <f t="shared" si="23"/>
        <v>36.616666666232049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26"/>
        <v>https://d0f6bd738d7f1b3e5a7ca70fe4ff75f0.us-east-1.aws.found.io/app/kibana#/discover/Steve-Slow-Train-Analysis-(2080s-and-2083s)?_g=(refreshInterval:(display:Off,pause:!f,section:0,value:0),time:(from:'2017-02-19T16:35:34-0700',mode:absolute,to:'2017-02-19T19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3" s="188" t="str">
        <f t="shared" si="27"/>
        <v>N</v>
      </c>
      <c r="X123" s="188">
        <f t="shared" si="28"/>
        <v>1</v>
      </c>
      <c r="Y123" s="62">
        <f t="shared" si="29"/>
        <v>4.4200000000000003E-2</v>
      </c>
      <c r="Z123" s="62">
        <f t="shared" si="30"/>
        <v>23.331</v>
      </c>
      <c r="AA123" s="62">
        <f t="shared" si="31"/>
        <v>23.286799999999999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0213-19</v>
      </c>
      <c r="AE123" s="85" t="str">
        <f t="shared" si="33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123" s="82" t="str">
        <f t="shared" si="34"/>
        <v>"C:\Program Files (x86)\AstroGrep\AstroGrep.exe" /spath="%USERPROFILE%\AppData\Local\Temp\OnboardLogs" /stypes="app*4006*20170220*" /stext=" 01:.+((SYSTEM_STATE.+slice.+state.+changed )|(ment ac)|(multiple cpu faults)|(system.+state.+changed )|(\[timeout)|(PRM\|1\|D)|(kpr)|(kdp)|(\|loc)|(penalty))"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213-19 --locoid 4006 --swversion DE.1.0.9.0 --startMP 204:442 --initTime 2017-02-19T17:35:34 --startdatetime 2017-02-19T17:45:19 --delay 2 --endMP 204:233310 --enddatetime 2017-02-19T18:21:56 --enforcementcount 0 &gt;&gt;C:\Users\stu\Documents\GitHub\eaglep3-reporting\EC\2017-02-19-refined-times.txt</v>
      </c>
      <c r="AI123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{"issue":{"subject":"","project_id":79,"tracker_id":40,"status_id":1,"priority_id":2,"assigned_to_id":23,"start_date":"2017-02-19","description":"","custom_fields":[{"id":1,"name":"Subdivision","value":"EC"},{"id":4,"name":"Milepost","value":"23.331"},{"id":17,"name":"Train ID","value":"213-19"},{"id":16,"name":"Locomotive ID","value":"4006"},{"id":130,"name":"Impact","value":""},{"id":150,"name":"Time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4006 --day 2017-02-19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"%USERPROFILE%\AppData\Local\Temp\OnboardLogs"\RTDC4006\*4006*20170220* | grep -SE "(Enforcement Action)|(\[TIMEOUT)|(CHR.+\|PRM\|1\|D.+(SWITCH|SIGNAL).+UNKNOWN)" - &gt;&gt; 2017-02-19-UncaughtWiMAX.txt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614</v>
      </c>
      <c r="B124" s="7">
        <v>4005</v>
      </c>
      <c r="C124" s="21" t="s">
        <v>665</v>
      </c>
      <c r="D124" s="21" t="s">
        <v>300</v>
      </c>
      <c r="E124" s="13">
        <v>42785.770555555559</v>
      </c>
      <c r="F124" s="13">
        <v>42785.778692129628</v>
      </c>
      <c r="G124" s="7">
        <v>1</v>
      </c>
      <c r="H124" s="21" t="s">
        <v>194</v>
      </c>
      <c r="I124" s="13">
        <v>42785.806550925925</v>
      </c>
      <c r="J124" s="7">
        <v>0</v>
      </c>
      <c r="K124" s="98" t="str">
        <f t="shared" si="21"/>
        <v>4005/4006</v>
      </c>
      <c r="L124" s="21" t="str">
        <f>VLOOKUP(A124,'Trips&amp;Operators'!$C$1:$G$99999,5,FALSE)</f>
        <v>SAFIEF AEIMEN</v>
      </c>
      <c r="M124" s="6">
        <f t="shared" si="22"/>
        <v>2.7858796296641231E-2</v>
      </c>
      <c r="N124" s="7">
        <f t="shared" si="23"/>
        <v>40.116666667163372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26"/>
        <v>https://d0f6bd738d7f1b3e5a7ca70fe4ff75f0.us-east-1.aws.found.io/app/kibana#/discover/Steve-Slow-Train-Analysis-(2080s-and-2083s)?_g=(refreshInterval:(display:Off,pause:!f,section:0,value:0),time:(from:'2017-02-19T17:29:36-0700',mode:absolute,to:'2017-02-19T20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4" s="188" t="str">
        <f t="shared" si="27"/>
        <v>N</v>
      </c>
      <c r="X124" s="188">
        <f t="shared" si="28"/>
        <v>1</v>
      </c>
      <c r="Y124" s="62">
        <f t="shared" si="29"/>
        <v>23.299800000000001</v>
      </c>
      <c r="Z124" s="62">
        <f t="shared" si="30"/>
        <v>1.4999999999999999E-2</v>
      </c>
      <c r="AA124" s="62">
        <f t="shared" si="31"/>
        <v>23.284800000000001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0214-19</v>
      </c>
      <c r="AE124" s="85" t="str">
        <f t="shared" si="33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124" s="82" t="str">
        <f t="shared" si="34"/>
        <v>"C:\Program Files (x86)\AstroGrep\AstroGrep.exe" /spath="%USERPROFILE%\AppData\Local\Temp\OnboardLogs" /stypes="app*4005*20170220*" /stext=" 02:.+((SYSTEM_STATE.+slice.+state.+changed )|(ment ac)|(multiple cpu faults)|(system.+state.+changed )|(\[timeout)|(PRM\|1\|D)|(kpr)|(kdp)|(\|loc)|(penalty))"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214-19 --locoid 4005 --swversion DE.1.0.9.0 --startMP 204:232998 --initTime 2017-02-19T18:29:36 --startdatetime 2017-02-19T18:41:19 --delay 1 --endMP 204:150 --enddatetime 2017-02-19T19:21:26 --enforcementcount 0 &gt;&gt;C:\Users\stu\Documents\GitHub\eaglep3-reporting\EC\2017-02-19-refined-times.txt</v>
      </c>
      <c r="AI124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{"issue":{"subject":"","project_id":79,"tracker_id":40,"status_id":1,"priority_id":2,"assigned_to_id":23,"start_date":"2017-02-19","description":"","custom_fields":[{"id":1,"name":"Subdivision","value":"EC"},{"id":4,"name":"Milepost","value":"0.015"},{"id":17,"name":"Train ID","value":"214-19"},{"id":16,"name":"Locomotive ID","value":"4005"},{"id":130,"name":"Impact","value":""},{"id":150,"name":"Time of Event (Mountain Time)","value":"19:21:26"},{"id":151,"name":"Denver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4005 --day 2017-02-19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"%USERPROFILE%\AppData\Local\Temp\OnboardLogs"\RTDC4005\*4005*20170220* | grep -SE "(Enforcement Action)|(\[TIMEOUT)|(CHR.+\|PRM\|1\|D.+(SWITCH|SIGNAL).+UNKNOWN)" - &gt;&gt; 2017-02-19-UncaughtWiMAX.txt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609</v>
      </c>
      <c r="B125" s="7">
        <v>4044</v>
      </c>
      <c r="C125" s="21" t="s">
        <v>665</v>
      </c>
      <c r="D125" s="21" t="s">
        <v>258</v>
      </c>
      <c r="E125" s="13">
        <v>42785.75172453704</v>
      </c>
      <c r="F125" s="13">
        <v>42785.753553240742</v>
      </c>
      <c r="G125" s="7">
        <v>1</v>
      </c>
      <c r="H125" s="21" t="s">
        <v>704</v>
      </c>
      <c r="I125" s="13">
        <v>42785.778599537036</v>
      </c>
      <c r="J125" s="7">
        <v>0</v>
      </c>
      <c r="K125" s="98" t="str">
        <f t="shared" si="21"/>
        <v>4043/4044</v>
      </c>
      <c r="L125" s="21" t="str">
        <f>VLOOKUP(A125,'Trips&amp;Operators'!$C$1:$G$99999,5,FALSE)</f>
        <v>KILLION DAVID</v>
      </c>
      <c r="M125" s="6">
        <f t="shared" si="22"/>
        <v>2.5046296294021886E-2</v>
      </c>
      <c r="N125" s="7">
        <f t="shared" si="23"/>
        <v>36.066666663391516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26"/>
        <v>https://d0f6bd738d7f1b3e5a7ca70fe4ff75f0.us-east-1.aws.found.io/app/kibana#/discover/Steve-Slow-Train-Analysis-(2080s-and-2083s)?_g=(refreshInterval:(display:Off,pause:!f,section:0,value:0),time:(from:'2017-02-19T17:02:29-0700',mode:absolute,to:'2017-02-19T19:41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88" t="str">
        <f t="shared" si="27"/>
        <v>N</v>
      </c>
      <c r="X125" s="188">
        <f t="shared" si="28"/>
        <v>1</v>
      </c>
      <c r="Y125" s="62">
        <f t="shared" si="29"/>
        <v>4.6699999999999998E-2</v>
      </c>
      <c r="Z125" s="62">
        <f t="shared" si="30"/>
        <v>23.3309</v>
      </c>
      <c r="AA125" s="62">
        <f t="shared" si="31"/>
        <v>23.284199999999998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0215-19</v>
      </c>
      <c r="AE125" s="85" t="str">
        <f t="shared" si="33"/>
        <v>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 &amp; 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</v>
      </c>
      <c r="AF125" s="82" t="str">
        <f t="shared" si="34"/>
        <v>"C:\Program Files (x86)\AstroGrep\AstroGrep.exe" /spath="%USERPROFILE%\AppData\Local\Temp\OnboardLogs" /stypes="app*4044*20170220*" /stext=" 01:.+((SYSTEM_STATE.+slice.+state.+changed )|(ment ac)|(multiple cpu faults)|(system.+state.+changed )|(\[timeout)|(PRM\|1\|D)|(kpr)|(kdp)|(\|loc)|(penalty))"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215-19 --locoid 4044 --swversion DE.1.0.9.0 --startMP 204:467 --initTime 2017-02-19T18:02:29 --startdatetime 2017-02-19T18:05:07 --delay 1 --endMP 204:233309 --enddatetime 2017-02-19T18:41:11 --enforcementcount 0 &gt;&gt;C:\Users\stu\Documents\GitHub\eaglep3-reporting\EC\2017-02-19-refined-times.txt</v>
      </c>
      <c r="AI125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{"issue":{"subject":"","project_id":79,"tracker_id":40,"status_id":1,"priority_id":2,"assigned_to_id":23,"start_date":"2017-02-19","description":"","custom_fields":[{"id":1,"name":"Subdivision","value":"EC"},{"id":4,"name":"Milepost","value":"23.3309"},{"id":17,"name":"Train ID","value":"215-19"},{"id":16,"name":"Locomotive ID","value":"4044"},{"id":130,"name":"Impact","value":""},{"id":150,"name":"Time of Event (Mountain Time)","value":"18:41:11"},{"id":151,"name":"Denver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4044 --day 2017-02-19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2017-02-19-UncaughtWiMAX.txt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617</v>
      </c>
      <c r="B126" s="7">
        <v>4043</v>
      </c>
      <c r="C126" s="21" t="s">
        <v>665</v>
      </c>
      <c r="D126" s="21" t="s">
        <v>360</v>
      </c>
      <c r="E126" s="13">
        <v>42785.785219907404</v>
      </c>
      <c r="F126" s="13">
        <v>42785.789050925923</v>
      </c>
      <c r="G126" s="7">
        <v>1</v>
      </c>
      <c r="H126" s="21" t="s">
        <v>770</v>
      </c>
      <c r="I126" s="13">
        <v>42785.815497685187</v>
      </c>
      <c r="J126" s="7">
        <v>0</v>
      </c>
      <c r="K126" s="98" t="str">
        <f t="shared" si="21"/>
        <v>4043/4044</v>
      </c>
      <c r="L126" s="21" t="str">
        <f>VLOOKUP(A126,'Trips&amp;Operators'!$C$1:$G$99999,5,FALSE)</f>
        <v>KILLION DAVID</v>
      </c>
      <c r="M126" s="6">
        <f t="shared" si="22"/>
        <v>2.644675926421769E-2</v>
      </c>
      <c r="N126" s="7">
        <f t="shared" si="23"/>
        <v>38.083333340473473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26"/>
        <v>https://d0f6bd738d7f1b3e5a7ca70fe4ff75f0.us-east-1.aws.found.io/app/kibana#/discover/Steve-Slow-Train-Analysis-(2080s-and-2083s)?_g=(refreshInterval:(display:Off,pause:!f,section:0,value:0),time:(from:'2017-02-19T17:50:43-0700',mode:absolute,to:'2017-02-19T20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88" t="str">
        <f t="shared" si="27"/>
        <v>N</v>
      </c>
      <c r="X126" s="188">
        <f t="shared" si="28"/>
        <v>1</v>
      </c>
      <c r="Y126" s="62">
        <f t="shared" si="29"/>
        <v>23.2973</v>
      </c>
      <c r="Z126" s="62">
        <f t="shared" si="30"/>
        <v>1.7399999999999999E-2</v>
      </c>
      <c r="AA126" s="62">
        <f t="shared" si="31"/>
        <v>23.279900000000001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0216-19</v>
      </c>
      <c r="AE126" s="85" t="str">
        <f t="shared" si="33"/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AF126" s="82" t="str">
        <f t="shared" si="34"/>
        <v>"C:\Program Files (x86)\AstroGrep\AstroGrep.exe" /spath="%USERPROFILE%\AppData\Local\Temp\OnboardLogs" /stypes="app*4043*20170220*" /stext=" 02:.+((SYSTEM_STATE.+slice.+state.+changed )|(ment ac)|(multiple cpu faults)|(system.+state.+changed )|(\[timeout)|(PRM\|1\|D)|(kpr)|(kdp)|(\|loc)|(penalty))"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216-19 --locoid 4043 --swversion DE.1.0.9.0 --startMP 204:232973 --initTime 2017-02-19T18:50:43 --startdatetime 2017-02-19T18:56:14 --delay 1 --endMP 204:174 --enddatetime 2017-02-19T19:34:19 --enforcementcount 0 &gt;&gt;C:\Users\stu\Documents\GitHub\eaglep3-reporting\EC\2017-02-19-refined-times.txt</v>
      </c>
      <c r="AI126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{"issue":{"subject":"","project_id":79,"tracker_id":40,"status_id":1,"priority_id":2,"assigned_to_id":23,"start_date":"2017-02-19","description":"","custom_fields":[{"id":1,"name":"Subdivision","value":"EC"},{"id":4,"name":"Milepost","value":"0.0174"},{"id":17,"name":"Train ID","value":"216-19"},{"id":16,"name":"Locomotive ID","value":"4043"},{"id":130,"name":"Impact","value":""},{"id":150,"name":"Time of Event (Mountain Time)","value":"19:34:19"},{"id":151,"name":"Denver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4043 --day 2017-02-19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2017-02-19-UncaughtWiMAX.txt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610</v>
      </c>
      <c r="B127" s="7">
        <v>4025</v>
      </c>
      <c r="C127" s="21" t="s">
        <v>665</v>
      </c>
      <c r="D127" s="21" t="s">
        <v>260</v>
      </c>
      <c r="E127" s="13">
        <v>42785.753240740742</v>
      </c>
      <c r="F127" s="13">
        <v>42785.760648148149</v>
      </c>
      <c r="G127" s="7">
        <v>1</v>
      </c>
      <c r="H127" s="21" t="s">
        <v>402</v>
      </c>
      <c r="I127" s="13">
        <v>42785.78634259259</v>
      </c>
      <c r="J127" s="7">
        <v>0</v>
      </c>
      <c r="K127" s="98" t="str">
        <f t="shared" si="21"/>
        <v>4025/4026</v>
      </c>
      <c r="L127" s="21" t="str">
        <f>VLOOKUP(A127,'Trips&amp;Operators'!$C$1:$G$99999,5,FALSE)</f>
        <v>SMITH MICHAEL</v>
      </c>
      <c r="M127" s="6">
        <f t="shared" si="22"/>
        <v>2.569444444088731E-2</v>
      </c>
      <c r="N127" s="7">
        <f t="shared" si="23"/>
        <v>36.999999994877726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26"/>
        <v>https://d0f6bd738d7f1b3e5a7ca70fe4ff75f0.us-east-1.aws.found.io/app/kibana#/discover/Steve-Slow-Train-Analysis-(2080s-and-2083s)?_g=(refreshInterval:(display:Off,pause:!f,section:0,value:0),time:(from:'2017-02-19T17:04:40-0700',mode:absolute,to:'2017-02-19T19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88" t="str">
        <f t="shared" si="27"/>
        <v>N</v>
      </c>
      <c r="X127" s="188">
        <f t="shared" si="28"/>
        <v>1</v>
      </c>
      <c r="Y127" s="62">
        <f t="shared" si="29"/>
        <v>4.5499999999999999E-2</v>
      </c>
      <c r="Z127" s="62">
        <f t="shared" si="30"/>
        <v>23.332100000000001</v>
      </c>
      <c r="AA127" s="62">
        <f t="shared" si="31"/>
        <v>23.2866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0217-19</v>
      </c>
      <c r="AE127" s="85" t="str">
        <f t="shared" si="33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127" s="82" t="str">
        <f t="shared" si="34"/>
        <v>"C:\Program Files (x86)\AstroGrep\AstroGrep.exe" /spath="%USERPROFILE%\AppData\Local\Temp\OnboardLogs" /stypes="app*4025*20170220*" /stext=" 01:.+((SYSTEM_STATE.+slice.+state.+changed )|(ment ac)|(multiple cpu faults)|(system.+state.+changed )|(\[timeout)|(PRM\|1\|D)|(kpr)|(kdp)|(\|loc)|(penalty))"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217-19 --locoid 4025 --swversion DE.1.0.9.0 --startMP 204:455 --initTime 2017-02-19T18:04:40 --startdatetime 2017-02-19T18:15:20 --delay 1 --endMP 204:233321 --enddatetime 2017-02-19T18:52:20 --enforcementcount 0 &gt;&gt;C:\Users\stu\Documents\GitHub\eaglep3-reporting\EC\2017-02-19-refined-times.txt</v>
      </c>
      <c r="AI127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{"issue":{"subject":"","project_id":79,"tracker_id":40,"status_id":1,"priority_id":2,"assigned_to_id":23,"start_date":"2017-02-19","description":"","custom_fields":[{"id":1,"name":"Subdivision","value":"EC"},{"id":4,"name":"Milepost","value":"23.3321"},{"id":17,"name":"Train ID","value":"217-19"},{"id":16,"name":"Locomotive ID","value":"4025"},{"id":130,"name":"Impact","value":""},{"id":150,"name":"Time of Event (Mountain Time)","value":"18:52:20"},{"id":151,"name":"Denver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4025 --day 2017-02-19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"%USERPROFILE%\AppData\Local\Temp\OnboardLogs"\RTDC4025\*4025*20170220* | grep -SE "(Enforcement Action)|(\[TIMEOUT)|(CHR.+\|PRM\|1\|D.+(SWITCH|SIGNAL).+UNKNOWN)" - &gt;&gt; 2017-02-19-UncaughtWiMAX.txt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619</v>
      </c>
      <c r="B128" s="7">
        <v>4026</v>
      </c>
      <c r="C128" s="21" t="s">
        <v>665</v>
      </c>
      <c r="D128" s="21" t="s">
        <v>279</v>
      </c>
      <c r="E128" s="13">
        <v>42785.793252314812</v>
      </c>
      <c r="F128" s="13">
        <v>42785.799953703703</v>
      </c>
      <c r="G128" s="7">
        <v>1</v>
      </c>
      <c r="H128" s="21" t="s">
        <v>297</v>
      </c>
      <c r="I128" s="13">
        <v>42785.826261574075</v>
      </c>
      <c r="J128" s="7">
        <v>0</v>
      </c>
      <c r="K128" s="98" t="str">
        <f t="shared" si="21"/>
        <v>4025/4026</v>
      </c>
      <c r="L128" s="21" t="str">
        <f>VLOOKUP(A128,'Trips&amp;Operators'!$C$1:$G$99999,5,FALSE)</f>
        <v>SMITH MICHAEL</v>
      </c>
      <c r="M128" s="6">
        <f t="shared" si="22"/>
        <v>2.6307870371965691E-2</v>
      </c>
      <c r="N128" s="7">
        <f t="shared" si="23"/>
        <v>37.883333335630596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26"/>
        <v>https://d0f6bd738d7f1b3e5a7ca70fe4ff75f0.us-east-1.aws.found.io/app/kibana#/discover/Steve-Slow-Train-Analysis-(2080s-and-2083s)?_g=(refreshInterval:(display:Off,pause:!f,section:0,value:0),time:(from:'2017-02-19T18:02:17-0700',mode:absolute,to:'2017-02-19T20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188" t="str">
        <f t="shared" si="27"/>
        <v>N</v>
      </c>
      <c r="X128" s="188">
        <f t="shared" si="28"/>
        <v>1</v>
      </c>
      <c r="Y128" s="62">
        <f t="shared" si="29"/>
        <v>23.298300000000001</v>
      </c>
      <c r="Z128" s="62">
        <f t="shared" si="30"/>
        <v>1.47E-2</v>
      </c>
      <c r="AA128" s="62">
        <f t="shared" si="31"/>
        <v>23.2836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0218-19</v>
      </c>
      <c r="AE128" s="85" t="str">
        <f t="shared" si="33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128" s="82" t="str">
        <f t="shared" si="34"/>
        <v>"C:\Program Files (x86)\AstroGrep\AstroGrep.exe" /spath="%USERPROFILE%\AppData\Local\Temp\OnboardLogs" /stypes="app*4026*20170220*" /stext=" 02:.+((SYSTEM_STATE.+slice.+state.+changed )|(ment ac)|(multiple cpu faults)|(system.+state.+changed )|(\[timeout)|(PRM\|1\|D)|(kpr)|(kdp)|(\|loc)|(penalty))"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218-19 --locoid 4026 --swversion DE.1.0.9.0 --startMP 204:232983 --initTime 2017-02-19T19:02:17 --startdatetime 2017-02-19T19:11:56 --delay 1 --endMP 204:147 --enddatetime 2017-02-19T19:49:49 --enforcementcount 0 &gt;&gt;C:\Users\stu\Documents\GitHub\eaglep3-reporting\EC\2017-02-19-refined-times.txt</v>
      </c>
      <c r="AI12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{"issue":{"subject":"","project_id":79,"tracker_id":40,"status_id":1,"priority_id":2,"assigned_to_id":23,"start_date":"2017-02-19","description":"","custom_fields":[{"id":1,"name":"Subdivision","value":"EC"},{"id":4,"name":"Milepost","value":"0.0147"},{"id":17,"name":"Train ID","value":"218-19"},{"id":16,"name":"Locomotive ID","value":"4026"},{"id":130,"name":"Impact","value":""},{"id":150,"name":"Time of Event (Mountain Time)","value":"19:49:49"},{"id":151,"name":"Denver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4026 --day 2017-02-19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"%USERPROFILE%\AppData\Local\Temp\OnboardLogs"\RTDC4026\*4026*20170220* | grep -SE "(Enforcement Action)|(\[TIMEOUT)|(CHR.+\|PRM\|1\|D.+(SWITCH|SIGNAL).+UNKNOWN)" - &gt;&gt; 2017-02-19-UncaughtWiMAX.txt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436</v>
      </c>
      <c r="B129" s="7">
        <v>4014</v>
      </c>
      <c r="C129" s="21" t="s">
        <v>665</v>
      </c>
      <c r="D129" s="21" t="s">
        <v>671</v>
      </c>
      <c r="E129" s="13">
        <v>42785.770243055558</v>
      </c>
      <c r="F129" s="13">
        <v>42785.77207175926</v>
      </c>
      <c r="G129" s="7">
        <v>2</v>
      </c>
      <c r="H129" s="21" t="s">
        <v>687</v>
      </c>
      <c r="I129" s="13">
        <v>42785.796354166669</v>
      </c>
      <c r="J129" s="7">
        <v>0</v>
      </c>
      <c r="K129" s="98" t="str">
        <f t="shared" si="21"/>
        <v>4013/4014</v>
      </c>
      <c r="L129" s="21" t="str">
        <f>VLOOKUP(A129,'Trips&amp;Operators'!$C$1:$G$99999,5,FALSE)</f>
        <v>STAMBAUGH JAMES</v>
      </c>
      <c r="M129" s="6">
        <f t="shared" si="22"/>
        <v>2.4282407408463769E-2</v>
      </c>
      <c r="N129" s="7">
        <f t="shared" si="23"/>
        <v>34.966666668187827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26"/>
        <v>https://d0f6bd738d7f1b3e5a7ca70fe4ff75f0.us-east-1.aws.found.io/app/kibana#/discover/Steve-Slow-Train-Analysis-(2080s-and-2083s)?_g=(refreshInterval:(display:Off,pause:!f,section:0,value:0),time:(from:'2017-02-19T17:29:09-0700',mode:absolute,to:'2017-02-19T20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188" t="str">
        <f t="shared" si="27"/>
        <v>N</v>
      </c>
      <c r="X129" s="188">
        <f t="shared" si="28"/>
        <v>1</v>
      </c>
      <c r="Y129" s="62">
        <f t="shared" si="29"/>
        <v>4.58E-2</v>
      </c>
      <c r="Z129" s="62">
        <f t="shared" si="30"/>
        <v>23.333400000000001</v>
      </c>
      <c r="AA129" s="62">
        <f t="shared" si="31"/>
        <v>23.287600000000001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0219-19</v>
      </c>
      <c r="AE129" s="85" t="str">
        <f t="shared" si="33"/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AF129" s="82" t="str">
        <f t="shared" si="34"/>
        <v>"C:\Program Files (x86)\AstroGrep\AstroGrep.exe" /spath="%USERPROFILE%\AppData\Local\Temp\OnboardLogs" /stypes="app*4014*20170220*" /stext=" 02:.+((SYSTEM_STATE.+slice.+state.+changed )|(ment ac)|(multiple cpu faults)|(system.+state.+changed )|(\[timeout)|(PRM\|1\|D)|(kpr)|(kdp)|(\|loc)|(penalty))"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219-19 --locoid 4014 --swversion DE.1.0.9.0 --startMP 204:458 --initTime 2017-02-19T18:29:09 --startdatetime 2017-02-19T18:31:47 --delay 2 --endMP 204:233334 --enddatetime 2017-02-19T19:06:45 --enforcementcount 0 &gt;&gt;C:\Users\stu\Documents\GitHub\eaglep3-reporting\EC\2017-02-19-refined-times.txt</v>
      </c>
      <c r="AI12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{"issue":{"subject":"","project_id":79,"tracker_id":40,"status_id":1,"priority_id":2,"assigned_to_id":23,"start_date":"2017-02-19","description":"","custom_fields":[{"id":1,"name":"Subdivision","value":"EC"},{"id":4,"name":"Milepost","value":"23.3334"},{"id":17,"name":"Train ID","value":"219-19"},{"id":16,"name":"Locomotive ID","value":"4014"},{"id":130,"name":"Impact","value":""},{"id":150,"name":"Time of Event (Mountain Time)","value":"19:06:45"},{"id":151,"name":"Denver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4014 --day 2017-02-19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"%USERPROFILE%\AppData\Local\Temp\OnboardLogs"\RTDC4014\*4014*20170220* | grep -SE "(Enforcement Action)|(\[TIMEOUT)|(CHR.+\|PRM\|1\|D.+(SWITCH|SIGNAL).+UNKNOWN)" - &gt;&gt; 2017-02-19-UncaughtWiMAX.txt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620</v>
      </c>
      <c r="B130" s="7">
        <v>4013</v>
      </c>
      <c r="C130" s="21" t="s">
        <v>665</v>
      </c>
      <c r="D130" s="21" t="s">
        <v>771</v>
      </c>
      <c r="E130" s="13">
        <v>42785.800555555557</v>
      </c>
      <c r="F130" s="13">
        <v>42785.810081018521</v>
      </c>
      <c r="G130" s="7">
        <v>1</v>
      </c>
      <c r="H130" s="21" t="s">
        <v>207</v>
      </c>
      <c r="I130" s="13">
        <v>42785.836284722223</v>
      </c>
      <c r="J130" s="7">
        <v>0</v>
      </c>
      <c r="K130" s="98" t="str">
        <f t="shared" si="21"/>
        <v>4013/4014</v>
      </c>
      <c r="L130" s="21" t="str">
        <f>VLOOKUP(A130,'Trips&amp;Operators'!$C$1:$G$99999,5,FALSE)</f>
        <v>STAMBAUGH JAMES</v>
      </c>
      <c r="M130" s="6">
        <f t="shared" si="22"/>
        <v>2.6203703702776693E-2</v>
      </c>
      <c r="N130" s="7">
        <f t="shared" si="23"/>
        <v>37.733333331998438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26"/>
        <v>https://d0f6bd738d7f1b3e5a7ca70fe4ff75f0.us-east-1.aws.found.io/app/kibana#/discover/Steve-Slow-Train-Analysis-(2080s-and-2083s)?_g=(refreshInterval:(display:Off,pause:!f,section:0,value:0),time:(from:'2017-02-19T18:12:48-0700',mode:absolute,to:'2017-02-19T21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188" t="str">
        <f t="shared" si="27"/>
        <v>N</v>
      </c>
      <c r="X130" s="188">
        <f t="shared" si="28"/>
        <v>1</v>
      </c>
      <c r="Y130" s="62">
        <f t="shared" si="29"/>
        <v>23.3005</v>
      </c>
      <c r="Z130" s="62">
        <f t="shared" si="30"/>
        <v>1.52E-2</v>
      </c>
      <c r="AA130" s="62">
        <f t="shared" si="31"/>
        <v>23.285299999999999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0220-19</v>
      </c>
      <c r="AE130" s="85" t="str">
        <f t="shared" si="33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30" s="82" t="str">
        <f t="shared" si="34"/>
        <v>"C:\Program Files (x86)\AstroGrep\AstroGrep.exe" /spath="%USERPROFILE%\AppData\Local\Temp\OnboardLogs" /stypes="app*4013*20170220*" /stext=" 03:.+((SYSTEM_STATE.+slice.+state.+changed )|(ment ac)|(multiple cpu faults)|(system.+state.+changed )|(\[timeout)|(PRM\|1\|D)|(kpr)|(kdp)|(\|loc)|(penalty))"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220-19 --locoid 4013 --swversion DE.1.0.9.0 --startMP 204:233005 --initTime 2017-02-19T19:12:48 --startdatetime 2017-02-19T19:26:31 --delay 1 --endMP 204:152 --enddatetime 2017-02-19T20:04:15 --enforcementcount 0 &gt;&gt;C:\Users\stu\Documents\GitHub\eaglep3-reporting\EC\2017-02-19-refined-times.txt</v>
      </c>
      <c r="AI130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ID","value":"220-19"},{"id":16,"name":"Locomotive ID","value":"4013"},{"id":130,"name":"Impact","value":""},{"id":150,"name":"Time of Event (Mountain Time)","value":"20:04:15"},{"id":151,"name":"Denver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4013 --day 2017-02-19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"%USERPROFILE%\AppData\Local\Temp\OnboardLogs"\RTDC4013\*4013*20170220* | grep -SE "(Enforcement Action)|(\[TIMEOUT)|(CHR.+\|PRM\|1\|D.+(SWITCH|SIGNAL).+UNKNOWN)" - &gt;&gt; 2017-02-19-UncaughtWiMAX.txt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618</v>
      </c>
      <c r="B131" s="7">
        <v>4031</v>
      </c>
      <c r="C131" s="21" t="s">
        <v>665</v>
      </c>
      <c r="D131" s="21" t="s">
        <v>231</v>
      </c>
      <c r="E131" s="13">
        <v>42785.788518518515</v>
      </c>
      <c r="F131" s="13">
        <v>42785.791921296295</v>
      </c>
      <c r="G131" s="7">
        <v>1</v>
      </c>
      <c r="H131" s="21" t="s">
        <v>315</v>
      </c>
      <c r="I131" s="13">
        <v>42785.818171296298</v>
      </c>
      <c r="J131" s="7">
        <v>0</v>
      </c>
      <c r="K131" s="98" t="str">
        <f t="shared" si="21"/>
        <v>4031/4032</v>
      </c>
      <c r="L131" s="21" t="str">
        <f>VLOOKUP(A131,'Trips&amp;Operators'!$C$1:$G$99999,5,FALSE)</f>
        <v>DAVIDSON DAVID</v>
      </c>
      <c r="M131" s="6">
        <f t="shared" si="22"/>
        <v>2.6250000002619345E-2</v>
      </c>
      <c r="N131" s="7">
        <f t="shared" si="23"/>
        <v>37.800000003771856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26"/>
        <v>https://d0f6bd738d7f1b3e5a7ca70fe4ff75f0.us-east-1.aws.found.io/app/kibana#/discover/Steve-Slow-Train-Analysis-(2080s-and-2083s)?_g=(refreshInterval:(display:Off,pause:!f,section:0,value:0),time:(from:'2017-02-19T17:55:28-0700',mode:absolute,to:'2017-02-19T20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188" t="str">
        <f t="shared" si="27"/>
        <v>N</v>
      </c>
      <c r="X131" s="188">
        <f t="shared" si="28"/>
        <v>1</v>
      </c>
      <c r="Y131" s="62">
        <f t="shared" si="29"/>
        <v>4.5999999999999999E-2</v>
      </c>
      <c r="Z131" s="62">
        <f t="shared" si="30"/>
        <v>23.3306</v>
      </c>
      <c r="AA131" s="62">
        <f t="shared" si="31"/>
        <v>23.284600000000001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0221-19</v>
      </c>
      <c r="AE131" s="85" t="str">
        <f t="shared" si="33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131" s="82" t="str">
        <f t="shared" si="34"/>
        <v>"C:\Program Files (x86)\AstroGrep\AstroGrep.exe" /spath="%USERPROFILE%\AppData\Local\Temp\OnboardLogs" /stypes="app*4031*20170220*" /stext=" 02:.+((SYSTEM_STATE.+slice.+state.+changed )|(ment ac)|(multiple cpu faults)|(system.+state.+changed )|(\[timeout)|(PRM\|1\|D)|(kpr)|(kdp)|(\|loc)|(penalty))"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221-19 --locoid 4031 --swversion DE.1.0.9.0 --startMP 204:460 --initTime 2017-02-19T18:55:28 --startdatetime 2017-02-19T19:00:22 --delay 1 --endMP 204:233306 --enddatetime 2017-02-19T19:38:10 --enforcementcount 0 &gt;&gt;C:\Users\stu\Documents\GitHub\eaglep3-reporting\EC\2017-02-19-refined-times.txt</v>
      </c>
      <c r="AI131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{"issue":{"subject":"","project_id":79,"tracker_id":40,"status_id":1,"priority_id":2,"assigned_to_id":23,"start_date":"2017-02-19","description":"","custom_fields":[{"id":1,"name":"Subdivision","value":"EC"},{"id":4,"name":"Milepost","value":"23.3306"},{"id":17,"name":"Train ID","value":"221-19"},{"id":16,"name":"Locomotive ID","value":"4031"},{"id":130,"name":"Impact","value":""},{"id":150,"name":"Time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4031 --day 2017-02-19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"%USERPROFILE%\AppData\Local\Temp\OnboardLogs"\RTDC4031\*4031*20170220* | grep -SE "(Enforcement Action)|(\[TIMEOUT)|(CHR.+\|PRM\|1\|D.+(SWITCH|SIGNAL).+UNKNOWN)" - &gt;&gt; 2017-02-19-UncaughtWiMAX.txt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631</v>
      </c>
      <c r="B132" s="7">
        <v>4032</v>
      </c>
      <c r="C132" s="21" t="s">
        <v>665</v>
      </c>
      <c r="D132" s="21" t="s">
        <v>310</v>
      </c>
      <c r="E132" s="13">
        <v>42785.824166666665</v>
      </c>
      <c r="F132" s="13">
        <v>42785.83084490741</v>
      </c>
      <c r="G132" s="7">
        <v>1</v>
      </c>
      <c r="H132" s="21" t="s">
        <v>214</v>
      </c>
      <c r="I132" s="13">
        <v>42785.859039351853</v>
      </c>
      <c r="J132" s="7">
        <v>0</v>
      </c>
      <c r="K132" s="98" t="str">
        <f t="shared" si="21"/>
        <v>4031/4032</v>
      </c>
      <c r="L132" s="21" t="str">
        <f>VLOOKUP(A132,'Trips&amp;Operators'!$C$1:$G$99999,5,FALSE)</f>
        <v>DAVIDSON DAVID</v>
      </c>
      <c r="M132" s="6">
        <f t="shared" si="22"/>
        <v>2.8194444443215616E-2</v>
      </c>
      <c r="N132" s="7">
        <f t="shared" si="23"/>
        <v>40.599999998230487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26"/>
        <v>https://d0f6bd738d7f1b3e5a7ca70fe4ff75f0.us-east-1.aws.found.io/app/kibana#/discover/Steve-Slow-Train-Analysis-(2080s-and-2083s)?_g=(refreshInterval:(display:Off,pause:!f,section:0,value:0),time:(from:'2017-02-19T18:46:48-0700',mode:absolute,to:'2017-02-19T21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188" t="str">
        <f t="shared" si="27"/>
        <v>N</v>
      </c>
      <c r="X132" s="188">
        <f t="shared" si="28"/>
        <v>1</v>
      </c>
      <c r="Y132" s="62">
        <f t="shared" si="29"/>
        <v>23.298500000000001</v>
      </c>
      <c r="Z132" s="62">
        <f t="shared" si="30"/>
        <v>1.54E-2</v>
      </c>
      <c r="AA132" s="62">
        <f t="shared" si="31"/>
        <v>23.283100000000001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0222-19</v>
      </c>
      <c r="AE132" s="85" t="str">
        <f t="shared" si="33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132" s="82" t="str">
        <f t="shared" si="34"/>
        <v>"C:\Program Files (x86)\AstroGrep\AstroGrep.exe" /spath="%USERPROFILE%\AppData\Local\Temp\OnboardLogs" /stypes="app*4032*20170220*" /stext=" 03:.+((SYSTEM_STATE.+slice.+state.+changed )|(ment ac)|(multiple cpu faults)|(system.+state.+changed )|(\[timeout)|(PRM\|1\|D)|(kpr)|(kdp)|(\|loc)|(penalty))"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222-19 --locoid 4032 --swversion DE.1.0.9.0 --startMP 204:232985 --initTime 2017-02-19T19:46:48 --startdatetime 2017-02-19T19:56:25 --delay 1 --endMP 204:154 --enddatetime 2017-02-19T20:37:01 --enforcementcount 0 &gt;&gt;C:\Users\stu\Documents\GitHub\eaglep3-reporting\EC\2017-02-19-refined-times.txt</v>
      </c>
      <c r="AI132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{"issue":{"subject":"","project_id":79,"tracker_id":40,"status_id":1,"priority_id":2,"assigned_to_id":23,"start_date":"2017-02-19","description":"","custom_fields":[{"id":1,"name":"Subdivision","value":"EC"},{"id":4,"name":"Milepost","value":"0.0154"},{"id":17,"name":"Train ID","value":"222-19"},{"id":16,"name":"Locomotive ID","value":"4032"},{"id":130,"name":"Impact","value":""},{"id":150,"name":"Time of Event (Mountain Time)","value":"20:37:01"},{"id":151,"name":"Denver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4032 --day 2017-02-19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"%USERPROFILE%\AppData\Local\Temp\OnboardLogs"\RTDC4032\*4032*20170220* | grep -SE "(Enforcement Action)|(\[TIMEOUT)|(CHR.+\|PRM\|1\|D.+(SWITCH|SIGNAL).+UNKNOWN)" - &gt;&gt; 2017-02-19-UncaughtWiMAX.txt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626</v>
      </c>
      <c r="B133" s="7">
        <v>4006</v>
      </c>
      <c r="C133" s="21" t="s">
        <v>665</v>
      </c>
      <c r="D133" s="21" t="s">
        <v>253</v>
      </c>
      <c r="E133" s="13">
        <v>42785.811967592592</v>
      </c>
      <c r="F133" s="13">
        <v>42785.813275462962</v>
      </c>
      <c r="G133" s="7">
        <v>1</v>
      </c>
      <c r="H133" s="21" t="s">
        <v>772</v>
      </c>
      <c r="I133" s="13">
        <v>42785.838252314818</v>
      </c>
      <c r="J133" s="7">
        <v>0</v>
      </c>
      <c r="K133" s="98" t="str">
        <f t="shared" si="21"/>
        <v>4005/4006</v>
      </c>
      <c r="L133" s="21" t="str">
        <f>VLOOKUP(A133,'Trips&amp;Operators'!$C$1:$G$99999,5,FALSE)</f>
        <v>COMELLA JUSTIN</v>
      </c>
      <c r="M133" s="6">
        <f t="shared" si="22"/>
        <v>2.4976851855171844E-2</v>
      </c>
      <c r="N133" s="7">
        <f t="shared" si="23"/>
        <v>35.966666671447456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26"/>
        <v>https://d0f6bd738d7f1b3e5a7ca70fe4ff75f0.us-east-1.aws.found.io/app/kibana#/discover/Steve-Slow-Train-Analysis-(2080s-and-2083s)?_g=(refreshInterval:(display:Off,pause:!f,section:0,value:0),time:(from:'2017-02-19T18:29:14-0700',mode:absolute,to:'2017-02-19T21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188" t="str">
        <f t="shared" si="27"/>
        <v>N</v>
      </c>
      <c r="X133" s="188">
        <f t="shared" si="28"/>
        <v>1</v>
      </c>
      <c r="Y133" s="62">
        <f t="shared" si="29"/>
        <v>4.53E-2</v>
      </c>
      <c r="Z133" s="62">
        <f t="shared" si="30"/>
        <v>23.327999999999999</v>
      </c>
      <c r="AA133" s="62">
        <f t="shared" si="31"/>
        <v>23.282699999999998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0223-19</v>
      </c>
      <c r="AE133" s="85" t="str">
        <f t="shared" si="33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133" s="82" t="str">
        <f t="shared" si="34"/>
        <v>"C:\Program Files (x86)\AstroGrep\AstroGrep.exe" /spath="%USERPROFILE%\AppData\Local\Temp\OnboardLogs" /stypes="app*4006*20170220*" /stext=" 03:.+((SYSTEM_STATE.+slice.+state.+changed )|(ment ac)|(multiple cpu faults)|(system.+state.+changed )|(\[timeout)|(PRM\|1\|D)|(kpr)|(kdp)|(\|loc)|(penalty))"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223-19 --locoid 4006 --swversion DE.1.0.9.0 --startMP 204:453 --initTime 2017-02-19T19:29:14 --startdatetime 2017-02-19T19:31:07 --delay 1 --endMP 204:233280 --enddatetime 2017-02-19T20:07:05 --enforcementcount 0 &gt;&gt;C:\Users\stu\Documents\GitHub\eaglep3-reporting\EC\2017-02-19-refined-times.txt</v>
      </c>
      <c r="AI133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{"issue":{"subject":"","project_id":79,"tracker_id":40,"status_id":1,"priority_id":2,"assigned_to_id":23,"start_date":"2017-02-19","description":"","custom_fields":[{"id":1,"name":"Subdivision","value":"EC"},{"id":4,"name":"Milepost","value":"23.328"},{"id":17,"name":"Train ID","value":"223-19"},{"id":16,"name":"Locomotive ID","value":"4006"},{"id":130,"name":"Impact","value":""},{"id":150,"name":"Time of Event (Mountain Time)","value":"20:07:05"},{"id":151,"name":"Denver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4006 --day 2017-02-19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"%USERPROFILE%\AppData\Local\Temp\OnboardLogs"\RTDC4006\*4006*20170220* | grep -SE "(Enforcement Action)|(\[TIMEOUT)|(CHR.+\|PRM\|1\|D.+(SWITCH|SIGNAL).+UNKNOWN)" - &gt;&gt; 2017-02-19-UncaughtWiMAX.txt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635</v>
      </c>
      <c r="B134" s="7">
        <v>4005</v>
      </c>
      <c r="C134" s="21" t="s">
        <v>665</v>
      </c>
      <c r="D134" s="21" t="s">
        <v>773</v>
      </c>
      <c r="E134" s="13">
        <v>42785.846736111111</v>
      </c>
      <c r="F134" s="13">
        <v>42785.851666666669</v>
      </c>
      <c r="G134" s="7">
        <v>1</v>
      </c>
      <c r="H134" s="21" t="s">
        <v>208</v>
      </c>
      <c r="I134" s="13">
        <v>42785.878379629627</v>
      </c>
      <c r="J134" s="7">
        <v>0</v>
      </c>
      <c r="K134" s="98" t="str">
        <f t="shared" si="21"/>
        <v>4005/4006</v>
      </c>
      <c r="L134" s="21" t="str">
        <f>VLOOKUP(A134,'Trips&amp;Operators'!$C$1:$G$99999,5,FALSE)</f>
        <v>COMELLA JUSTIN</v>
      </c>
      <c r="M134" s="6">
        <f t="shared" si="22"/>
        <v>2.6712962957390118E-2</v>
      </c>
      <c r="N134" s="7">
        <f t="shared" si="23"/>
        <v>38.46666665864177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26"/>
        <v>https://d0f6bd738d7f1b3e5a7ca70fe4ff75f0.us-east-1.aws.found.io/app/kibana#/discover/Steve-Slow-Train-Analysis-(2080s-and-2083s)?_g=(refreshInterval:(display:Off,pause:!f,section:0,value:0),time:(from:'2017-02-19T19:19:18-0700',mode:absolute,to:'2017-02-19T22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188" t="str">
        <f t="shared" si="27"/>
        <v>N</v>
      </c>
      <c r="X134" s="188">
        <f t="shared" si="28"/>
        <v>1</v>
      </c>
      <c r="Y134" s="62">
        <f t="shared" si="29"/>
        <v>23.297000000000001</v>
      </c>
      <c r="Z134" s="62">
        <f t="shared" si="30"/>
        <v>1.5800000000000002E-2</v>
      </c>
      <c r="AA134" s="62">
        <f t="shared" si="31"/>
        <v>23.281200000000002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0224-19</v>
      </c>
      <c r="AE134" s="85" t="str">
        <f t="shared" si="33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134" s="82" t="str">
        <f t="shared" si="34"/>
        <v>"C:\Program Files (x86)\AstroGrep\AstroGrep.exe" /spath="%USERPROFILE%\AppData\Local\Temp\OnboardLogs" /stypes="app*4005*20170220*" /stext=" 04:.+((SYSTEM_STATE.+slice.+state.+changed )|(ment ac)|(multiple cpu faults)|(system.+state.+changed )|(\[timeout)|(PRM\|1\|D)|(kpr)|(kdp)|(\|loc)|(penalty))"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224-19 --locoid 4005 --swversion DE.1.0.9.0 --startMP 204:232970 --initTime 2017-02-19T20:19:18 --startdatetime 2017-02-19T20:26:24 --delay 1 --endMP 204:158 --enddatetime 2017-02-19T21:04:52 --enforcementcount 0 &gt;&gt;C:\Users\stu\Documents\GitHub\eaglep3-reporting\EC\2017-02-19-refined-times.txt</v>
      </c>
      <c r="AI134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{"issue":{"subject":"","project_id":79,"tracker_id":40,"status_id":1,"priority_id":2,"assigned_to_id":23,"start_date":"2017-02-19","description":"","custom_fields":[{"id":1,"name":"Subdivision","value":"EC"},{"id":4,"name":"Milepost","value":"0.0158"},{"id":17,"name":"Train ID","value":"224-19"},{"id":16,"name":"Locomotive ID","value":"4005"},{"id":130,"name":"Impact","value":""},{"id":150,"name":"Time of Event (Mountain Time)","value":"21:04:52"},{"id":151,"name":"Denver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4005 --day 2017-02-19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"%USERPROFILE%\AppData\Local\Temp\OnboardLogs"\RTDC4005\*4005*20170220* | grep -SE "(Enforcement Action)|(\[TIMEOUT)|(CHR.+\|PRM\|1\|D.+(SWITCH|SIGNAL).+UNKNOWN)" - &gt;&gt; 2017-02-19-UncaughtWiMAX.txt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632</v>
      </c>
      <c r="B135" s="7">
        <v>4025</v>
      </c>
      <c r="C135" s="21" t="s">
        <v>665</v>
      </c>
      <c r="D135" s="21" t="s">
        <v>314</v>
      </c>
      <c r="E135" s="13">
        <v>42785.828217592592</v>
      </c>
      <c r="F135" s="13">
        <v>42785.833587962959</v>
      </c>
      <c r="G135" s="7">
        <v>1</v>
      </c>
      <c r="H135" s="21" t="s">
        <v>312</v>
      </c>
      <c r="I135" s="13">
        <v>42785.858912037038</v>
      </c>
      <c r="J135" s="7">
        <v>0</v>
      </c>
      <c r="K135" s="98" t="str">
        <f t="shared" si="21"/>
        <v>4025/4026</v>
      </c>
      <c r="L135" s="21" t="str">
        <f>VLOOKUP(A135,'Trips&amp;Operators'!$C$1:$G$99999,5,FALSE)</f>
        <v>SMITH MICHAEL</v>
      </c>
      <c r="M135" s="6">
        <f t="shared" si="22"/>
        <v>2.5324074078525882E-2</v>
      </c>
      <c r="N135" s="7">
        <f t="shared" si="23"/>
        <v>36.46666667307727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26"/>
        <v>https://d0f6bd738d7f1b3e5a7ca70fe4ff75f0.us-east-1.aws.found.io/app/kibana#/discover/Steve-Slow-Train-Analysis-(2080s-and-2083s)?_g=(refreshInterval:(display:Off,pause:!f,section:0,value:0),time:(from:'2017-02-19T18:52:38-0700',mode:absolute,to:'2017-02-19T21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5" s="188" t="str">
        <f t="shared" si="27"/>
        <v>N</v>
      </c>
      <c r="X135" s="188">
        <f t="shared" si="28"/>
        <v>1</v>
      </c>
      <c r="Y135" s="62">
        <f t="shared" si="29"/>
        <v>4.7100000000000003E-2</v>
      </c>
      <c r="Z135" s="62">
        <f t="shared" si="30"/>
        <v>23.3278</v>
      </c>
      <c r="AA135" s="62">
        <f t="shared" si="31"/>
        <v>23.2807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0225-19</v>
      </c>
      <c r="AE135" s="85" t="str">
        <f t="shared" si="33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135" s="82" t="str">
        <f t="shared" si="34"/>
        <v>"C:\Program Files (x86)\AstroGrep\AstroGrep.exe" /spath="%USERPROFILE%\AppData\Local\Temp\OnboardLogs" /stypes="app*4025*20170220*" /stext=" 03:.+((SYSTEM_STATE.+slice.+state.+changed )|(ment ac)|(multiple cpu faults)|(system.+state.+changed )|(\[timeout)|(PRM\|1\|D)|(kpr)|(kdp)|(\|loc)|(penalty))"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225-19 --locoid 4025 --swversion DE.1.0.9.0 --startMP 204:471 --initTime 2017-02-19T19:52:38 --startdatetime 2017-02-19T20:00:22 --delay 1 --endMP 204:233278 --enddatetime 2017-02-19T20:36:50 --enforcementcount 0 &gt;&gt;C:\Users\stu\Documents\GitHub\eaglep3-reporting\EC\2017-02-19-refined-times.txt</v>
      </c>
      <c r="AI135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{"issue":{"subject":"","project_id":79,"tracker_id":40,"status_id":1,"priority_id":2,"assigned_to_id":23,"start_date":"2017-02-19","description":"","custom_fields":[{"id":1,"name":"Subdivision","value":"EC"},{"id":4,"name":"Milepost","value":"23.3278"},{"id":17,"name":"Train ID","value":"225-19"},{"id":16,"name":"Locomotive ID","value":"4025"},{"id":130,"name":"Impact","value":""},{"id":150,"name":"Time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4025 --day 2017-02-19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"%USERPROFILE%\AppData\Local\Temp\OnboardLogs"\RTDC4025\*4025*20170220* | grep -SE "(Enforcement Action)|(\[TIMEOUT)|(CHR.+\|PRM\|1\|D.+(SWITCH|SIGNAL).+UNKNOWN)" - &gt;&gt; 2017-02-19-UncaughtWiMAX.txt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637</v>
      </c>
      <c r="B136" s="7">
        <v>4026</v>
      </c>
      <c r="C136" s="21" t="s">
        <v>665</v>
      </c>
      <c r="D136" s="21" t="s">
        <v>774</v>
      </c>
      <c r="E136" s="13">
        <v>42785.863032407404</v>
      </c>
      <c r="F136" s="13">
        <v>42785.955763888887</v>
      </c>
      <c r="G136" s="7">
        <v>1</v>
      </c>
      <c r="H136" s="21" t="s">
        <v>203</v>
      </c>
      <c r="I136" s="13">
        <v>42785.982638888891</v>
      </c>
      <c r="J136" s="7">
        <v>0</v>
      </c>
      <c r="K136" s="98" t="str">
        <f t="shared" si="21"/>
        <v>4025/4026</v>
      </c>
      <c r="L136" s="21" t="str">
        <f>VLOOKUP(A136,'Trips&amp;Operators'!$C$1:$G$99999,5,FALSE)</f>
        <v>SMITH MICHAEL</v>
      </c>
      <c r="M136" s="6">
        <f t="shared" si="22"/>
        <v>2.6875000003201421E-2</v>
      </c>
      <c r="N136" s="7">
        <f t="shared" si="23"/>
        <v>38.700000004610047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26"/>
        <v>https://d0f6bd738d7f1b3e5a7ca70fe4ff75f0.us-east-1.aws.found.io/app/kibana#/discover/Steve-Slow-Train-Analysis-(2080s-and-2083s)?_g=(refreshInterval:(display:Off,pause:!f,section:0,value:0),time:(from:'2017-02-19T19:42:46-0700',mode:absolute,to:'2017-02-20T00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6" s="188" t="str">
        <f t="shared" si="27"/>
        <v>N</v>
      </c>
      <c r="X136" s="188">
        <f t="shared" si="28"/>
        <v>1</v>
      </c>
      <c r="Y136" s="62">
        <f t="shared" si="29"/>
        <v>23.295999999999999</v>
      </c>
      <c r="Z136" s="62">
        <f t="shared" si="30"/>
        <v>1.6E-2</v>
      </c>
      <c r="AA136" s="62">
        <f t="shared" si="31"/>
        <v>23.28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0226-19</v>
      </c>
      <c r="AE136" s="85" t="str">
        <f t="shared" si="33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136" s="82" t="str">
        <f t="shared" si="34"/>
        <v>"C:\Program Files (x86)\AstroGrep\AstroGrep.exe" /spath="%USERPROFILE%\AppData\Local\Temp\OnboardLogs" /stypes="app*4026*20170220*" /stext=" 06:.+((SYSTEM_STATE.+slice.+state.+changed )|(ment ac)|(multiple cpu faults)|(system.+state.+changed )|(\[timeout)|(PRM\|1\|D)|(kpr)|(kdp)|(\|loc)|(penalty))"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226-19 --locoid 4026 --swversion DE.1.0.9.0 --startMP 204:232960 --initTime 2017-02-19T20:42:46 --startdatetime 2017-02-19T22:56:18 --delay 1 --endMP 204:160 --enddatetime 2017-02-19T23:35:00 --enforcementcount 0 &gt;&gt;C:\Users\stu\Documents\GitHub\eaglep3-reporting\EC\2017-02-19-refined-times.txt</v>
      </c>
      <c r="AI136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{"issue":{"subject":"","project_id":79,"tracker_id":40,"status_id":1,"priority_id":2,"assigned_to_id":23,"start_date":"2017-02-19","description":"","custom_fields":[{"id":1,"name":"Subdivision","value":"EC"},{"id":4,"name":"Milepost","value":"0.016"},{"id":17,"name":"Train ID","value":"226-19"},{"id":16,"name":"Locomotive ID","value":"4026"},{"id":130,"name":"Impact","value":""},{"id":150,"name":"Time of Event (Mountain Time)","value":"23:35:00"},{"id":151,"name":"Denver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4026 --day 2017-02-19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"%USERPROFILE%\AppData\Local\Temp\OnboardLogs"\RTDC4026\*4026*20170220* | grep -SE "(Enforcement Action)|(\[TIMEOUT)|(CHR.+\|PRM\|1\|D.+(SWITCH|SIGNAL).+UNKNOWN)" - &gt;&gt; 2017-02-19-UncaughtWiMAX.txt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633</v>
      </c>
      <c r="B137" s="7">
        <v>4014</v>
      </c>
      <c r="C137" s="21" t="s">
        <v>665</v>
      </c>
      <c r="D137" s="21" t="s">
        <v>206</v>
      </c>
      <c r="E137" s="13">
        <v>42785.838912037034</v>
      </c>
      <c r="F137" s="13">
        <v>42785.854780092595</v>
      </c>
      <c r="G137" s="7">
        <v>1</v>
      </c>
      <c r="H137" s="21" t="s">
        <v>775</v>
      </c>
      <c r="I137" s="13">
        <v>42785.879236111112</v>
      </c>
      <c r="J137" s="7">
        <v>0</v>
      </c>
      <c r="K137" s="98" t="str">
        <f t="shared" si="21"/>
        <v>4013/4014</v>
      </c>
      <c r="L137" s="21" t="str">
        <f>VLOOKUP(A137,'Trips&amp;Operators'!$C$1:$G$99999,5,FALSE)</f>
        <v>STAMBAUGH JAMES</v>
      </c>
      <c r="M137" s="6">
        <f t="shared" si="22"/>
        <v>2.4456018516502809E-2</v>
      </c>
      <c r="N137" s="7">
        <f t="shared" si="23"/>
        <v>35.216666663764045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26"/>
        <v>https://d0f6bd738d7f1b3e5a7ca70fe4ff75f0.us-east-1.aws.found.io/app/kibana#/discover/Steve-Slow-Train-Analysis-(2080s-and-2083s)?_g=(refreshInterval:(display:Off,pause:!f,section:0,value:0),time:(from:'2017-02-19T19:08:02-0700',mode:absolute,to:'2017-02-19T22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88" t="str">
        <f t="shared" si="27"/>
        <v>N</v>
      </c>
      <c r="X137" s="188">
        <f t="shared" si="28"/>
        <v>1</v>
      </c>
      <c r="Y137" s="62">
        <f t="shared" si="29"/>
        <v>4.4900000000000002E-2</v>
      </c>
      <c r="Z137" s="62">
        <f t="shared" si="30"/>
        <v>23.332899999999999</v>
      </c>
      <c r="AA137" s="62">
        <f t="shared" si="31"/>
        <v>23.288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0227-19</v>
      </c>
      <c r="AE137" s="85" t="str">
        <f t="shared" si="33"/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AF137" s="82" t="str">
        <f t="shared" si="34"/>
        <v>"C:\Program Files (x86)\AstroGrep\AstroGrep.exe" /spath="%USERPROFILE%\AppData\Local\Temp\OnboardLogs" /stypes="app*4014*20170220*" /stext=" 04:.+((SYSTEM_STATE.+slice.+state.+changed )|(ment ac)|(multiple cpu faults)|(system.+state.+changed )|(\[timeout)|(PRM\|1\|D)|(kpr)|(kdp)|(\|loc)|(penalty))"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227-19 --locoid 4014 --swversion DE.1.0.9.0 --startMP 204:449 --initTime 2017-02-19T20:08:02 --startdatetime 2017-02-19T20:30:53 --delay 1 --endMP 204:233329 --enddatetime 2017-02-19T21:06:06 --enforcementcount 0 &gt;&gt;C:\Users\stu\Documents\GitHub\eaglep3-reporting\EC\2017-02-19-refined-times.txt</v>
      </c>
      <c r="AI137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{"issue":{"subject":"","project_id":79,"tracker_id":40,"status_id":1,"priority_id":2,"assigned_to_id":23,"start_date":"2017-02-19","description":"","custom_fields":[{"id":1,"name":"Subdivision","value":"EC"},{"id":4,"name":"Milepost","value":"23.3329"},{"id":17,"name":"Train ID","value":"227-19"},{"id":16,"name":"Locomotive ID","value":"4014"},{"id":130,"name":"Impact","value":""},{"id":150,"name":"Time of Event (Mountain Time)","value":"21:06:06"},{"id":151,"name":"Denver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4014 --day 2017-02-19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"%USERPROFILE%\AppData\Local\Temp\OnboardLogs"\RTDC4014\*4014*20170220* | grep -SE "(Enforcement Action)|(\[TIMEOUT)|(CHR.+\|PRM\|1\|D.+(SWITCH|SIGNAL).+UNKNOWN)" - &gt;&gt; 2017-02-19-UncaughtWiMAX.txt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640</v>
      </c>
      <c r="B138" s="7">
        <v>4013</v>
      </c>
      <c r="C138" s="21" t="s">
        <v>665</v>
      </c>
      <c r="D138" s="21" t="s">
        <v>694</v>
      </c>
      <c r="E138" s="13">
        <v>42785.884571759256</v>
      </c>
      <c r="F138" s="13">
        <v>42785.893587962964</v>
      </c>
      <c r="G138" s="7">
        <v>1</v>
      </c>
      <c r="H138" s="21" t="s">
        <v>297</v>
      </c>
      <c r="I138" s="13">
        <v>42785.920532407406</v>
      </c>
      <c r="J138" s="7">
        <v>0</v>
      </c>
      <c r="K138" s="98" t="str">
        <f t="shared" si="21"/>
        <v>4013/4014</v>
      </c>
      <c r="L138" s="21" t="str">
        <f>VLOOKUP(A138,'Trips&amp;Operators'!$C$1:$G$99999,5,FALSE)</f>
        <v>STAMBAUGH JAMES</v>
      </c>
      <c r="M138" s="6">
        <f t="shared" si="22"/>
        <v>2.6944444442051463E-2</v>
      </c>
      <c r="N138" s="7">
        <f t="shared" si="23"/>
        <v>38.799999996554106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26"/>
        <v>https://d0f6bd738d7f1b3e5a7ca70fe4ff75f0.us-east-1.aws.found.io/app/kibana#/discover/Steve-Slow-Train-Analysis-(2080s-and-2083s)?_g=(refreshInterval:(display:Off,pause:!f,section:0,value:0),time:(from:'2017-02-19T20:13:47-0700',mode:absolute,to:'2017-02-19T23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88" t="str">
        <f t="shared" si="27"/>
        <v>N</v>
      </c>
      <c r="X138" s="188">
        <f t="shared" si="28"/>
        <v>1</v>
      </c>
      <c r="Y138" s="62">
        <f t="shared" si="29"/>
        <v>23.300799999999999</v>
      </c>
      <c r="Z138" s="62">
        <f t="shared" si="30"/>
        <v>1.47E-2</v>
      </c>
      <c r="AA138" s="62">
        <f t="shared" si="31"/>
        <v>23.286099999999998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0228-19</v>
      </c>
      <c r="AE138" s="85" t="str">
        <f t="shared" si="33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38" s="82" t="str">
        <f t="shared" si="34"/>
        <v>"C:\Program Files (x86)\AstroGrep\AstroGrep.exe" /spath="%USERPROFILE%\AppData\Local\Temp\OnboardLogs" /stypes="app*4013*20170220*" /stext=" 05:.+((SYSTEM_STATE.+slice.+state.+changed )|(ment ac)|(multiple cpu faults)|(system.+state.+changed )|(\[timeout)|(PRM\|1\|D)|(kpr)|(kdp)|(\|loc)|(penalty))"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228-19 --locoid 4013 --swversion DE.1.0.9.0 --startMP 204:233008 --initTime 2017-02-19T21:13:47 --startdatetime 2017-02-19T21:26:46 --delay 1 --endMP 204:147 --enddatetime 2017-02-19T22:05:34 --enforcementcount 0 &gt;&gt;C:\Users\stu\Documents\GitHub\eaglep3-reporting\EC\2017-02-19-refined-times.txt</v>
      </c>
      <c r="AI138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{"issue":{"subject":"","project_id":79,"tracker_id":40,"status_id":1,"priority_id":2,"assigned_to_id":23,"start_date":"2017-02-19","description":"","custom_fields":[{"id":1,"name":"Subdivision","value":"EC"},{"id":4,"name":"Milepost","value":"0.0147"},{"id":17,"name":"Train ID","value":"228-19"},{"id":16,"name":"Locomotive ID","value":"4013"},{"id":130,"name":"Impact","value":""},{"id":150,"name":"Time of Event (Mountain Time)","value":"22:05:34"},{"id":151,"name":"Denver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4013 --day 2017-02-19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"%USERPROFILE%\AppData\Local\Temp\OnboardLogs"\RTDC4013\*4013*20170220* | grep -SE "(Enforcement Action)|(\[TIMEOUT)|(CHR.+\|PRM\|1\|D.+(SWITCH|SIGNAL).+UNKNOWN)" - &gt;&gt; 2017-02-19-UncaughtWiMAX.txt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638</v>
      </c>
      <c r="B139" s="7">
        <v>4031</v>
      </c>
      <c r="C139" s="21" t="s">
        <v>665</v>
      </c>
      <c r="D139" s="21" t="s">
        <v>398</v>
      </c>
      <c r="E139" s="13">
        <v>42785.867488425924</v>
      </c>
      <c r="F139" s="13">
        <v>42785.875277777777</v>
      </c>
      <c r="G139" s="7">
        <v>2</v>
      </c>
      <c r="H139" s="21" t="s">
        <v>261</v>
      </c>
      <c r="I139" s="13">
        <v>42785.90179398148</v>
      </c>
      <c r="J139" s="7">
        <v>0</v>
      </c>
      <c r="K139" s="98" t="str">
        <f t="shared" ref="K139:K201" si="39">IF(ISEVEN(B139),(B139-1)&amp;"/"&amp;B139,B139&amp;"/"&amp;(B139+1))</f>
        <v>4031/4032</v>
      </c>
      <c r="L139" s="21" t="str">
        <f>VLOOKUP(A139,'Trips&amp;Operators'!$C$1:$G$99999,5,FALSE)</f>
        <v>DAVIDSON DAVID</v>
      </c>
      <c r="M139" s="6">
        <f t="shared" ref="M139:M201" si="40">I139-F139</f>
        <v>2.6516203703067731E-2</v>
      </c>
      <c r="N139" s="7">
        <f t="shared" ref="N139:N201" si="41">24*60*SUM($M139:$M139)</f>
        <v>38.183333332417533</v>
      </c>
      <c r="O139" s="7"/>
      <c r="P139" s="7"/>
      <c r="Q139" s="22"/>
      <c r="R139" s="22"/>
      <c r="S139" s="31">
        <f t="shared" ref="S139:S201" si="42">SUM(U139:U139)/IF(AG139="EC",12,1)</f>
        <v>1</v>
      </c>
      <c r="T139" s="46" t="str">
        <f t="shared" ref="T139:T201" si="43">IF(ISEVEN(LEFT(AD139,4)),"Southbound","NorthBound")</f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ref="V139:V201" si="44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-02-19T19:49:11-0700',mode:absolute,to:'2017-02-19T22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188" t="str">
        <f t="shared" ref="W139:W201" si="45">IF(AA139&lt;IF(AG139="EC",23,5.65),"Y","N")</f>
        <v>N</v>
      </c>
      <c r="X139" s="188">
        <f t="shared" ref="X139:X201" si="46">VALUE(LEFT(AD139,4))-VALUE(LEFT(AD138,4))</f>
        <v>1</v>
      </c>
      <c r="Y139" s="62">
        <f t="shared" ref="Y139:Y201" si="47">RIGHT(D139,LEN(D139)-4)/10000</f>
        <v>4.6600000000000003E-2</v>
      </c>
      <c r="Z139" s="62">
        <f t="shared" ref="Z139:Z201" si="48">RIGHT(H139,LEN(H139)-4)/10000</f>
        <v>23.3308</v>
      </c>
      <c r="AA139" s="62">
        <f t="shared" ref="AA139:AA201" si="49">ABS(Z139-Y139)</f>
        <v>23.284199999999998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ref="AD139:AD201" si="50">IF(LEN(A139)=6,"0"&amp;A139,A139)</f>
        <v>0229-19</v>
      </c>
      <c r="AE139" s="85" t="str">
        <f t="shared" ref="AE139:AE201" si="51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139" s="82" t="str">
        <f t="shared" ref="AF139:AF201" si="52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/stypes="app*4031*20170220*" /stext=" 04:.+((SYSTEM_STATE.+slice.+state.+changed )|(ment ac)|(multiple cpu faults)|(system.+state.+changed )|(\[timeout)|(PRM\|1\|D)|(kpr)|(kdp)|(\|loc)|(penalty))" /e /r /s</v>
      </c>
      <c r="AG139" s="1" t="str">
        <f t="shared" ref="AG139:AG201" si="53">IFERROR(IF(VALUE(LEFT(AD139,2))&lt;=2,"EC",IF(OR(VALUE(LEFT(AD139,2))=8,VALUE(LEFT(AD139,2))=18),"NW","Other")),"Other")</f>
        <v>EC</v>
      </c>
      <c r="AH139" s="86" t="str">
        <f t="shared" si="36"/>
        <v>"%USERPROFILE%\Documents\GitHub\eaglep3\Utilities\RefineRTDCRunTimes.py" --tripid 229-19 --locoid 4031 --swversion DE.1.0.9.0 --startMP 204:466 --initTime 2017-02-19T20:49:11 --startdatetime 2017-02-19T21:00:24 --delay 2 --endMP 204:233308 --enddatetime 2017-02-19T21:38:35 --enforcementcount 0 &gt;&gt;C:\Users\stu\Documents\GitHub\eaglep3-reporting\EC\2017-02-19-refined-times.txt</v>
      </c>
      <c r="AI139" s="108" t="str">
        <f t="shared" si="37"/>
        <v>echo {"issue":{"subject":"","project_id":79,"tracker_id":40,"status_id":1,"priority_id":2,"assigned_to_id":23,"start_date":"2017-02-19","description":"","custom_fields":[{"id":1,"name":"Subdivision","value":"EC"},{"id":4,"name":"Milepost","value":"23.3308"},{"id":17,"name":"Train ID","value":"229-19"},{"id":16,"name":"Locomotive ID","value":"4031"},{"id":130,"name":"Impact","value":""},{"id":150,"name":"Time of Event (Mountain Time)","value":"21:38:35"},{"id":151,"name":"Denver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4031 --day 2017-02-19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"%USERPROFILE%\AppData\Local\Temp\OnboardLogs"\RTDC4031\*4031*20170220* | grep -SE "(Enforcement Action)|(\[TIMEOUT)|(CHR.+\|PRM\|1\|D.+(SWITCH|SIGNAL).+UNKNOWN)" - &gt;&gt; 2017-02-19-UncaughtWiMAX.txt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643</v>
      </c>
      <c r="B140" s="7">
        <v>4032</v>
      </c>
      <c r="C140" s="21" t="s">
        <v>665</v>
      </c>
      <c r="D140" s="21" t="s">
        <v>279</v>
      </c>
      <c r="E140" s="13">
        <v>42785.906539351854</v>
      </c>
      <c r="F140" s="13">
        <v>42785.914155092592</v>
      </c>
      <c r="G140" s="7">
        <v>1</v>
      </c>
      <c r="H140" s="21" t="s">
        <v>294</v>
      </c>
      <c r="I140" s="13">
        <v>42785.943090277775</v>
      </c>
      <c r="J140" s="7">
        <v>0</v>
      </c>
      <c r="K140" s="98" t="str">
        <f t="shared" si="39"/>
        <v>4031/4032</v>
      </c>
      <c r="L140" s="21" t="str">
        <f>VLOOKUP(A140,'Trips&amp;Operators'!$C$1:$G$99999,5,FALSE)</f>
        <v>DAVIDSON DAVID</v>
      </c>
      <c r="M140" s="6">
        <f t="shared" si="40"/>
        <v>2.8935185182490386E-2</v>
      </c>
      <c r="N140" s="7">
        <f t="shared" si="41"/>
        <v>41.666666662786156</v>
      </c>
      <c r="O140" s="7"/>
      <c r="P140" s="7"/>
      <c r="Q140" s="22"/>
      <c r="R140" s="22"/>
      <c r="S140" s="31">
        <f t="shared" si="42"/>
        <v>1</v>
      </c>
      <c r="T140" s="46" t="str">
        <f t="shared" si="43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44"/>
        <v>https://d0f6bd738d7f1b3e5a7ca70fe4ff75f0.us-east-1.aws.found.io/app/kibana#/discover/Steve-Slow-Train-Analysis-(2080s-and-2083s)?_g=(refreshInterval:(display:Off,pause:!f,section:0,value:0),time:(from:'2017-02-19T20:45:25-0700',mode:absolute,to:'2017-02-19T23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188" t="str">
        <f t="shared" si="45"/>
        <v>N</v>
      </c>
      <c r="X140" s="188">
        <f t="shared" si="46"/>
        <v>1</v>
      </c>
      <c r="Y140" s="62">
        <f t="shared" si="47"/>
        <v>23.298300000000001</v>
      </c>
      <c r="Z140" s="62">
        <f t="shared" si="48"/>
        <v>1.5599999999999999E-2</v>
      </c>
      <c r="AA140" s="62">
        <f t="shared" si="49"/>
        <v>23.282700000000002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50"/>
        <v>0230-19</v>
      </c>
      <c r="AE140" s="85" t="str">
        <f t="shared" si="51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140" s="82" t="str">
        <f t="shared" si="52"/>
        <v>"C:\Program Files (x86)\AstroGrep\AstroGrep.exe" /spath="%USERPROFILE%\AppData\Local\Temp\OnboardLogs" /stypes="app*4032*20170220*" /stext=" 05:.+((SYSTEM_STATE.+slice.+state.+changed )|(ment ac)|(multiple cpu faults)|(system.+state.+changed )|(\[timeout)|(PRM\|1\|D)|(kpr)|(kdp)|(\|loc)|(penalty))" /e /r /s</v>
      </c>
      <c r="AG140" s="1" t="str">
        <f t="shared" si="53"/>
        <v>EC</v>
      </c>
      <c r="AH140" s="86" t="str">
        <f t="shared" ref="AH140:AH202" si="5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230-19 --locoid 4032 --swversion DE.1.0.9.0 --startMP 204:232983 --initTime 2017-02-19T21:45:25 --startdatetime 2017-02-19T21:56:23 --delay 1 --endMP 204:156 --enddatetime 2017-02-19T22:38:03 --enforcementcount 0 &gt;&gt;C:\Users\stu\Documents\GitHub\eaglep3-reporting\EC\2017-02-19-refined-times.txt</v>
      </c>
      <c r="AI140" s="108" t="str">
        <f t="shared" ref="AI140:AI202" si="5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{"issue":{"subject":"","project_id":79,"tracker_id":40,"status_id":1,"priority_id":2,"assigned_to_id":23,"start_date":"2017-02-19","description":"","custom_fields":[{"id":1,"name":"Subdivision","value":"EC"},{"id":4,"name":"Milepost","value":"0.0156"},{"id":17,"name":"Train ID","value":"230-19"},{"id":16,"name":"Locomotive ID","value":"4032"},{"id":130,"name":"Impact","value":""},{"id":150,"name":"Time of Event (Mountain Time)","value":"22:38:03"},{"id":151,"name":"Denver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ref="AM140:AM202" si="56">"start /low /b "&amp;dls3logs&amp;" --loco "&amp;B140&amp;" --day "&amp;TEXT(F140,"YYYY-MM-DD")</f>
        <v>start /low /b %USERPROFILE%\Documents\GitHub\eaglep3\Utilities\DownloadLogsFromS3.py --loco 4032 --day 2017-02-19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"%USERPROFILE%\AppData\Local\Temp\OnboardLogs"\RTDC4032\*4032*20170220* | grep -SE "(Enforcement Action)|(\[TIMEOUT)|(CHR.+\|PRM\|1\|D.+(SWITCH|SIGNAL).+UNKNOWN)" - &gt;&gt; 2017-02-19-UncaughtWiMAX.txt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639</v>
      </c>
      <c r="B141" s="7">
        <v>4006</v>
      </c>
      <c r="C141" s="21" t="s">
        <v>665</v>
      </c>
      <c r="D141" s="21" t="s">
        <v>231</v>
      </c>
      <c r="E141" s="13">
        <v>42785.880162037036</v>
      </c>
      <c r="F141" s="13">
        <v>42785.896053240744</v>
      </c>
      <c r="G141" s="7">
        <v>1</v>
      </c>
      <c r="H141" s="21" t="s">
        <v>776</v>
      </c>
      <c r="I141" s="13">
        <v>42785.921550925923</v>
      </c>
      <c r="J141" s="7">
        <v>0</v>
      </c>
      <c r="K141" s="98" t="str">
        <f t="shared" si="39"/>
        <v>4005/4006</v>
      </c>
      <c r="L141" s="21" t="str">
        <f>VLOOKUP(A141,'Trips&amp;Operators'!$C$1:$G$99999,5,FALSE)</f>
        <v>SAFIEF AEIMEN</v>
      </c>
      <c r="M141" s="6">
        <f t="shared" si="40"/>
        <v>2.5497685179288965E-2</v>
      </c>
      <c r="N141" s="7">
        <f t="shared" si="41"/>
        <v>36.716666658176109</v>
      </c>
      <c r="O141" s="7"/>
      <c r="P141" s="7"/>
      <c r="Q141" s="22"/>
      <c r="R141" s="22"/>
      <c r="S141" s="31">
        <f t="shared" si="42"/>
        <v>1</v>
      </c>
      <c r="T141" s="46" t="str">
        <f t="shared" si="43"/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si="44"/>
        <v>https://d0f6bd738d7f1b3e5a7ca70fe4ff75f0.us-east-1.aws.found.io/app/kibana#/discover/Steve-Slow-Train-Analysis-(2080s-and-2083s)?_g=(refreshInterval:(display:Off,pause:!f,section:0,value:0),time:(from:'2017-02-19T20:07:26-0700',mode:absolute,to:'2017-02-19T23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188" t="str">
        <f t="shared" si="45"/>
        <v>N</v>
      </c>
      <c r="X141" s="188">
        <f t="shared" si="46"/>
        <v>1</v>
      </c>
      <c r="Y141" s="62">
        <f t="shared" si="47"/>
        <v>4.5999999999999999E-2</v>
      </c>
      <c r="Z141" s="62">
        <f t="shared" si="48"/>
        <v>23.328099999999999</v>
      </c>
      <c r="AA141" s="62">
        <f t="shared" si="49"/>
        <v>23.2821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50"/>
        <v>0231-19</v>
      </c>
      <c r="AE141" s="85" t="str">
        <f t="shared" si="51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141" s="82" t="str">
        <f t="shared" si="52"/>
        <v>"C:\Program Files (x86)\AstroGrep\AstroGrep.exe" /spath="%USERPROFILE%\AppData\Local\Temp\OnboardLogs" /stypes="app*4006*20170220*" /stext=" 05:.+((SYSTEM_STATE.+slice.+state.+changed )|(ment ac)|(multiple cpu faults)|(system.+state.+changed )|(\[timeout)|(PRM\|1\|D)|(kpr)|(kdp)|(\|loc)|(penalty))" /e /r /s</v>
      </c>
      <c r="AG141" s="1" t="str">
        <f t="shared" si="53"/>
        <v>EC</v>
      </c>
      <c r="AH141" s="86" t="str">
        <f t="shared" si="54"/>
        <v>"%USERPROFILE%\Documents\GitHub\eaglep3\Utilities\RefineRTDCRunTimes.py" --tripid 231-19 --locoid 4006 --swversion DE.1.0.9.0 --startMP 204:460 --initTime 2017-02-19T21:07:26 --startdatetime 2017-02-19T21:30:19 --delay 1 --endMP 204:233281 --enddatetime 2017-02-19T22:07:02 --enforcementcount 0 &gt;&gt;C:\Users\stu\Documents\GitHub\eaglep3-reporting\EC\2017-02-19-refined-times.txt</v>
      </c>
      <c r="AI141" s="108" t="str">
        <f t="shared" si="55"/>
        <v>echo {"issue":{"subject":"","project_id":79,"tracker_id":40,"status_id":1,"priority_id":2,"assigned_to_id":23,"start_date":"2017-02-19","description":"","custom_fields":[{"id":1,"name":"Subdivision","value":"EC"},{"id":4,"name":"Milepost","value":"23.3281"},{"id":17,"name":"Train ID","value":"231-19"},{"id":16,"name":"Locomotive ID","value":"4006"},{"id":130,"name":"Impact","value":""},{"id":150,"name":"Time of Event (Mountain Time)","value":"22:07:02"},{"id":151,"name":"Denver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6"/>
        <v>start /low /b %USERPROFILE%\Documents\GitHub\eaglep3\Utilities\DownloadLogsFromS3.py --loco 4006 --day 2017-02-19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"%USERPROFILE%\AppData\Local\Temp\OnboardLogs"\RTDC4006\*4006*20170220* | grep -SE "(Enforcement Action)|(\[TIMEOUT)|(CHR.+\|PRM\|1\|D.+(SWITCH|SIGNAL).+UNKNOWN)" - &gt;&gt; 2017-02-19-UncaughtWiMAX.txt</v>
      </c>
    </row>
    <row r="142" spans="1:91" s="20" customFormat="1" x14ac:dyDescent="0.25">
      <c r="A142" s="33" t="s">
        <v>644</v>
      </c>
      <c r="B142" s="7">
        <v>4005</v>
      </c>
      <c r="C142" s="21" t="s">
        <v>665</v>
      </c>
      <c r="D142" s="21" t="s">
        <v>267</v>
      </c>
      <c r="E142" s="13">
        <v>42785.925405092596</v>
      </c>
      <c r="F142" s="13">
        <v>42785.935150462959</v>
      </c>
      <c r="G142" s="7">
        <v>2</v>
      </c>
      <c r="H142" s="21" t="s">
        <v>301</v>
      </c>
      <c r="I142" s="13">
        <v>42785.962361111109</v>
      </c>
      <c r="J142" s="7">
        <v>0</v>
      </c>
      <c r="K142" s="98" t="str">
        <f t="shared" si="39"/>
        <v>4005/4006</v>
      </c>
      <c r="L142" s="21" t="str">
        <f>VLOOKUP(A142,'Trips&amp;Operators'!$C$1:$G$99999,5,FALSE)</f>
        <v>SAFIEF AEIMEN</v>
      </c>
      <c r="M142" s="6">
        <f t="shared" si="40"/>
        <v>2.7210648149775807E-2</v>
      </c>
      <c r="N142" s="7">
        <f t="shared" si="41"/>
        <v>39.183333335677162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44"/>
        <v>https://d0f6bd738d7f1b3e5a7ca70fe4ff75f0.us-east-1.aws.found.io/app/kibana#/discover/Steve-Slow-Train-Analysis-(2080s-and-2083s)?_g=(refreshInterval:(display:Off,pause:!f,section:0,value:0),time:(from:'2017-02-19T21:12:35-0700',mode:absolute,to:'2017-02-20T00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188" t="str">
        <f t="shared" si="45"/>
        <v>N</v>
      </c>
      <c r="X142" s="188">
        <f t="shared" si="46"/>
        <v>1</v>
      </c>
      <c r="Y142" s="62">
        <f t="shared" si="47"/>
        <v>23.299099999999999</v>
      </c>
      <c r="Z142" s="62">
        <f t="shared" si="48"/>
        <v>1.38E-2</v>
      </c>
      <c r="AA142" s="62">
        <f t="shared" si="49"/>
        <v>23.285299999999999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0"/>
        <v>0232-19</v>
      </c>
      <c r="AE142" s="85" t="str">
        <f t="shared" si="51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142" s="82" t="str">
        <f t="shared" si="52"/>
        <v>"C:\Program Files (x86)\AstroGrep\AstroGrep.exe" /spath="%USERPROFILE%\AppData\Local\Temp\OnboardLogs" /stypes="app*4005*20170220*" /stext=" 06:.+((SYSTEM_STATE.+slice.+state.+changed )|(ment ac)|(multiple cpu faults)|(system.+state.+changed )|(\[timeout)|(PRM\|1\|D)|(kpr)|(kdp)|(\|loc)|(penalty))" /e /r /s</v>
      </c>
      <c r="AG142" s="1" t="str">
        <f t="shared" si="53"/>
        <v>EC</v>
      </c>
      <c r="AH142" s="86" t="str">
        <f t="shared" si="54"/>
        <v>"%USERPROFILE%\Documents\GitHub\eaglep3\Utilities\RefineRTDCRunTimes.py" --tripid 232-19 --locoid 4005 --swversion DE.1.0.9.0 --startMP 204:232991 --initTime 2017-02-19T22:12:35 --startdatetime 2017-02-19T22:26:37 --delay 2 --endMP 204:138 --enddatetime 2017-02-19T23:05:48 --enforcementcount 0 &gt;&gt;C:\Users\stu\Documents\GitHub\eaglep3-reporting\EC\2017-02-19-refined-times.txt</v>
      </c>
      <c r="AI142" s="108" t="str">
        <f t="shared" si="55"/>
        <v>echo {"issue":{"subject":"","project_id":79,"tracker_id":40,"status_id":1,"priority_id":2,"assigned_to_id":23,"start_date":"2017-02-19","description":"","custom_fields":[{"id":1,"name":"Subdivision","value":"EC"},{"id":4,"name":"Milepost","value":"0.0138"},{"id":17,"name":"Train ID","value":"232-19"},{"id":16,"name":"Locomotive ID","value":"4005"},{"id":130,"name":"Impact","value":""},{"id":150,"name":"Time of Event (Mountain Time)","value":"23:05:48"},{"id":151,"name":"Denver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56"/>
        <v>start /low /b %USERPROFILE%\Documents\GitHub\eaglep3\Utilities\DownloadLogsFromS3.py --loco 4005 --day 2017-02-19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"%USERPROFILE%\AppData\Local\Temp\OnboardLogs"\RTDC4005\*4005*20170220* | grep -SE "(Enforcement Action)|(\[TIMEOUT)|(CHR.+\|PRM\|1\|D.+(SWITCH|SIGNAL).+UNKNOWN)" - &gt;&gt; 2017-02-19-UncaughtWiMAX.txt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440</v>
      </c>
      <c r="B143" s="7">
        <v>4025</v>
      </c>
      <c r="C143" s="21" t="s">
        <v>665</v>
      </c>
      <c r="D143" s="21" t="s">
        <v>296</v>
      </c>
      <c r="E143" s="13">
        <v>42785.908472222225</v>
      </c>
      <c r="F143" s="13">
        <v>42785.916886574072</v>
      </c>
      <c r="G143" s="7">
        <v>1</v>
      </c>
      <c r="H143" s="21" t="s">
        <v>681</v>
      </c>
      <c r="I143" s="13">
        <v>42785.942650462966</v>
      </c>
      <c r="J143" s="7">
        <v>1</v>
      </c>
      <c r="K143" s="98" t="str">
        <f t="shared" si="39"/>
        <v>4025/4026</v>
      </c>
      <c r="L143" s="21" t="str">
        <f>VLOOKUP(A143,'Trips&amp;Operators'!$C$1:$G$99999,5,FALSE)</f>
        <v>SMITH MICHAEL</v>
      </c>
      <c r="M143" s="6">
        <f t="shared" si="40"/>
        <v>2.5763888894289266E-2</v>
      </c>
      <c r="N143" s="7">
        <f t="shared" si="41"/>
        <v>37.100000007776543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44"/>
        <v>https://d0f6bd738d7f1b3e5a7ca70fe4ff75f0.us-east-1.aws.found.io/app/kibana#/discover/Steve-Slow-Train-Analysis-(2080s-and-2083s)?_g=(refreshInterval:(display:Off,pause:!f,section:0,value:0),time:(from:'2017-02-19T20:48:12-0700',mode:absolute,to:'2017-02-19T23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3" s="188" t="str">
        <f t="shared" si="45"/>
        <v>N</v>
      </c>
      <c r="X143" s="188">
        <f t="shared" si="46"/>
        <v>1</v>
      </c>
      <c r="Y143" s="62">
        <f t="shared" si="47"/>
        <v>4.4400000000000002E-2</v>
      </c>
      <c r="Z143" s="62">
        <f t="shared" si="48"/>
        <v>23.334700000000002</v>
      </c>
      <c r="AA143" s="62">
        <f t="shared" si="49"/>
        <v>23.290300000000002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0"/>
        <v>0233-19</v>
      </c>
      <c r="AE143" s="85" t="str">
        <f t="shared" si="51"/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AF143" s="82" t="str">
        <f t="shared" si="52"/>
        <v>"C:\Program Files (x86)\AstroGrep\AstroGrep.exe" /spath="%USERPROFILE%\AppData\Local\Temp\OnboardLogs" /stypes="app*4025*20170220*" /stext=" 05:.+((SYSTEM_STATE.+slice.+state.+changed )|(ment ac)|(multiple cpu faults)|(system.+state.+changed )|(\[timeout)|(PRM\|1\|D)|(kpr)|(kdp)|(\|loc)|(penalty))"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233-19 --locoid 4025 --swversion DE.1.0.9.0 --startMP 204:444 --initTime 2017-02-19T21:48:12 --startdatetime 2017-02-19T22:00:19 --delay 1 --endMP 204:233347 --enddatetime 2017-02-19T22:37:25 --enforcementcount 1 &gt;&gt;C:\Users\stu\Documents\GitHub\eaglep3-reporting\EC\2017-02-19-refined-times.txt</v>
      </c>
      <c r="AI143" s="108" t="str">
        <f t="shared" si="55"/>
        <v>echo {"issue":{"subject":"","project_id":79,"tracker_id":40,"status_id":1,"priority_id":2,"assigned_to_id":23,"start_date":"2017-02-19","description":"","custom_fields":[{"id":1,"name":"Subdivision","value":"EC"},{"id":4,"name":"Milepost","value":"23.3347"},{"id":17,"name":"Train ID","value":"233-19"},{"id":16,"name":"Locomotive ID","value":"4025"},{"id":130,"name":"Impact","value":""},{"id":150,"name":"Time of Event (Mountain Time)","value":"22:37:25"},{"id":151,"name":"Denver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6"/>
        <v>start /low /b %USERPROFILE%\Documents\GitHub\eaglep3\Utilities\DownloadLogsFromS3.py --loco 4025 --day 2017-02-19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"%USERPROFILE%\AppData\Local\Temp\OnboardLogs"\RTDC4025\*4025*20170220* | grep -SE "(Enforcement Action)|(\[TIMEOUT)|(CHR.+\|PRM\|1\|D.+(SWITCH|SIGNAL).+UNKNOWN)" - &gt;&gt; 2017-02-19-UncaughtWiMAX.txt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647</v>
      </c>
      <c r="B144" s="7">
        <v>4026</v>
      </c>
      <c r="C144" s="21" t="s">
        <v>665</v>
      </c>
      <c r="D144" s="21" t="s">
        <v>777</v>
      </c>
      <c r="E144" s="13">
        <v>42785.946087962962</v>
      </c>
      <c r="F144" s="13">
        <v>42785.955763888887</v>
      </c>
      <c r="G144" s="7">
        <v>1</v>
      </c>
      <c r="H144" s="21" t="s">
        <v>184</v>
      </c>
      <c r="I144" s="13">
        <v>42785.982638888891</v>
      </c>
      <c r="J144" s="7">
        <v>0</v>
      </c>
      <c r="K144" s="98" t="str">
        <f t="shared" si="39"/>
        <v>4025/4026</v>
      </c>
      <c r="L144" s="21" t="str">
        <f>VLOOKUP(A144,'Trips&amp;Operators'!$C$1:$G$99999,5,FALSE)</f>
        <v>SMITH MICHAEL</v>
      </c>
      <c r="M144" s="6">
        <f t="shared" si="40"/>
        <v>2.6875000003201421E-2</v>
      </c>
      <c r="N144" s="7">
        <f t="shared" si="41"/>
        <v>38.700000004610047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44"/>
        <v>https://d0f6bd738d7f1b3e5a7ca70fe4ff75f0.us-east-1.aws.found.io/app/kibana#/discover/Steve-Slow-Train-Analysis-(2080s-and-2083s)?_g=(refreshInterval:(display:Off,pause:!f,section:0,value:0),time:(from:'2017-02-19T21:42:22-0700',mode:absolute,to:'2017-02-20T00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4" s="188" t="str">
        <f t="shared" si="45"/>
        <v>N</v>
      </c>
      <c r="X144" s="188">
        <f t="shared" si="46"/>
        <v>1</v>
      </c>
      <c r="Y144" s="62">
        <f t="shared" si="47"/>
        <v>23.3034</v>
      </c>
      <c r="Z144" s="62">
        <f t="shared" si="48"/>
        <v>1.49E-2</v>
      </c>
      <c r="AA144" s="62">
        <f t="shared" si="49"/>
        <v>23.288499999999999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0"/>
        <v>0234-19</v>
      </c>
      <c r="AE144" s="85" t="str">
        <f t="shared" si="51"/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AF144" s="82" t="str">
        <f t="shared" si="52"/>
        <v>"C:\Program Files (x86)\AstroGrep\AstroGrep.exe" /spath="%USERPROFILE%\AppData\Local\Temp\OnboardLogs" /stypes="app*4026*20170220*" /stext=" 06:.+((SYSTEM_STATE.+slice.+state.+changed )|(ment ac)|(multiple cpu faults)|(system.+state.+changed )|(\[timeout)|(PRM\|1\|D)|(kpr)|(kdp)|(\|loc)|(penalty))"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234-19 --locoid 4026 --swversion DE.1.0.9.0 --startMP 204:233034 --initTime 2017-02-19T22:42:22 --startdatetime 2017-02-19T22:56:18 --delay 1 --endMP 204:149 --enddatetime 2017-02-19T23:35:00 --enforcementcount 0 &gt;&gt;C:\Users\stu\Documents\GitHub\eaglep3-reporting\EC\2017-02-19-refined-times.txt</v>
      </c>
      <c r="AI144" s="108" t="str">
        <f t="shared" si="55"/>
        <v>echo {"issue":{"subject":"","project_id":79,"tracker_id":40,"status_id":1,"priority_id":2,"assigned_to_id":23,"start_date":"2017-02-19","description":"","custom_fields":[{"id":1,"name":"Subdivision","value":"EC"},{"id":4,"name":"Milepost","value":"0.0149"},{"id":17,"name":"Train ID","value":"234-19"},{"id":16,"name":"Locomotive ID","value":"4026"},{"id":130,"name":"Impact","value":""},{"id":150,"name":"Time of Event (Mountain Time)","value":"23:35:00"},{"id":151,"name":"Denver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56"/>
        <v>start /low /b %USERPROFILE%\Documents\GitHub\eaglep3\Utilities\DownloadLogsFromS3.py --loco 4026 --day 2017-02-19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"%USERPROFILE%\AppData\Local\Temp\OnboardLogs"\RTDC4026\*4026*20170220* | grep -SE "(Enforcement Action)|(\[TIMEOUT)|(CHR.+\|PRM\|1\|D.+(SWITCH|SIGNAL).+UNKNOWN)" - &gt;&gt; 2017-02-19-UncaughtWiMAX.txt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441</v>
      </c>
      <c r="B145" s="7">
        <v>4014</v>
      </c>
      <c r="C145" s="21" t="s">
        <v>665</v>
      </c>
      <c r="D145" s="21" t="s">
        <v>228</v>
      </c>
      <c r="E145" s="13">
        <v>42785.922210648147</v>
      </c>
      <c r="F145" s="13">
        <v>42785.938148148147</v>
      </c>
      <c r="G145" s="7">
        <v>1</v>
      </c>
      <c r="H145" s="21" t="s">
        <v>778</v>
      </c>
      <c r="I145" s="13">
        <v>42785.962268518517</v>
      </c>
      <c r="J145" s="7">
        <v>0</v>
      </c>
      <c r="K145" s="98" t="str">
        <f t="shared" si="39"/>
        <v>4013/4014</v>
      </c>
      <c r="L145" s="21" t="str">
        <f>VLOOKUP(A145,'Trips&amp;Operators'!$C$1:$G$99999,5,FALSE)</f>
        <v>STAMBAUGH JAMES</v>
      </c>
      <c r="M145" s="6">
        <f t="shared" si="40"/>
        <v>2.4120370369928423E-2</v>
      </c>
      <c r="N145" s="7">
        <f t="shared" si="41"/>
        <v>34.73333333269693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44"/>
        <v>https://d0f6bd738d7f1b3e5a7ca70fe4ff75f0.us-east-1.aws.found.io/app/kibana#/discover/Steve-Slow-Train-Analysis-(2080s-and-2083s)?_g=(refreshInterval:(display:Off,pause:!f,section:0,value:0),time:(from:'2017-02-19T21:07:59-0700',mode:absolute,to:'2017-02-20T00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188" t="str">
        <f t="shared" si="45"/>
        <v>N</v>
      </c>
      <c r="X145" s="188">
        <f t="shared" si="46"/>
        <v>1</v>
      </c>
      <c r="Y145" s="62">
        <f t="shared" si="47"/>
        <v>4.5699999999999998E-2</v>
      </c>
      <c r="Z145" s="62">
        <f t="shared" si="48"/>
        <v>23.3338</v>
      </c>
      <c r="AA145" s="62">
        <f t="shared" si="49"/>
        <v>23.2881</v>
      </c>
      <c r="AB145" s="59" t="str">
        <f>VLOOKUP(A145,Enforcements!$C$7:$K$13,8,0)</f>
        <v>Bulletin (2)</v>
      </c>
      <c r="AC145" s="55" t="str">
        <f>VLOOKUP(A145,Enforcements!$C$7:$E$13,3,0)</f>
        <v>GRADE CROSSING</v>
      </c>
      <c r="AD145" s="56" t="str">
        <f t="shared" si="50"/>
        <v>0235-19</v>
      </c>
      <c r="AE145" s="85" t="str">
        <f t="shared" si="51"/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AF145" s="82" t="str">
        <f t="shared" si="52"/>
        <v>"C:\Program Files (x86)\AstroGrep\AstroGrep.exe" /spath="%USERPROFILE%\AppData\Local\Temp\OnboardLogs" /stypes="app*4014*20170220*" /stext=" 06:.+((SYSTEM_STATE.+slice.+state.+changed )|(ment ac)|(multiple cpu faults)|(system.+state.+changed )|(\[timeout)|(PRM\|1\|D)|(kpr)|(kdp)|(\|loc)|(penalty))"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235-19 --locoid 4014 --swversion DE.1.0.9.0 --startMP 204:457 --initTime 2017-02-19T22:07:59 --startdatetime 2017-02-19T22:30:56 --delay 1 --endMP 204:233338 --enddatetime 2017-02-19T23:05:40 --enforcementcount 0 &gt;&gt;C:\Users\stu\Documents\GitHub\eaglep3-reporting\EC\2017-02-19-refined-times.txt</v>
      </c>
      <c r="AI145" s="108" t="str">
        <f t="shared" si="55"/>
        <v>echo {"issue":{"subject":"","project_id":79,"tracker_id":40,"status_id":1,"priority_id":2,"assigned_to_id":23,"start_date":"2017-02-19","description":"","custom_fields":[{"id":1,"name":"Subdivision","value":"EC"},{"id":4,"name":"Milepost","value":"23.3338"},{"id":17,"name":"Train ID","value":"235-19"},{"id":16,"name":"Locomotive ID","value":"4014"},{"id":130,"name":"Impact","value":""},{"id":150,"name":"Time of Event (Mountain Time)","value":"23:05:40"},{"id":151,"name":"Denver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56"/>
        <v>start /low /b %USERPROFILE%\Documents\GitHub\eaglep3\Utilities\DownloadLogsFromS3.py --loco 4014 --day 2017-02-19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"%USERPROFILE%\AppData\Local\Temp\OnboardLogs"\RTDC4014\*4014*20170220* | grep -SE "(Enforcement Action)|(\[TIMEOUT)|(CHR.+\|PRM\|1\|D.+(SWITCH|SIGNAL).+UNKNOWN)" - &gt;&gt; 2017-02-19-UncaughtWiMAX.txt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650</v>
      </c>
      <c r="B146" s="7">
        <v>4013</v>
      </c>
      <c r="C146" s="21" t="s">
        <v>665</v>
      </c>
      <c r="D146" s="21" t="s">
        <v>684</v>
      </c>
      <c r="E146" s="13">
        <v>42785.969861111109</v>
      </c>
      <c r="F146" s="13">
        <v>42785.977083333331</v>
      </c>
      <c r="G146" s="7">
        <v>1</v>
      </c>
      <c r="H146" s="21" t="s">
        <v>733</v>
      </c>
      <c r="I146" s="13">
        <v>42786.004675925928</v>
      </c>
      <c r="J146" s="7">
        <v>0</v>
      </c>
      <c r="K146" s="98" t="str">
        <f t="shared" si="39"/>
        <v>4013/4014</v>
      </c>
      <c r="L146" s="21" t="str">
        <f>VLOOKUP(A146,'Trips&amp;Operators'!$C$1:$G$99999,5,FALSE)</f>
        <v>STAMBAUGH JAMES</v>
      </c>
      <c r="M146" s="6">
        <f t="shared" si="40"/>
        <v>2.7592592596192844E-2</v>
      </c>
      <c r="N146" s="7">
        <f t="shared" si="41"/>
        <v>39.733333338517696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44"/>
        <v>https://d0f6bd738d7f1b3e5a7ca70fe4ff75f0.us-east-1.aws.found.io/app/kibana#/discover/Steve-Slow-Train-Analysis-(2080s-and-2083s)?_g=(refreshInterval:(display:Off,pause:!f,section:0,value:0),time:(from:'2017-02-19T22:16:36-0700',mode:absolute,to:'2017-02-20T01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188" t="str">
        <f t="shared" si="45"/>
        <v>N</v>
      </c>
      <c r="X146" s="188">
        <f t="shared" si="46"/>
        <v>1</v>
      </c>
      <c r="Y146" s="62">
        <f t="shared" si="47"/>
        <v>23.302499999999998</v>
      </c>
      <c r="Z146" s="62">
        <f t="shared" si="48"/>
        <v>1.21E-2</v>
      </c>
      <c r="AA146" s="62">
        <f t="shared" si="49"/>
        <v>23.290399999999998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0"/>
        <v>0236-19</v>
      </c>
      <c r="AE146" s="85" t="str">
        <f t="shared" si="51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46" s="82" t="str">
        <f t="shared" si="52"/>
        <v>"C:\Program Files (x86)\AstroGrep\AstroGrep.exe" /spath="%USERPROFILE%\AppData\Local\Temp\OnboardLogs" /stypes="app*4013*20170220*" /stext=" 07:.+((SYSTEM_STATE.+slice.+state.+changed )|(ment ac)|(multiple cpu faults)|(system.+state.+changed )|(\[timeout)|(PRM\|1\|D)|(kpr)|(kdp)|(\|loc)|(penalty))"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236-19 --locoid 4013 --swversion DE.1.0.9.0 --startMP 204:233025 --initTime 2017-02-19T23:16:36 --startdatetime 2017-02-19T23:27:00 --delay 1 --endMP 204:121 --enddatetime 2017-02-20T00:06:44 --enforcementcount 0 &gt;&gt;C:\Users\stu\Documents\GitHub\eaglep3-reporting\EC\2017-02-19-refined-times.txt</v>
      </c>
      <c r="AI146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{"issue":{"subject":"","project_id":79,"tracker_id":40,"status_id":1,"priority_id":2,"assigned_to_id":23,"start_date":"2017-02-20","description":"","custom_fields":[{"id":1,"name":"Subdivision","value":"EC"},{"id":4,"name":"Milepost","value":"0.0121"},{"id":17,"name":"Train ID","value":"236-19"},{"id":16,"name":"Locomotive ID","value":"4013"},{"id":130,"name":"Impact","value":""},{"id":150,"name":"Time of Event (Mountain Time)","value":"00:06:44"},{"id":151,"name":"Denver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56"/>
        <v>start /low /b %USERPROFILE%\Documents\GitHub\eaglep3\Utilities\DownloadLogsFromS3.py --loco 4013 --day 2017-02-19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"%USERPROFILE%\AppData\Local\Temp\OnboardLogs"\RTDC4013\*4013*20170220* | grep -SE "(Enforcement Action)|(\[TIMEOUT)|(CHR.+\|PRM\|1\|D.+(SWITCH|SIGNAL).+UNKNOWN)" - &gt;&gt; 2017-02-19-UncaughtWiMAX.txt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648</v>
      </c>
      <c r="B147" s="7">
        <v>4031</v>
      </c>
      <c r="C147" s="21" t="s">
        <v>665</v>
      </c>
      <c r="D147" s="21" t="s">
        <v>204</v>
      </c>
      <c r="E147" s="13">
        <v>42785.953020833331</v>
      </c>
      <c r="F147" s="13">
        <v>42785.958564814813</v>
      </c>
      <c r="G147" s="7">
        <v>1</v>
      </c>
      <c r="H147" s="21" t="s">
        <v>281</v>
      </c>
      <c r="I147" s="13">
        <v>42785.985902777778</v>
      </c>
      <c r="J147" s="7">
        <v>0</v>
      </c>
      <c r="K147" s="98" t="str">
        <f t="shared" si="39"/>
        <v>4031/4032</v>
      </c>
      <c r="L147" s="21" t="str">
        <f>VLOOKUP(A147,'Trips&amp;Operators'!$C$1:$G$99999,5,FALSE)</f>
        <v>DAVIDSON DAVID</v>
      </c>
      <c r="M147" s="6">
        <f t="shared" si="40"/>
        <v>2.7337962965248153E-2</v>
      </c>
      <c r="N147" s="7">
        <f t="shared" si="41"/>
        <v>39.36666666995734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44"/>
        <v>https://d0f6bd738d7f1b3e5a7ca70fe4ff75f0.us-east-1.aws.found.io/app/kibana#/discover/Steve-Slow-Train-Analysis-(2080s-and-2083s)?_g=(refreshInterval:(display:Off,pause:!f,section:0,value:0),time:(from:'2017-02-19T21:52:21-0700',mode:absolute,to:'2017-02-20T00:39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188" t="str">
        <f t="shared" si="45"/>
        <v>N</v>
      </c>
      <c r="X147" s="188">
        <f t="shared" si="46"/>
        <v>1</v>
      </c>
      <c r="Y147" s="62">
        <f t="shared" si="47"/>
        <v>4.6199999999999998E-2</v>
      </c>
      <c r="Z147" s="62">
        <f t="shared" si="48"/>
        <v>23.331199999999999</v>
      </c>
      <c r="AA147" s="62">
        <f t="shared" si="49"/>
        <v>23.285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0"/>
        <v>0237-19</v>
      </c>
      <c r="AE147" s="85" t="str">
        <f t="shared" si="51"/>
        <v>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 &amp; aws s3 cp s3://rtdc.mdm.uploadarchive.raw/RTDC4031/ "%USERPROFILE%\AppData\Local\Temp\OnboardLogs"\RTDC4031\2017-02-20 --exclude "*" --recursive --include "*20170220*" &amp; "%USERPROFILE%\Documents\GitHub\mrs-test-scripts\Headless Mode &amp; Sideloading\WalkAndUnGZ.bat" "%USERPROFILE%\AppData\Local\Temp\OnboardLogs"\RTDC4031\2017-02-20</v>
      </c>
      <c r="AF147" s="82" t="str">
        <f t="shared" si="52"/>
        <v>"C:\Program Files (x86)\AstroGrep\AstroGrep.exe" /spath="%USERPROFILE%\AppData\Local\Temp\OnboardLogs" /stypes="app*4031*20170220*" /stext=" 06:.+((SYSTEM_STATE.+slice.+state.+changed )|(ment ac)|(multiple cpu faults)|(system.+state.+changed )|(\[timeout)|(PRM\|1\|D)|(kpr)|(kdp)|(\|loc)|(penalty))"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237-19 --locoid 4031 --swversion DE.1.0.9.0 --startMP 204:462 --initTime 2017-02-19T22:52:21 --startdatetime 2017-02-19T23:00:20 --delay 1 --endMP 204:233312 --enddatetime 2017-02-19T23:39:42 --enforcementcount 0 &gt;&gt;C:\Users\stu\Documents\GitHub\eaglep3-reporting\EC\2017-02-19-refined-times.txt</v>
      </c>
      <c r="AI147" s="108" t="str">
        <f t="shared" si="55"/>
        <v>echo {"issue":{"subject":"","project_id":79,"tracker_id":40,"status_id":1,"priority_id":2,"assigned_to_id":23,"start_date":"2017-02-19","description":"","custom_fields":[{"id":1,"name":"Subdivision","value":"EC"},{"id":4,"name":"Milepost","value":"23.3312"},{"id":17,"name":"Train ID","value":"237-19"},{"id":16,"name":"Locomotive ID","value":"4031"},{"id":130,"name":"Impact","value":""},{"id":150,"name":"Time of Event (Mountain Time)","value":"23:39:42"},{"id":151,"name":"Denver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56"/>
        <v>start /low /b %USERPROFILE%\Documents\GitHub\eaglep3\Utilities\DownloadLogsFromS3.py --loco 4031 --day 2017-02-19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"%USERPROFILE%\AppData\Local\Temp\OnboardLogs"\RTDC4031\*4031*20170220* | grep -SE "(Enforcement Action)|(\[TIMEOUT)|(CHR.+\|PRM\|1\|D.+(SWITCH|SIGNAL).+UNKNOWN)" - &gt;&gt; 2017-02-19-UncaughtWiMAX.txt</v>
      </c>
    </row>
    <row r="148" spans="1:91" s="20" customFormat="1" x14ac:dyDescent="0.25">
      <c r="A148" s="33" t="s">
        <v>652</v>
      </c>
      <c r="B148" s="7">
        <v>4032</v>
      </c>
      <c r="C148" s="21" t="s">
        <v>665</v>
      </c>
      <c r="D148" s="21" t="s">
        <v>310</v>
      </c>
      <c r="E148" s="13">
        <v>42785.990277777775</v>
      </c>
      <c r="F148" s="13">
        <v>42785.997881944444</v>
      </c>
      <c r="G148" s="7">
        <v>1</v>
      </c>
      <c r="H148" s="21" t="s">
        <v>203</v>
      </c>
      <c r="I148" s="13">
        <v>42786.026331018518</v>
      </c>
      <c r="J148" s="7">
        <v>0</v>
      </c>
      <c r="K148" s="98" t="str">
        <f t="shared" si="39"/>
        <v>4031/4032</v>
      </c>
      <c r="L148" s="21" t="str">
        <f>VLOOKUP(A148,'Trips&amp;Operators'!$C$1:$G$99999,5,FALSE)</f>
        <v>DAVIDSON DAVID</v>
      </c>
      <c r="M148" s="6">
        <f t="shared" si="40"/>
        <v>2.8449074074160308E-2</v>
      </c>
      <c r="N148" s="7">
        <f t="shared" si="41"/>
        <v>40.966666666790843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44"/>
        <v>https://d0f6bd738d7f1b3e5a7ca70fe4ff75f0.us-east-1.aws.found.io/app/kibana#/discover/Steve-Slow-Train-Analysis-(2080s-and-2083s)?_g=(refreshInterval:(display:Off,pause:!f,section:0,value:0),time:(from:'2017-02-19T22:46:00-0700',mode:absolute,to:'2017-02-20T01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188" t="str">
        <f t="shared" si="45"/>
        <v>N</v>
      </c>
      <c r="X148" s="188">
        <f t="shared" si="46"/>
        <v>1</v>
      </c>
      <c r="Y148" s="62">
        <f t="shared" si="47"/>
        <v>23.298500000000001</v>
      </c>
      <c r="Z148" s="62">
        <f t="shared" si="48"/>
        <v>1.6E-2</v>
      </c>
      <c r="AA148" s="62">
        <f t="shared" si="49"/>
        <v>23.282500000000002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0"/>
        <v>0238-19</v>
      </c>
      <c r="AE148" s="85" t="str">
        <f t="shared" si="51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148" s="82" t="str">
        <f t="shared" si="52"/>
        <v>"C:\Program Files (x86)\AstroGrep\AstroGrep.exe" /spath="%USERPROFILE%\AppData\Local\Temp\OnboardLogs" /stypes="app*4032*20170220*" /stext=" 07:.+((SYSTEM_STATE.+slice.+state.+changed )|(ment ac)|(multiple cpu faults)|(system.+state.+changed )|(\[timeout)|(PRM\|1\|D)|(kpr)|(kdp)|(\|loc)|(penalty))"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238-19 --locoid 4032 --swversion DE.1.0.9.0 --startMP 204:232985 --initTime 2017-02-19T23:46:00 --startdatetime 2017-02-19T23:56:57 --delay 1 --endMP 204:160 --enddatetime 2017-02-20T00:37:55 --enforcementcount 0 &gt;&gt;C:\Users\stu\Documents\GitHub\eaglep3-reporting\EC\2017-02-19-refined-times.txt</v>
      </c>
      <c r="AI148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ID","value":"238-19"},{"id":16,"name":"Locomotive ID","value":"4032"},{"id":130,"name":"Impact","value":""},{"id":150,"name":"Time of Event (Mountain Time)","value":"00:37:55"},{"id":151,"name":"Denver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56"/>
        <v>start /low /b %USERPROFILE%\Documents\GitHub\eaglep3\Utilities\DownloadLogsFromS3.py --loco 4032 --day 2017-02-19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"%USERPROFILE%\AppData\Local\Temp\OnboardLogs"\RTDC4032\*4032*20170220* | grep -SE "(Enforcement Action)|(\[TIMEOUT)|(CHR.+\|PRM\|1\|D.+(SWITCH|SIGNAL).+UNKNOWN)" - &gt;&gt; 2017-02-19-UncaughtWiMAX.txt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649</v>
      </c>
      <c r="B149" s="7">
        <v>4006</v>
      </c>
      <c r="C149" s="21" t="s">
        <v>665</v>
      </c>
      <c r="D149" s="21" t="s">
        <v>270</v>
      </c>
      <c r="E149" s="13">
        <v>42785.964363425926</v>
      </c>
      <c r="F149" s="13">
        <v>42785.979375000003</v>
      </c>
      <c r="G149" s="7">
        <v>1</v>
      </c>
      <c r="H149" s="21" t="s">
        <v>779</v>
      </c>
      <c r="I149" s="13">
        <v>42786.004826388889</v>
      </c>
      <c r="J149" s="7">
        <v>0</v>
      </c>
      <c r="K149" s="98" t="str">
        <f t="shared" si="39"/>
        <v>4005/4006</v>
      </c>
      <c r="L149" s="21" t="str">
        <f>VLOOKUP(A149,'Trips&amp;Operators'!$C$1:$G$99999,5,FALSE)</f>
        <v>SAFIEF AEIMEN</v>
      </c>
      <c r="M149" s="6">
        <f t="shared" si="40"/>
        <v>2.545138888672227E-2</v>
      </c>
      <c r="N149" s="7">
        <f t="shared" si="41"/>
        <v>36.649999996880069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44"/>
        <v>https://d0f6bd738d7f1b3e5a7ca70fe4ff75f0.us-east-1.aws.found.io/app/kibana#/discover/Steve-Slow-Train-Analysis-(2080s-and-2083s)?_g=(refreshInterval:(display:Off,pause:!f,section:0,value:0),time:(from:'2017-02-19T22:08:41-0700',mode:absolute,to:'2017-02-20T01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188" t="str">
        <f t="shared" si="45"/>
        <v>N</v>
      </c>
      <c r="X149" s="188">
        <f t="shared" si="46"/>
        <v>1</v>
      </c>
      <c r="Y149" s="62">
        <f t="shared" si="47"/>
        <v>4.6399999999999997E-2</v>
      </c>
      <c r="Z149" s="62">
        <f t="shared" si="48"/>
        <v>23.328700000000001</v>
      </c>
      <c r="AA149" s="62">
        <f t="shared" si="49"/>
        <v>23.282300000000003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0"/>
        <v>0239-19</v>
      </c>
      <c r="AE149" s="85" t="str">
        <f t="shared" si="51"/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AF149" s="82" t="str">
        <f t="shared" si="52"/>
        <v>"C:\Program Files (x86)\AstroGrep\AstroGrep.exe" /spath="%USERPROFILE%\AppData\Local\Temp\OnboardLogs" /stypes="app*4006*20170220*" /stext=" 07:.+((SYSTEM_STATE.+slice.+state.+changed )|(ment ac)|(multiple cpu faults)|(system.+state.+changed )|(\[timeout)|(PRM\|1\|D)|(kpr)|(kdp)|(\|loc)|(penalty))"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239-19 --locoid 4006 --swversion DE.1.0.9.0 --startMP 204:464 --initTime 2017-02-19T23:08:41 --startdatetime 2017-02-19T23:30:18 --delay 1 --endMP 204:233287 --enddatetime 2017-02-20T00:06:57 --enforcementcount 0 &gt;&gt;C:\Users\stu\Documents\GitHub\eaglep3-reporting\EC\2017-02-19-refined-times.txt</v>
      </c>
      <c r="AI149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{"issue":{"subject":"","project_id":79,"tracker_id":40,"status_id":1,"priority_id":2,"assigned_to_id":23,"start_date":"2017-02-20","description":"","custom_fields":[{"id":1,"name":"Subdivision","value":"EC"},{"id":4,"name":"Milepost","value":"23.3287"},{"id":17,"name":"Train ID","value":"239-19"},{"id":16,"name":"Locomotive ID","value":"4006"},{"id":130,"name":"Impact","value":""},{"id":150,"name":"Time of Event (Mountain Time)","value":"00:06:57"},{"id":151,"name":"Denver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56"/>
        <v>start /low /b %USERPROFILE%\Documents\GitHub\eaglep3\Utilities\DownloadLogsFromS3.py --loco 4006 --day 2017-02-19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"%USERPROFILE%\AppData\Local\Temp\OnboardLogs"\RTDC4006\*4006*20170220* | grep -SE "(Enforcement Action)|(\[TIMEOUT)|(CHR.+\|PRM\|1\|D.+(SWITCH|SIGNAL).+UNKNOWN)" - &gt;&gt; 2017-02-19-UncaughtWiMAX.txt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653</v>
      </c>
      <c r="B150" s="7">
        <v>4005</v>
      </c>
      <c r="C150" s="21" t="s">
        <v>665</v>
      </c>
      <c r="D150" s="21" t="s">
        <v>780</v>
      </c>
      <c r="E150" s="13">
        <v>42786.006747685184</v>
      </c>
      <c r="F150" s="13">
        <v>42786.018958333334</v>
      </c>
      <c r="G150" s="7">
        <v>1</v>
      </c>
      <c r="H150" s="21" t="s">
        <v>293</v>
      </c>
      <c r="I150" s="13">
        <v>42786.047083333331</v>
      </c>
      <c r="J150" s="7">
        <v>0</v>
      </c>
      <c r="K150" s="98" t="str">
        <f t="shared" si="39"/>
        <v>4005/4006</v>
      </c>
      <c r="L150" s="21" t="str">
        <f>VLOOKUP(A150,'Trips&amp;Operators'!$C$1:$G$99999,5,FALSE)</f>
        <v>SAFIEF AEIMEN</v>
      </c>
      <c r="M150" s="6">
        <f t="shared" si="40"/>
        <v>2.8124999997089617E-2</v>
      </c>
      <c r="N150" s="7">
        <f t="shared" si="41"/>
        <v>40.499999995809048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44"/>
        <v>https://d0f6bd738d7f1b3e5a7ca70fe4ff75f0.us-east-1.aws.found.io/app/kibana#/discover/Steve-Slow-Train-Analysis-(2080s-and-2083s)?_g=(refreshInterval:(display:Off,pause:!f,section:0,value:0),time:(from:'2017-02-19T23:09:43-0700',mode:absolute,to:'2017-02-20T02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188" t="str">
        <f t="shared" si="45"/>
        <v>N</v>
      </c>
      <c r="X150" s="188">
        <f t="shared" si="46"/>
        <v>1</v>
      </c>
      <c r="Y150" s="62">
        <f t="shared" si="47"/>
        <v>23.2974</v>
      </c>
      <c r="Z150" s="62">
        <f t="shared" si="48"/>
        <v>1.3599999999999999E-2</v>
      </c>
      <c r="AA150" s="62">
        <f t="shared" si="49"/>
        <v>23.283799999999999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0"/>
        <v>0240-19</v>
      </c>
      <c r="AE150" s="85" t="str">
        <f t="shared" si="51"/>
        <v>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 &amp; 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</v>
      </c>
      <c r="AF150" s="82" t="str">
        <f t="shared" si="52"/>
        <v>"C:\Program Files (x86)\AstroGrep\AstroGrep.exe" /spath="%USERPROFILE%\AppData\Local\Temp\OnboardLogs" /stypes="app*4005*20170220*" /stext=" 08:.+((SYSTEM_STATE.+slice.+state.+changed )|(ment ac)|(multiple cpu faults)|(system.+state.+changed )|(\[timeout)|(PRM\|1\|D)|(kpr)|(kdp)|(\|loc)|(penalty))"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240-19 --locoid 4005 --swversion DE.1.0.9.0 --startMP 204:232974 --initTime 2017-02-20T00:09:43 --startdatetime 2017-02-20T00:27:18 --delay 1 --endMP 204:136 --enddatetime 2017-02-20T01:07:48 --enforcementcount 0 &gt;&gt;C:\Users\stu\Documents\GitHub\eaglep3-reporting\EC\2017-02-19-refined-times.txt</v>
      </c>
      <c r="AI150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{"issue":{"subject":"","project_id":79,"tracker_id":40,"status_id":1,"priority_id":2,"assigned_to_id":23,"start_date":"2017-02-20","description":"","custom_fields":[{"id":1,"name":"Subdivision","value":"EC"},{"id":4,"name":"Milepost","value":"0.0136"},{"id":17,"name":"Train ID","value":"240-19"},{"id":16,"name":"Locomotive ID","value":"4005"},{"id":130,"name":"Impact","value":""},{"id":150,"name":"Time of Event (Mountain Time)","value":"01:07:48"},{"id":151,"name":"Denver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56"/>
        <v>start /low /b %USERPROFILE%\Documents\GitHub\eaglep3\Utilities\DownloadLogsFromS3.py --loco 4005 --day 2017-02-20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"%USERPROFILE%\AppData\Local\Temp\OnboardLogs"\RTDC4005\*4005*20170220* | grep -SE "(Enforcement Action)|(\[TIMEOUT)|(CHR.+\|PRM\|1\|D.+(SWITCH|SIGNAL).+UNKNOWN)" - &gt;&gt; 2017-02-19-UncaughtWiMAX.txt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651</v>
      </c>
      <c r="B151" s="7">
        <v>4025</v>
      </c>
      <c r="C151" s="21" t="s">
        <v>665</v>
      </c>
      <c r="D151" s="21" t="s">
        <v>227</v>
      </c>
      <c r="E151" s="13">
        <v>42785.984907407408</v>
      </c>
      <c r="F151" s="13">
        <v>42786.002685185187</v>
      </c>
      <c r="G151" s="7">
        <v>1</v>
      </c>
      <c r="H151" s="21" t="s">
        <v>315</v>
      </c>
      <c r="I151" s="13">
        <v>42786.027245370373</v>
      </c>
      <c r="J151" s="7">
        <v>0</v>
      </c>
      <c r="K151" s="98" t="str">
        <f t="shared" si="39"/>
        <v>4025/4026</v>
      </c>
      <c r="L151" s="21" t="str">
        <f>VLOOKUP(A151,'Trips&amp;Operators'!$C$1:$G$99999,5,FALSE)</f>
        <v>SMITH MICHAEL</v>
      </c>
      <c r="M151" s="6">
        <f t="shared" si="40"/>
        <v>2.4560185185691807E-2</v>
      </c>
      <c r="N151" s="7">
        <f t="shared" si="41"/>
        <v>35.366666667396203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44"/>
        <v>https://d0f6bd738d7f1b3e5a7ca70fe4ff75f0.us-east-1.aws.found.io/app/kibana#/discover/Steve-Slow-Train-Analysis-(2080s-and-2083s)?_g=(refreshInterval:(display:Off,pause:!f,section:0,value:0),time:(from:'2017-02-19T22:38:16-0700',mode:absolute,to:'2017-02-20T01:39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1" s="188" t="str">
        <f t="shared" si="45"/>
        <v>N</v>
      </c>
      <c r="X151" s="188">
        <f t="shared" si="46"/>
        <v>1</v>
      </c>
      <c r="Y151" s="62">
        <f t="shared" si="47"/>
        <v>4.5100000000000001E-2</v>
      </c>
      <c r="Z151" s="62">
        <f t="shared" si="48"/>
        <v>23.3306</v>
      </c>
      <c r="AA151" s="62">
        <f t="shared" si="49"/>
        <v>23.285499999999999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0"/>
        <v>0241-19</v>
      </c>
      <c r="AE151" s="85" t="str">
        <f t="shared" si="51"/>
        <v>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 &amp; 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</v>
      </c>
      <c r="AF151" s="82" t="str">
        <f t="shared" si="52"/>
        <v>"C:\Program Files (x86)\AstroGrep\AstroGrep.exe" /spath="%USERPROFILE%\AppData\Local\Temp\OnboardLogs" /stypes="app*4025*20170220*" /stext=" 07:.+((SYSTEM_STATE.+slice.+state.+changed )|(ment ac)|(multiple cpu faults)|(system.+state.+changed )|(\[timeout)|(PRM\|1\|D)|(kpr)|(kdp)|(\|loc)|(penalty))"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241-19 --locoid 4025 --swversion DE.1.0.9.0 --startMP 204:451 --initTime 2017-02-19T23:38:16 --startdatetime 2017-02-20T00:03:52 --delay 1 --endMP 204:233306 --enddatetime 2017-02-20T00:39:14 --enforcementcount 0 &gt;&gt;C:\Users\stu\Documents\GitHub\eaglep3-reporting\EC\2017-02-19-refined-times.txt</v>
      </c>
      <c r="AI151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{"issue":{"subject":"","project_id":79,"tracker_id":40,"status_id":1,"priority_id":2,"assigned_to_id":23,"start_date":"2017-02-20","description":"","custom_fields":[{"id":1,"name":"Subdivision","value":"EC"},{"id":4,"name":"Milepost","value":"23.3306"},{"id":17,"name":"Train ID","value":"241-19"},{"id":16,"name":"Locomotive ID","value":"4025"},{"id":130,"name":"Impact","value":""},{"id":150,"name":"Time of Event (Mountain Time)","value":"00:39:14"},{"id":151,"name":"Denver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56"/>
        <v>start /low /b %USERPROFILE%\Documents\GitHub\eaglep3\Utilities\DownloadLogsFromS3.py --loco 4025 --day 2017-02-20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"%USERPROFILE%\AppData\Local\Temp\OnboardLogs"\RTDC4025\*4025*20170220* | grep -SE "(Enforcement Action)|(\[TIMEOUT)|(CHR.+\|PRM\|1\|D.+(SWITCH|SIGNAL).+UNKNOWN)" - &gt;&gt; 2017-02-19-UncaughtWiMAX.txt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656</v>
      </c>
      <c r="B152" s="7">
        <v>4026</v>
      </c>
      <c r="C152" s="21" t="s">
        <v>665</v>
      </c>
      <c r="D152" s="21" t="s">
        <v>353</v>
      </c>
      <c r="E152" s="13">
        <v>42786.031608796293</v>
      </c>
      <c r="F152" s="13">
        <v>42786.039131944446</v>
      </c>
      <c r="G152" s="7">
        <v>1</v>
      </c>
      <c r="H152" s="21" t="s">
        <v>224</v>
      </c>
      <c r="I152" s="13">
        <v>42786.06559027778</v>
      </c>
      <c r="J152" s="7">
        <v>0</v>
      </c>
      <c r="K152" s="98" t="str">
        <f t="shared" si="39"/>
        <v>4025/4026</v>
      </c>
      <c r="L152" s="21" t="str">
        <f>VLOOKUP(A152,'Trips&amp;Operators'!$C$1:$G$99999,5,FALSE)</f>
        <v>SMITH MICHAEL</v>
      </c>
      <c r="M152" s="6">
        <f t="shared" si="40"/>
        <v>2.6458333333721384E-2</v>
      </c>
      <c r="N152" s="7">
        <f t="shared" si="41"/>
        <v>38.100000000558794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44"/>
        <v>https://d0f6bd738d7f1b3e5a7ca70fe4ff75f0.us-east-1.aws.found.io/app/kibana#/discover/Steve-Slow-Train-Analysis-(2080s-and-2083s)?_g=(refreshInterval:(display:Off,pause:!f,section:0,value:0),time:(from:'2017-02-19T23:45:31-0700',mode:absolute,to:'2017-02-20T02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2" s="188" t="str">
        <f t="shared" si="45"/>
        <v>N</v>
      </c>
      <c r="X152" s="188">
        <f t="shared" si="46"/>
        <v>1</v>
      </c>
      <c r="Y152" s="62">
        <f t="shared" si="47"/>
        <v>23.2989</v>
      </c>
      <c r="Z152" s="62">
        <f t="shared" si="48"/>
        <v>1.43E-2</v>
      </c>
      <c r="AA152" s="62">
        <f t="shared" si="49"/>
        <v>23.284600000000001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0"/>
        <v>0242-19</v>
      </c>
      <c r="AE152" s="85" t="str">
        <f t="shared" si="51"/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AF152" s="82" t="str">
        <f t="shared" si="52"/>
        <v>"C:\Program Files (x86)\AstroGrep\AstroGrep.exe" /spath="%USERPROFILE%\AppData\Local\Temp\OnboardLogs" /stypes="app*4026*20170220*" /stext=" 08:.+((SYSTEM_STATE.+slice.+state.+changed )|(ment ac)|(multiple cpu faults)|(system.+state.+changed )|(\[timeout)|(PRM\|1\|D)|(kpr)|(kdp)|(\|loc)|(penalty))"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242-19 --locoid 4026 --swversion DE.1.0.9.0 --startMP 204:232989 --initTime 2017-02-20T00:45:31 --startdatetime 2017-02-20T00:56:21 --delay 1 --endMP 204:143 --enddatetime 2017-02-20T01:34:27 --enforcementcount 0 &gt;&gt;C:\Users\stu\Documents\GitHub\eaglep3-reporting\EC\2017-02-19-refined-times.txt</v>
      </c>
      <c r="AI152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ID","value":"242-19"},{"id":16,"name":"Locomotive ID","value":"4026"},{"id":130,"name":"Impact","value":""},{"id":150,"name":"Time of Event (Mountain Time)","value":"01:34:27"},{"id":151,"name":"Denver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56"/>
        <v>start /low /b %USERPROFILE%\Documents\GitHub\eaglep3\Utilities\DownloadLogsFromS3.py --loco 4026 --day 2017-02-20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"%USERPROFILE%\AppData\Local\Temp\OnboardLogs"\RTDC4026\*4026*20170220* | grep -SE "(Enforcement Action)|(\[TIMEOUT)|(CHR.+\|PRM\|1\|D.+(SWITCH|SIGNAL).+UNKNOWN)" - &gt;&gt; 2017-02-19-UncaughtWiMAX.txt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654</v>
      </c>
      <c r="B153" s="7">
        <v>4014</v>
      </c>
      <c r="C153" s="21" t="s">
        <v>665</v>
      </c>
      <c r="D153" s="21" t="s">
        <v>781</v>
      </c>
      <c r="E153" s="13">
        <v>42786.007094907407</v>
      </c>
      <c r="F153" s="13">
        <v>42786.021215277775</v>
      </c>
      <c r="G153" s="7">
        <v>1</v>
      </c>
      <c r="H153" s="21" t="s">
        <v>391</v>
      </c>
      <c r="I153" s="13">
        <v>42786.045729166668</v>
      </c>
      <c r="J153" s="7">
        <v>0</v>
      </c>
      <c r="K153" s="98" t="str">
        <f t="shared" si="39"/>
        <v>4013/4014</v>
      </c>
      <c r="L153" s="21" t="str">
        <f>VLOOKUP(A153,'Trips&amp;Operators'!$C$1:$G$99999,5,FALSE)</f>
        <v>STAMBAUGH JAMES</v>
      </c>
      <c r="M153" s="6">
        <f t="shared" si="40"/>
        <v>2.4513888893125113E-2</v>
      </c>
      <c r="N153" s="7">
        <f t="shared" si="41"/>
        <v>35.300000006100163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44"/>
        <v>https://d0f6bd738d7f1b3e5a7ca70fe4ff75f0.us-east-1.aws.found.io/app/kibana#/discover/Steve-Slow-Train-Analysis-(2080s-and-2083s)?_g=(refreshInterval:(display:Off,pause:!f,section:0,value:0),time:(from:'2017-02-19T23:10:13-0700',mode:absolute,to:'2017-02-20T02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3" s="188" t="str">
        <f t="shared" si="45"/>
        <v>N</v>
      </c>
      <c r="X153" s="188">
        <f t="shared" si="46"/>
        <v>1</v>
      </c>
      <c r="Y153" s="62">
        <f t="shared" si="47"/>
        <v>4.02E-2</v>
      </c>
      <c r="Z153" s="62">
        <f t="shared" si="48"/>
        <v>23.334599999999998</v>
      </c>
      <c r="AA153" s="62">
        <f t="shared" si="49"/>
        <v>23.2944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0"/>
        <v>0243-19</v>
      </c>
      <c r="AE153" s="85" t="str">
        <f t="shared" si="51"/>
        <v>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 &amp; aws s3 cp s3://rtdc.mdm.uploadarchive.raw/RTDC4014/ "%USERPROFILE%\AppData\Local\Temp\OnboardLogs"\RTDC4014\2017-02-21 --exclude "*" --recursive --include "*20170221*" &amp; "%USERPROFILE%\Documents\GitHub\mrs-test-scripts\Headless Mode &amp; Sideloading\WalkAndUnGZ.bat" "%USERPROFILE%\AppData\Local\Temp\OnboardLogs"\RTDC4014\2017-02-21</v>
      </c>
      <c r="AF153" s="82" t="str">
        <f t="shared" si="52"/>
        <v>"C:\Program Files (x86)\AstroGrep\AstroGrep.exe" /spath="%USERPROFILE%\AppData\Local\Temp\OnboardLogs" /stypes="app*4014*20170220*" /stext=" 08:.+((SYSTEM_STATE.+slice.+state.+changed )|(ment ac)|(multiple cpu faults)|(system.+state.+changed )|(\[timeout)|(PRM\|1\|D)|(kpr)|(kdp)|(\|loc)|(penalty))"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243-19 --locoid 4014 --swversion DE.1.0.9.0 --startMP 204:402 --initTime 2017-02-20T00:10:13 --startdatetime 2017-02-20T00:30:33 --delay 1 --endMP 204:233346 --enddatetime 2017-02-20T01:05:51 --enforcementcount 0 &gt;&gt;C:\Users\stu\Documents\GitHub\eaglep3-reporting\EC\2017-02-19-refined-times.txt</v>
      </c>
      <c r="AI153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{"issue":{"subject":"","project_id":79,"tracker_id":40,"status_id":1,"priority_id":2,"assigned_to_id":23,"start_date":"2017-02-20","description":"","custom_fields":[{"id":1,"name":"Subdivision","value":"EC"},{"id":4,"name":"Milepost","value":"23.3346"},{"id":17,"name":"Train ID","value":"243-19"},{"id":16,"name":"Locomotive ID","value":"4014"},{"id":130,"name":"Impact","value":""},{"id":150,"name":"Time of Event (Mountain Time)","value":"01:05:51"},{"id":151,"name":"Denver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56"/>
        <v>start /low /b %USERPROFILE%\Documents\GitHub\eaglep3\Utilities\DownloadLogsFromS3.py --loco 4014 --day 2017-02-20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"%USERPROFILE%\AppData\Local\Temp\OnboardLogs"\RTDC4014\*4014*20170220* | grep -SE "(Enforcement Action)|(\[TIMEOUT)|(CHR.+\|PRM\|1\|D.+(SWITCH|SIGNAL).+UNKNOWN)" - &gt;&gt; 2017-02-19-UncaughtWiMAX.txt</v>
      </c>
    </row>
    <row r="154" spans="1:91" x14ac:dyDescent="0.25">
      <c r="A154" s="33" t="s">
        <v>442</v>
      </c>
      <c r="B154" s="7">
        <v>4013</v>
      </c>
      <c r="C154" s="21" t="s">
        <v>665</v>
      </c>
      <c r="D154" s="21" t="s">
        <v>399</v>
      </c>
      <c r="E154" s="13">
        <v>42786.047465277778</v>
      </c>
      <c r="F154" s="13">
        <v>42786.060023148151</v>
      </c>
      <c r="G154" s="7">
        <v>1</v>
      </c>
      <c r="H154" s="21" t="s">
        <v>194</v>
      </c>
      <c r="I154" s="13">
        <v>42786.085775462961</v>
      </c>
      <c r="J154" s="7">
        <v>0</v>
      </c>
      <c r="K154" s="98" t="str">
        <f t="shared" si="39"/>
        <v>4013/4014</v>
      </c>
      <c r="L154" s="21" t="str">
        <f>VLOOKUP(A154,'Trips&amp;Operators'!$C$1:$G$99999,5,FALSE)</f>
        <v>STAMBAUGH JAMES</v>
      </c>
      <c r="M154" s="6">
        <f t="shared" si="40"/>
        <v>2.5752314810233656E-2</v>
      </c>
      <c r="N154" s="7">
        <f t="shared" si="41"/>
        <v>37.083333326736465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44"/>
        <v>https://d0f6bd738d7f1b3e5a7ca70fe4ff75f0.us-east-1.aws.found.io/app/kibana#/discover/Steve-Slow-Train-Analysis-(2080s-and-2083s)?_g=(refreshInterval:(display:Off,pause:!f,section:0,value:0),time:(from:'2017-02-20T00:08:21-0700',mode:absolute,to:'2017-02-20T03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188" t="str">
        <f t="shared" si="45"/>
        <v>N</v>
      </c>
      <c r="X154" s="188">
        <f t="shared" si="46"/>
        <v>1</v>
      </c>
      <c r="Y154" s="62">
        <f t="shared" si="47"/>
        <v>23.300599999999999</v>
      </c>
      <c r="Z154" s="62">
        <f t="shared" si="48"/>
        <v>1.4999999999999999E-2</v>
      </c>
      <c r="AA154" s="62">
        <f t="shared" si="49"/>
        <v>23.285599999999999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0"/>
        <v>0244-19</v>
      </c>
      <c r="AE154" s="85" t="str">
        <f t="shared" si="51"/>
        <v>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 &amp; 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</v>
      </c>
      <c r="AF154" s="82" t="str">
        <f t="shared" si="52"/>
        <v>"C:\Program Files (x86)\AstroGrep\AstroGrep.exe" /spath="%USERPROFILE%\AppData\Local\Temp\OnboardLogs" /stypes="app*4013*20170220*" /stext=" 09:.+((SYSTEM_STATE.+slice.+state.+changed )|(ment ac)|(multiple cpu faults)|(system.+state.+changed )|(\[timeout)|(PRM\|1\|D)|(kpr)|(kdp)|(\|loc)|(penalty))"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244-19 --locoid 4013 --swversion DE.1.0.9.0 --startMP 204:233006 --initTime 2017-02-20T01:08:21 --startdatetime 2017-02-20T01:26:26 --delay 1 --endMP 204:150 --enddatetime 2017-02-20T02:03:31 --enforcementcount 0 &gt;&gt;C:\Users\stu\Documents\GitHub\eaglep3-reporting\EC\2017-02-19-refined-times.txt</v>
      </c>
      <c r="AI154" s="108" t="str">
        <f t="shared" si="55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ID","value":"244-19"},{"id":16,"name":"Locomotive ID","value":"4013"},{"id":130,"name":"Impact","value":""},{"id":150,"name":"Time of Event (Mountain Time)","value":"02:03:31"},{"id":151,"name":"Denver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56"/>
        <v>start /low /b %USERPROFILE%\Documents\GitHub\eaglep3\Utilities\DownloadLogsFromS3.py --loco 4013 --day 2017-02-20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"%USERPROFILE%\AppData\Local\Temp\OnboardLogs"\RTDC4013\*4013*20170220* | grep -SE "(Enforcement Action)|(\[TIMEOUT)|(CHR.+\|PRM\|1\|D.+(SWITCH|SIGNAL).+UNKNOWN)" - &gt;&gt; 2017-02-19-UncaughtWiMAX.txt</v>
      </c>
    </row>
    <row r="155" spans="1:91" x14ac:dyDescent="0.25">
      <c r="A155" s="33" t="s">
        <v>479</v>
      </c>
      <c r="B155" s="7">
        <v>4008</v>
      </c>
      <c r="C155" s="21" t="s">
        <v>665</v>
      </c>
      <c r="D155" s="21" t="s">
        <v>709</v>
      </c>
      <c r="E155" s="13">
        <v>42785.235000000001</v>
      </c>
      <c r="F155" s="13">
        <v>42785.236261574071</v>
      </c>
      <c r="G155" s="7">
        <v>1</v>
      </c>
      <c r="H155" s="21" t="s">
        <v>710</v>
      </c>
      <c r="I155" s="13">
        <v>42785.245763888888</v>
      </c>
      <c r="J155" s="7">
        <v>0</v>
      </c>
      <c r="K155" s="98" t="str">
        <f t="shared" si="39"/>
        <v>4007/4008</v>
      </c>
      <c r="L155" s="21" t="str">
        <f>VLOOKUP(A155,'Trips&amp;Operators'!$C$1:$G$99999,5,FALSE)</f>
        <v>YORK EDGAR</v>
      </c>
      <c r="M155" s="6">
        <f t="shared" si="40"/>
        <v>9.5023148169275373E-3</v>
      </c>
      <c r="N155" s="7">
        <f t="shared" si="41"/>
        <v>13.683333336375654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7" t="str">
        <f t="shared" si="44"/>
        <v>https://d0f6bd738d7f1b3e5a7ca70fe4ff75f0.us-east-1.aws.found.io/app/kibana#/discover/Steve-Slow-Train-Analysis-(2080s-and-2083s)?_g=(refreshInterval:(display:Off,pause:!f,section:0,value:0),time:(from:'2017-02-19T04:38:24-0700',mode:absolute,to:'2017-02-19T06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188" t="str">
        <f t="shared" si="45"/>
        <v>N</v>
      </c>
      <c r="X155" s="188">
        <f t="shared" si="46"/>
        <v>1556</v>
      </c>
      <c r="Y155" s="62">
        <f t="shared" si="47"/>
        <v>5.8630000000000004</v>
      </c>
      <c r="Z155" s="62">
        <f t="shared" si="48"/>
        <v>7.4499999999999997E-2</v>
      </c>
      <c r="AA155" s="62">
        <f t="shared" si="49"/>
        <v>5.7885000000000009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0"/>
        <v>1800-19</v>
      </c>
      <c r="AE155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55" s="82" t="str">
        <f t="shared" si="52"/>
        <v>"C:\Program Files (x86)\AstroGrep\AstroGrep.exe" /spath="%USERPROFILE%\AppData\Local\Temp\OnboardLogs" /stypes="app*4008*20170219*" /stext=" 12:.+((SYSTEM_STATE.+slice.+state.+changed )|(ment ac)|(multiple cpu faults)|(system.+state.+changed )|(\[timeout)|(PRM\|1\|D)|(kpr)|(kdp)|(\|loc)|(penalty))" /e /r /s</v>
      </c>
      <c r="AG155" s="1" t="str">
        <f t="shared" si="53"/>
        <v>NW</v>
      </c>
      <c r="AH155" s="86" t="str">
        <f t="shared" si="54"/>
        <v>"%USERPROFILE%\Documents\GitHub\eaglep3\Utilities\RefineRTDCRunTimes.py" --tripid 1800-19 --locoid 4008 --swversion DE.1.0.9.0 --startMP 300:58630 --initTime 2017-02-19T05:38:24 --startdatetime 2017-02-19T05:40:13 --delay 1 --endMP 204:745 --enddatetime 2017-02-19T05:53:54 --enforcementcount 0 &gt;&gt;C:\Users\stu\Documents\GitHub\eaglep3-reporting\EC\2017-02-19-refined-times.txt</v>
      </c>
      <c r="AI155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{"issue":{"subject":"","project_id":79,"tracker_id":40,"status_id":1,"priority_id":2,"assigned_to_id":23,"start_date":"2017-02-19","description":"","custom_fields":[{"id":1,"name":"Subdivision","value":"NW"},{"id":4,"name":"Milepost","value":"0.0745"},{"id":17,"name":"Train ID","value":"1800-19"},{"id":16,"name":"Locomotive ID","value":"4008"},{"id":130,"name":"Impact","value":""},{"id":150,"name":"Time of Event (Mountain Time)","value":"05:53:54"},{"id":151,"name":"Denver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56"/>
        <v>start /low /b %USERPROFILE%\Documents\GitHub\eaglep3\Utilities\DownloadLogsFromS3.py --loco 4008 --day 2017-02-19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56" spans="1:91" s="20" customFormat="1" x14ac:dyDescent="0.25">
      <c r="A156" s="33" t="s">
        <v>417</v>
      </c>
      <c r="B156" s="7">
        <v>4007</v>
      </c>
      <c r="C156" s="21" t="s">
        <v>665</v>
      </c>
      <c r="D156" s="21" t="s">
        <v>711</v>
      </c>
      <c r="E156" s="13">
        <v>42785.24759259259</v>
      </c>
      <c r="F156" s="13">
        <v>42785.264988425923</v>
      </c>
      <c r="G156" s="7">
        <v>0</v>
      </c>
      <c r="H156" s="21" t="s">
        <v>712</v>
      </c>
      <c r="I156" s="13">
        <v>42785.274398148147</v>
      </c>
      <c r="J156" s="7">
        <v>0</v>
      </c>
      <c r="K156" s="98" t="str">
        <f t="shared" si="39"/>
        <v>4007/4008</v>
      </c>
      <c r="L156" s="21" t="str">
        <f>VLOOKUP(A156,'Trips&amp;Operators'!$C$1:$G$99999,5,FALSE)</f>
        <v>YORK EDGAR</v>
      </c>
      <c r="M156" s="6">
        <f t="shared" si="40"/>
        <v>9.4097222245181911E-3</v>
      </c>
      <c r="N156" s="7">
        <f t="shared" si="41"/>
        <v>13.550000003306195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7" t="str">
        <f t="shared" si="44"/>
        <v>https://d0f6bd738d7f1b3e5a7ca70fe4ff75f0.us-east-1.aws.found.io/app/kibana#/discover/Steve-Slow-Train-Analysis-(2080s-and-2083s)?_g=(refreshInterval:(display:Off,pause:!f,section:0,value:0),time:(from:'2017-02-19T04:56:32-0700',mode:absolute,to:'2017-02-19T07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188" t="str">
        <f t="shared" si="45"/>
        <v>N</v>
      </c>
      <c r="X156" s="188">
        <f t="shared" si="46"/>
        <v>1</v>
      </c>
      <c r="Y156" s="62">
        <f t="shared" si="47"/>
        <v>0.10199999999999999</v>
      </c>
      <c r="Z156" s="62">
        <f t="shared" si="48"/>
        <v>5.8939000000000004</v>
      </c>
      <c r="AA156" s="62">
        <f t="shared" si="49"/>
        <v>5.7919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0"/>
        <v>1801-19</v>
      </c>
      <c r="AE156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56" s="82" t="str">
        <f t="shared" si="52"/>
        <v>"C:\Program Files (x86)\AstroGrep\AstroGrep.exe" /spath="%USERPROFILE%\AppData\Local\Temp\OnboardLogs" /stypes="app*4007*20170219*" /stext=" 13:.+((SYSTEM_STATE.+slice.+state.+changed )|(ment ac)|(multiple cpu faults)|(system.+state.+changed )|(\[timeout)|(PRM\|1\|D)|(kpr)|(kdp)|(\|loc)|(penalty))" /e /r /s</v>
      </c>
      <c r="AG156" s="1" t="str">
        <f t="shared" si="53"/>
        <v>NW</v>
      </c>
      <c r="AH156" s="86" t="str">
        <f t="shared" si="54"/>
        <v>"%USERPROFILE%\Documents\GitHub\eaglep3\Utilities\RefineRTDCRunTimes.py" --tripid 1801-19 --locoid 4007 --swversion DE.1.0.9.0 --startMP 204:1020 --initTime 2017-02-19T05:56:32 --startdatetime 2017-02-19T06:21:35 --delay 0 --endMP 300:58939 --enddatetime 2017-02-19T06:35:08 --enforcementcount 0 &gt;&gt;C:\Users\stu\Documents\GitHub\eaglep3-reporting\EC\2017-02-19-refined-times.txt</v>
      </c>
      <c r="AI156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{"issue":{"subject":"","project_id":79,"tracker_id":40,"status_id":1,"priority_id":2,"assigned_to_id":23,"start_date":"2017-02-19","description":"","custom_fields":[{"id":1,"name":"Subdivision","value":"NW"},{"id":4,"name":"Milepost","value":"5.8939"},{"id":17,"name":"Train ID","value":"1801-19"},{"id":16,"name":"Locomotive ID","value":"4007"},{"id":130,"name":"Impact","value":""},{"id":150,"name":"Time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56"/>
        <v>start /low /b %USERPROFILE%\Documents\GitHub\eaglep3\Utilities\DownloadLogsFromS3.py --loco 4007 --day 2017-02-19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487</v>
      </c>
      <c r="B157" s="7">
        <v>4008</v>
      </c>
      <c r="C157" s="21" t="s">
        <v>665</v>
      </c>
      <c r="D157" s="21" t="s">
        <v>413</v>
      </c>
      <c r="E157" s="13">
        <v>42785.276354166665</v>
      </c>
      <c r="F157" s="13">
        <v>42785.27925925926</v>
      </c>
      <c r="G157" s="7">
        <v>1</v>
      </c>
      <c r="H157" s="21" t="s">
        <v>713</v>
      </c>
      <c r="I157" s="13">
        <v>42785.287569444445</v>
      </c>
      <c r="J157" s="7">
        <v>0</v>
      </c>
      <c r="K157" s="98" t="str">
        <f t="shared" si="39"/>
        <v>4007/4008</v>
      </c>
      <c r="L157" s="21" t="str">
        <f>VLOOKUP(A157,'Trips&amp;Operators'!$C$1:$G$99999,5,FALSE)</f>
        <v>YORK EDGAR</v>
      </c>
      <c r="M157" s="6">
        <f t="shared" si="40"/>
        <v>8.3101851851097308E-3</v>
      </c>
      <c r="N157" s="7">
        <f t="shared" si="41"/>
        <v>11.966666666558012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 t="shared" si="44"/>
        <v>https://d0f6bd738d7f1b3e5a7ca70fe4ff75f0.us-east-1.aws.found.io/app/kibana#/discover/Steve-Slow-Train-Analysis-(2080s-and-2083s)?_g=(refreshInterval:(display:Off,pause:!f,section:0,value:0),time:(from:'2017-02-19T05:37:57-0700',mode:absolute,to:'2017-02-19T07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88" t="str">
        <f t="shared" si="45"/>
        <v>N</v>
      </c>
      <c r="X157" s="188">
        <f t="shared" si="46"/>
        <v>1</v>
      </c>
      <c r="Y157" s="62">
        <f t="shared" si="47"/>
        <v>5.8619000000000003</v>
      </c>
      <c r="Z157" s="62">
        <f t="shared" si="48"/>
        <v>7.6799999999999993E-2</v>
      </c>
      <c r="AA157" s="62">
        <f t="shared" si="49"/>
        <v>5.7850999999999999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0"/>
        <v>1802-19</v>
      </c>
      <c r="AE157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57" s="82" t="str">
        <f t="shared" si="52"/>
        <v>"C:\Program Files (x86)\AstroGrep\AstroGrep.exe" /spath="%USERPROFILE%\AppData\Local\Temp\OnboardLogs" /stypes="app*4008*20170219*" /stext=" 13:.+((SYSTEM_STATE.+slice.+state.+changed )|(ment ac)|(multiple cpu faults)|(system.+state.+changed )|(\[timeout)|(PRM\|1\|D)|(kpr)|(kdp)|(\|loc)|(penalty))" /e /r /s</v>
      </c>
      <c r="AG157" s="1" t="str">
        <f t="shared" si="53"/>
        <v>NW</v>
      </c>
      <c r="AH157" s="86" t="str">
        <f t="shared" si="54"/>
        <v>"%USERPROFILE%\Documents\GitHub\eaglep3\Utilities\RefineRTDCRunTimes.py" --tripid 1802-19 --locoid 4008 --swversion DE.1.0.9.0 --startMP 300:58619 --initTime 2017-02-19T06:37:57 --startdatetime 2017-02-19T06:42:08 --delay 1 --endMP 204:768 --enddatetime 2017-02-19T06:54:06 --enforcementcount 0 &gt;&gt;C:\Users\stu\Documents\GitHub\eaglep3-reporting\EC\2017-02-19-refined-times.txt</v>
      </c>
      <c r="AI157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{"issue":{"subject":"","project_id":79,"tracker_id":40,"status_id":1,"priority_id":2,"assigned_to_id":23,"start_date":"2017-02-19","description":"","custom_fields":[{"id":1,"name":"Subdivision","value":"NW"},{"id":4,"name":"Milepost","value":"0.0768"},{"id":17,"name":"Train ID","value":"1802-19"},{"id":16,"name":"Locomotive ID","value":"4008"},{"id":130,"name":"Impact","value":""},{"id":150,"name":"Time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56"/>
        <v>start /low /b %USERPROFILE%\Documents\GitHub\eaglep3\Utilities\DownloadLogsFromS3.py --loco 4008 --day 2017-02-19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58" spans="1:91" x14ac:dyDescent="0.25">
      <c r="A158" s="33" t="s">
        <v>489</v>
      </c>
      <c r="B158" s="7">
        <v>4007</v>
      </c>
      <c r="C158" s="21" t="s">
        <v>665</v>
      </c>
      <c r="D158" s="21" t="s">
        <v>714</v>
      </c>
      <c r="E158" s="13">
        <v>42785.288449074076</v>
      </c>
      <c r="F158" s="13">
        <v>42785.306666666664</v>
      </c>
      <c r="G158" s="7">
        <v>0</v>
      </c>
      <c r="H158" s="21" t="s">
        <v>715</v>
      </c>
      <c r="I158" s="13">
        <v>42785.315381944441</v>
      </c>
      <c r="J158" s="7">
        <v>0</v>
      </c>
      <c r="K158" s="98" t="str">
        <f t="shared" si="39"/>
        <v>4007/4008</v>
      </c>
      <c r="L158" s="21" t="str">
        <f>VLOOKUP(A158,'Trips&amp;Operators'!$C$1:$G$99999,5,FALSE)</f>
        <v>YORK EDGAR</v>
      </c>
      <c r="M158" s="6">
        <f t="shared" si="40"/>
        <v>8.7152777778101154E-3</v>
      </c>
      <c r="N158" s="7">
        <f t="shared" si="41"/>
        <v>12.550000000046566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 t="shared" si="44"/>
        <v>https://d0f6bd738d7f1b3e5a7ca70fe4ff75f0.us-east-1.aws.found.io/app/kibana#/discover/Steve-Slow-Train-Analysis-(2080s-and-2083s)?_g=(refreshInterval:(display:Off,pause:!f,section:0,value:0),time:(from:'2017-02-19T05:55:22-0700',mode:absolute,to:'2017-02-19T08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88" t="str">
        <f t="shared" si="45"/>
        <v>N</v>
      </c>
      <c r="X158" s="188">
        <f t="shared" si="46"/>
        <v>1</v>
      </c>
      <c r="Y158" s="62">
        <f t="shared" si="47"/>
        <v>0.10440000000000001</v>
      </c>
      <c r="Z158" s="62">
        <f t="shared" si="48"/>
        <v>5.8933</v>
      </c>
      <c r="AA158" s="62">
        <f t="shared" si="49"/>
        <v>5.7888999999999999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0"/>
        <v>1803-19</v>
      </c>
      <c r="AE158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58" s="82" t="str">
        <f t="shared" si="52"/>
        <v>"C:\Program Files (x86)\AstroGrep\AstroGrep.exe" /spath="%USERPROFILE%\AppData\Local\Temp\OnboardLogs" /stypes="app*4007*20170219*" /stext=" 14:.+((SYSTEM_STATE.+slice.+state.+changed )|(ment ac)|(multiple cpu faults)|(system.+state.+changed )|(\[timeout)|(PRM\|1\|D)|(kpr)|(kdp)|(\|loc)|(penalty))" /e /r /s</v>
      </c>
      <c r="AG158" s="1" t="str">
        <f t="shared" si="53"/>
        <v>NW</v>
      </c>
      <c r="AH158" s="86" t="str">
        <f t="shared" si="54"/>
        <v>"%USERPROFILE%\Documents\GitHub\eaglep3\Utilities\RefineRTDCRunTimes.py" --tripid 1803-19 --locoid 4007 --swversion DE.1.0.9.0 --startMP 204:1044 --initTime 2017-02-19T06:55:22 --startdatetime 2017-02-19T07:21:36 --delay 0 --endMP 300:58933 --enddatetime 2017-02-19T07:34:09 --enforcementcount 0 &gt;&gt;C:\Users\stu\Documents\GitHub\eaglep3-reporting\EC\2017-02-19-refined-times.txt</v>
      </c>
      <c r="AI158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{"issue":{"subject":"","project_id":79,"tracker_id":40,"status_id":1,"priority_id":2,"assigned_to_id":23,"start_date":"2017-02-19","description":"","custom_fields":[{"id":1,"name":"Subdivision","value":"NW"},{"id":4,"name":"Milepost","value":"5.8933"},{"id":17,"name":"Train ID","value":"1803-19"},{"id":16,"name":"Locomotive ID","value":"4007"},{"id":130,"name":"Impact","value":""},{"id":150,"name":"Time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56"/>
        <v>start /low /b %USERPROFILE%\Documents\GitHub\eaglep3\Utilities\DownloadLogsFromS3.py --loco 4007 --day 2017-02-19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159" spans="1:91" x14ac:dyDescent="0.25">
      <c r="A159" s="33" t="s">
        <v>496</v>
      </c>
      <c r="B159" s="7">
        <v>4008</v>
      </c>
      <c r="C159" s="21" t="s">
        <v>665</v>
      </c>
      <c r="D159" s="21" t="s">
        <v>716</v>
      </c>
      <c r="E159" s="13">
        <v>42785.319756944446</v>
      </c>
      <c r="F159" s="13">
        <v>42785.321145833332</v>
      </c>
      <c r="G159" s="7">
        <v>1</v>
      </c>
      <c r="H159" s="21" t="s">
        <v>710</v>
      </c>
      <c r="I159" s="13">
        <v>42785.329259259262</v>
      </c>
      <c r="J159" s="7">
        <v>0</v>
      </c>
      <c r="K159" s="98" t="str">
        <f t="shared" si="39"/>
        <v>4007/4008</v>
      </c>
      <c r="L159" s="21" t="str">
        <f>VLOOKUP(A159,'Trips&amp;Operators'!$C$1:$G$99999,5,FALSE)</f>
        <v>YORK EDGAR</v>
      </c>
      <c r="M159" s="6">
        <f t="shared" si="40"/>
        <v>8.1134259307873435E-3</v>
      </c>
      <c r="N159" s="7">
        <f t="shared" si="41"/>
        <v>11.683333340333775</v>
      </c>
      <c r="O159" s="7"/>
      <c r="P159" s="7"/>
      <c r="Q159" s="22"/>
      <c r="R159" s="22"/>
      <c r="S159" s="31">
        <f t="shared" si="42"/>
        <v>1</v>
      </c>
      <c r="T159" s="46" t="str">
        <f t="shared" si="43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 t="shared" si="44"/>
        <v>https://d0f6bd738d7f1b3e5a7ca70fe4ff75f0.us-east-1.aws.found.io/app/kibana#/discover/Steve-Slow-Train-Analysis-(2080s-and-2083s)?_g=(refreshInterval:(display:Off,pause:!f,section:0,value:0),time:(from:'2017-02-19T06:40:27-0700',mode:absolute,to:'2017-02-19T08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88" t="str">
        <f t="shared" si="45"/>
        <v>N</v>
      </c>
      <c r="X159" s="188">
        <f t="shared" si="46"/>
        <v>1</v>
      </c>
      <c r="Y159" s="62">
        <f t="shared" si="47"/>
        <v>5.8615000000000004</v>
      </c>
      <c r="Z159" s="62">
        <f t="shared" si="48"/>
        <v>7.4499999999999997E-2</v>
      </c>
      <c r="AA159" s="62">
        <f t="shared" si="49"/>
        <v>5.7870000000000008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0"/>
        <v>1804-19</v>
      </c>
      <c r="AE159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59" s="82" t="str">
        <f t="shared" si="52"/>
        <v>"C:\Program Files (x86)\AstroGrep\AstroGrep.exe" /spath="%USERPROFILE%\AppData\Local\Temp\OnboardLogs" /stypes="app*4008*20170219*" /stext=" 14:.+((SYSTEM_STATE.+slice.+state.+changed )|(ment ac)|(multiple cpu faults)|(system.+state.+changed )|(\[timeout)|(PRM\|1\|D)|(kpr)|(kdp)|(\|loc)|(penalty))" /e /r /s</v>
      </c>
      <c r="AG159" s="1" t="str">
        <f t="shared" si="53"/>
        <v>NW</v>
      </c>
      <c r="AH159" s="86" t="str">
        <f t="shared" si="54"/>
        <v>"%USERPROFILE%\Documents\GitHub\eaglep3\Utilities\RefineRTDCRunTimes.py" --tripid 1804-19 --locoid 4008 --swversion DE.1.0.9.0 --startMP 300:58615 --initTime 2017-02-19T07:40:27 --startdatetime 2017-02-19T07:42:27 --delay 1 --endMP 204:745 --enddatetime 2017-02-19T07:54:08 --enforcementcount 0 &gt;&gt;C:\Users\stu\Documents\GitHub\eaglep3-reporting\EC\2017-02-19-refined-times.txt</v>
      </c>
      <c r="AI159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{"issue":{"subject":"","project_id":79,"tracker_id":40,"status_id":1,"priority_id":2,"assigned_to_id":23,"start_date":"2017-02-19","description":"","custom_fields":[{"id":1,"name":"Subdivision","value":"NW"},{"id":4,"name":"Milepost","value":"0.0745"},{"id":17,"name":"Train ID","value":"1804-19"},{"id":16,"name":"Locomotive ID","value":"4008"},{"id":130,"name":"Impact","value":""},{"id":150,"name":"Time of Event (Mountain Time)","value":"07:54:08"},{"id":151,"name":"Denver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56"/>
        <v>start /low /b %USERPROFILE%\Documents\GitHub\eaglep3\Utilities\DownloadLogsFromS3.py --loco 4008 --day 2017-02-19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60" spans="1:91" x14ac:dyDescent="0.25">
      <c r="A160" s="33" t="s">
        <v>499</v>
      </c>
      <c r="B160" s="7">
        <v>4007</v>
      </c>
      <c r="C160" s="21" t="s">
        <v>665</v>
      </c>
      <c r="D160" s="21" t="s">
        <v>717</v>
      </c>
      <c r="E160" s="13">
        <v>42785.330428240741</v>
      </c>
      <c r="F160" s="13">
        <v>42785.348483796297</v>
      </c>
      <c r="G160" s="7">
        <v>0</v>
      </c>
      <c r="H160" s="21" t="s">
        <v>715</v>
      </c>
      <c r="I160" s="13">
        <v>42785.357546296298</v>
      </c>
      <c r="J160" s="7">
        <v>0</v>
      </c>
      <c r="K160" s="98" t="str">
        <f t="shared" si="39"/>
        <v>4007/4008</v>
      </c>
      <c r="L160" s="21" t="str">
        <f>VLOOKUP(A160,'Trips&amp;Operators'!$C$1:$G$99999,5,FALSE)</f>
        <v>YORK EDGAR</v>
      </c>
      <c r="M160" s="6">
        <f t="shared" si="40"/>
        <v>9.0625000011641532E-3</v>
      </c>
      <c r="N160" s="7">
        <f t="shared" si="41"/>
        <v>13.050000001676381</v>
      </c>
      <c r="O160" s="7"/>
      <c r="P160" s="7"/>
      <c r="Q160" s="22"/>
      <c r="R160" s="22"/>
      <c r="S160" s="31">
        <f t="shared" si="42"/>
        <v>1</v>
      </c>
      <c r="T160" s="46" t="str">
        <f t="shared" si="43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 t="shared" si="44"/>
        <v>https://d0f6bd738d7f1b3e5a7ca70fe4ff75f0.us-east-1.aws.found.io/app/kibana#/discover/Steve-Slow-Train-Analysis-(2080s-and-2083s)?_g=(refreshInterval:(display:Off,pause:!f,section:0,value:0),time:(from:'2017-02-19T06:55:49-0700',mode:absolute,to:'2017-02-19T09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88" t="str">
        <f t="shared" si="45"/>
        <v>N</v>
      </c>
      <c r="X160" s="188">
        <f t="shared" si="46"/>
        <v>1</v>
      </c>
      <c r="Y160" s="62">
        <f t="shared" si="47"/>
        <v>0.10390000000000001</v>
      </c>
      <c r="Z160" s="62">
        <f t="shared" si="48"/>
        <v>5.8933</v>
      </c>
      <c r="AA160" s="62">
        <f t="shared" si="49"/>
        <v>5.7893999999999997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0"/>
        <v>1805-19</v>
      </c>
      <c r="AE160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60" s="82" t="str">
        <f t="shared" si="52"/>
        <v>"C:\Program Files (x86)\AstroGrep\AstroGrep.exe" /spath="%USERPROFILE%\AppData\Local\Temp\OnboardLogs" /stypes="app*4007*20170219*" /stext=" 15:.+((SYSTEM_STATE.+slice.+state.+changed )|(ment ac)|(multiple cpu faults)|(system.+state.+changed )|(\[timeout)|(PRM\|1\|D)|(kpr)|(kdp)|(\|loc)|(penalty))" /e /r /s</v>
      </c>
      <c r="AG160" s="1" t="str">
        <f t="shared" si="53"/>
        <v>NW</v>
      </c>
      <c r="AH160" s="86" t="str">
        <f t="shared" si="54"/>
        <v>"%USERPROFILE%\Documents\GitHub\eaglep3\Utilities\RefineRTDCRunTimes.py" --tripid 1805-19 --locoid 4007 --swversion DE.1.0.9.0 --startMP 204:1039 --initTime 2017-02-19T07:55:49 --startdatetime 2017-02-19T08:21:49 --delay 0 --endMP 300:58933 --enddatetime 2017-02-19T08:34:52 --enforcementcount 0 &gt;&gt;C:\Users\stu\Documents\GitHub\eaglep3-reporting\EC\2017-02-19-refined-times.txt</v>
      </c>
      <c r="AI160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{"issue":{"subject":"","project_id":79,"tracker_id":40,"status_id":1,"priority_id":2,"assigned_to_id":23,"start_date":"2017-02-19","description":"","custom_fields":[{"id":1,"name":"Subdivision","value":"NW"},{"id":4,"name":"Milepost","value":"5.8933"},{"id":17,"name":"Train ID","value":"1805-19"},{"id":16,"name":"Locomotive ID","value":"4007"},{"id":130,"name":"Impact","value":""},{"id":150,"name":"Time of Event (Mountain Time)","value":"08:34:52"},{"id":151,"name":"Denver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56"/>
        <v>start /low /b %USERPROFILE%\Documents\GitHub\eaglep3\Utilities\DownloadLogsFromS3.py --loco 4007 --day 2017-02-19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161" spans="1:91" x14ac:dyDescent="0.25">
      <c r="A161" s="33" t="s">
        <v>504</v>
      </c>
      <c r="B161" s="7">
        <v>4008</v>
      </c>
      <c r="C161" s="21" t="s">
        <v>665</v>
      </c>
      <c r="D161" s="21" t="s">
        <v>718</v>
      </c>
      <c r="E161" s="13">
        <v>42785.358680555553</v>
      </c>
      <c r="F161" s="13">
        <v>42785.360763888886</v>
      </c>
      <c r="G161" s="7">
        <v>1</v>
      </c>
      <c r="H161" s="21" t="s">
        <v>666</v>
      </c>
      <c r="I161" s="13">
        <v>42785.372175925928</v>
      </c>
      <c r="J161" s="7">
        <v>0</v>
      </c>
      <c r="K161" s="98" t="str">
        <f t="shared" si="39"/>
        <v>4007/4008</v>
      </c>
      <c r="L161" s="21" t="str">
        <f>VLOOKUP(A161,'Trips&amp;Operators'!$C$1:$G$99999,5,FALSE)</f>
        <v>YORK EDGAR</v>
      </c>
      <c r="M161" s="6">
        <f t="shared" si="40"/>
        <v>1.1412037041736767E-2</v>
      </c>
      <c r="N161" s="7">
        <f t="shared" si="41"/>
        <v>16.433333340100944</v>
      </c>
      <c r="O161" s="7"/>
      <c r="P161" s="7"/>
      <c r="Q161" s="22"/>
      <c r="R161" s="22" t="s">
        <v>847</v>
      </c>
      <c r="S161" s="31">
        <f t="shared" si="42"/>
        <v>1</v>
      </c>
      <c r="T161" s="46" t="str">
        <f t="shared" si="43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44"/>
        <v>https://d0f6bd738d7f1b3e5a7ca70fe4ff75f0.us-east-1.aws.found.io/app/kibana#/discover/Steve-Slow-Train-Analysis-(2080s-and-2083s)?_g=(refreshInterval:(display:Off,pause:!f,section:0,value:0),time:(from:'2017-02-19T07:36:30-0700',mode:absolute,to:'2017-02-19T09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188" t="str">
        <f t="shared" si="45"/>
        <v>N</v>
      </c>
      <c r="X161" s="188">
        <f t="shared" si="46"/>
        <v>1</v>
      </c>
      <c r="Y161" s="62">
        <f t="shared" si="47"/>
        <v>5.8616999999999999</v>
      </c>
      <c r="Z161" s="62">
        <f t="shared" si="48"/>
        <v>7.5899999999999995E-2</v>
      </c>
      <c r="AA161" s="62">
        <f t="shared" si="49"/>
        <v>5.7858000000000001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0"/>
        <v>1806-19</v>
      </c>
      <c r="AE161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61" s="82" t="str">
        <f t="shared" si="52"/>
        <v>"C:\Program Files (x86)\AstroGrep\AstroGrep.exe" /spath="%USERPROFILE%\AppData\Local\Temp\OnboardLogs" /stypes="app*4008*20170219*" /stext=" 15:.+((SYSTEM_STATE.+slice.+state.+changed )|(ment ac)|(multiple cpu faults)|(system.+state.+changed )|(\[timeout)|(PRM\|1\|D)|(kpr)|(kdp)|(\|loc)|(penalty))"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1806-19 --locoid 4008 --swversion DE.1.0.9.0 --startMP 300:58617 --initTime 2017-02-19T08:36:30 --startdatetime 2017-02-19T08:39:30 --delay 1 --endMP 204:759 --enddatetime 2017-02-19T08:55:56 --enforcementcount 0 &gt;&gt;C:\Users\stu\Documents\GitHub\eaglep3-reporting\EC\2017-02-19-refined-times.txt</v>
      </c>
      <c r="AI161" s="108" t="str">
        <f t="shared" si="55"/>
        <v>echo {"issue":{"subject":"Departure delayed by poor GPS signal","project_id":79,"tracker_id":40,"status_id":1,"priority_id":2,"assigned_to_id":23,"start_date":"2017-02-19","description":"","custom_fields":[{"id":1,"name":"Subdivision","value":"NW"},{"id":4,"name":"Milepost","value":"0.0759"},{"id":17,"name":"Train ID","value":"1806-19"},{"id":16,"name":"Locomotive ID","value":"4008"},{"id":130,"name":"Impact","value":""},{"id":150,"name":"Time of Event (Mountain Time)","value":"08:55:56"},{"id":151,"name":"Denver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56"/>
        <v>start /low /b %USERPROFILE%\Documents\GitHub\eaglep3\Utilities\DownloadLogsFromS3.py --loco 4008 --day 2017-02-19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62" spans="1:91" s="20" customFormat="1" x14ac:dyDescent="0.25">
      <c r="A162" s="33" t="s">
        <v>508</v>
      </c>
      <c r="B162" s="7">
        <v>4007</v>
      </c>
      <c r="C162" s="21" t="s">
        <v>665</v>
      </c>
      <c r="D162" s="21" t="s">
        <v>717</v>
      </c>
      <c r="E162" s="13">
        <v>42785.373877314814</v>
      </c>
      <c r="F162" s="13">
        <v>42785.389861111114</v>
      </c>
      <c r="G162" s="7">
        <v>1</v>
      </c>
      <c r="H162" s="21" t="s">
        <v>414</v>
      </c>
      <c r="I162" s="13">
        <v>42785.399074074077</v>
      </c>
      <c r="J162" s="7">
        <v>0</v>
      </c>
      <c r="K162" s="98" t="str">
        <f t="shared" si="39"/>
        <v>4007/4008</v>
      </c>
      <c r="L162" s="21" t="str">
        <f>VLOOKUP(A162,'Trips&amp;Operators'!$C$1:$G$99999,5,FALSE)</f>
        <v>YORK EDGAR</v>
      </c>
      <c r="M162" s="6">
        <f t="shared" si="40"/>
        <v>9.2129629629198462E-3</v>
      </c>
      <c r="N162" s="7">
        <f t="shared" si="41"/>
        <v>13.266666666604578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44"/>
        <v>https://d0f6bd738d7f1b3e5a7ca70fe4ff75f0.us-east-1.aws.found.io/app/kibana#/discover/Steve-Slow-Train-Analysis-(2080s-and-2083s)?_g=(refreshInterval:(display:Off,pause:!f,section:0,value:0),time:(from:'2017-02-19T07:58:23-0700',mode:absolute,to:'2017-02-19T10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88" t="str">
        <f t="shared" si="45"/>
        <v>N</v>
      </c>
      <c r="X162" s="188">
        <f t="shared" si="46"/>
        <v>1</v>
      </c>
      <c r="Y162" s="62">
        <f t="shared" si="47"/>
        <v>0.10390000000000001</v>
      </c>
      <c r="Z162" s="62">
        <f t="shared" si="48"/>
        <v>5.8973000000000004</v>
      </c>
      <c r="AA162" s="62">
        <f t="shared" si="49"/>
        <v>5.7934000000000001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0"/>
        <v>1807-19</v>
      </c>
      <c r="AE162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62" s="82" t="str">
        <f t="shared" si="52"/>
        <v>"C:\Program Files (x86)\AstroGrep\AstroGrep.exe" /spath="%USERPROFILE%\AppData\Local\Temp\OnboardLogs" /stypes="app*4007*20170219*" /stext=" 16:.+((SYSTEM_STATE.+slice.+state.+changed )|(ment ac)|(multiple cpu faults)|(system.+state.+changed )|(\[timeout)|(PRM\|1\|D)|(kpr)|(kdp)|(\|loc)|(penalty))"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1807-19 --locoid 4007 --swversion DE.1.0.9.0 --startMP 204:1039 --initTime 2017-02-19T08:58:23 --startdatetime 2017-02-19T09:21:24 --delay 1 --endMP 300:58973 --enddatetime 2017-02-19T09:34:40 --enforcementcount 0 &gt;&gt;C:\Users\stu\Documents\GitHub\eaglep3-reporting\EC\2017-02-19-refined-times.txt</v>
      </c>
      <c r="AI162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{"issue":{"subject":"","project_id":79,"tracker_id":40,"status_id":1,"priority_id":2,"assigned_to_id":23,"start_date":"2017-02-19","description":"","custom_fields":[{"id":1,"name":"Subdivision","value":"NW"},{"id":4,"name":"Milepost","value":"5.8973"},{"id":17,"name":"Train ID","value":"1807-19"},{"id":16,"name":"Locomotive ID","value":"4007"},{"id":130,"name":"Impact","value":""},{"id":150,"name":"Time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56"/>
        <v>start /low /b %USERPROFILE%\Documents\GitHub\eaglep3\Utilities\DownloadLogsFromS3.py --loco 4007 --day 2017-02-19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514</v>
      </c>
      <c r="B163" s="7">
        <v>4008</v>
      </c>
      <c r="C163" s="21" t="s">
        <v>665</v>
      </c>
      <c r="D163" s="21" t="s">
        <v>719</v>
      </c>
      <c r="E163" s="13">
        <v>42785.402673611112</v>
      </c>
      <c r="F163" s="13">
        <v>42785.403923611113</v>
      </c>
      <c r="G163" s="7">
        <v>1</v>
      </c>
      <c r="H163" s="21" t="s">
        <v>351</v>
      </c>
      <c r="I163" s="13">
        <v>42785.412465277775</v>
      </c>
      <c r="J163" s="7">
        <v>0</v>
      </c>
      <c r="K163" s="98" t="str">
        <f t="shared" si="39"/>
        <v>4007/4008</v>
      </c>
      <c r="L163" s="21" t="str">
        <f>VLOOKUP(A163,'Trips&amp;Operators'!$C$1:$G$99999,5,FALSE)</f>
        <v>YORK EDGAR</v>
      </c>
      <c r="M163" s="6">
        <f t="shared" si="40"/>
        <v>8.5416666624951176E-3</v>
      </c>
      <c r="N163" s="7">
        <f t="shared" si="41"/>
        <v>12.299999993992969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44"/>
        <v>https://d0f6bd738d7f1b3e5a7ca70fe4ff75f0.us-east-1.aws.found.io/app/kibana#/discover/Steve-Slow-Train-Analysis-(2080s-and-2083s)?_g=(refreshInterval:(display:Off,pause:!f,section:0,value:0),time:(from:'2017-02-19T08:39:51-0700',mode:absolute,to:'2017-02-19T10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88" t="str">
        <f t="shared" si="45"/>
        <v>N</v>
      </c>
      <c r="X163" s="188">
        <f t="shared" si="46"/>
        <v>1</v>
      </c>
      <c r="Y163" s="62">
        <f t="shared" si="47"/>
        <v>5.867</v>
      </c>
      <c r="Z163" s="62">
        <f t="shared" si="48"/>
        <v>7.5399999999999995E-2</v>
      </c>
      <c r="AA163" s="62">
        <f t="shared" si="49"/>
        <v>5.7915999999999999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0"/>
        <v>1808-19</v>
      </c>
      <c r="AE163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63" s="82" t="str">
        <f t="shared" si="52"/>
        <v>"C:\Program Files (x86)\AstroGrep\AstroGrep.exe" /spath="%USERPROFILE%\AppData\Local\Temp\OnboardLogs" /stypes="app*4008*20170219*" /stext=" 16:.+((SYSTEM_STATE.+slice.+state.+changed )|(ment ac)|(multiple cpu faults)|(system.+state.+changed )|(\[timeout)|(PRM\|1\|D)|(kpr)|(kdp)|(\|loc)|(penalty))"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1808-19 --locoid 4008 --swversion DE.1.0.9.0 --startMP 300:58670 --initTime 2017-02-19T09:39:51 --startdatetime 2017-02-19T09:41:39 --delay 1 --endMP 204:754 --enddatetime 2017-02-19T09:53:57 --enforcementcount 0 &gt;&gt;C:\Users\stu\Documents\GitHub\eaglep3-reporting\EC\2017-02-19-refined-times.txt</v>
      </c>
      <c r="AI163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{"issue":{"subject":"","project_id":79,"tracker_id":40,"status_id":1,"priority_id":2,"assigned_to_id":23,"start_date":"2017-02-19","description":"","custom_fields":[{"id":1,"name":"Subdivision","value":"NW"},{"id":4,"name":"Milepost","value":"0.0754"},{"id":17,"name":"Train ID","value":"1808-19"},{"id":16,"name":"Locomotive ID","value":"4008"},{"id":130,"name":"Impact","value":""},{"id":150,"name":"Time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56"/>
        <v>start /low /b %USERPROFILE%\Documents\GitHub\eaglep3\Utilities\DownloadLogsFromS3.py --loco 4008 --day 2017-02-19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64" spans="1:91" x14ac:dyDescent="0.25">
      <c r="A164" s="33" t="s">
        <v>516</v>
      </c>
      <c r="B164" s="7">
        <v>4007</v>
      </c>
      <c r="C164" s="21" t="s">
        <v>665</v>
      </c>
      <c r="D164" s="21" t="s">
        <v>714</v>
      </c>
      <c r="E164" s="13">
        <v>42785.413784722223</v>
      </c>
      <c r="F164" s="13">
        <v>42785.431747685187</v>
      </c>
      <c r="G164" s="7">
        <v>1</v>
      </c>
      <c r="H164" s="21" t="s">
        <v>364</v>
      </c>
      <c r="I164" s="13">
        <v>42785.440520833334</v>
      </c>
      <c r="J164" s="7">
        <v>0</v>
      </c>
      <c r="K164" s="98" t="str">
        <f t="shared" si="39"/>
        <v>4007/4008</v>
      </c>
      <c r="L164" s="21" t="str">
        <f>VLOOKUP(A164,'Trips&amp;Operators'!$C$1:$G$99999,5,FALSE)</f>
        <v>YORK EDGAR</v>
      </c>
      <c r="M164" s="6">
        <f t="shared" si="40"/>
        <v>8.7731481471564621E-3</v>
      </c>
      <c r="N164" s="7">
        <f t="shared" si="41"/>
        <v>12.633333331905305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44"/>
        <v>https://d0f6bd738d7f1b3e5a7ca70fe4ff75f0.us-east-1.aws.found.io/app/kibana#/discover/Steve-Slow-Train-Analysis-(2080s-and-2083s)?_g=(refreshInterval:(display:Off,pause:!f,section:0,value:0),time:(from:'2017-02-19T08:55:51-0700',mode:absolute,to:'2017-02-19T11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88" t="str">
        <f t="shared" si="45"/>
        <v>N</v>
      </c>
      <c r="X164" s="188">
        <f t="shared" si="46"/>
        <v>1</v>
      </c>
      <c r="Y164" s="62">
        <f t="shared" si="47"/>
        <v>0.10440000000000001</v>
      </c>
      <c r="Z164" s="62">
        <f t="shared" si="48"/>
        <v>5.8967000000000001</v>
      </c>
      <c r="AA164" s="62">
        <f t="shared" si="49"/>
        <v>5.7923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0"/>
        <v>1809-19</v>
      </c>
      <c r="AE164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64" s="82" t="str">
        <f t="shared" si="52"/>
        <v>"C:\Program Files (x86)\AstroGrep\AstroGrep.exe" /spath="%USERPROFILE%\AppData\Local\Temp\OnboardLogs" /stypes="app*4007*20170219*" /stext=" 17:.+((SYSTEM_STATE.+slice.+state.+changed )|(ment ac)|(multiple cpu faults)|(system.+state.+changed )|(\[timeout)|(PRM\|1\|D)|(kpr)|(kdp)|(\|loc)|(penalty))"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1809-19 --locoid 4007 --swversion DE.1.0.9.0 --startMP 204:1044 --initTime 2017-02-19T09:55:51 --startdatetime 2017-02-19T10:21:43 --delay 1 --endMP 300:58967 --enddatetime 2017-02-19T10:34:21 --enforcementcount 0 &gt;&gt;C:\Users\stu\Documents\GitHub\eaglep3-reporting\EC\2017-02-19-refined-times.txt</v>
      </c>
      <c r="AI164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{"issue":{"subject":"","project_id":79,"tracker_id":40,"status_id":1,"priority_id":2,"assigned_to_id":23,"start_date":"2017-02-19","description":"","custom_fields":[{"id":1,"name":"Subdivision","value":"NW"},{"id":4,"name":"Milepost","value":"5.8967"},{"id":17,"name":"Train ID","value":"1809-19"},{"id":16,"name":"Locomotive ID","value":"4007"},{"id":130,"name":"Impact","value":""},{"id":150,"name":"Time of Event (Mountain Time)","value":"10:34:21"},{"id":151,"name":"Denver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56"/>
        <v>start /low /b %USERPROFILE%\Documents\GitHub\eaglep3\Utilities\DownloadLogsFromS3.py --loco 4007 --day 2017-02-19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165" spans="1:91" x14ac:dyDescent="0.25">
      <c r="A165" s="33" t="s">
        <v>523</v>
      </c>
      <c r="B165" s="7">
        <v>4008</v>
      </c>
      <c r="C165" s="21" t="s">
        <v>665</v>
      </c>
      <c r="D165" s="21" t="s">
        <v>412</v>
      </c>
      <c r="E165" s="13">
        <v>42785.443344907406</v>
      </c>
      <c r="F165" s="13">
        <v>42785.445023148146</v>
      </c>
      <c r="G165" s="7">
        <v>1</v>
      </c>
      <c r="H165" s="21" t="s">
        <v>720</v>
      </c>
      <c r="I165" s="13">
        <v>42785.454791666663</v>
      </c>
      <c r="J165" s="7">
        <v>0</v>
      </c>
      <c r="K165" s="98" t="str">
        <f t="shared" si="39"/>
        <v>4007/4008</v>
      </c>
      <c r="L165" s="21" t="str">
        <f>VLOOKUP(A165,'Trips&amp;Operators'!$C$1:$G$99999,5,FALSE)</f>
        <v>YORK EDGAR</v>
      </c>
      <c r="M165" s="6">
        <f t="shared" si="40"/>
        <v>9.7685185173759237E-3</v>
      </c>
      <c r="N165" s="7">
        <f t="shared" si="41"/>
        <v>14.06666666502133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44"/>
        <v>https://d0f6bd738d7f1b3e5a7ca70fe4ff75f0.us-east-1.aws.found.io/app/kibana#/discover/Steve-Slow-Train-Analysis-(2080s-and-2083s)?_g=(refreshInterval:(display:Off,pause:!f,section:0,value:0),time:(from:'2017-02-19T09:38:25-0700',mode:absolute,to:'2017-02-19T11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88" t="str">
        <f t="shared" si="45"/>
        <v>N</v>
      </c>
      <c r="X165" s="188">
        <f t="shared" si="46"/>
        <v>1</v>
      </c>
      <c r="Y165" s="62">
        <f t="shared" si="47"/>
        <v>5.8647</v>
      </c>
      <c r="Z165" s="62">
        <f t="shared" si="48"/>
        <v>7.6399999999999996E-2</v>
      </c>
      <c r="AA165" s="62">
        <f t="shared" si="49"/>
        <v>5.7883000000000004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0"/>
        <v>1810-19</v>
      </c>
      <c r="AE165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65" s="82" t="str">
        <f t="shared" si="52"/>
        <v>"C:\Program Files (x86)\AstroGrep\AstroGrep.exe" /spath="%USERPROFILE%\AppData\Local\Temp\OnboardLogs" /stypes="app*4008*20170219*" /stext=" 17:.+((SYSTEM_STATE.+slice.+state.+changed )|(ment ac)|(multiple cpu faults)|(system.+state.+changed )|(\[timeout)|(PRM\|1\|D)|(kpr)|(kdp)|(\|loc)|(penalty))"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1810-19 --locoid 4008 --swversion DE.1.0.9.0 --startMP 300:58647 --initTime 2017-02-19T10:38:25 --startdatetime 2017-02-19T10:40:50 --delay 1 --endMP 204:764 --enddatetime 2017-02-19T10:54:54 --enforcementcount 0 &gt;&gt;C:\Users\stu\Documents\GitHub\eaglep3-reporting\EC\2017-02-19-refined-times.txt</v>
      </c>
      <c r="AI165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{"issue":{"subject":"","project_id":79,"tracker_id":40,"status_id":1,"priority_id":2,"assigned_to_id":23,"start_date":"2017-02-19","description":"","custom_fields":[{"id":1,"name":"Subdivision","value":"NW"},{"id":4,"name":"Milepost","value":"0.0764"},{"id":17,"name":"Train ID","value":"1810-19"},{"id":16,"name":"Locomotive ID","value":"4008"},{"id":130,"name":"Impact","value":""},{"id":150,"name":"Time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56"/>
        <v>start /low /b %USERPROFILE%\Documents\GitHub\eaglep3\Utilities\DownloadLogsFromS3.py --loco 4008 --day 2017-02-19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66" spans="1:91" s="20" customFormat="1" x14ac:dyDescent="0.25">
      <c r="A166" s="33" t="s">
        <v>527</v>
      </c>
      <c r="B166" s="7">
        <v>4007</v>
      </c>
      <c r="C166" s="21" t="s">
        <v>665</v>
      </c>
      <c r="D166" s="21" t="s">
        <v>721</v>
      </c>
      <c r="E166" s="13">
        <v>42785.458437499998</v>
      </c>
      <c r="F166" s="13">
        <v>42785.47314814815</v>
      </c>
      <c r="G166" s="7">
        <v>1</v>
      </c>
      <c r="H166" s="21" t="s">
        <v>722</v>
      </c>
      <c r="I166" s="13">
        <v>42785.481840277775</v>
      </c>
      <c r="J166" s="7">
        <v>0</v>
      </c>
      <c r="K166" s="98" t="str">
        <f t="shared" si="39"/>
        <v>4007/4008</v>
      </c>
      <c r="L166" s="21" t="str">
        <f>VLOOKUP(A166,'Trips&amp;Operators'!$C$1:$G$99999,5,FALSE)</f>
        <v>YORK EDGAR</v>
      </c>
      <c r="M166" s="6">
        <f t="shared" si="40"/>
        <v>8.6921296242508106E-3</v>
      </c>
      <c r="N166" s="7">
        <f t="shared" si="41"/>
        <v>12.516666658921167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44"/>
        <v>https://d0f6bd738d7f1b3e5a7ca70fe4ff75f0.us-east-1.aws.found.io/app/kibana#/discover/Steve-Slow-Train-Analysis-(2080s-and-2083s)?_g=(refreshInterval:(display:Off,pause:!f,section:0,value:0),time:(from:'2017-02-19T10:00:09-0700',mode:absolute,to:'2017-02-19T12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88" t="str">
        <f t="shared" si="45"/>
        <v>N</v>
      </c>
      <c r="X166" s="188">
        <f t="shared" si="46"/>
        <v>1</v>
      </c>
      <c r="Y166" s="62">
        <f t="shared" si="47"/>
        <v>0.1062</v>
      </c>
      <c r="Z166" s="62">
        <f t="shared" si="48"/>
        <v>5.8956</v>
      </c>
      <c r="AA166" s="62">
        <f t="shared" si="49"/>
        <v>5.7893999999999997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0"/>
        <v>1811-19</v>
      </c>
      <c r="AE166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66" s="82" t="str">
        <f t="shared" si="52"/>
        <v>"C:\Program Files (x86)\AstroGrep\AstroGrep.exe" /spath="%USERPROFILE%\AppData\Local\Temp\OnboardLogs" /stypes="app*4007*20170219*" /stext=" 18:.+((SYSTEM_STATE.+slice.+state.+changed )|(ment ac)|(multiple cpu faults)|(system.+state.+changed )|(\[timeout)|(PRM\|1\|D)|(kpr)|(kdp)|(\|loc)|(penalty))"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1811-19 --locoid 4007 --swversion DE.1.0.9.0 --startMP 204:1062 --initTime 2017-02-19T11:00:09 --startdatetime 2017-02-19T11:21:20 --delay 1 --endMP 300:58956 --enddatetime 2017-02-19T11:33:51 --enforcementcount 0 &gt;&gt;C:\Users\stu\Documents\GitHub\eaglep3-reporting\EC\2017-02-19-refined-times.txt</v>
      </c>
      <c r="AI166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{"issue":{"subject":"","project_id":79,"tracker_id":40,"status_id":1,"priority_id":2,"assigned_to_id":23,"start_date":"2017-02-19","description":"","custom_fields":[{"id":1,"name":"Subdivision","value":"NW"},{"id":4,"name":"Milepost","value":"5.8956"},{"id":17,"name":"Train ID","value":"1811-19"},{"id":16,"name":"Locomotive ID","value":"4007"},{"id":130,"name":"Impact","value":""},{"id":150,"name":"Time of Event (Mountain Time)","value":"11:33:51"},{"id":151,"name":"Denver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56"/>
        <v>start /low /b %USERPROFILE%\Documents\GitHub\eaglep3\Utilities\DownloadLogsFromS3.py --loco 4007 --day 2017-02-19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534</v>
      </c>
      <c r="B167" s="7">
        <v>4008</v>
      </c>
      <c r="C167" s="21" t="s">
        <v>665</v>
      </c>
      <c r="D167" s="21" t="s">
        <v>415</v>
      </c>
      <c r="E167" s="13">
        <v>42785.484097222223</v>
      </c>
      <c r="F167" s="13">
        <v>42785.485335648147</v>
      </c>
      <c r="G167" s="7">
        <v>1</v>
      </c>
      <c r="H167" s="21" t="s">
        <v>393</v>
      </c>
      <c r="I167" s="13">
        <v>42785.496759259258</v>
      </c>
      <c r="J167" s="7">
        <v>0</v>
      </c>
      <c r="K167" s="98" t="str">
        <f t="shared" si="39"/>
        <v>4007/4008</v>
      </c>
      <c r="L167" s="21" t="str">
        <f>VLOOKUP(A167,'Trips&amp;Operators'!$C$1:$G$99999,5,FALSE)</f>
        <v>YORK EDGAR</v>
      </c>
      <c r="M167" s="6">
        <f t="shared" si="40"/>
        <v>1.1423611111240461E-2</v>
      </c>
      <c r="N167" s="7">
        <f t="shared" si="41"/>
        <v>16.450000000186265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44"/>
        <v>https://d0f6bd738d7f1b3e5a7ca70fe4ff75f0.us-east-1.aws.found.io/app/kibana#/discover/Steve-Slow-Train-Analysis-(2080s-and-2083s)?_g=(refreshInterval:(display:Off,pause:!f,section:0,value:0),time:(from:'2017-02-19T10:37:06-0700',mode:absolute,to:'2017-02-19T12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88" t="str">
        <f t="shared" si="45"/>
        <v>N</v>
      </c>
      <c r="X167" s="188">
        <f t="shared" si="46"/>
        <v>1</v>
      </c>
      <c r="Y167" s="62">
        <f t="shared" si="47"/>
        <v>5.8638000000000003</v>
      </c>
      <c r="Z167" s="62">
        <f t="shared" si="48"/>
        <v>7.4999999999999997E-2</v>
      </c>
      <c r="AA167" s="62">
        <f t="shared" si="49"/>
        <v>5.7888000000000002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0"/>
        <v>1812-19</v>
      </c>
      <c r="AE167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67" s="82" t="str">
        <f t="shared" si="52"/>
        <v>"C:\Program Files (x86)\AstroGrep\AstroGrep.exe" /spath="%USERPROFILE%\AppData\Local\Temp\OnboardLogs" /stypes="app*4008*20170219*" /stext=" 18:.+((SYSTEM_STATE.+slice.+state.+changed )|(ment ac)|(multiple cpu faults)|(system.+state.+changed )|(\[timeout)|(PRM\|1\|D)|(kpr)|(kdp)|(\|loc)|(penalty))"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1812-19 --locoid 4008 --swversion DE.1.0.9.0 --startMP 300:58638 --initTime 2017-02-19T11:37:06 --startdatetime 2017-02-19T11:38:53 --delay 1 --endMP 204:750 --enddatetime 2017-02-19T11:55:20 --enforcementcount 0 &gt;&gt;C:\Users\stu\Documents\GitHub\eaglep3-reporting\EC\2017-02-19-refined-times.txt</v>
      </c>
      <c r="AI167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{"issue":{"subject":"","project_id":79,"tracker_id":40,"status_id":1,"priority_id":2,"assigned_to_id":23,"start_date":"2017-02-19","description":"","custom_fields":[{"id":1,"name":"Subdivision","value":"NW"},{"id":4,"name":"Milepost","value":"0.075"},{"id":17,"name":"Train ID","value":"1812-19"},{"id":16,"name":"Locomotive ID","value":"4008"},{"id":130,"name":"Impact","value":""},{"id":150,"name":"Time of Event (Mountain Time)","value":"11:55:20"},{"id":151,"name":"Denver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56"/>
        <v>start /low /b %USERPROFILE%\Documents\GitHub\eaglep3\Utilities\DownloadLogsFromS3.py --loco 4008 --day 2017-02-19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68" spans="1:91" x14ac:dyDescent="0.25">
      <c r="A168" s="33" t="s">
        <v>540</v>
      </c>
      <c r="B168" s="7">
        <v>4007</v>
      </c>
      <c r="C168" s="21" t="s">
        <v>665</v>
      </c>
      <c r="D168" s="21" t="s">
        <v>723</v>
      </c>
      <c r="E168" s="13">
        <v>42785.498449074075</v>
      </c>
      <c r="F168" s="13">
        <v>42785.514826388891</v>
      </c>
      <c r="G168" s="7">
        <v>1</v>
      </c>
      <c r="H168" s="21" t="s">
        <v>724</v>
      </c>
      <c r="I168" s="13">
        <v>42785.523784722223</v>
      </c>
      <c r="J168" s="7">
        <v>0</v>
      </c>
      <c r="K168" s="98" t="str">
        <f t="shared" si="39"/>
        <v>4007/4008</v>
      </c>
      <c r="L168" s="21" t="str">
        <f>VLOOKUP(A168,'Trips&amp;Operators'!$C$1:$G$99999,5,FALSE)</f>
        <v>YORK EDGAR</v>
      </c>
      <c r="M168" s="6">
        <f t="shared" si="40"/>
        <v>8.9583333319751546E-3</v>
      </c>
      <c r="N168" s="7">
        <f t="shared" si="41"/>
        <v>12.899999998044223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44"/>
        <v>https://d0f6bd738d7f1b3e5a7ca70fe4ff75f0.us-east-1.aws.found.io/app/kibana#/discover/Steve-Slow-Train-Analysis-(2080s-and-2083s)?_g=(refreshInterval:(display:Off,pause:!f,section:0,value:0),time:(from:'2017-02-19T10:57:46-0700',mode:absolute,to:'2017-02-19T13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88" t="str">
        <f t="shared" si="45"/>
        <v>N</v>
      </c>
      <c r="X168" s="188">
        <f t="shared" si="46"/>
        <v>1</v>
      </c>
      <c r="Y168" s="62">
        <f t="shared" si="47"/>
        <v>0.1041</v>
      </c>
      <c r="Z168" s="62">
        <f t="shared" si="48"/>
        <v>5.8943000000000003</v>
      </c>
      <c r="AA168" s="62">
        <f t="shared" si="49"/>
        <v>5.7902000000000005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0"/>
        <v>1813-19</v>
      </c>
      <c r="AE168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68" s="82" t="str">
        <f t="shared" si="52"/>
        <v>"C:\Program Files (x86)\AstroGrep\AstroGrep.exe" /spath="%USERPROFILE%\AppData\Local\Temp\OnboardLogs" /stypes="app*4007*20170219*" /stext=" 19:.+((SYSTEM_STATE.+slice.+state.+changed )|(ment ac)|(multiple cpu faults)|(system.+state.+changed )|(\[timeout)|(PRM\|1\|D)|(kpr)|(kdp)|(\|loc)|(penalty))"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1813-19 --locoid 4007 --swversion DE.1.0.9.0 --startMP 204:1041 --initTime 2017-02-19T11:57:46 --startdatetime 2017-02-19T12:21:21 --delay 1 --endMP 300:58943 --enddatetime 2017-02-19T12:34:15 --enforcementcount 0 &gt;&gt;C:\Users\stu\Documents\GitHub\eaglep3-reporting\EC\2017-02-19-refined-times.txt</v>
      </c>
      <c r="AI168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{"issue":{"subject":"","project_id":79,"tracker_id":40,"status_id":1,"priority_id":2,"assigned_to_id":23,"start_date":"2017-02-19","description":"","custom_fields":[{"id":1,"name":"Subdivision","value":"NW"},{"id":4,"name":"Milepost","value":"5.8943"},{"id":17,"name":"Train ID","value":"1813-19"},{"id":16,"name":"Locomotive ID","value":"4007"},{"id":130,"name":"Impact","value":""},{"id":150,"name":"Time of Event (Mountain Time)","value":"12:34:15"},{"id":151,"name":"Denver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56"/>
        <v>start /low /b %USERPROFILE%\Documents\GitHub\eaglep3\Utilities\DownloadLogsFromS3.py --loco 4007 --day 2017-02-19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169" spans="1:91" x14ac:dyDescent="0.25">
      <c r="A169" s="33" t="s">
        <v>552</v>
      </c>
      <c r="B169" s="7">
        <v>4008</v>
      </c>
      <c r="C169" s="21" t="s">
        <v>665</v>
      </c>
      <c r="D169" s="21" t="s">
        <v>416</v>
      </c>
      <c r="E169" s="13">
        <v>42785.525266203702</v>
      </c>
      <c r="F169" s="13">
        <v>42785.527083333334</v>
      </c>
      <c r="G169" s="7">
        <v>1</v>
      </c>
      <c r="H169" s="21" t="s">
        <v>725</v>
      </c>
      <c r="I169" s="13">
        <v>42785.537592592591</v>
      </c>
      <c r="J169" s="7">
        <v>0</v>
      </c>
      <c r="K169" s="98" t="str">
        <f t="shared" si="39"/>
        <v>4007/4008</v>
      </c>
      <c r="L169" s="21" t="str">
        <f>VLOOKUP(A169,'Trips&amp;Operators'!$C$1:$G$99999,5,FALSE)</f>
        <v>YORK EDGAR</v>
      </c>
      <c r="M169" s="6">
        <f t="shared" si="40"/>
        <v>1.0509259256650694E-2</v>
      </c>
      <c r="N169" s="7">
        <f t="shared" si="41"/>
        <v>15.133333329576999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44"/>
        <v>https://d0f6bd738d7f1b3e5a7ca70fe4ff75f0.us-east-1.aws.found.io/app/kibana#/discover/Steve-Slow-Train-Analysis-(2080s-and-2083s)?_g=(refreshInterval:(display:Off,pause:!f,section:0,value:0),time:(from:'2017-02-19T11:36:23-0700',mode:absolute,to:'2017-02-19T13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88" t="str">
        <f t="shared" si="45"/>
        <v>N</v>
      </c>
      <c r="X169" s="188">
        <f t="shared" si="46"/>
        <v>1</v>
      </c>
      <c r="Y169" s="62">
        <f t="shared" si="47"/>
        <v>5.8632</v>
      </c>
      <c r="Z169" s="62">
        <f t="shared" si="48"/>
        <v>7.3099999999999998E-2</v>
      </c>
      <c r="AA169" s="62">
        <f t="shared" si="49"/>
        <v>5.7900999999999998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0"/>
        <v>1814-19</v>
      </c>
      <c r="AE169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69" s="82" t="str">
        <f t="shared" si="52"/>
        <v>"C:\Program Files (x86)\AstroGrep\AstroGrep.exe" /spath="%USERPROFILE%\AppData\Local\Temp\OnboardLogs" /stypes="app*4008*20170219*" /stext=" 19:.+((SYSTEM_STATE.+slice.+state.+changed )|(ment ac)|(multiple cpu faults)|(system.+state.+changed )|(\[timeout)|(PRM\|1\|D)|(kpr)|(kdp)|(\|loc)|(penalty))"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1814-19 --locoid 4008 --swversion DE.1.0.9.0 --startMP 300:58632 --initTime 2017-02-19T12:36:23 --startdatetime 2017-02-19T12:39:00 --delay 1 --endMP 204:731 --enddatetime 2017-02-19T12:54:08 --enforcementcount 0 &gt;&gt;C:\Users\stu\Documents\GitHub\eaglep3-reporting\EC\2017-02-19-refined-times.txt</v>
      </c>
      <c r="AI169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{"issue":{"subject":"","project_id":79,"tracker_id":40,"status_id":1,"priority_id":2,"assigned_to_id":23,"start_date":"2017-02-19","description":"","custom_fields":[{"id":1,"name":"Subdivision","value":"NW"},{"id":4,"name":"Milepost","value":"0.0731"},{"id":17,"name":"Train ID","value":"1814-19"},{"id":16,"name":"Locomotive ID","value":"4008"},{"id":130,"name":"Impact","value":""},{"id":150,"name":"Time of Event (Mountain Time)","value":"12:54:08"},{"id":151,"name":"Denver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56"/>
        <v>start /low /b %USERPROFILE%\Documents\GitHub\eaglep3\Utilities\DownloadLogsFromS3.py --loco 4008 --day 2017-02-19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70" spans="1:91" s="20" customFormat="1" x14ac:dyDescent="0.25">
      <c r="A170" s="33" t="s">
        <v>555</v>
      </c>
      <c r="B170" s="7">
        <v>4007</v>
      </c>
      <c r="C170" s="21" t="s">
        <v>665</v>
      </c>
      <c r="D170" s="21" t="s">
        <v>726</v>
      </c>
      <c r="E170" s="13">
        <v>42785.538541666669</v>
      </c>
      <c r="F170" s="13">
        <v>42785.556435185186</v>
      </c>
      <c r="G170" s="7">
        <v>0</v>
      </c>
      <c r="H170" s="21" t="s">
        <v>727</v>
      </c>
      <c r="I170" s="13">
        <v>42785.565057870372</v>
      </c>
      <c r="J170" s="7">
        <v>0</v>
      </c>
      <c r="K170" s="98" t="str">
        <f t="shared" si="39"/>
        <v>4007/4008</v>
      </c>
      <c r="L170" s="21" t="str">
        <f>VLOOKUP(A170,'Trips&amp;Operators'!$C$1:$G$99999,5,FALSE)</f>
        <v>YORK EDGAR</v>
      </c>
      <c r="M170" s="6">
        <f t="shared" si="40"/>
        <v>8.6226851854007691E-3</v>
      </c>
      <c r="N170" s="7">
        <f t="shared" si="41"/>
        <v>12.416666666977108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44"/>
        <v>https://d0f6bd738d7f1b3e5a7ca70fe4ff75f0.us-east-1.aws.found.io/app/kibana#/discover/Steve-Slow-Train-Analysis-(2080s-and-2083s)?_g=(refreshInterval:(display:Off,pause:!f,section:0,value:0),time:(from:'2017-02-19T11:55:30-0700',mode:absolute,to:'2017-02-19T14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88" t="str">
        <f t="shared" si="45"/>
        <v>N</v>
      </c>
      <c r="X170" s="188">
        <f t="shared" si="46"/>
        <v>1</v>
      </c>
      <c r="Y170" s="62">
        <f t="shared" si="47"/>
        <v>0.1032</v>
      </c>
      <c r="Z170" s="62">
        <f t="shared" si="48"/>
        <v>5.8948</v>
      </c>
      <c r="AA170" s="62">
        <f t="shared" si="49"/>
        <v>5.7915999999999999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0"/>
        <v>1815-19</v>
      </c>
      <c r="AE170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70" s="82" t="str">
        <f t="shared" si="52"/>
        <v>"C:\Program Files (x86)\AstroGrep\AstroGrep.exe" /spath="%USERPROFILE%\AppData\Local\Temp\OnboardLogs" /stypes="app*4007*20170219*" /stext=" 20:.+((SYSTEM_STATE.+slice.+state.+changed )|(ment ac)|(multiple cpu faults)|(system.+state.+changed )|(\[timeout)|(PRM\|1\|D)|(kpr)|(kdp)|(\|loc)|(penalty))"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1815-19 --locoid 4007 --swversion DE.1.0.9.0 --startMP 204:1032 --initTime 2017-02-19T12:55:30 --startdatetime 2017-02-19T13:21:16 --delay 0 --endMP 300:58948 --enddatetime 2017-02-19T13:33:41 --enforcementcount 0 &gt;&gt;C:\Users\stu\Documents\GitHub\eaglep3-reporting\EC\2017-02-19-refined-times.txt</v>
      </c>
      <c r="AI170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{"issue":{"subject":"","project_id":79,"tracker_id":40,"status_id":1,"priority_id":2,"assigned_to_id":23,"start_date":"2017-02-19","description":"","custom_fields":[{"id":1,"name":"Subdivision","value":"NW"},{"id":4,"name":"Milepost","value":"5.8948"},{"id":17,"name":"Train ID","value":"1815-19"},{"id":16,"name":"Locomotive ID","value":"4007"},{"id":130,"name":"Impact","value":""},{"id":150,"name":"Time of Event (Mountain Time)","value":"13:33:41"},{"id":151,"name":"Denver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56"/>
        <v>start /low /b %USERPROFILE%\Documents\GitHub\eaglep3\Utilities\DownloadLogsFromS3.py --loco 4007 --day 2017-02-19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562</v>
      </c>
      <c r="B171" s="7">
        <v>4008</v>
      </c>
      <c r="C171" s="21" t="s">
        <v>665</v>
      </c>
      <c r="D171" s="21" t="s">
        <v>416</v>
      </c>
      <c r="E171" s="13">
        <v>42785.566412037035</v>
      </c>
      <c r="F171" s="13">
        <v>42785.568773148145</v>
      </c>
      <c r="G171" s="7">
        <v>1</v>
      </c>
      <c r="H171" s="21" t="s">
        <v>728</v>
      </c>
      <c r="I171" s="13">
        <v>42785.579039351855</v>
      </c>
      <c r="J171" s="7">
        <v>0</v>
      </c>
      <c r="K171" s="98" t="str">
        <f t="shared" si="39"/>
        <v>4007/4008</v>
      </c>
      <c r="L171" s="21" t="str">
        <f>VLOOKUP(A171,'Trips&amp;Operators'!$C$1:$G$99999,5,FALSE)</f>
        <v>YORK EDGAR</v>
      </c>
      <c r="M171" s="6">
        <f t="shared" si="40"/>
        <v>1.0266203709761612E-2</v>
      </c>
      <c r="N171" s="7">
        <f t="shared" si="41"/>
        <v>14.783333342056721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44"/>
        <v>https://d0f6bd738d7f1b3e5a7ca70fe4ff75f0.us-east-1.aws.found.io/app/kibana#/discover/Steve-Slow-Train-Analysis-(2080s-and-2083s)?_g=(refreshInterval:(display:Off,pause:!f,section:0,value:0),time:(from:'2017-02-19T12:35:38-0700',mode:absolute,to:'2017-02-19T14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88" t="str">
        <f t="shared" si="45"/>
        <v>N</v>
      </c>
      <c r="X171" s="188">
        <f t="shared" si="46"/>
        <v>1</v>
      </c>
      <c r="Y171" s="62">
        <f t="shared" si="47"/>
        <v>5.8632</v>
      </c>
      <c r="Z171" s="62">
        <f t="shared" si="48"/>
        <v>7.6200000000000004E-2</v>
      </c>
      <c r="AA171" s="62">
        <f t="shared" si="49"/>
        <v>5.7869999999999999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0"/>
        <v>1816-19</v>
      </c>
      <c r="AE171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71" s="82" t="str">
        <f t="shared" si="52"/>
        <v>"C:\Program Files (x86)\AstroGrep\AstroGrep.exe" /spath="%USERPROFILE%\AppData\Local\Temp\OnboardLogs" /stypes="app*4008*20170219*" /stext=" 20:.+((SYSTEM_STATE.+slice.+state.+changed )|(ment ac)|(multiple cpu faults)|(system.+state.+changed )|(\[timeout)|(PRM\|1\|D)|(kpr)|(kdp)|(\|loc)|(penalty))"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1816-19 --locoid 4008 --swversion DE.1.0.9.0 --startMP 300:58632 --initTime 2017-02-19T13:35:38 --startdatetime 2017-02-19T13:39:02 --delay 1 --endMP 204:762 --enddatetime 2017-02-19T13:53:49 --enforcementcount 0 &gt;&gt;C:\Users\stu\Documents\GitHub\eaglep3-reporting\EC\2017-02-19-refined-times.txt</v>
      </c>
      <c r="AI171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{"issue":{"subject":"","project_id":79,"tracker_id":40,"status_id":1,"priority_id":2,"assigned_to_id":23,"start_date":"2017-02-19","description":"","custom_fields":[{"id":1,"name":"Subdivision","value":"NW"},{"id":4,"name":"Milepost","value":"0.0762"},{"id":17,"name":"Train ID","value":"1816-19"},{"id":16,"name":"Locomotive ID","value":"4008"},{"id":130,"name":"Impact","value":""},{"id":150,"name":"Time of Event (Mountain Time)","value":"13:53:49"},{"id":151,"name":"Denver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56"/>
        <v>start /low /b %USERPROFILE%\Documents\GitHub\eaglep3\Utilities\DownloadLogsFromS3.py --loco 4008 --day 2017-02-19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72" spans="1:91" s="20" customFormat="1" x14ac:dyDescent="0.25">
      <c r="A172" s="33" t="s">
        <v>568</v>
      </c>
      <c r="B172" s="7">
        <v>4007</v>
      </c>
      <c r="C172" s="21" t="s">
        <v>665</v>
      </c>
      <c r="D172" s="21" t="s">
        <v>729</v>
      </c>
      <c r="E172" s="13">
        <v>42785.590185185189</v>
      </c>
      <c r="F172" s="13">
        <v>42785.598506944443</v>
      </c>
      <c r="G172" s="7">
        <v>1</v>
      </c>
      <c r="H172" s="21" t="s">
        <v>730</v>
      </c>
      <c r="I172" s="13">
        <v>42785.60796296296</v>
      </c>
      <c r="J172" s="7">
        <v>0</v>
      </c>
      <c r="K172" s="98" t="str">
        <f t="shared" si="39"/>
        <v>4007/4008</v>
      </c>
      <c r="L172" s="21" t="str">
        <f>VLOOKUP(A172,'Trips&amp;Operators'!$C$1:$G$99999,5,FALSE)</f>
        <v>HELVIE ADAM</v>
      </c>
      <c r="M172" s="6">
        <f t="shared" si="40"/>
        <v>9.4560185170848854E-3</v>
      </c>
      <c r="N172" s="7">
        <f t="shared" si="41"/>
        <v>13.616666664602235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44"/>
        <v>https://d0f6bd738d7f1b3e5a7ca70fe4ff75f0.us-east-1.aws.found.io/app/kibana#/discover/Steve-Slow-Train-Analysis-(2080s-and-2083s)?_g=(refreshInterval:(display:Off,pause:!f,section:0,value:0),time:(from:'2017-02-19T13:09:52-0700',mode:absolute,to:'2017-02-19T15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88" t="str">
        <f t="shared" si="45"/>
        <v>N</v>
      </c>
      <c r="X172" s="188">
        <f t="shared" si="46"/>
        <v>1</v>
      </c>
      <c r="Y172" s="62">
        <f t="shared" si="47"/>
        <v>0.1046</v>
      </c>
      <c r="Z172" s="62">
        <f t="shared" si="48"/>
        <v>5.8945999999999996</v>
      </c>
      <c r="AA172" s="62">
        <f t="shared" si="49"/>
        <v>5.79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0"/>
        <v>1817-19</v>
      </c>
      <c r="AE172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72" s="82" t="str">
        <f t="shared" si="52"/>
        <v>"C:\Program Files (x86)\AstroGrep\AstroGrep.exe" /spath="%USERPROFILE%\AppData\Local\Temp\OnboardLogs" /stypes="app*4007*20170219*" /stext=" 21:.+((SYSTEM_STATE.+slice.+state.+changed )|(ment ac)|(multiple cpu faults)|(system.+state.+changed )|(\[timeout)|(PRM\|1\|D)|(kpr)|(kdp)|(\|loc)|(penalty))"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1817-19 --locoid 4007 --swversion DE.1.0.9.0 --startMP 204:1046 --initTime 2017-02-19T14:09:52 --startdatetime 2017-02-19T14:21:51 --delay 1 --endMP 300:58946 --enddatetime 2017-02-19T14:35:28 --enforcementcount 0 &gt;&gt;C:\Users\stu\Documents\GitHub\eaglep3-reporting\EC\2017-02-19-refined-times.txt</v>
      </c>
      <c r="AI172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{"issue":{"subject":"","project_id":79,"tracker_id":40,"status_id":1,"priority_id":2,"assigned_to_id":23,"start_date":"2017-02-19","description":"","custom_fields":[{"id":1,"name":"Subdivision","value":"NW"},{"id":4,"name":"Milepost","value":"5.8946"},{"id":17,"name":"Train ID","value":"1817-19"},{"id":16,"name":"Locomotive ID","value":"4007"},{"id":130,"name":"Impact","value":""},{"id":150,"name":"Time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56"/>
        <v>start /low /b %USERPROFILE%\Documents\GitHub\eaglep3\Utilities\DownloadLogsFromS3.py --loco 4007 --day 2017-02-19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431</v>
      </c>
      <c r="B173" s="7">
        <v>4008</v>
      </c>
      <c r="C173" s="21" t="s">
        <v>665</v>
      </c>
      <c r="D173" s="21" t="s">
        <v>709</v>
      </c>
      <c r="E173" s="13">
        <v>42785.611041666663</v>
      </c>
      <c r="F173" s="13">
        <v>42785.612291666665</v>
      </c>
      <c r="G173" s="7">
        <v>1</v>
      </c>
      <c r="H173" s="21" t="s">
        <v>731</v>
      </c>
      <c r="I173" s="13">
        <v>42785.621018518519</v>
      </c>
      <c r="J173" s="7">
        <v>0</v>
      </c>
      <c r="K173" s="98" t="str">
        <f t="shared" si="39"/>
        <v>4007/4008</v>
      </c>
      <c r="L173" s="21" t="str">
        <f>VLOOKUP(A173,'Trips&amp;Operators'!$C$1:$G$99999,5,FALSE)</f>
        <v>HELVIE ADAM</v>
      </c>
      <c r="M173" s="6">
        <f t="shared" si="40"/>
        <v>8.7268518545897678E-3</v>
      </c>
      <c r="N173" s="7">
        <f t="shared" si="41"/>
        <v>12.566666670609266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44"/>
        <v>https://d0f6bd738d7f1b3e5a7ca70fe4ff75f0.us-east-1.aws.found.io/app/kibana#/discover/Steve-Slow-Train-Analysis-(2080s-and-2083s)?_g=(refreshInterval:(display:Off,pause:!f,section:0,value:0),time:(from:'2017-02-19T13:39:54-0700',mode:absolute,to:'2017-02-19T15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88" t="str">
        <f t="shared" si="45"/>
        <v>N</v>
      </c>
      <c r="X173" s="188">
        <f t="shared" si="46"/>
        <v>1</v>
      </c>
      <c r="Y173" s="62">
        <f t="shared" si="47"/>
        <v>5.8630000000000004</v>
      </c>
      <c r="Z173" s="62">
        <f t="shared" si="48"/>
        <v>6.8500000000000005E-2</v>
      </c>
      <c r="AA173" s="62">
        <f t="shared" si="49"/>
        <v>5.7945000000000002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0"/>
        <v>1818-19</v>
      </c>
      <c r="AE173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73" s="82" t="str">
        <f t="shared" si="52"/>
        <v>"C:\Program Files (x86)\AstroGrep\AstroGrep.exe" /spath="%USERPROFILE%\AppData\Local\Temp\OnboardLogs" /stypes="app*4008*20170219*" /stext=" 21:.+((SYSTEM_STATE.+slice.+state.+changed )|(ment ac)|(multiple cpu faults)|(system.+state.+changed )|(\[timeout)|(PRM\|1\|D)|(kpr)|(kdp)|(\|loc)|(penalty))"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1818-19 --locoid 4008 --swversion DE.1.0.9.0 --startMP 300:58630 --initTime 2017-02-19T14:39:54 --startdatetime 2017-02-19T14:41:42 --delay 1 --endMP 204:685 --enddatetime 2017-02-19T14:54:16 --enforcementcount 0 &gt;&gt;C:\Users\stu\Documents\GitHub\eaglep3-reporting\EC\2017-02-19-refined-times.txt</v>
      </c>
      <c r="AI173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{"issue":{"subject":"","project_id":79,"tracker_id":40,"status_id":1,"priority_id":2,"assigned_to_id":23,"start_date":"2017-02-19","description":"","custom_fields":[{"id":1,"name":"Subdivision","value":"NW"},{"id":4,"name":"Milepost","value":"0.0685"},{"id":17,"name":"Train ID","value":"1818-19"},{"id":16,"name":"Locomotive ID","value":"4008"},{"id":130,"name":"Impact","value":""},{"id":150,"name":"Time of Event (Mountain Time)","value":"14:54:16"},{"id":151,"name":"Denver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56"/>
        <v>start /low /b %USERPROFILE%\Documents\GitHub\eaglep3\Utilities\DownloadLogsFromS3.py --loco 4008 --day 2017-02-19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</row>
    <row r="174" spans="1:91" x14ac:dyDescent="0.25">
      <c r="A174" s="33" t="s">
        <v>578</v>
      </c>
      <c r="B174" s="7">
        <v>4007</v>
      </c>
      <c r="C174" s="21" t="s">
        <v>665</v>
      </c>
      <c r="D174" s="21" t="s">
        <v>732</v>
      </c>
      <c r="E174" s="13">
        <v>42785.63690972222</v>
      </c>
      <c r="F174" s="13">
        <v>42785.639780092592</v>
      </c>
      <c r="G174" s="7">
        <v>0</v>
      </c>
      <c r="H174" s="21" t="s">
        <v>727</v>
      </c>
      <c r="I174" s="13">
        <v>42785.64916666667</v>
      </c>
      <c r="J174" s="7">
        <v>0</v>
      </c>
      <c r="K174" s="98" t="str">
        <f t="shared" si="39"/>
        <v>4007/4008</v>
      </c>
      <c r="L174" s="21" t="str">
        <f>VLOOKUP(A174,'Trips&amp;Operators'!$C$1:$G$99999,5,FALSE)</f>
        <v>HELVIE ADAM</v>
      </c>
      <c r="M174" s="6">
        <f t="shared" si="40"/>
        <v>9.3865740782348439E-3</v>
      </c>
      <c r="N174" s="7">
        <f t="shared" si="41"/>
        <v>13.516666672658175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44"/>
        <v>https://d0f6bd738d7f1b3e5a7ca70fe4ff75f0.us-east-1.aws.found.io/app/kibana#/discover/Steve-Slow-Train-Analysis-(2080s-and-2083s)?_g=(refreshInterval:(display:Off,pause:!f,section:0,value:0),time:(from:'2017-02-19T14:17:09-0700',mode:absolute,to:'2017-02-19T16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88" t="str">
        <f t="shared" si="45"/>
        <v>N</v>
      </c>
      <c r="X174" s="188">
        <f t="shared" si="46"/>
        <v>1</v>
      </c>
      <c r="Y174" s="62">
        <f t="shared" si="47"/>
        <v>0.1009</v>
      </c>
      <c r="Z174" s="62">
        <f t="shared" si="48"/>
        <v>5.8948</v>
      </c>
      <c r="AA174" s="62">
        <f t="shared" si="49"/>
        <v>5.7938999999999998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0"/>
        <v>1819-19</v>
      </c>
      <c r="AE174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74" s="82" t="str">
        <f t="shared" si="52"/>
        <v>"C:\Program Files (x86)\AstroGrep\AstroGrep.exe" /spath="%USERPROFILE%\AppData\Local\Temp\OnboardLogs" /stypes="app*4007*20170219*" /stext=" 22:.+((SYSTEM_STATE.+slice.+state.+changed )|(ment ac)|(multiple cpu faults)|(system.+state.+changed )|(\[timeout)|(PRM\|1\|D)|(kpr)|(kdp)|(\|loc)|(penalty))"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1819-19 --locoid 4007 --swversion DE.1.0.9.0 --startMP 204:1009 --initTime 2017-02-19T15:17:09 --startdatetime 2017-02-19T15:21:17 --delay 0 --endMP 300:58948 --enddatetime 2017-02-19T15:34:48 --enforcementcount 0 &gt;&gt;C:\Users\stu\Documents\GitHub\eaglep3-reporting\EC\2017-02-19-refined-times.txt</v>
      </c>
      <c r="AI174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{"issue":{"subject":"","project_id":79,"tracker_id":40,"status_id":1,"priority_id":2,"assigned_to_id":23,"start_date":"2017-02-19","description":"","custom_fields":[{"id":1,"name":"Subdivision","value":"NW"},{"id":4,"name":"Milepost","value":"5.8948"},{"id":17,"name":"Train ID","value":"1819-19"},{"id":16,"name":"Locomotive ID","value":"4007"},{"id":130,"name":"Impact","value":""},{"id":150,"name":"Time of Event (Mountain Time)","value":"15:34:48"},{"id":151,"name":"Denver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56"/>
        <v>start /low /b %USERPROFILE%\Documents\GitHub\eaglep3\Utilities\DownloadLogsFromS3.py --loco 4007 --day 2017-02-19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175" spans="1:91" s="20" customFormat="1" x14ac:dyDescent="0.25">
      <c r="A175" s="33" t="s">
        <v>580</v>
      </c>
      <c r="B175" s="7">
        <v>4008</v>
      </c>
      <c r="C175" s="21" t="s">
        <v>665</v>
      </c>
      <c r="D175" s="21" t="s">
        <v>709</v>
      </c>
      <c r="E175" s="13">
        <v>42785.650289351855</v>
      </c>
      <c r="F175" s="13">
        <v>42785.651388888888</v>
      </c>
      <c r="G175" s="7">
        <v>0</v>
      </c>
      <c r="H175" s="21" t="s">
        <v>734</v>
      </c>
      <c r="I175" s="13">
        <v>42785.662847222222</v>
      </c>
      <c r="J175" s="7">
        <v>0</v>
      </c>
      <c r="K175" s="98" t="str">
        <f t="shared" si="39"/>
        <v>4007/4008</v>
      </c>
      <c r="L175" s="21" t="str">
        <f>VLOOKUP(A175,'Trips&amp;Operators'!$C$1:$G$99999,5,FALSE)</f>
        <v>HELVIE ADAM</v>
      </c>
      <c r="M175" s="6">
        <f t="shared" si="40"/>
        <v>1.1458333334303461E-2</v>
      </c>
      <c r="N175" s="7">
        <f t="shared" si="41"/>
        <v>16.500000001396984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44"/>
        <v>https://d0f6bd738d7f1b3e5a7ca70fe4ff75f0.us-east-1.aws.found.io/app/kibana#/discover/Steve-Slow-Train-Analysis-(2080s-and-2083s)?_g=(refreshInterval:(display:Off,pause:!f,section:0,value:0),time:(from:'2017-02-19T14:36:25-0700',mode:absolute,to:'2017-02-19T16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88" t="str">
        <f t="shared" si="45"/>
        <v>N</v>
      </c>
      <c r="X175" s="188">
        <f t="shared" si="46"/>
        <v>1</v>
      </c>
      <c r="Y175" s="62">
        <f t="shared" si="47"/>
        <v>5.8630000000000004</v>
      </c>
      <c r="Z175" s="62">
        <f t="shared" si="48"/>
        <v>6.8199999999999997E-2</v>
      </c>
      <c r="AA175" s="62">
        <f t="shared" si="49"/>
        <v>5.7948000000000004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0"/>
        <v>1820-19</v>
      </c>
      <c r="AE175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75" s="82" t="str">
        <f t="shared" si="52"/>
        <v>"C:\Program Files (x86)\AstroGrep\AstroGrep.exe" /spath="%USERPROFILE%\AppData\Local\Temp\OnboardLogs" /stypes="app*4008*20170219*" /stext=" 22:.+((SYSTEM_STATE.+slice.+state.+changed )|(ment ac)|(multiple cpu faults)|(system.+state.+changed )|(\[timeout)|(PRM\|1\|D)|(kpr)|(kdp)|(\|loc)|(penalty))"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1820-19 --locoid 4008 --swversion DE.1.0.9.0 --startMP 300:58630 --initTime 2017-02-19T15:36:25 --startdatetime 2017-02-19T15:38:00 --delay 0 --endMP 204:682 --enddatetime 2017-02-19T15:54:30 --enforcementcount 0 &gt;&gt;C:\Users\stu\Documents\GitHub\eaglep3-reporting\EC\2017-02-19-refined-times.txt</v>
      </c>
      <c r="AI175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{"issue":{"subject":"","project_id":79,"tracker_id":40,"status_id":1,"priority_id":2,"assigned_to_id":23,"start_date":"2017-02-19","description":"","custom_fields":[{"id":1,"name":"Subdivision","value":"NW"},{"id":4,"name":"Milepost","value":"0.0682"},{"id":17,"name":"Train ID","value":"1820-19"},{"id":16,"name":"Locomotive ID","value":"4008"},{"id":130,"name":"Impact","value":""},{"id":150,"name":"Time of Event (Mountain Time)","value":"15:54:30"},{"id":151,"name":"Denver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56"/>
        <v>start /low /b %USERPROFILE%\Documents\GitHub\eaglep3\Utilities\DownloadLogsFromS3.py --loco 4008 --day 2017-02-19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586</v>
      </c>
      <c r="B176" s="7">
        <v>4007</v>
      </c>
      <c r="C176" s="21" t="s">
        <v>665</v>
      </c>
      <c r="D176" s="21" t="s">
        <v>735</v>
      </c>
      <c r="E176" s="13">
        <v>42785.67701388889</v>
      </c>
      <c r="F176" s="13">
        <v>42785.681446759256</v>
      </c>
      <c r="G176" s="7">
        <v>1</v>
      </c>
      <c r="H176" s="21" t="s">
        <v>736</v>
      </c>
      <c r="I176" s="13">
        <v>42785.690613425926</v>
      </c>
      <c r="J176" s="7">
        <v>0</v>
      </c>
      <c r="K176" s="98" t="str">
        <f t="shared" si="39"/>
        <v>4007/4008</v>
      </c>
      <c r="L176" s="21" t="str">
        <f>VLOOKUP(A176,'Trips&amp;Operators'!$C$1:$G$99999,5,FALSE)</f>
        <v>HELVIE ADAM</v>
      </c>
      <c r="M176" s="6">
        <f t="shared" si="40"/>
        <v>9.1666666703531519E-3</v>
      </c>
      <c r="N176" s="7">
        <f t="shared" si="41"/>
        <v>13.200000005308539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44"/>
        <v>https://d0f6bd738d7f1b3e5a7ca70fe4ff75f0.us-east-1.aws.found.io/app/kibana#/discover/Steve-Slow-Train-Analysis-(2080s-and-2083s)?_g=(refreshInterval:(display:Off,pause:!f,section:0,value:0),time:(from:'2017-02-19T15:14:54-0700',mode:absolute,to:'2017-02-19T17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88" t="str">
        <f t="shared" si="45"/>
        <v>N</v>
      </c>
      <c r="X176" s="188">
        <f t="shared" si="46"/>
        <v>1</v>
      </c>
      <c r="Y176" s="62">
        <f t="shared" si="47"/>
        <v>9.8799999999999999E-2</v>
      </c>
      <c r="Z176" s="62">
        <f t="shared" si="48"/>
        <v>5.8944000000000001</v>
      </c>
      <c r="AA176" s="62">
        <f t="shared" si="49"/>
        <v>5.7956000000000003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0"/>
        <v>1821-19</v>
      </c>
      <c r="AE176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76" s="82" t="str">
        <f t="shared" si="52"/>
        <v>"C:\Program Files (x86)\AstroGrep\AstroGrep.exe" /spath="%USERPROFILE%\AppData\Local\Temp\OnboardLogs" /stypes="app*4007*20170219*" /stext=" 23:.+((SYSTEM_STATE.+slice.+state.+changed )|(ment ac)|(multiple cpu faults)|(system.+state.+changed )|(\[timeout)|(PRM\|1\|D)|(kpr)|(kdp)|(\|loc)|(penalty))"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1821-19 --locoid 4007 --swversion DE.1.0.9.0 --startMP 204:988 --initTime 2017-02-19T16:14:54 --startdatetime 2017-02-19T16:21:17 --delay 1 --endMP 300:58944 --enddatetime 2017-02-19T16:34:29 --enforcementcount 0 &gt;&gt;C:\Users\stu\Documents\GitHub\eaglep3-reporting\EC\2017-02-19-refined-times.txt</v>
      </c>
      <c r="AI176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{"issue":{"subject":"","project_id":79,"tracker_id":40,"status_id":1,"priority_id":2,"assigned_to_id":23,"start_date":"2017-02-19","description":"","custom_fields":[{"id":1,"name":"Subdivision","value":"NW"},{"id":4,"name":"Milepost","value":"5.8944"},{"id":17,"name":"Train ID","value":"1821-19"},{"id":16,"name":"Locomotive ID","value":"4007"},{"id":130,"name":"Impact","value":""},{"id":150,"name":"Time of Event (Mountain Time)","value":"16:34:29"},{"id":151,"name":"Denver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56"/>
        <v>start /low /b %USERPROFILE%\Documents\GitHub\eaglep3\Utilities\DownloadLogsFromS3.py --loco 4007 --day 2017-02-19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177" spans="1:91" s="20" customFormat="1" x14ac:dyDescent="0.25">
      <c r="A177" s="33" t="s">
        <v>589</v>
      </c>
      <c r="B177" s="7">
        <v>4008</v>
      </c>
      <c r="C177" s="21" t="s">
        <v>665</v>
      </c>
      <c r="D177" s="21" t="s">
        <v>737</v>
      </c>
      <c r="E177" s="13">
        <v>42785.692083333335</v>
      </c>
      <c r="F177" s="13">
        <v>42785.694131944445</v>
      </c>
      <c r="G177" s="7">
        <v>2</v>
      </c>
      <c r="H177" s="21" t="s">
        <v>738</v>
      </c>
      <c r="I177" s="13">
        <v>42785.704618055555</v>
      </c>
      <c r="J177" s="7">
        <v>0</v>
      </c>
      <c r="K177" s="98" t="str">
        <f t="shared" si="39"/>
        <v>4007/4008</v>
      </c>
      <c r="L177" s="21" t="str">
        <f>VLOOKUP(A177,'Trips&amp;Operators'!$C$1:$G$99999,5,FALSE)</f>
        <v>HELVIE ADAM</v>
      </c>
      <c r="M177" s="6">
        <f t="shared" si="40"/>
        <v>1.0486111110367347E-2</v>
      </c>
      <c r="N177" s="7">
        <f t="shared" si="41"/>
        <v>15.099999998928979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44"/>
        <v>https://d0f6bd738d7f1b3e5a7ca70fe4ff75f0.us-east-1.aws.found.io/app/kibana#/discover/Steve-Slow-Train-Analysis-(2080s-and-2083s)?_g=(refreshInterval:(display:Off,pause:!f,section:0,value:0),time:(from:'2017-02-19T15:36:36-0700',mode:absolute,to:'2017-02-19T17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88" t="str">
        <f t="shared" si="45"/>
        <v>N</v>
      </c>
      <c r="X177" s="188">
        <f t="shared" si="46"/>
        <v>1</v>
      </c>
      <c r="Y177" s="62">
        <f t="shared" si="47"/>
        <v>5.8624000000000001</v>
      </c>
      <c r="Z177" s="62">
        <f t="shared" si="48"/>
        <v>6.9199999999999998E-2</v>
      </c>
      <c r="AA177" s="62">
        <f t="shared" si="49"/>
        <v>5.7931999999999997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0"/>
        <v>1822-19</v>
      </c>
      <c r="AE177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77" s="82" t="str">
        <f t="shared" si="52"/>
        <v>"C:\Program Files (x86)\AstroGrep\AstroGrep.exe" /spath="%USERPROFILE%\AppData\Local\Temp\OnboardLogs" /stypes="app*4008*20170219*" /stext=" 23:.+((SYSTEM_STATE.+slice.+state.+changed )|(ment ac)|(multiple cpu faults)|(system.+state.+changed )|(\[timeout)|(PRM\|1\|D)|(kpr)|(kdp)|(\|loc)|(penalty))"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1822-19 --locoid 4008 --swversion DE.1.0.9.0 --startMP 300:58624 --initTime 2017-02-19T16:36:36 --startdatetime 2017-02-19T16:39:33 --delay 2 --endMP 204:692 --enddatetime 2017-02-19T16:54:39 --enforcementcount 0 &gt;&gt;C:\Users\stu\Documents\GitHub\eaglep3-reporting\EC\2017-02-19-refined-times.txt</v>
      </c>
      <c r="AI177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{"issue":{"subject":"","project_id":79,"tracker_id":40,"status_id":1,"priority_id":2,"assigned_to_id":23,"start_date":"2017-02-19","description":"","custom_fields":[{"id":1,"name":"Subdivision","value":"NW"},{"id":4,"name":"Milepost","value":"0.0692"},{"id":17,"name":"Train ID","value":"1822-19"},{"id":16,"name":"Locomotive ID","value":"4008"},{"id":130,"name":"Impact","value":""},{"id":150,"name":"Time of Event (Mountain Time)","value":"16:54:39"},{"id":151,"name":"Denver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56"/>
        <v>start /low /b %USERPROFILE%\Documents\GitHub\eaglep3\Utilities\DownloadLogsFromS3.py --loco 4008 --day 2017-02-19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596</v>
      </c>
      <c r="B178" s="7">
        <v>4007</v>
      </c>
      <c r="C178" s="21" t="s">
        <v>665</v>
      </c>
      <c r="D178" s="21" t="s">
        <v>739</v>
      </c>
      <c r="E178" s="13">
        <v>42785.719664351855</v>
      </c>
      <c r="F178" s="13">
        <v>42785.723182870373</v>
      </c>
      <c r="G178" s="7">
        <v>1</v>
      </c>
      <c r="H178" s="21" t="s">
        <v>740</v>
      </c>
      <c r="I178" s="13">
        <v>42785.732766203706</v>
      </c>
      <c r="J178" s="7">
        <v>0</v>
      </c>
      <c r="K178" s="98" t="str">
        <f t="shared" si="39"/>
        <v>4007/4008</v>
      </c>
      <c r="L178" s="21" t="str">
        <f>VLOOKUP(A178,'Trips&amp;Operators'!$C$1:$G$99999,5,FALSE)</f>
        <v>HELVIE ADAM</v>
      </c>
      <c r="M178" s="6">
        <f t="shared" si="40"/>
        <v>9.5833333325572312E-3</v>
      </c>
      <c r="N178" s="7">
        <f t="shared" si="41"/>
        <v>13.799999998882413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44"/>
        <v>https://d0f6bd738d7f1b3e5a7ca70fe4ff75f0.us-east-1.aws.found.io/app/kibana#/discover/Steve-Slow-Train-Analysis-(2080s-and-2083s)?_g=(refreshInterval:(display:Off,pause:!f,section:0,value:0),time:(from:'2017-02-19T16:16:19-0700',mode:absolute,to:'2017-02-19T18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88" t="str">
        <f t="shared" si="45"/>
        <v>N</v>
      </c>
      <c r="X178" s="188">
        <f t="shared" si="46"/>
        <v>1</v>
      </c>
      <c r="Y178" s="62">
        <f t="shared" si="47"/>
        <v>9.8500000000000004E-2</v>
      </c>
      <c r="Z178" s="62">
        <f t="shared" si="48"/>
        <v>5.8940999999999999</v>
      </c>
      <c r="AA178" s="62">
        <f t="shared" si="49"/>
        <v>5.7956000000000003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0"/>
        <v>1823-19</v>
      </c>
      <c r="AE178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78" s="82" t="str">
        <f t="shared" si="52"/>
        <v>"C:\Program Files (x86)\AstroGrep\AstroGrep.exe" /spath="%USERPROFILE%\AppData\Local\Temp\OnboardLogs" /stypes="app*4007*20170220*" /stext=" 00:.+((SYSTEM_STATE.+slice.+state.+changed )|(ment ac)|(multiple cpu faults)|(system.+state.+changed )|(\[timeout)|(PRM\|1\|D)|(kpr)|(kdp)|(\|loc)|(penalty))"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1823-19 --locoid 4007 --swversion DE.1.0.9.0 --startMP 204:985 --initTime 2017-02-19T17:16:19 --startdatetime 2017-02-19T17:21:23 --delay 1 --endMP 300:58941 --enddatetime 2017-02-19T17:35:11 --enforcementcount 0 &gt;&gt;C:\Users\stu\Documents\GitHub\eaglep3-reporting\EC\2017-02-19-refined-times.txt</v>
      </c>
      <c r="AI178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{"issue":{"subject":"","project_id":79,"tracker_id":40,"status_id":1,"priority_id":2,"assigned_to_id":23,"start_date":"2017-02-19","description":"","custom_fields":[{"id":1,"name":"Subdivision","value":"NW"},{"id":4,"name":"Milepost","value":"5.8941"},{"id":17,"name":"Train ID","value":"1823-19"},{"id":16,"name":"Locomotive ID","value":"4007"},{"id":130,"name":"Impact","value":""},{"id":150,"name":"Time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56"/>
        <v>start /low /b %USERPROFILE%\Documents\GitHub\eaglep3\Utilities\DownloadLogsFromS3.py --loco 4007 --day 2017-02-19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2017-02-19-UncaughtWiMAX.txt</v>
      </c>
    </row>
    <row r="179" spans="1:91" x14ac:dyDescent="0.25">
      <c r="A179" s="33" t="s">
        <v>602</v>
      </c>
      <c r="B179" s="7">
        <v>4008</v>
      </c>
      <c r="C179" s="21" t="s">
        <v>665</v>
      </c>
      <c r="D179" s="21" t="s">
        <v>741</v>
      </c>
      <c r="E179" s="13">
        <v>42785.734201388892</v>
      </c>
      <c r="F179" s="13">
        <v>42785.735474537039</v>
      </c>
      <c r="G179" s="7">
        <v>1</v>
      </c>
      <c r="H179" s="21" t="s">
        <v>411</v>
      </c>
      <c r="I179" s="13">
        <v>42785.74627314815</v>
      </c>
      <c r="J179" s="7">
        <v>0</v>
      </c>
      <c r="K179" s="98" t="str">
        <f t="shared" si="39"/>
        <v>4007/4008</v>
      </c>
      <c r="L179" s="21" t="str">
        <f>VLOOKUP(A179,'Trips&amp;Operators'!$C$1:$G$99999,5,FALSE)</f>
        <v>HELVIE ADAM</v>
      </c>
      <c r="M179" s="6">
        <f t="shared" si="40"/>
        <v>1.0798611110658385E-2</v>
      </c>
      <c r="N179" s="7">
        <f t="shared" si="41"/>
        <v>15.549999999348074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44"/>
        <v>https://d0f6bd738d7f1b3e5a7ca70fe4ff75f0.us-east-1.aws.found.io/app/kibana#/discover/Steve-Slow-Train-Analysis-(2080s-and-2083s)?_g=(refreshInterval:(display:Off,pause:!f,section:0,value:0),time:(from:'2017-02-19T16:37:15-0700',mode:absolute,to:'2017-02-19T18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88" t="str">
        <f t="shared" si="45"/>
        <v>N</v>
      </c>
      <c r="X179" s="188">
        <f t="shared" si="46"/>
        <v>1</v>
      </c>
      <c r="Y179" s="62">
        <f t="shared" si="47"/>
        <v>5.8625999999999996</v>
      </c>
      <c r="Z179" s="62">
        <f t="shared" si="48"/>
        <v>7.3999999999999996E-2</v>
      </c>
      <c r="AA179" s="62">
        <f t="shared" si="49"/>
        <v>5.7885999999999997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0"/>
        <v>1824-19</v>
      </c>
      <c r="AE179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79" s="82" t="str">
        <f t="shared" si="52"/>
        <v>"C:\Program Files (x86)\AstroGrep\AstroGrep.exe" /spath="%USERPROFILE%\AppData\Local\Temp\OnboardLogs" /stypes="app*4008*20170220*" /stext=" 00:.+((SYSTEM_STATE.+slice.+state.+changed )|(ment ac)|(multiple cpu faults)|(system.+state.+changed )|(\[timeout)|(PRM\|1\|D)|(kpr)|(kdp)|(\|loc)|(penalty))"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1824-19 --locoid 4008 --swversion DE.1.0.9.0 --startMP 300:58626 --initTime 2017-02-19T17:37:15 --startdatetime 2017-02-19T17:39:05 --delay 1 --endMP 204:740 --enddatetime 2017-02-19T17:54:38 --enforcementcount 0 &gt;&gt;C:\Users\stu\Documents\GitHub\eaglep3-reporting\EC\2017-02-19-refined-times.txt</v>
      </c>
      <c r="AI179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{"issue":{"subject":"","project_id":79,"tracker_id":40,"status_id":1,"priority_id":2,"assigned_to_id":23,"start_date":"2017-02-19","description":"","custom_fields":[{"id":1,"name":"Subdivision","value":"NW"},{"id":4,"name":"Milepost","value":"0.074"},{"id":17,"name":"Train ID","value":"1824-19"},{"id":16,"name":"Locomotive ID","value":"4008"},{"id":130,"name":"Impact","value":""},{"id":150,"name":"Time of Event (Mountain Time)","value":"17:54:38"},{"id":151,"name":"Denver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56"/>
        <v>start /low /b %USERPROFILE%\Documents\GitHub\eaglep3\Utilities\DownloadLogsFromS3.py --loco 4008 --day 2017-02-19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2017-02-19-UncaughtWiMAX.txt</v>
      </c>
    </row>
    <row r="180" spans="1:91" x14ac:dyDescent="0.25">
      <c r="A180" s="33" t="s">
        <v>611</v>
      </c>
      <c r="B180" s="7">
        <v>4007</v>
      </c>
      <c r="C180" s="21" t="s">
        <v>665</v>
      </c>
      <c r="D180" s="21" t="s">
        <v>742</v>
      </c>
      <c r="E180" s="13">
        <v>42785.761678240742</v>
      </c>
      <c r="F180" s="13">
        <v>42785.764768518522</v>
      </c>
      <c r="G180" s="7">
        <v>1</v>
      </c>
      <c r="H180" s="21" t="s">
        <v>736</v>
      </c>
      <c r="I180" s="13">
        <v>42785.774375000001</v>
      </c>
      <c r="J180" s="7">
        <v>0</v>
      </c>
      <c r="K180" s="98" t="str">
        <f t="shared" si="39"/>
        <v>4007/4008</v>
      </c>
      <c r="L180" s="21" t="str">
        <f>VLOOKUP(A180,'Trips&amp;Operators'!$C$1:$G$99999,5,FALSE)</f>
        <v>HELVIE ADAM</v>
      </c>
      <c r="M180" s="6">
        <f t="shared" si="40"/>
        <v>9.6064814788405783E-3</v>
      </c>
      <c r="N180" s="7">
        <f t="shared" si="41"/>
        <v>13.833333329530433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44"/>
        <v>https://d0f6bd738d7f1b3e5a7ca70fe4ff75f0.us-east-1.aws.found.io/app/kibana#/discover/Steve-Slow-Train-Analysis-(2080s-and-2083s)?_g=(refreshInterval:(display:Off,pause:!f,section:0,value:0),time:(from:'2017-02-19T17:16:49-0700',mode:absolute,to:'2017-02-19T19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88" t="str">
        <f t="shared" si="45"/>
        <v>N</v>
      </c>
      <c r="X180" s="188">
        <f t="shared" si="46"/>
        <v>1</v>
      </c>
      <c r="Y180" s="62">
        <f t="shared" si="47"/>
        <v>0.1016</v>
      </c>
      <c r="Z180" s="62">
        <f t="shared" si="48"/>
        <v>5.8944000000000001</v>
      </c>
      <c r="AA180" s="62">
        <f t="shared" si="49"/>
        <v>5.7927999999999997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0"/>
        <v>1825-19</v>
      </c>
      <c r="AE180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80" s="82" t="str">
        <f t="shared" si="52"/>
        <v>"C:\Program Files (x86)\AstroGrep\AstroGrep.exe" /spath="%USERPROFILE%\AppData\Local\Temp\OnboardLogs" /stypes="app*4007*20170220*" /stext=" 01:.+((SYSTEM_STATE.+slice.+state.+changed )|(ment ac)|(multiple cpu faults)|(system.+state.+changed )|(\[timeout)|(PRM\|1\|D)|(kpr)|(kdp)|(\|loc)|(penalty))"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1825-19 --locoid 4007 --swversion DE.1.0.9.0 --startMP 204:1016 --initTime 2017-02-19T18:16:49 --startdatetime 2017-02-19T18:21:16 --delay 1 --endMP 300:58944 --enddatetime 2017-02-19T18:35:06 --enforcementcount 0 &gt;&gt;C:\Users\stu\Documents\GitHub\eaglep3-reporting\EC\2017-02-19-refined-times.txt</v>
      </c>
      <c r="AI180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{"issue":{"subject":"","project_id":79,"tracker_id":40,"status_id":1,"priority_id":2,"assigned_to_id":23,"start_date":"2017-02-19","description":"","custom_fields":[{"id":1,"name":"Subdivision","value":"NW"},{"id":4,"name":"Milepost","value":"5.8944"},{"id":17,"name":"Train ID","value":"1825-19"},{"id":16,"name":"Locomotive ID","value":"4007"},{"id":130,"name":"Impact","value":""},{"id":150,"name":"Time of Event (Mountain Time)","value":"18:35:06"},{"id":151,"name":"Denver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56"/>
        <v>start /low /b %USERPROFILE%\Documents\GitHub\eaglep3\Utilities\DownloadLogsFromS3.py --loco 4007 --day 2017-02-19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2017-02-19-UncaughtWiMAX.txt</v>
      </c>
    </row>
    <row r="181" spans="1:91" s="20" customFormat="1" x14ac:dyDescent="0.25">
      <c r="A181" s="33" t="s">
        <v>615</v>
      </c>
      <c r="B181" s="7">
        <v>4008</v>
      </c>
      <c r="C181" s="21" t="s">
        <v>665</v>
      </c>
      <c r="D181" s="21" t="s">
        <v>743</v>
      </c>
      <c r="E181" s="13">
        <v>42785.775520833333</v>
      </c>
      <c r="F181" s="13">
        <v>42785.776666666665</v>
      </c>
      <c r="G181" s="7">
        <v>1</v>
      </c>
      <c r="H181" s="21" t="s">
        <v>744</v>
      </c>
      <c r="I181" s="13">
        <v>42785.787939814814</v>
      </c>
      <c r="J181" s="7">
        <v>0</v>
      </c>
      <c r="K181" s="98" t="str">
        <f t="shared" si="39"/>
        <v>4007/4008</v>
      </c>
      <c r="L181" s="21" t="str">
        <f>VLOOKUP(A181,'Trips&amp;Operators'!$C$1:$G$99999,5,FALSE)</f>
        <v>HELVIE ADAM</v>
      </c>
      <c r="M181" s="6">
        <f t="shared" si="40"/>
        <v>1.1273148149484769E-2</v>
      </c>
      <c r="N181" s="7">
        <f t="shared" si="41"/>
        <v>16.233333335258067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44"/>
        <v>https://d0f6bd738d7f1b3e5a7ca70fe4ff75f0.us-east-1.aws.found.io/app/kibana#/discover/Steve-Slow-Train-Analysis-(2080s-and-2083s)?_g=(refreshInterval:(display:Off,pause:!f,section:0,value:0),time:(from:'2017-02-19T17:36:45-0700',mode:absolute,to:'2017-02-19T19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88" t="str">
        <f t="shared" si="45"/>
        <v>N</v>
      </c>
      <c r="X181" s="188">
        <f t="shared" si="46"/>
        <v>1</v>
      </c>
      <c r="Y181" s="62">
        <f t="shared" si="47"/>
        <v>5.8620999999999999</v>
      </c>
      <c r="Z181" s="62">
        <f t="shared" si="48"/>
        <v>7.2599999999999998E-2</v>
      </c>
      <c r="AA181" s="62">
        <f t="shared" si="49"/>
        <v>5.7895000000000003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0"/>
        <v>1826-19</v>
      </c>
      <c r="AE181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81" s="82" t="str">
        <f t="shared" si="52"/>
        <v>"C:\Program Files (x86)\AstroGrep\AstroGrep.exe" /spath="%USERPROFILE%\AppData\Local\Temp\OnboardLogs" /stypes="app*4008*20170220*" /stext=" 01:.+((SYSTEM_STATE.+slice.+state.+changed )|(ment ac)|(multiple cpu faults)|(system.+state.+changed )|(\[timeout)|(PRM\|1\|D)|(kpr)|(kdp)|(\|loc)|(penalty))"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1826-19 --locoid 4008 --swversion DE.1.0.9.0 --startMP 300:58621 --initTime 2017-02-19T18:36:45 --startdatetime 2017-02-19T18:38:24 --delay 1 --endMP 204:726 --enddatetime 2017-02-19T18:54:38 --enforcementcount 0 &gt;&gt;C:\Users\stu\Documents\GitHub\eaglep3-reporting\EC\2017-02-19-refined-times.txt</v>
      </c>
      <c r="AI181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{"issue":{"subject":"","project_id":79,"tracker_id":40,"status_id":1,"priority_id":2,"assigned_to_id":23,"start_date":"2017-02-19","description":"","custom_fields":[{"id":1,"name":"Subdivision","value":"NW"},{"id":4,"name":"Milepost","value":"0.0726"},{"id":17,"name":"Train ID","value":"1826-19"},{"id":16,"name":"Locomotive ID","value":"4008"},{"id":130,"name":"Impact","value":""},{"id":150,"name":"Time of Event (Mountain Time)","value":"18:54:38"},{"id":151,"name":"Denver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56"/>
        <v>start /low /b %USERPROFILE%\Documents\GitHub\eaglep3\Utilities\DownloadLogsFromS3.py --loco 4008 --day 2017-02-19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2017-02-19-UncaughtWiMAX.txt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437</v>
      </c>
      <c r="B182" s="7">
        <v>4007</v>
      </c>
      <c r="C182" s="21" t="s">
        <v>665</v>
      </c>
      <c r="D182" s="21" t="s">
        <v>745</v>
      </c>
      <c r="E182" s="13">
        <v>42785.804340277777</v>
      </c>
      <c r="F182" s="13">
        <v>42785.806469907409</v>
      </c>
      <c r="G182" s="7">
        <v>0</v>
      </c>
      <c r="H182" s="21" t="s">
        <v>730</v>
      </c>
      <c r="I182" s="13">
        <v>42785.816504629627</v>
      </c>
      <c r="J182" s="7">
        <v>0</v>
      </c>
      <c r="K182" s="98" t="str">
        <f t="shared" si="39"/>
        <v>4007/4008</v>
      </c>
      <c r="L182" s="21" t="str">
        <f>VLOOKUP(A182,'Trips&amp;Operators'!$C$1:$G$99999,5,FALSE)</f>
        <v>HELVIE ADAM</v>
      </c>
      <c r="M182" s="6">
        <f t="shared" si="40"/>
        <v>1.003472221782431E-2</v>
      </c>
      <c r="N182" s="7">
        <f t="shared" si="41"/>
        <v>14.449999993667006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44"/>
        <v>https://d0f6bd738d7f1b3e5a7ca70fe4ff75f0.us-east-1.aws.found.io/app/kibana#/discover/Steve-Slow-Train-Analysis-(2080s-and-2083s)?_g=(refreshInterval:(display:Off,pause:!f,section:0,value:0),time:(from:'2017-02-19T18:18:15-0700',mode:absolute,to:'2017-02-19T20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88" t="str">
        <f t="shared" si="45"/>
        <v>N</v>
      </c>
      <c r="X182" s="188">
        <f t="shared" si="46"/>
        <v>1</v>
      </c>
      <c r="Y182" s="62">
        <f t="shared" si="47"/>
        <v>0.1007</v>
      </c>
      <c r="Z182" s="62">
        <f t="shared" si="48"/>
        <v>5.8945999999999996</v>
      </c>
      <c r="AA182" s="62">
        <f t="shared" si="49"/>
        <v>5.7938999999999998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0"/>
        <v>1827-19</v>
      </c>
      <c r="AE182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82" s="82" t="str">
        <f t="shared" si="52"/>
        <v>"C:\Program Files (x86)\AstroGrep\AstroGrep.exe" /spath="%USERPROFILE%\AppData\Local\Temp\OnboardLogs" /stypes="app*4007*20170220*" /stext=" 02:.+((SYSTEM_STATE.+slice.+state.+changed )|(ment ac)|(multiple cpu faults)|(system.+state.+changed )|(\[timeout)|(PRM\|1\|D)|(kpr)|(kdp)|(\|loc)|(penalty))"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1827-19 --locoid 4007 --swversion DE.1.0.9.0 --startMP 204:1007 --initTime 2017-02-19T19:18:15 --startdatetime 2017-02-19T19:21:19 --delay 0 --endMP 300:58946 --enddatetime 2017-02-19T19:35:46 --enforcementcount 0 &gt;&gt;C:\Users\stu\Documents\GitHub\eaglep3-reporting\EC\2017-02-19-refined-times.txt</v>
      </c>
      <c r="AI182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{"issue":{"subject":"","project_id":79,"tracker_id":40,"status_id":1,"priority_id":2,"assigned_to_id":23,"start_date":"2017-02-19","description":"","custom_fields":[{"id":1,"name":"Subdivision","value":"NW"},{"id":4,"name":"Milepost","value":"5.8946"},{"id":17,"name":"Train ID","value":"1827-19"},{"id":16,"name":"Locomotive ID","value":"4007"},{"id":130,"name":"Impact","value":""},{"id":150,"name":"Time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56"/>
        <v>start /low /b %USERPROFILE%\Documents\GitHub\eaglep3\Utilities\DownloadLogsFromS3.py --loco 4007 --day 2017-02-19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2017-02-19-UncaughtWiMAX.txt</v>
      </c>
    </row>
    <row r="183" spans="1:91" s="20" customFormat="1" x14ac:dyDescent="0.25">
      <c r="A183" s="33" t="s">
        <v>630</v>
      </c>
      <c r="B183" s="7">
        <v>4008</v>
      </c>
      <c r="C183" s="21" t="s">
        <v>665</v>
      </c>
      <c r="D183" s="21" t="s">
        <v>302</v>
      </c>
      <c r="E183" s="13">
        <v>42785.817673611113</v>
      </c>
      <c r="F183" s="13">
        <v>42785.819085648145</v>
      </c>
      <c r="G183" s="7">
        <v>1</v>
      </c>
      <c r="H183" s="21" t="s">
        <v>746</v>
      </c>
      <c r="I183" s="13">
        <v>42785.829629629632</v>
      </c>
      <c r="J183" s="7">
        <v>0</v>
      </c>
      <c r="K183" s="98" t="str">
        <f t="shared" si="39"/>
        <v>4007/4008</v>
      </c>
      <c r="L183" s="21" t="str">
        <f>VLOOKUP(A183,'Trips&amp;Operators'!$C$1:$G$99999,5,FALSE)</f>
        <v>HELVIE ADAM</v>
      </c>
      <c r="M183" s="6">
        <f t="shared" si="40"/>
        <v>1.0543981486989651E-2</v>
      </c>
      <c r="N183" s="7">
        <f t="shared" si="41"/>
        <v>15.183333341265097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44"/>
        <v>https://d0f6bd738d7f1b3e5a7ca70fe4ff75f0.us-east-1.aws.found.io/app/kibana#/discover/Steve-Slow-Train-Analysis-(2080s-and-2083s)?_g=(refreshInterval:(display:Off,pause:!f,section:0,value:0),time:(from:'2017-02-19T18:37:27-0700',mode:absolute,to:'2017-02-19T20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88" t="str">
        <f t="shared" si="45"/>
        <v>N</v>
      </c>
      <c r="X183" s="188">
        <f t="shared" si="46"/>
        <v>1</v>
      </c>
      <c r="Y183" s="62">
        <f t="shared" si="47"/>
        <v>5.8623000000000003</v>
      </c>
      <c r="Z183" s="62">
        <f t="shared" si="48"/>
        <v>7.8899999999999998E-2</v>
      </c>
      <c r="AA183" s="62">
        <f t="shared" si="49"/>
        <v>5.7834000000000003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0"/>
        <v>1828-19</v>
      </c>
      <c r="AE183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83" s="82" t="str">
        <f t="shared" si="52"/>
        <v>"C:\Program Files (x86)\AstroGrep\AstroGrep.exe" /spath="%USERPROFILE%\AppData\Local\Temp\OnboardLogs" /stypes="app*4008*20170220*" /stext=" 02:.+((SYSTEM_STATE.+slice.+state.+changed )|(ment ac)|(multiple cpu faults)|(system.+state.+changed )|(\[timeout)|(PRM\|1\|D)|(kpr)|(kdp)|(\|loc)|(penalty))"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1828-19 --locoid 4008 --swversion DE.1.0.9.0 --startMP 300:58623 --initTime 2017-02-19T19:37:27 --startdatetime 2017-02-19T19:39:29 --delay 1 --endMP 204:789 --enddatetime 2017-02-19T19:54:40 --enforcementcount 0 &gt;&gt;C:\Users\stu\Documents\GitHub\eaglep3-reporting\EC\2017-02-19-refined-times.txt</v>
      </c>
      <c r="AI183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{"issue":{"subject":"","project_id":79,"tracker_id":40,"status_id":1,"priority_id":2,"assigned_to_id":23,"start_date":"2017-02-19","description":"","custom_fields":[{"id":1,"name":"Subdivision","value":"NW"},{"id":4,"name":"Milepost","value":"0.0789"},{"id":17,"name":"Train ID","value":"1828-19"},{"id":16,"name":"Locomotive ID","value":"4008"},{"id":130,"name":"Impact","value":""},{"id":150,"name":"Time of Event (Mountain Time)","value":"19:54:40"},{"id":151,"name":"Denver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56"/>
        <v>start /low /b %USERPROFILE%\Documents\GitHub\eaglep3\Utilities\DownloadLogsFromS3.py --loco 4008 --day 2017-02-19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2017-02-19-UncaughtWiMAX.txt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634</v>
      </c>
      <c r="B184" s="7">
        <v>4007</v>
      </c>
      <c r="C184" s="21" t="s">
        <v>665</v>
      </c>
      <c r="D184" s="21" t="s">
        <v>747</v>
      </c>
      <c r="E184" s="13">
        <v>42785.844872685186</v>
      </c>
      <c r="F184" s="13">
        <v>42785.848101851851</v>
      </c>
      <c r="G184" s="7">
        <v>1</v>
      </c>
      <c r="H184" s="21" t="s">
        <v>748</v>
      </c>
      <c r="I184" s="13">
        <v>42785.857199074075</v>
      </c>
      <c r="J184" s="7">
        <v>0</v>
      </c>
      <c r="K184" s="98" t="str">
        <f t="shared" si="39"/>
        <v>4007/4008</v>
      </c>
      <c r="L184" s="21" t="str">
        <f>VLOOKUP(A184,'Trips&amp;Operators'!$C$1:$G$99999,5,FALSE)</f>
        <v>HELVIE ADAM</v>
      </c>
      <c r="M184" s="6">
        <f t="shared" si="40"/>
        <v>9.0972222242271528E-3</v>
      </c>
      <c r="N184" s="7">
        <f t="shared" si="41"/>
        <v>13.1000000028871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44"/>
        <v>https://d0f6bd738d7f1b3e5a7ca70fe4ff75f0.us-east-1.aws.found.io/app/kibana#/discover/Steve-Slow-Train-Analysis-(2080s-and-2083s)?_g=(refreshInterval:(display:Off,pause:!f,section:0,value:0),time:(from:'2017-02-19T19:16:37-0700',mode:absolute,to:'2017-02-19T21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88" t="str">
        <f t="shared" si="45"/>
        <v>N</v>
      </c>
      <c r="X184" s="188">
        <f t="shared" si="46"/>
        <v>1</v>
      </c>
      <c r="Y184" s="62">
        <f t="shared" si="47"/>
        <v>0.1086</v>
      </c>
      <c r="Z184" s="62">
        <f t="shared" si="48"/>
        <v>5.8935000000000004</v>
      </c>
      <c r="AA184" s="62">
        <f t="shared" si="49"/>
        <v>5.7849000000000004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0"/>
        <v>1829-19</v>
      </c>
      <c r="AE184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84" s="82" t="str">
        <f t="shared" si="52"/>
        <v>"C:\Program Files (x86)\AstroGrep\AstroGrep.exe" /spath="%USERPROFILE%\AppData\Local\Temp\OnboardLogs" /stypes="app*4007*20170220*" /stext=" 03:.+((SYSTEM_STATE.+slice.+state.+changed )|(ment ac)|(multiple cpu faults)|(system.+state.+changed )|(\[timeout)|(PRM\|1\|D)|(kpr)|(kdp)|(\|loc)|(penalty))"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1829-19 --locoid 4007 --swversion DE.1.0.9.0 --startMP 204:1086 --initTime 2017-02-19T20:16:37 --startdatetime 2017-02-19T20:21:16 --delay 1 --endMP 300:58935 --enddatetime 2017-02-19T20:34:22 --enforcementcount 0 &gt;&gt;C:\Users\stu\Documents\GitHub\eaglep3-reporting\EC\2017-02-19-refined-times.txt</v>
      </c>
      <c r="AI184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{"issue":{"subject":"","project_id":79,"tracker_id":40,"status_id":1,"priority_id":2,"assigned_to_id":23,"start_date":"2017-02-19","description":"","custom_fields":[{"id":1,"name":"Subdivision","value":"NW"},{"id":4,"name":"Milepost","value":"5.8935"},{"id":17,"name":"Train ID","value":"1829-19"},{"id":16,"name":"Locomotive ID","value":"4007"},{"id":130,"name":"Impact","value":""},{"id":150,"name":"Time of Event (Mountain Time)","value":"20:34:22"},{"id":151,"name":"Denver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56"/>
        <v>start /low /b %USERPROFILE%\Documents\GitHub\eaglep3\Utilities\DownloadLogsFromS3.py --loco 4007 --day 2017-02-19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2017-02-19-UncaughtWiMAX.txt</v>
      </c>
    </row>
    <row r="185" spans="1:91" x14ac:dyDescent="0.25">
      <c r="A185" s="33" t="s">
        <v>636</v>
      </c>
      <c r="B185" s="7">
        <v>4008</v>
      </c>
      <c r="C185" s="21" t="s">
        <v>665</v>
      </c>
      <c r="D185" s="21" t="s">
        <v>413</v>
      </c>
      <c r="E185" s="13">
        <v>42785.858287037037</v>
      </c>
      <c r="F185" s="13">
        <v>42785.859375</v>
      </c>
      <c r="G185" s="7">
        <v>0</v>
      </c>
      <c r="H185" s="21" t="s">
        <v>749</v>
      </c>
      <c r="I185" s="13">
        <v>42785.871365740742</v>
      </c>
      <c r="J185" s="7">
        <v>0</v>
      </c>
      <c r="K185" s="98" t="str">
        <f t="shared" si="39"/>
        <v>4007/4008</v>
      </c>
      <c r="L185" s="21" t="str">
        <f>VLOOKUP(A185,'Trips&amp;Operators'!$C$1:$G$99999,5,FALSE)</f>
        <v>HELVIE ADAM</v>
      </c>
      <c r="M185" s="6">
        <f t="shared" si="40"/>
        <v>1.1990740742476191E-2</v>
      </c>
      <c r="N185" s="7">
        <f t="shared" si="41"/>
        <v>17.266666669165716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44"/>
        <v>https://d0f6bd738d7f1b3e5a7ca70fe4ff75f0.us-east-1.aws.found.io/app/kibana#/discover/Steve-Slow-Train-Analysis-(2080s-and-2083s)?_g=(refreshInterval:(display:Off,pause:!f,section:0,value:0),time:(from:'2017-02-19T19:35:56-0700',mode:absolute,to:'2017-02-19T21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88" t="str">
        <f t="shared" si="45"/>
        <v>N</v>
      </c>
      <c r="X185" s="188">
        <f t="shared" si="46"/>
        <v>1</v>
      </c>
      <c r="Y185" s="62">
        <f t="shared" si="47"/>
        <v>5.8619000000000003</v>
      </c>
      <c r="Z185" s="62">
        <f t="shared" si="48"/>
        <v>7.6600000000000001E-2</v>
      </c>
      <c r="AA185" s="62">
        <f t="shared" si="49"/>
        <v>5.7853000000000003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0"/>
        <v>1830-19</v>
      </c>
      <c r="AE185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85" s="82" t="str">
        <f t="shared" si="52"/>
        <v>"C:\Program Files (x86)\AstroGrep\AstroGrep.exe" /spath="%USERPROFILE%\AppData\Local\Temp\OnboardLogs" /stypes="app*4008*20170220*" /stext=" 03:.+((SYSTEM_STATE.+slice.+state.+changed )|(ment ac)|(multiple cpu faults)|(system.+state.+changed )|(\[timeout)|(PRM\|1\|D)|(kpr)|(kdp)|(\|loc)|(penalty))"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1830-19 --locoid 4008 --swversion DE.1.0.9.0 --startMP 300:58619 --initTime 2017-02-19T20:35:56 --startdatetime 2017-02-19T20:37:30 --delay 0 --endMP 204:766 --enddatetime 2017-02-19T20:54:46 --enforcementcount 0 &gt;&gt;C:\Users\stu\Documents\GitHub\eaglep3-reporting\EC\2017-02-19-refined-times.txt</v>
      </c>
      <c r="AI185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{"issue":{"subject":"","project_id":79,"tracker_id":40,"status_id":1,"priority_id":2,"assigned_to_id":23,"start_date":"2017-02-19","description":"","custom_fields":[{"id":1,"name":"Subdivision","value":"NW"},{"id":4,"name":"Milepost","value":"0.0766"},{"id":17,"name":"Train ID","value":"1830-19"},{"id":16,"name":"Locomotive ID","value":"4008"},{"id":130,"name":"Impact","value":""},{"id":150,"name":"Time of Event (Mountain Time)","value":"20:54:46"},{"id":151,"name":"Denver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56"/>
        <v>start /low /b %USERPROFILE%\Documents\GitHub\eaglep3\Utilities\DownloadLogsFromS3.py --loco 4008 --day 2017-02-19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2017-02-19-UncaughtWiMAX.txt</v>
      </c>
    </row>
    <row r="186" spans="1:91" x14ac:dyDescent="0.25">
      <c r="A186" s="33" t="s">
        <v>641</v>
      </c>
      <c r="B186" s="7">
        <v>4007</v>
      </c>
      <c r="C186" s="21" t="s">
        <v>665</v>
      </c>
      <c r="D186" s="21" t="s">
        <v>750</v>
      </c>
      <c r="E186" s="13">
        <v>42785.885729166665</v>
      </c>
      <c r="F186" s="13">
        <v>42785.889768518522</v>
      </c>
      <c r="G186" s="7">
        <v>1</v>
      </c>
      <c r="H186" s="21" t="s">
        <v>303</v>
      </c>
      <c r="I186" s="13">
        <v>42785.89916666667</v>
      </c>
      <c r="J186" s="7">
        <v>0</v>
      </c>
      <c r="K186" s="98" t="str">
        <f t="shared" si="39"/>
        <v>4007/4008</v>
      </c>
      <c r="L186" s="21" t="str">
        <f>VLOOKUP(A186,'Trips&amp;Operators'!$C$1:$G$99999,5,FALSE)</f>
        <v>HELVIE ADAM</v>
      </c>
      <c r="M186" s="6">
        <f t="shared" si="40"/>
        <v>9.3981481477385387E-3</v>
      </c>
      <c r="N186" s="7">
        <f t="shared" si="41"/>
        <v>13.533333332743496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44"/>
        <v>https://d0f6bd738d7f1b3e5a7ca70fe4ff75f0.us-east-1.aws.found.io/app/kibana#/discover/Steve-Slow-Train-Analysis-(2080s-and-2083s)?_g=(refreshInterval:(display:Off,pause:!f,section:0,value:0),time:(from:'2017-02-19T20:15:27-0700',mode:absolute,to:'2017-02-19T22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88" t="str">
        <f t="shared" si="45"/>
        <v>N</v>
      </c>
      <c r="X186" s="188">
        <f t="shared" si="46"/>
        <v>1</v>
      </c>
      <c r="Y186" s="62">
        <f t="shared" si="47"/>
        <v>0.10580000000000001</v>
      </c>
      <c r="Z186" s="62">
        <f t="shared" si="48"/>
        <v>5.8936999999999999</v>
      </c>
      <c r="AA186" s="62">
        <f t="shared" si="49"/>
        <v>5.7878999999999996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0"/>
        <v>1831-19</v>
      </c>
      <c r="AE186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86" s="82" t="str">
        <f t="shared" si="52"/>
        <v>"C:\Program Files (x86)\AstroGrep\AstroGrep.exe" /spath="%USERPROFILE%\AppData\Local\Temp\OnboardLogs" /stypes="app*4007*20170220*" /stext=" 04:.+((SYSTEM_STATE.+slice.+state.+changed )|(ment ac)|(multiple cpu faults)|(system.+state.+changed )|(\[timeout)|(PRM\|1\|D)|(kpr)|(kdp)|(\|loc)|(penalty))"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1831-19 --locoid 4007 --swversion DE.1.0.9.0 --startMP 204:1058 --initTime 2017-02-19T21:15:27 --startdatetime 2017-02-19T21:21:16 --delay 1 --endMP 300:58937 --enddatetime 2017-02-19T21:34:48 --enforcementcount 0 &gt;&gt;C:\Users\stu\Documents\GitHub\eaglep3-reporting\EC\2017-02-19-refined-times.txt</v>
      </c>
      <c r="AI186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{"issue":{"subject":"","project_id":79,"tracker_id":40,"status_id":1,"priority_id":2,"assigned_to_id":23,"start_date":"2017-02-19","description":"","custom_fields":[{"id":1,"name":"Subdivision","value":"NW"},{"id":4,"name":"Milepost","value":"5.8937"},{"id":17,"name":"Train ID","value":"1831-19"},{"id":16,"name":"Locomotive ID","value":"4007"},{"id":130,"name":"Impact","value":""},{"id":150,"name":"Time of Event (Mountain Time)","value":"21:34:48"},{"id":151,"name":"Denver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56"/>
        <v>start /low /b %USERPROFILE%\Documents\GitHub\eaglep3\Utilities\DownloadLogsFromS3.py --loco 4007 --day 2017-02-19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2017-02-19-UncaughtWiMAX.txt</v>
      </c>
    </row>
    <row r="187" spans="1:91" x14ac:dyDescent="0.25">
      <c r="A187" s="33" t="s">
        <v>642</v>
      </c>
      <c r="B187" s="7">
        <v>4008</v>
      </c>
      <c r="C187" s="21" t="s">
        <v>665</v>
      </c>
      <c r="D187" s="21" t="s">
        <v>743</v>
      </c>
      <c r="E187" s="13">
        <v>42785.899942129632</v>
      </c>
      <c r="F187" s="13">
        <v>42785.901261574072</v>
      </c>
      <c r="G187" s="7">
        <v>1</v>
      </c>
      <c r="H187" s="21" t="s">
        <v>751</v>
      </c>
      <c r="I187" s="13">
        <v>42785.91300925926</v>
      </c>
      <c r="J187" s="7">
        <v>0</v>
      </c>
      <c r="K187" s="98" t="str">
        <f t="shared" si="39"/>
        <v>4007/4008</v>
      </c>
      <c r="L187" s="21" t="str">
        <f>VLOOKUP(A187,'Trips&amp;Operators'!$C$1:$G$99999,5,FALSE)</f>
        <v>HELVIE ADAM</v>
      </c>
      <c r="M187" s="6">
        <f t="shared" si="40"/>
        <v>1.1747685188311152E-2</v>
      </c>
      <c r="N187" s="7">
        <f t="shared" si="41"/>
        <v>16.916666671168059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44"/>
        <v>https://d0f6bd738d7f1b3e5a7ca70fe4ff75f0.us-east-1.aws.found.io/app/kibana#/discover/Steve-Slow-Train-Analysis-(2080s-and-2083s)?_g=(refreshInterval:(display:Off,pause:!f,section:0,value:0),time:(from:'2017-02-19T20:35:55-0700',mode:absolute,to:'2017-02-19T22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88" t="str">
        <f t="shared" si="45"/>
        <v>N</v>
      </c>
      <c r="X187" s="188">
        <f t="shared" si="46"/>
        <v>1</v>
      </c>
      <c r="Y187" s="62">
        <f t="shared" si="47"/>
        <v>5.8620999999999999</v>
      </c>
      <c r="Z187" s="62">
        <f t="shared" si="48"/>
        <v>8.5300000000000001E-2</v>
      </c>
      <c r="AA187" s="62">
        <f t="shared" si="49"/>
        <v>5.7767999999999997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0"/>
        <v>1832-19</v>
      </c>
      <c r="AE187" s="85" t="str">
        <f t="shared" si="51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187" s="82" t="str">
        <f t="shared" si="52"/>
        <v>"C:\Program Files (x86)\AstroGrep\AstroGrep.exe" /spath="%USERPROFILE%\AppData\Local\Temp\OnboardLogs" /stypes="app*4008*20170220*" /stext=" 04:.+((SYSTEM_STATE.+slice.+state.+changed )|(ment ac)|(multiple cpu faults)|(system.+state.+changed )|(\[timeout)|(PRM\|1\|D)|(kpr)|(kdp)|(\|loc)|(penalty))"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1832-19 --locoid 4008 --swversion DE.1.0.9.0 --startMP 300:58621 --initTime 2017-02-19T21:35:55 --startdatetime 2017-02-19T21:37:49 --delay 1 --endMP 204:853 --enddatetime 2017-02-19T21:54:44 --enforcementcount 0 &gt;&gt;C:\Users\stu\Documents\GitHub\eaglep3-reporting\EC\2017-02-19-refined-times.txt</v>
      </c>
      <c r="AI187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{"issue":{"subject":"","project_id":79,"tracker_id":40,"status_id":1,"priority_id":2,"assigned_to_id":23,"start_date":"2017-02-19","description":"","custom_fields":[{"id":1,"name":"Subdivision","value":"NW"},{"id":4,"name":"Milepost","value":"0.0853"},{"id":17,"name":"Train ID","value":"1832-19"},{"id":16,"name":"Locomotive ID","value":"4008"},{"id":130,"name":"Impact","value":""},{"id":150,"name":"Time of Event (Mountain Time)","value":"21:54:44"},{"id":151,"name":"Denver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56"/>
        <v>start /low /b %USERPROFILE%\Documents\GitHub\eaglep3\Utilities\DownloadLogsFromS3.py --loco 4008 --day 2017-02-19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2017-02-19-UncaughtWiMAX.txt</v>
      </c>
    </row>
    <row r="188" spans="1:91" x14ac:dyDescent="0.25">
      <c r="A188" s="33" t="s">
        <v>645</v>
      </c>
      <c r="B188" s="7">
        <v>4007</v>
      </c>
      <c r="C188" s="21" t="s">
        <v>665</v>
      </c>
      <c r="D188" s="21" t="s">
        <v>752</v>
      </c>
      <c r="E188" s="13">
        <v>42785.927731481483</v>
      </c>
      <c r="F188" s="13">
        <v>42785.931458333333</v>
      </c>
      <c r="G188" s="7">
        <v>1</v>
      </c>
      <c r="H188" s="21" t="s">
        <v>736</v>
      </c>
      <c r="I188" s="13">
        <v>42785.94054398148</v>
      </c>
      <c r="J188" s="7">
        <v>0</v>
      </c>
      <c r="K188" s="98" t="str">
        <f t="shared" si="39"/>
        <v>4007/4008</v>
      </c>
      <c r="L188" s="21" t="str">
        <f>VLOOKUP(A188,'Trips&amp;Operators'!$C$1:$G$99999,5,FALSE)</f>
        <v>HELVIE ADAM</v>
      </c>
      <c r="M188" s="6">
        <f t="shared" si="40"/>
        <v>9.0856481474475004E-3</v>
      </c>
      <c r="N188" s="7">
        <f t="shared" si="41"/>
        <v>13.083333332324401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44"/>
        <v>https://d0f6bd738d7f1b3e5a7ca70fe4ff75f0.us-east-1.aws.found.io/app/kibana#/discover/Steve-Slow-Train-Analysis-(2080s-and-2083s)?_g=(refreshInterval:(display:Off,pause:!f,section:0,value:0),time:(from:'2017-02-19T21:15:56-0700',mode:absolute,to:'2017-02-19T23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88" t="str">
        <f t="shared" si="45"/>
        <v>N</v>
      </c>
      <c r="X188" s="188">
        <f t="shared" si="46"/>
        <v>1</v>
      </c>
      <c r="Y188" s="62">
        <f t="shared" si="47"/>
        <v>0.1154</v>
      </c>
      <c r="Z188" s="62">
        <f t="shared" si="48"/>
        <v>5.8944000000000001</v>
      </c>
      <c r="AA188" s="62">
        <f t="shared" si="49"/>
        <v>5.7789999999999999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0"/>
        <v>1833-19</v>
      </c>
      <c r="AE188" s="85" t="str">
        <f t="shared" si="51"/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188" s="82" t="str">
        <f t="shared" si="52"/>
        <v>"C:\Program Files (x86)\AstroGrep\AstroGrep.exe" /spath="%USERPROFILE%\AppData\Local\Temp\OnboardLogs" /stypes="app*4007*20170220*" /stext=" 05:.+((SYSTEM_STATE.+slice.+state.+changed )|(ment ac)|(multiple cpu faults)|(system.+state.+changed )|(\[timeout)|(PRM\|1\|D)|(kpr)|(kdp)|(\|loc)|(penalty))"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1833-19 --locoid 4007 --swversion DE.1.0.9.0 --startMP 204:1154 --initTime 2017-02-19T22:15:56 --startdatetime 2017-02-19T22:21:18 --delay 1 --endMP 300:58944 --enddatetime 2017-02-19T22:34:23 --enforcementcount 0 &gt;&gt;C:\Users\stu\Documents\GitHub\eaglep3-reporting\EC\2017-02-19-refined-times.txt</v>
      </c>
      <c r="AI188" s="108" t="str">
        <f t="shared" si="55"/>
        <v>echo {"issue":{"subject":"","project_id":79,"tracker_id":40,"status_id":1,"priority_id":2,"assigned_to_id":23,"start_date":"2017-02-19","description":"","custom_fields":[{"id":1,"name":"Subdivision","value":"NW"},{"id":4,"name":"Milepost","value":"5.8944"},{"id":17,"name":"Train ID","value":"1833-19"},{"id":16,"name":"Locomotive ID","value":"4007"},{"id":130,"name":"Impact","value":""},{"id":150,"name":"Time of Event (Mountain Time)","value":"22:34:23"},{"id":151,"name":"Denver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56"/>
        <v>start /low /b %USERPROFILE%\Documents\GitHub\eaglep3\Utilities\DownloadLogsFromS3.py --loco 4007 --day 2017-02-19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2017-02-19-UncaughtWiMAX.txt</v>
      </c>
    </row>
    <row r="189" spans="1:91" x14ac:dyDescent="0.25">
      <c r="A189" s="33" t="s">
        <v>455</v>
      </c>
      <c r="B189" s="7">
        <v>4015</v>
      </c>
      <c r="C189" s="21" t="s">
        <v>665</v>
      </c>
      <c r="D189" s="21" t="s">
        <v>782</v>
      </c>
      <c r="E189" s="13">
        <v>42785.119143518517</v>
      </c>
      <c r="F189" s="13">
        <v>42785.121446759258</v>
      </c>
      <c r="G189" s="7">
        <v>3</v>
      </c>
      <c r="H189" s="21" t="s">
        <v>262</v>
      </c>
      <c r="I189" s="13">
        <v>42785.127002314817</v>
      </c>
      <c r="J189" s="7">
        <v>0</v>
      </c>
      <c r="K189" s="98" t="str">
        <f t="shared" si="39"/>
        <v>4015/4016</v>
      </c>
      <c r="L189" s="21" t="str">
        <f>VLOOKUP(A189,'Trips&amp;Operators'!$C$1:$G$99999,5,FALSE)</f>
        <v>SWANSON BRYCE</v>
      </c>
      <c r="M189" s="6">
        <f t="shared" si="40"/>
        <v>5.5555555591126904E-3</v>
      </c>
      <c r="N189" s="7">
        <f t="shared" si="41"/>
        <v>8.0000000051222742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44"/>
        <v>https://d0f6bd738d7f1b3e5a7ca70fe4ff75f0.us-east-1.aws.found.io/app/kibana#/discover/Steve-Slow-Train-Analysis-(2080s-and-2083s)?_g=(refreshInterval:(display:Off,pause:!f,section:0,value:0),time:(from:'2017-02-19T01:51:34-0700',mode:absolute,to:'2017-02-19T04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88" t="str">
        <f t="shared" si="45"/>
        <v>Y</v>
      </c>
      <c r="X189" s="188">
        <f t="shared" si="46"/>
        <v>-1531</v>
      </c>
      <c r="Y189" s="62">
        <f t="shared" si="47"/>
        <v>2.3001999999999998</v>
      </c>
      <c r="Z189" s="62">
        <f t="shared" si="48"/>
        <v>1.3899999999999999E-2</v>
      </c>
      <c r="AA189" s="62">
        <f t="shared" si="49"/>
        <v>2.2862999999999998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0"/>
        <v>0302-19</v>
      </c>
      <c r="AE189" s="85" t="str">
        <f t="shared" si="51"/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AF189" s="82" t="str">
        <f t="shared" si="52"/>
        <v>"C:\Program Files (x86)\AstroGrep\AstroGrep.exe" /spath="%USERPROFILE%\AppData\Local\Temp\OnboardLogs" /stypes="app*4015*20170219*" /stext=" 10:.+((SYSTEM_STATE.+slice.+state.+changed )|(ment ac)|(multiple cpu faults)|(system.+state.+changed )|(\[timeout)|(PRM\|1\|D)|(kpr)|(kdp)|(\|loc)|(penalty))" /e /r /s</v>
      </c>
      <c r="AG189" s="1" t="str">
        <f t="shared" si="53"/>
        <v>Other</v>
      </c>
      <c r="AH189" s="86" t="str">
        <f t="shared" si="54"/>
        <v>"%USERPROFILE%\Documents\GitHub\eaglep3\Utilities\RefineRTDCRunTimes.py" --tripid 302-19 --locoid 4015 --swversion DE.1.0.9.0 --startMP 300:23002 --initTime 2017-02-19T02:51:34 --startdatetime 2017-02-19T02:54:53 --delay 3 --endMP 204:139 --enddatetime 2017-02-19T03:02:53 --enforcementcount 0 &gt;&gt;C:\Users\stu\Documents\GitHub\eaglep3-reporting\EC\2017-02-19-refined-times.txt</v>
      </c>
      <c r="AI189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{"issue":{"subject":"","project_id":79,"tracker_id":40,"status_id":1,"priority_id":2,"assigned_to_id":23,"start_date":"2017-02-19","description":"","custom_fields":[{"id":1,"name":"Subdivision","value":"Other"},{"id":4,"name":"Milepost","value":"0.0139"},{"id":17,"name":"Train ID","value":"302-19"},{"id":16,"name":"Locomotive ID","value":"4015"},{"id":130,"name":"Impact","value":""},{"id":150,"name":"Time of Event (Mountain Time)","value":"03:02:53"},{"id":151,"name":"Denver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56"/>
        <v>start /low /b %USERPROFILE%\Documents\GitHub\eaglep3\Utilities\DownloadLogsFromS3.py --loco 4015 --day 2017-02-19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"%USERPROFILE%\AppData\Local\Temp\OnboardLogs"\RTDC4015\*4015*20170219* | grep -SE "(Enforcement Action)|(\[TIMEOUT)|(CHR.+\|PRM\|1\|D.+(SWITCH|SIGNAL).+UNKNOWN)" - &gt;&gt; 2017-02-19-UncaughtWiMAX.txt</v>
      </c>
    </row>
    <row r="190" spans="1:91" x14ac:dyDescent="0.25">
      <c r="A190" s="33" t="s">
        <v>616</v>
      </c>
      <c r="B190" s="7">
        <v>4020</v>
      </c>
      <c r="C190" s="21" t="s">
        <v>665</v>
      </c>
      <c r="D190" s="21" t="s">
        <v>397</v>
      </c>
      <c r="E190" s="13">
        <v>42785.775347222225</v>
      </c>
      <c r="F190" s="13">
        <v>25568.708333333332</v>
      </c>
      <c r="G190" s="7">
        <v>1</v>
      </c>
      <c r="H190" s="21" t="s">
        <v>298</v>
      </c>
      <c r="I190" s="13">
        <v>25568.708333333332</v>
      </c>
      <c r="J190" s="7">
        <v>0</v>
      </c>
      <c r="K190" s="98" t="str">
        <f t="shared" si="39"/>
        <v>4019/4020</v>
      </c>
      <c r="L190" s="21" t="str">
        <f>VLOOKUP(A190,'Trips&amp;Operators'!$C$1:$G$99999,5,FALSE)</f>
        <v>LEVIN SCOTT</v>
      </c>
      <c r="M190" s="6">
        <f t="shared" si="40"/>
        <v>0</v>
      </c>
      <c r="N190" s="7">
        <f t="shared" si="41"/>
        <v>0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44"/>
        <v>https://d0f6bd738d7f1b3e5a7ca70fe4ff75f0.us-east-1.aws.found.io/app/kibana#/discover/Steve-Slow-Train-Analysis-(2080s-and-2083s)?_g=(refreshInterval:(display:Off,pause:!f,section:0,value:0),time:(from:'2017-02-19T17:36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188" t="str">
        <f t="shared" si="45"/>
        <v>Y</v>
      </c>
      <c r="X190" s="188">
        <f t="shared" si="46"/>
        <v>1</v>
      </c>
      <c r="Y190" s="62">
        <f t="shared" si="47"/>
        <v>4.4699999999999997E-2</v>
      </c>
      <c r="Z190" s="62">
        <f t="shared" si="48"/>
        <v>2.3346</v>
      </c>
      <c r="AA190" s="62">
        <f t="shared" si="49"/>
        <v>2.2898999999999998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0"/>
        <v>0303-19</v>
      </c>
      <c r="AE190" s="85" t="str">
        <f t="shared" si="5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190" s="82" t="str">
        <f t="shared" si="5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)|(\[timeout)|(PRM\|1\|D)|(kpr)|(kdp)|(\|loc)|(penalty))" /e /r /s</v>
      </c>
      <c r="AG190" s="1" t="str">
        <f t="shared" si="53"/>
        <v>Other</v>
      </c>
      <c r="AH190" s="86" t="str">
        <f t="shared" si="54"/>
        <v>"%USERPROFILE%\Documents\GitHub\eaglep3\Utilities\RefineRTDCRunTimes.py" --tripid 303-19 --locoid 4020 --swversion DE.1.0.9.0 --startMP 204:447 --initTime 2017-02-19T18:36:30 --startdatetime 1969-12-31T17:00:00 --delay 1 --endMP 300:23346 --enddatetime 1969-12-31T17:00:00 --enforcementcount 0 &gt;&gt;C:\Users\stu\Documents\GitHub\eaglep3-reporting\EC\2017-02-19-refined-times.txt</v>
      </c>
      <c r="AI190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ID","value":"303-19"},{"id":16,"name":"Locomotive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56"/>
        <v>start /low /b %USERPROFILE%\Documents\GitHub\eaglep3\Utilities\DownloadLogsFromS3.py --loco 4020 --day 1969-12-31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2017-02-19-UncaughtWiMAX.txt</v>
      </c>
    </row>
    <row r="191" spans="1:91" x14ac:dyDescent="0.25">
      <c r="A191" s="33" t="s">
        <v>460</v>
      </c>
      <c r="B191" s="7">
        <v>4005</v>
      </c>
      <c r="C191" s="21" t="s">
        <v>665</v>
      </c>
      <c r="D191" s="21" t="s">
        <v>783</v>
      </c>
      <c r="E191" s="13">
        <v>42785.149745370371</v>
      </c>
      <c r="F191" s="13">
        <v>42785.150821759256</v>
      </c>
      <c r="G191" s="7">
        <v>1</v>
      </c>
      <c r="H191" s="21" t="s">
        <v>294</v>
      </c>
      <c r="I191" s="13">
        <v>42785.157060185185</v>
      </c>
      <c r="J191" s="7">
        <v>0</v>
      </c>
      <c r="K191" s="98" t="str">
        <f t="shared" si="39"/>
        <v>4005/4006</v>
      </c>
      <c r="L191" s="21" t="str">
        <f>VLOOKUP(A191,'Trips&amp;Operators'!$C$1:$G$99999,5,FALSE)</f>
        <v>ARVIDSON DANIEL</v>
      </c>
      <c r="M191" s="6">
        <f t="shared" si="40"/>
        <v>6.2384259290411137E-3</v>
      </c>
      <c r="N191" s="7">
        <f t="shared" si="41"/>
        <v>8.9833333378192037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44"/>
        <v>https://d0f6bd738d7f1b3e5a7ca70fe4ff75f0.us-east-1.aws.found.io/app/kibana#/discover/Steve-Slow-Train-Analysis-(2080s-and-2083s)?_g=(refreshInterval:(display:Off,pause:!f,section:0,value:0),time:(from:'2017-02-19T02:35:38-0700',mode:absolute,to:'2017-02-19T04:46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88" t="str">
        <f t="shared" si="45"/>
        <v>Y</v>
      </c>
      <c r="X191" s="188">
        <f t="shared" si="46"/>
        <v>1</v>
      </c>
      <c r="Y191" s="62">
        <f t="shared" si="47"/>
        <v>2.2827999999999999</v>
      </c>
      <c r="Z191" s="62">
        <f t="shared" si="48"/>
        <v>1.5599999999999999E-2</v>
      </c>
      <c r="AA191" s="62">
        <f t="shared" si="49"/>
        <v>2.2671999999999999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0"/>
        <v>0304-19</v>
      </c>
      <c r="AE191" s="85" t="str">
        <f t="shared" si="51"/>
        <v>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 &amp; aws s3 cp s3://rtdc.mdm.uploadarchive.raw/RTDC4005/ "%USERPROFILE%\AppData\Local\Temp\OnboardLogs"\RTDC4005\2017-02-20 --exclude "*" --recursive --include "*20170220*" &amp; "%USERPROFILE%\Documents\GitHub\mrs-test-scripts\Headless Mode &amp; Sideloading\WalkAndUnGZ.bat" "%USERPROFILE%\AppData\Local\Temp\OnboardLogs"\RTDC4005\2017-02-20</v>
      </c>
      <c r="AF191" s="82" t="str">
        <f t="shared" si="52"/>
        <v>"C:\Program Files (x86)\AstroGrep\AstroGrep.exe" /spath="%USERPROFILE%\AppData\Local\Temp\OnboardLogs" /stypes="app*4005*20170219*" /stext=" 10:.+((SYSTEM_STATE.+slice.+state.+changed )|(ment ac)|(multiple cpu faults)|(system.+state.+changed )|(\[timeout)|(PRM\|1\|D)|(kpr)|(kdp)|(\|loc)|(penalty))" /e /r /s</v>
      </c>
      <c r="AG191" s="1" t="str">
        <f t="shared" si="53"/>
        <v>Other</v>
      </c>
      <c r="AH191" s="86" t="str">
        <f t="shared" si="54"/>
        <v>"%USERPROFILE%\Documents\GitHub\eaglep3\Utilities\RefineRTDCRunTimes.py" --tripid 304-19 --locoid 4005 --swversion DE.1.0.9.0 --startMP 300:22828 --initTime 2017-02-19T03:35:38 --startdatetime 2017-02-19T03:37:11 --delay 1 --endMP 204:156 --enddatetime 2017-02-19T03:46:10 --enforcementcount 0 &gt;&gt;C:\Users\stu\Documents\GitHub\eaglep3-reporting\EC\2017-02-19-refined-times.txt</v>
      </c>
      <c r="AI191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{"issue":{"subject":"","project_id":79,"tracker_id":40,"status_id":1,"priority_id":2,"assigned_to_id":23,"start_date":"2017-02-19","description":"","custom_fields":[{"id":1,"name":"Subdivision","value":"Other"},{"id":4,"name":"Milepost","value":"0.0156"},{"id":17,"name":"Train ID","value":"304-19"},{"id":16,"name":"Locomotive ID","value":"4005"},{"id":130,"name":"Impact","value":""},{"id":150,"name":"Time of Event (Mountain Time)","value":"03:46:10"},{"id":151,"name":"Denver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56"/>
        <v>start /low /b %USERPROFILE%\Documents\GitHub\eaglep3\Utilities\DownloadLogsFromS3.py --loco 4005 --day 2017-02-19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2017-02-19-UncaughtWiMAX.txt</v>
      </c>
    </row>
    <row r="192" spans="1:91" x14ac:dyDescent="0.25">
      <c r="A192" s="33" t="s">
        <v>621</v>
      </c>
      <c r="B192" s="7">
        <v>4003</v>
      </c>
      <c r="C192" s="21" t="s">
        <v>665</v>
      </c>
      <c r="D192" s="21" t="s">
        <v>204</v>
      </c>
      <c r="E192" s="13">
        <v>42785.802118055559</v>
      </c>
      <c r="F192" s="13">
        <v>42785.804976851854</v>
      </c>
      <c r="G192" s="7">
        <v>1</v>
      </c>
      <c r="H192" s="21" t="s">
        <v>784</v>
      </c>
      <c r="I192" s="13">
        <v>42785.810324074075</v>
      </c>
      <c r="J192" s="7">
        <v>0</v>
      </c>
      <c r="K192" s="98" t="str">
        <f t="shared" si="39"/>
        <v>4003/4004</v>
      </c>
      <c r="L192" s="21" t="str">
        <f>VLOOKUP(A192,'Trips&amp;Operators'!$C$1:$G$99999,5,FALSE)</f>
        <v>CRAYTON QUNTRELL</v>
      </c>
      <c r="M192" s="6">
        <f t="shared" si="40"/>
        <v>5.3472222207346931E-3</v>
      </c>
      <c r="N192" s="7">
        <f t="shared" si="41"/>
        <v>7.6999999978579581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44"/>
        <v>https://d0f6bd738d7f1b3e5a7ca70fe4ff75f0.us-east-1.aws.found.io/app/kibana#/discover/Steve-Slow-Train-Analysis-(2080s-and-2083s)?_g=(refreshInterval:(display:Off,pause:!f,section:0,value:0),time:(from:'2017-02-19T18:15:03-0700',mode:absolute,to:'2017-02-19T20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2" s="188" t="str">
        <f t="shared" si="45"/>
        <v>Y</v>
      </c>
      <c r="X192" s="188">
        <f t="shared" si="46"/>
        <v>1</v>
      </c>
      <c r="Y192" s="62">
        <f t="shared" si="47"/>
        <v>4.6199999999999998E-2</v>
      </c>
      <c r="Z192" s="62">
        <f t="shared" si="48"/>
        <v>3.1591</v>
      </c>
      <c r="AA192" s="62">
        <f t="shared" si="49"/>
        <v>3.1129000000000002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0"/>
        <v>0305-19</v>
      </c>
      <c r="AE192" s="85" t="str">
        <f t="shared" si="51"/>
        <v>aws s3 cp s3://rtdc.mdm.uploadarchive.raw/RTDC4003/ "%USERPROFILE%\AppData\Local\Temp\OnboardLogs"\RTDC4003\2017-02-19 --exclude "*" --recursive --include "*20170219*" &amp; "%USERPROFILE%\Documents\GitHub\mrs-test-scripts\Headless Mode &amp; Sideloading\WalkAndUnGZ.bat" "%USERPROFILE%\AppData\Local\Temp\OnboardLogs"\RTDC4003\2017-02-19 &amp; 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</v>
      </c>
      <c r="AF192" s="82" t="str">
        <f t="shared" si="52"/>
        <v>"C:\Program Files (x86)\AstroGrep\AstroGrep.exe" /spath="%USERPROFILE%\AppData\Local\Temp\OnboardLogs" /stypes="app*4003*20170220*" /stext=" 02:.+((SYSTEM_STATE.+slice.+state.+changed )|(ment ac)|(multiple cpu faults)|(system.+state.+changed )|(\[timeout)|(PRM\|1\|D)|(kpr)|(kdp)|(\|loc)|(penalty))" /e /r /s</v>
      </c>
      <c r="AG192" s="1" t="str">
        <f t="shared" si="53"/>
        <v>Other</v>
      </c>
      <c r="AH192" s="86" t="str">
        <f t="shared" si="54"/>
        <v>"%USERPROFILE%\Documents\GitHub\eaglep3\Utilities\RefineRTDCRunTimes.py" --tripid 305-19 --locoid 4003 --swversion DE.1.0.9.0 --startMP 204:462 --initTime 2017-02-19T19:15:03 --startdatetime 2017-02-19T19:19:10 --delay 1 --endMP 300:31591 --enddatetime 2017-02-19T19:26:52 --enforcementcount 0 &gt;&gt;C:\Users\stu\Documents\GitHub\eaglep3-reporting\EC\2017-02-19-refined-times.txt</v>
      </c>
      <c r="AI192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{"issue":{"subject":"","project_id":79,"tracker_id":40,"status_id":1,"priority_id":2,"assigned_to_id":23,"start_date":"2017-02-19","description":"","custom_fields":[{"id":1,"name":"Subdivision","value":"Other"},{"id":4,"name":"Milepost","value":"3.1591"},{"id":17,"name":"Train ID","value":"305-19"},{"id":16,"name":"Locomotive ID","value":"4003"},{"id":130,"name":"Impact","value":""},{"id":150,"name":"Time of Event (Mountain Time)","value":"19:26:52"},{"id":151,"name":"Denver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56"/>
        <v>start /low /b %USERPROFILE%\Documents\GitHub\eaglep3\Utilities\DownloadLogsFromS3.py --loco 4003 --day 2017-02-19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2017-02-19-UncaughtWiMAX.txt</v>
      </c>
    </row>
    <row r="193" spans="1:40" x14ac:dyDescent="0.25">
      <c r="A193" s="33" t="s">
        <v>462</v>
      </c>
      <c r="B193" s="7">
        <v>4013</v>
      </c>
      <c r="C193" s="21" t="s">
        <v>665</v>
      </c>
      <c r="D193" s="21" t="s">
        <v>785</v>
      </c>
      <c r="E193" s="13">
        <v>42785.159212962964</v>
      </c>
      <c r="F193" s="13">
        <v>42785.160914351851</v>
      </c>
      <c r="G193" s="7">
        <v>1</v>
      </c>
      <c r="H193" s="21" t="s">
        <v>361</v>
      </c>
      <c r="I193" s="13">
        <v>42785.166527777779</v>
      </c>
      <c r="J193" s="7">
        <v>0</v>
      </c>
      <c r="K193" s="98" t="str">
        <f t="shared" si="39"/>
        <v>4013/4014</v>
      </c>
      <c r="L193" s="21" t="str">
        <f>VLOOKUP(A193,'Trips&amp;Operators'!$C$1:$G$99999,5,FALSE)</f>
        <v>BADERTSCHER DIANE</v>
      </c>
      <c r="M193" s="6">
        <f t="shared" si="40"/>
        <v>5.6134259284590371E-3</v>
      </c>
      <c r="N193" s="7">
        <f t="shared" si="41"/>
        <v>8.0833333369810134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44"/>
        <v>https://d0f6bd738d7f1b3e5a7ca70fe4ff75f0.us-east-1.aws.found.io/app/kibana#/discover/Steve-Slow-Train-Analysis-(2080s-and-2083s)?_g=(refreshInterval:(display:Off,pause:!f,section:0,value:0),time:(from:'2017-02-19T02:49:16-0700',mode:absolute,to:'2017-02-19T04:59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188" t="str">
        <f t="shared" si="45"/>
        <v>Y</v>
      </c>
      <c r="X193" s="188">
        <f t="shared" si="46"/>
        <v>1</v>
      </c>
      <c r="Y193" s="62">
        <f t="shared" si="47"/>
        <v>2.2669000000000001</v>
      </c>
      <c r="Z193" s="62">
        <f t="shared" si="48"/>
        <v>1.2999999999999999E-2</v>
      </c>
      <c r="AA193" s="62">
        <f t="shared" si="49"/>
        <v>2.2539000000000002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0"/>
        <v>0306-19</v>
      </c>
      <c r="AE193" s="85" t="str">
        <f t="shared" si="51"/>
        <v>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 &amp; 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</v>
      </c>
      <c r="AF193" s="82" t="str">
        <f t="shared" si="52"/>
        <v>"C:\Program Files (x86)\AstroGrep\AstroGrep.exe" /spath="%USERPROFILE%\AppData\Local\Temp\OnboardLogs" /stypes="app*4013*20170219*" /stext=" 10:.+((SYSTEM_STATE.+slice.+state.+changed )|(ment ac)|(multiple cpu faults)|(system.+state.+changed )|(\[timeout)|(PRM\|1\|D)|(kpr)|(kdp)|(\|loc)|(penalty))" /e /r /s</v>
      </c>
      <c r="AG193" s="1" t="str">
        <f t="shared" si="53"/>
        <v>Other</v>
      </c>
      <c r="AH193" s="86" t="str">
        <f t="shared" si="54"/>
        <v>"%USERPROFILE%\Documents\GitHub\eaglep3\Utilities\RefineRTDCRunTimes.py" --tripid 306-19 --locoid 4013 --swversion DE.1.0.9.0 --startMP 300:22669 --initTime 2017-02-19T03:49:16 --startdatetime 2017-02-19T03:51:43 --delay 1 --endMP 204:130 --enddatetime 2017-02-19T03:59:48 --enforcementcount 0 &gt;&gt;C:\Users\stu\Documents\GitHub\eaglep3-reporting\EC\2017-02-19-refined-times.txt</v>
      </c>
      <c r="AI193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{"issue":{"subject":"","project_id":79,"tracker_id":40,"status_id":1,"priority_id":2,"assigned_to_id":23,"start_date":"2017-02-19","description":"","custom_fields":[{"id":1,"name":"Subdivision","value":"Other"},{"id":4,"name":"Milepost","value":"0.013"},{"id":17,"name":"Train ID","value":"306-19"},{"id":16,"name":"Locomotive ID","value":"4013"},{"id":130,"name":"Impact","value":""},{"id":150,"name":"Time of Event (Mountain Time)","value":"03:59:48"},{"id":151,"name":"Denver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56"/>
        <v>start /low /b %USERPROFILE%\Documents\GitHub\eaglep3\Utilities\DownloadLogsFromS3.py --loco 4013 --day 2017-02-19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"%USERPROFILE%\AppData\Local\Temp\OnboardLogs"\RTDC4013\*4013*20170219* | grep -SE "(Enforcement Action)|(\[TIMEOUT)|(CHR.+\|PRM\|1\|D.+(SWITCH|SIGNAL).+UNKNOWN)" - &gt;&gt; 2017-02-19-UncaughtWiMAX.txt</v>
      </c>
    </row>
    <row r="194" spans="1:40" x14ac:dyDescent="0.25">
      <c r="A194" s="33" t="s">
        <v>629</v>
      </c>
      <c r="B194" s="7">
        <v>4044</v>
      </c>
      <c r="C194" s="21" t="s">
        <v>665</v>
      </c>
      <c r="D194" s="21" t="s">
        <v>786</v>
      </c>
      <c r="E194" s="13">
        <v>42785.817372685182</v>
      </c>
      <c r="F194" s="13">
        <v>25568.708333333332</v>
      </c>
      <c r="G194" s="7">
        <v>2</v>
      </c>
      <c r="H194" s="21" t="s">
        <v>298</v>
      </c>
      <c r="I194" s="13">
        <v>25568.708333333332</v>
      </c>
      <c r="J194" s="7">
        <v>0</v>
      </c>
      <c r="K194" s="98" t="str">
        <f t="shared" si="39"/>
        <v>4043/4044</v>
      </c>
      <c r="L194" s="21" t="str">
        <f>VLOOKUP(A194,'Trips&amp;Operators'!$C$1:$G$99999,5,FALSE)</f>
        <v>KILLION DAVID</v>
      </c>
      <c r="M194" s="6">
        <f t="shared" si="40"/>
        <v>0</v>
      </c>
      <c r="N194" s="7">
        <f t="shared" si="41"/>
        <v>0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44"/>
        <v>https://d0f6bd738d7f1b3e5a7ca70fe4ff75f0.us-east-1.aws.found.io/app/kibana#/discover/Steve-Slow-Train-Analysis-(2080s-and-2083s)?_g=(refreshInterval:(display:Off,pause:!f,section:0,value:0),time:(from:'2017-02-19T18:37:01-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88" t="str">
        <f t="shared" si="45"/>
        <v>Y</v>
      </c>
      <c r="X194" s="188">
        <f t="shared" si="46"/>
        <v>1</v>
      </c>
      <c r="Y194" s="62">
        <f t="shared" si="47"/>
        <v>0.14280000000000001</v>
      </c>
      <c r="Z194" s="62">
        <f t="shared" si="48"/>
        <v>2.3346</v>
      </c>
      <c r="AA194" s="62">
        <f t="shared" si="49"/>
        <v>2.1918000000000002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0"/>
        <v>0307-19</v>
      </c>
      <c r="AE194" s="85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194" s="82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)|(\[timeout)|(PRM\|1\|D)|(kpr)|(kdp)|(\|loc)|(penalty))" /e /r /s</v>
      </c>
      <c r="AG194" s="1" t="str">
        <f t="shared" si="53"/>
        <v>Other</v>
      </c>
      <c r="AH194" s="86" t="str">
        <f t="shared" si="54"/>
        <v>"%USERPROFILE%\Documents\GitHub\eaglep3\Utilities\RefineRTDCRunTimes.py" --tripid 307-19 --locoid 4044 --swversion DE.1.0.9.0 --startMP 204:1428 --initTime 2017-02-19T19:37:01 --startdatetime 1969-12-31T17:00:00 --delay 2 --endMP 300:23346 --enddatetime 1969-12-31T17:00:00 --enforcementcount 0 &gt;&gt;C:\Users\stu\Documents\GitHub\eaglep3-reporting\EC\2017-02-19-refined-times.txt</v>
      </c>
      <c r="AI194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56"/>
        <v>start /low /b %USERPROFILE%\Documents\GitHub\eaglep3\Utilities\DownloadLogsFromS3.py --loco 4044 --day 1969-12-31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2017-02-19-UncaughtWiMAX.txt</v>
      </c>
    </row>
    <row r="195" spans="1:40" x14ac:dyDescent="0.25">
      <c r="A195" s="33" t="s">
        <v>465</v>
      </c>
      <c r="B195" s="7">
        <v>4052</v>
      </c>
      <c r="C195" s="21" t="s">
        <v>665</v>
      </c>
      <c r="D195" s="21" t="s">
        <v>787</v>
      </c>
      <c r="E195" s="13">
        <v>42785.1721412037</v>
      </c>
      <c r="F195" s="13">
        <v>42785.175115740742</v>
      </c>
      <c r="G195" s="7">
        <v>3</v>
      </c>
      <c r="H195" s="21" t="s">
        <v>194</v>
      </c>
      <c r="I195" s="13">
        <v>42785.18068287037</v>
      </c>
      <c r="J195" s="7">
        <v>0</v>
      </c>
      <c r="K195" s="98" t="str">
        <f t="shared" si="39"/>
        <v>4051/4052</v>
      </c>
      <c r="L195" s="21" t="str">
        <f>VLOOKUP(A195,'Trips&amp;Operators'!$C$1:$G$99999,5,FALSE)</f>
        <v>HAITHCOX MICHAEL</v>
      </c>
      <c r="M195" s="6">
        <f t="shared" si="40"/>
        <v>5.5671296286163852E-3</v>
      </c>
      <c r="N195" s="7">
        <f t="shared" si="41"/>
        <v>8.0166666652075946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44"/>
        <v>https://d0f6bd738d7f1b3e5a7ca70fe4ff75f0.us-east-1.aws.found.io/app/kibana#/discover/Steve-Slow-Train-Analysis-(2080s-and-2083s)?_g=(refreshInterval:(display:Off,pause:!f,section:0,value:0),time:(from:'2017-02-19T03:07:53-0700',mode:absolute,to:'2017-02-19T05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188" t="str">
        <f t="shared" si="45"/>
        <v>Y</v>
      </c>
      <c r="X195" s="188">
        <f t="shared" si="46"/>
        <v>1</v>
      </c>
      <c r="Y195" s="62">
        <f t="shared" si="47"/>
        <v>2.33</v>
      </c>
      <c r="Z195" s="62">
        <f t="shared" si="48"/>
        <v>1.4999999999999999E-2</v>
      </c>
      <c r="AA195" s="62">
        <f t="shared" si="49"/>
        <v>2.3149999999999999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0"/>
        <v>0308-19</v>
      </c>
      <c r="AE195" s="85" t="str">
        <f t="shared" si="51"/>
        <v>aws s3 cp s3://rtdc.mdm.uploadarchive.raw/RTDC4052/ "%USERPROFILE%\AppData\Local\Temp\OnboardLogs"\RTDC4052\2017-02-19 --exclude "*" --recursive --include "*20170219*" &amp; "%USERPROFILE%\Documents\GitHub\mrs-test-scripts\Headless Mode &amp; Sideloading\WalkAndUnGZ.bat" "%USERPROFILE%\AppData\Local\Temp\OnboardLogs"\RTDC4052\2017-02-19 &amp; 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</v>
      </c>
      <c r="AF195" s="82" t="str">
        <f t="shared" si="52"/>
        <v>"C:\Program Files (x86)\AstroGrep\AstroGrep.exe" /spath="%USERPROFILE%\AppData\Local\Temp\OnboardLogs" /stypes="app*4052*20170219*" /stext=" 11:.+((SYSTEM_STATE.+slice.+state.+changed )|(ment ac)|(multiple cpu faults)|(system.+state.+changed )|(\[timeout)|(PRM\|1\|D)|(kpr)|(kdp)|(\|loc)|(penalty))" /e /r /s</v>
      </c>
      <c r="AG195" s="1" t="str">
        <f t="shared" si="53"/>
        <v>Other</v>
      </c>
      <c r="AH195" s="86" t="str">
        <f t="shared" si="54"/>
        <v>"%USERPROFILE%\Documents\GitHub\eaglep3\Utilities\RefineRTDCRunTimes.py" --tripid 308-19 --locoid 4052 --swversion DE.1.0.9.0 --startMP 300:23300 --initTime 2017-02-19T04:07:53 --startdatetime 2017-02-19T04:12:10 --delay 3 --endMP 204:150 --enddatetime 2017-02-19T04:20:11 --enforcementcount 0 &gt;&gt;C:\Users\stu\Documents\GitHub\eaglep3-reporting\EC\2017-02-19-refined-times.txt</v>
      </c>
      <c r="AI195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{"issue":{"subject":"","project_id":79,"tracker_id":40,"status_id":1,"priority_id":2,"assigned_to_id":23,"start_date":"2017-02-19","description":"","custom_fields":[{"id":1,"name":"Subdivision","value":"Other"},{"id":4,"name":"Milepost","value":"0.015"},{"id":17,"name":"Train ID","value":"308-19"},{"id":16,"name":"Locomotive ID","value":"4052"},{"id":130,"name":"Impact","value":""},{"id":150,"name":"Time of Event (Mountain Time)","value":"04:20:11"},{"id":151,"name":"Denver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56"/>
        <v>start /low /b %USERPROFILE%\Documents\GitHub\eaglep3\Utilities\DownloadLogsFromS3.py --loco 4052 --day 2017-02-19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"%USERPROFILE%\AppData\Local\Temp\OnboardLogs"\RTDC4052\*4052*20170219* | grep -SE "(Enforcement Action)|(\[TIMEOUT)|(CHR.+\|PRM\|1\|D.+(SWITCH|SIGNAL).+UNKNOWN)" - &gt;&gt; 2017-02-19-UncaughtWiMAX.txt</v>
      </c>
    </row>
    <row r="196" spans="1:40" x14ac:dyDescent="0.25">
      <c r="A196" s="33" t="s">
        <v>657</v>
      </c>
      <c r="B196" s="7">
        <v>4006</v>
      </c>
      <c r="C196" s="21" t="s">
        <v>665</v>
      </c>
      <c r="D196" s="21" t="s">
        <v>228</v>
      </c>
      <c r="E196" s="13">
        <v>42786.04954861111</v>
      </c>
      <c r="F196" s="13">
        <v>25568.708333333332</v>
      </c>
      <c r="G196" s="7">
        <v>1</v>
      </c>
      <c r="H196" s="21" t="s">
        <v>409</v>
      </c>
      <c r="I196" s="13">
        <v>25568.708333333332</v>
      </c>
      <c r="J196" s="7">
        <v>0</v>
      </c>
      <c r="K196" s="98" t="str">
        <f t="shared" si="39"/>
        <v>4005/4006</v>
      </c>
      <c r="L196" s="21" t="str">
        <f>VLOOKUP(A196,'Trips&amp;Operators'!$C$1:$G$99999,5,FALSE)</f>
        <v>SAFIEF AEIMEN</v>
      </c>
      <c r="M196" s="6">
        <f t="shared" si="40"/>
        <v>0</v>
      </c>
      <c r="N196" s="7">
        <f t="shared" si="41"/>
        <v>0</v>
      </c>
      <c r="O196" s="7"/>
      <c r="P196" s="7"/>
      <c r="Q196" s="22"/>
      <c r="R196" s="22"/>
      <c r="S196" s="31">
        <f t="shared" si="42"/>
        <v>1</v>
      </c>
      <c r="T196" s="46" t="str">
        <f t="shared" si="43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44"/>
        <v>https://d0f6bd738d7f1b3e5a7ca70fe4ff75f0.us-east-1.aws.found.io/app/kibana#/discover/Steve-Slow-Train-Analysis-(2080s-and-2083s)?_g=(refreshInterval:(display:Off,pause:!f,section:0,value:0),time:(from:'2017-02-20T00:11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188" t="str">
        <f t="shared" si="45"/>
        <v>Y</v>
      </c>
      <c r="X196" s="188">
        <f t="shared" si="46"/>
        <v>1</v>
      </c>
      <c r="Y196" s="62">
        <f t="shared" si="47"/>
        <v>4.5699999999999998E-2</v>
      </c>
      <c r="Z196" s="62">
        <f t="shared" si="48"/>
        <v>2.3306</v>
      </c>
      <c r="AA196" s="62">
        <f t="shared" si="49"/>
        <v>2.2848999999999999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0"/>
        <v>0309-19</v>
      </c>
      <c r="AE196" s="85" t="str">
        <f t="shared" si="51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196" s="82" t="str">
        <f t="shared" si="52"/>
        <v>"C:\Program Files (x86)\AstroGrep\AstroGrep.exe" /spath="%USERPROFILE%\AppData\Local\Temp\OnboardLogs" /stypes="app*4006*19700101*" /stext=" 00:.+((SYSTEM_STATE.+slice.+state.+changed )|(ment ac)|(multiple cpu faults)|(system.+state.+changed )|(\[timeout)|(PRM\|1\|D)|(kpr)|(kdp)|(\|loc)|(penalty))" /e /r /s</v>
      </c>
      <c r="AG196" s="1" t="str">
        <f t="shared" si="53"/>
        <v>Other</v>
      </c>
      <c r="AH196" s="86" t="str">
        <f t="shared" si="54"/>
        <v>"%USERPROFILE%\Documents\GitHub\eaglep3\Utilities\RefineRTDCRunTimes.py" --tripid 309-19 --locoid 4006 --swversion DE.1.0.9.0 --startMP 204:457 --initTime 2017-02-20T01:11:21 --startdatetime 1969-12-31T17:00:00 --delay 1 --endMP 300:23306 --enddatetime 1969-12-31T17:00:00 --enforcementcount 0 &gt;&gt;C:\Users\stu\Documents\GitHub\eaglep3-reporting\EC\2017-02-19-refined-times.txt</v>
      </c>
      <c r="AI196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ID","value":"309-19"},{"id":16,"name":"Locomotive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56"/>
        <v>start /low /b %USERPROFILE%\Documents\GitHub\eaglep3\Utilities\DownloadLogsFromS3.py --loco 4006 --day 1969-12-31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"%USERPROFILE%\AppData\Local\Temp\OnboardLogs"\RTDC4006\*4006*19700101* | grep -SE "(Enforcement Action)|(\[TIMEOUT)|(CHR.+\|PRM\|1\|D.+(SWITCH|SIGNAL).+UNKNOWN)" - &gt;&gt; 2017-02-19-UncaughtWiMAX.txt</v>
      </c>
    </row>
    <row r="197" spans="1:40" x14ac:dyDescent="0.25">
      <c r="A197" s="33" t="s">
        <v>467</v>
      </c>
      <c r="B197" s="7">
        <v>4032</v>
      </c>
      <c r="C197" s="21" t="s">
        <v>665</v>
      </c>
      <c r="D197" s="21" t="s">
        <v>410</v>
      </c>
      <c r="E197" s="13">
        <v>42785.177407407406</v>
      </c>
      <c r="F197" s="13">
        <v>42785.181886574072</v>
      </c>
      <c r="G197" s="7">
        <v>5</v>
      </c>
      <c r="H197" s="21" t="s">
        <v>207</v>
      </c>
      <c r="I197" s="13">
        <v>42785.191006944442</v>
      </c>
      <c r="J197" s="7">
        <v>0</v>
      </c>
      <c r="K197" s="98" t="str">
        <f t="shared" si="39"/>
        <v>4031/4032</v>
      </c>
      <c r="L197" s="21" t="str">
        <f>VLOOKUP(A197,'Trips&amp;Operators'!$C$1:$G$99999,5,FALSE)</f>
        <v>ROBINSON KADDIBA</v>
      </c>
      <c r="M197" s="6">
        <f t="shared" si="40"/>
        <v>9.1203703705104999E-3</v>
      </c>
      <c r="N197" s="7">
        <f t="shared" si="41"/>
        <v>13.13333333353512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44"/>
        <v>https://d0f6bd738d7f1b3e5a7ca70fe4ff75f0.us-east-1.aws.found.io/app/kibana#/discover/Steve-Slow-Train-Analysis-(2080s-and-2083s)?_g=(refreshInterval:(display:Off,pause:!f,section:0,value:0),time:(from:'2017-02-19T03:15:28-0700',mode:absolute,to:'2017-02-19T05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7" s="188" t="str">
        <f t="shared" si="45"/>
        <v>Y</v>
      </c>
      <c r="X197" s="188">
        <f t="shared" si="46"/>
        <v>1</v>
      </c>
      <c r="Y197" s="62">
        <f t="shared" si="47"/>
        <v>2.3155999999999999</v>
      </c>
      <c r="Z197" s="62">
        <f t="shared" si="48"/>
        <v>1.52E-2</v>
      </c>
      <c r="AA197" s="62">
        <f t="shared" si="49"/>
        <v>2.3003999999999998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0"/>
        <v>0310-19</v>
      </c>
      <c r="AE197" s="85" t="str">
        <f t="shared" si="51"/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AF197" s="82" t="str">
        <f t="shared" si="52"/>
        <v>"C:\Program Files (x86)\AstroGrep\AstroGrep.exe" /spath="%USERPROFILE%\AppData\Local\Temp\OnboardLogs" /stypes="app*4032*20170219*" /stext=" 11:.+((SYSTEM_STATE.+slice.+state.+changed )|(ment ac)|(multiple cpu faults)|(system.+state.+changed )|(\[timeout)|(PRM\|1\|D)|(kpr)|(kdp)|(\|loc)|(penalty))" /e /r /s</v>
      </c>
      <c r="AG197" s="1" t="str">
        <f t="shared" si="53"/>
        <v>Other</v>
      </c>
      <c r="AH197" s="86" t="str">
        <f t="shared" si="54"/>
        <v>"%USERPROFILE%\Documents\GitHub\eaglep3\Utilities\RefineRTDCRunTimes.py" --tripid 310-19 --locoid 4032 --swversion DE.1.0.9.0 --startMP 300:23156 --initTime 2017-02-19T04:15:28 --startdatetime 2017-02-19T04:21:55 --delay 5 --endMP 204:152 --enddatetime 2017-02-19T04:35:03 --enforcementcount 0 &gt;&gt;C:\Users\stu\Documents\GitHub\eaglep3-reporting\EC\2017-02-19-refined-times.txt</v>
      </c>
      <c r="AI197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{"issue":{"subject":"","project_id":79,"tracker_id":40,"status_id":1,"priority_id":2,"assigned_to_id":23,"start_date":"2017-02-19","description":"","custom_fields":[{"id":1,"name":"Subdivision","value":"Other"},{"id":4,"name":"Milepost","value":"0.0152"},{"id":17,"name":"Train ID","value":"310-19"},{"id":16,"name":"Locomotive ID","value":"4032"},{"id":130,"name":"Impact","value":""},{"id":150,"name":"Time of Event (Mountain Time)","value":"04:35:03"},{"id":151,"name":"Denver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56"/>
        <v>start /low /b %USERPROFILE%\Documents\GitHub\eaglep3\Utilities\DownloadLogsFromS3.py --loco 4032 --day 2017-02-19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2017-02-19-UncaughtWiMAX.txt</v>
      </c>
    </row>
    <row r="198" spans="1:40" x14ac:dyDescent="0.25">
      <c r="A198" s="33" t="s">
        <v>658</v>
      </c>
      <c r="B198" s="7">
        <v>4025</v>
      </c>
      <c r="C198" s="21" t="s">
        <v>665</v>
      </c>
      <c r="D198" s="21" t="s">
        <v>405</v>
      </c>
      <c r="E198" s="13">
        <v>42786.067349537036</v>
      </c>
      <c r="F198" s="13">
        <v>25568.708333333332</v>
      </c>
      <c r="G198" s="7">
        <v>2</v>
      </c>
      <c r="H198" s="21" t="s">
        <v>788</v>
      </c>
      <c r="I198" s="13">
        <v>25568.708333333332</v>
      </c>
      <c r="J198" s="7">
        <v>0</v>
      </c>
      <c r="K198" s="98" t="str">
        <f t="shared" si="39"/>
        <v>4025/4026</v>
      </c>
      <c r="L198" s="21" t="str">
        <f>VLOOKUP(A198,'Trips&amp;Operators'!$C$1:$G$99999,5,FALSE)</f>
        <v>SMITH MICHAEL</v>
      </c>
      <c r="M198" s="6">
        <f t="shared" si="40"/>
        <v>0</v>
      </c>
      <c r="N198" s="7">
        <f t="shared" si="41"/>
        <v>0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44"/>
        <v>https://d0f6bd738d7f1b3e5a7ca70fe4ff75f0.us-east-1.aws.found.io/app/kibana#/discover/Steve-Slow-Train-Analysis-(2080s-and-2083s)?_g=(refreshInterval:(display:Off,pause:!f,section:0,value:0),time:(from:'2017-02-20T00:36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88" t="str">
        <f t="shared" si="45"/>
        <v>Y</v>
      </c>
      <c r="X198" s="188">
        <f t="shared" si="46"/>
        <v>1</v>
      </c>
      <c r="Y198" s="62">
        <f t="shared" si="47"/>
        <v>4.2599999999999999E-2</v>
      </c>
      <c r="Z198" s="62">
        <f t="shared" si="48"/>
        <v>2.3300999999999998</v>
      </c>
      <c r="AA198" s="62">
        <f t="shared" si="49"/>
        <v>2.2874999999999996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0"/>
        <v>0311-19</v>
      </c>
      <c r="AE198" s="85" t="str">
        <f t="shared" si="51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8" s="82" t="str">
        <f t="shared" si="52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)|(\[timeout)|(PRM\|1\|D)|(kpr)|(kdp)|(\|loc)|(penalty))" /e /r /s</v>
      </c>
      <c r="AG198" s="1" t="str">
        <f t="shared" si="53"/>
        <v>Other</v>
      </c>
      <c r="AH198" s="86" t="str">
        <f t="shared" si="54"/>
        <v>"%USERPROFILE%\Documents\GitHub\eaglep3\Utilities\RefineRTDCRunTimes.py" --tripid 311-19 --locoid 4025 --swversion DE.1.0.9.0 --startMP 204:426 --initTime 2017-02-20T01:36:59 --startdatetime 1969-12-31T17:00:00 --delay 2 --endMP 300:23301 --enddatetime 1969-12-31T17:00:00 --enforcementcount 0 &gt;&gt;C:\Users\stu\Documents\GitHub\eaglep3-reporting\EC\2017-02-19-refined-times.txt</v>
      </c>
      <c r="AI198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ID","value":"311-19"},{"id":16,"name":"Locomotive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56"/>
        <v>start /low /b %USERPROFILE%\Documents\GitHub\eaglep3\Utilities\DownloadLogsFromS3.py --loco 4025 --day 1969-12-31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2017-02-19-UncaughtWiMAX.txt</v>
      </c>
    </row>
    <row r="199" spans="1:40" x14ac:dyDescent="0.25">
      <c r="A199" s="33" t="s">
        <v>247</v>
      </c>
      <c r="B199" s="7">
        <v>4018</v>
      </c>
      <c r="C199" s="21" t="s">
        <v>665</v>
      </c>
      <c r="D199" s="21" t="s">
        <v>671</v>
      </c>
      <c r="E199" s="13">
        <v>42785.088321759256</v>
      </c>
      <c r="F199" s="13">
        <v>25568.708333333332</v>
      </c>
      <c r="G199" s="7">
        <v>1</v>
      </c>
      <c r="H199" s="21" t="s">
        <v>409</v>
      </c>
      <c r="I199" s="13">
        <v>25568.708333333332</v>
      </c>
      <c r="J199" s="7">
        <v>0</v>
      </c>
      <c r="K199" s="98" t="str">
        <f t="shared" si="39"/>
        <v>4017/4018</v>
      </c>
      <c r="L199" s="21" t="str">
        <f>VLOOKUP(A199,'Trips&amp;Operators'!$C$1:$G$99999,5,FALSE)</f>
        <v>MAGEE KENYA</v>
      </c>
      <c r="M199" s="6">
        <f t="shared" si="40"/>
        <v>0</v>
      </c>
      <c r="N199" s="7">
        <f t="shared" si="41"/>
        <v>0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NorthBound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44"/>
        <v>https://d0f6bd738d7f1b3e5a7ca70fe4ff75f0.us-east-1.aws.found.io/app/kibana#/discover/Steve-Slow-Train-Analysis-(2080s-and-2083s)?_g=(refreshInterval:(display:Off,pause:!f,section:0,value:0),time:(from:'2017-02-19T01:07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9" s="188" t="str">
        <f t="shared" si="45"/>
        <v>Y</v>
      </c>
      <c r="X199" s="188">
        <f t="shared" si="46"/>
        <v>2</v>
      </c>
      <c r="Y199" s="62">
        <f t="shared" si="47"/>
        <v>4.58E-2</v>
      </c>
      <c r="Z199" s="62">
        <f t="shared" si="48"/>
        <v>2.3306</v>
      </c>
      <c r="AA199" s="62">
        <f t="shared" si="49"/>
        <v>2.2848000000000002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0"/>
        <v>0313-18</v>
      </c>
      <c r="AE199" s="85" t="str">
        <f t="shared" si="5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9" s="82" t="str">
        <f t="shared" si="5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)|(\[timeout)|(PRM\|1\|D)|(kpr)|(kdp)|(\|loc)|(penalty))" /e /r /s</v>
      </c>
      <c r="AG199" s="1" t="str">
        <f t="shared" si="53"/>
        <v>Other</v>
      </c>
      <c r="AH199" s="86" t="str">
        <f t="shared" si="54"/>
        <v>"%USERPROFILE%\Documents\GitHub\eaglep3\Utilities\RefineRTDCRunTimes.py" --tripid 313-18 --locoid 4018 --swversion DE.1.0.9.0 --startMP 204:458 --initTime 2017-02-19T02:07:11 --startdatetime 1969-12-31T17:00:00 --delay 1 --endMP 300:23306 --enddatetime 1969-12-31T17:00:00 --enforcementcount 0 &gt;&gt;C:\Users\stu\Documents\GitHub\eaglep3-reporting\EC\2017-02-19-refined-times.txt</v>
      </c>
      <c r="AI199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56"/>
        <v>start /low /b %USERPROFILE%\Documents\GitHub\eaglep3\Utilities\DownloadLogsFromS3.py --loco 4018 --day 1969-12-31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2017-02-19-UncaughtWiMAX.txt</v>
      </c>
    </row>
    <row r="200" spans="1:40" x14ac:dyDescent="0.25">
      <c r="A200" s="33" t="s">
        <v>248</v>
      </c>
      <c r="B200" s="7">
        <v>4011</v>
      </c>
      <c r="C200" s="21" t="s">
        <v>665</v>
      </c>
      <c r="D200" s="21" t="s">
        <v>228</v>
      </c>
      <c r="E200" s="13">
        <v>42785.111319444448</v>
      </c>
      <c r="F200" s="13">
        <v>25568.708333333332</v>
      </c>
      <c r="G200" s="7">
        <v>1</v>
      </c>
      <c r="H200" s="21" t="s">
        <v>789</v>
      </c>
      <c r="I200" s="13">
        <v>25568.708333333332</v>
      </c>
      <c r="J200" s="7">
        <v>0</v>
      </c>
      <c r="K200" s="98" t="str">
        <f t="shared" si="39"/>
        <v>4011/4012</v>
      </c>
      <c r="L200" s="21" t="str">
        <f>VLOOKUP(A200,'Trips&amp;Operators'!$C$1:$G$99999,5,FALSE)</f>
        <v>DUNCAN SHEILA</v>
      </c>
      <c r="M200" s="6">
        <f t="shared" si="40"/>
        <v>0</v>
      </c>
      <c r="N200" s="7">
        <f t="shared" si="41"/>
        <v>0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44"/>
        <v>https://d0f6bd738d7f1b3e5a7ca70fe4ff75f0.us-east-1.aws.found.io/app/kibana#/discover/Steve-Slow-Train-Analysis-(2080s-and-2083s)?_g=(refreshInterval:(display:Off,pause:!f,section:0,value:0),time:(from:'2017-02-19T01:40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88" t="str">
        <f t="shared" si="45"/>
        <v>Y</v>
      </c>
      <c r="X200" s="188">
        <f t="shared" si="46"/>
        <v>2</v>
      </c>
      <c r="Y200" s="62">
        <f t="shared" si="47"/>
        <v>4.5699999999999998E-2</v>
      </c>
      <c r="Z200" s="62">
        <f t="shared" si="48"/>
        <v>2.3302</v>
      </c>
      <c r="AA200" s="62">
        <f t="shared" si="49"/>
        <v>2.2845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0"/>
        <v>0315-18</v>
      </c>
      <c r="AE200" s="85" t="str">
        <f t="shared" si="5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0" s="82" t="str">
        <f t="shared" si="5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)|(\[timeout)|(PRM\|1\|D)|(kpr)|(kdp)|(\|loc)|(penalty))" /e /r /s</v>
      </c>
      <c r="AG200" s="1" t="str">
        <f t="shared" si="53"/>
        <v>Other</v>
      </c>
      <c r="AH200" s="86" t="str">
        <f t="shared" si="54"/>
        <v>"%USERPROFILE%\Documents\GitHub\eaglep3\Utilities\RefineRTDCRunTimes.py" --tripid 315-18 --locoid 4011 --swversion DE.1.0.9.0 --startMP 204:457 --initTime 2017-02-19T02:40:18 --startdatetime 1969-12-31T17:00:00 --delay 1 --endMP 300:23302 --enddatetime 1969-12-31T17:00:00 --enforcementcount 0 &gt;&gt;C:\Users\stu\Documents\GitHub\eaglep3-reporting\EC\2017-02-19-refined-times.txt</v>
      </c>
      <c r="AI200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ID","value":"315-18"},{"id":16,"name":"Locomotive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56"/>
        <v>start /low /b %USERPROFILE%\Documents\GitHub\eaglep3\Utilities\DownloadLogsFromS3.py --loco 4011 --day 1969-12-31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2017-02-19-UncaughtWiMAX.txt</v>
      </c>
    </row>
    <row r="201" spans="1:40" x14ac:dyDescent="0.25">
      <c r="A201" s="33" t="s">
        <v>655</v>
      </c>
      <c r="B201" s="7">
        <v>4031</v>
      </c>
      <c r="C201" s="21" t="s">
        <v>665</v>
      </c>
      <c r="D201" s="21" t="s">
        <v>231</v>
      </c>
      <c r="E201" s="13">
        <v>42786.028831018521</v>
      </c>
      <c r="F201" s="13">
        <v>25568.708333333332</v>
      </c>
      <c r="G201" s="7">
        <v>1</v>
      </c>
      <c r="H201" s="21" t="s">
        <v>790</v>
      </c>
      <c r="I201" s="13">
        <v>25568.708333333332</v>
      </c>
      <c r="J201" s="7">
        <v>0</v>
      </c>
      <c r="K201" s="98" t="str">
        <f t="shared" si="39"/>
        <v>4031/4032</v>
      </c>
      <c r="L201" s="21" t="str">
        <f>VLOOKUP(A201,'Trips&amp;Operators'!$C$1:$G$99999,5,FALSE)</f>
        <v>DAVIDSON DAVID</v>
      </c>
      <c r="M201" s="6">
        <f t="shared" si="40"/>
        <v>0</v>
      </c>
      <c r="N201" s="7">
        <f t="shared" si="41"/>
        <v>0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NorthBound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44"/>
        <v>https://d0f6bd738d7f1b3e5a7ca70fe4ff75f0.us-east-1.aws.found.io/app/kibana#/discover/Steve-Slow-Train-Analysis-(2080s-and-2083s)?_g=(refreshInterval:(display:Off,pause:!f,section:0,value:0),time:(from:'2017-02-19T23:41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88" t="str">
        <f t="shared" si="45"/>
        <v>Y</v>
      </c>
      <c r="X201" s="188">
        <f t="shared" si="46"/>
        <v>0</v>
      </c>
      <c r="Y201" s="62">
        <f t="shared" si="47"/>
        <v>4.5999999999999999E-2</v>
      </c>
      <c r="Z201" s="62">
        <f t="shared" si="48"/>
        <v>2.3304</v>
      </c>
      <c r="AA201" s="62">
        <f t="shared" si="49"/>
        <v>2.2844000000000002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0"/>
        <v>0315-19</v>
      </c>
      <c r="AE201" s="85" t="str">
        <f t="shared" si="5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1" s="82" t="str">
        <f t="shared" si="52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)|(\[timeout)|(PRM\|1\|D)|(kpr)|(kdp)|(\|loc)|(penalty))" /e /r /s</v>
      </c>
      <c r="AG201" s="1" t="str">
        <f t="shared" si="53"/>
        <v>Other</v>
      </c>
      <c r="AH201" s="86" t="str">
        <f t="shared" si="54"/>
        <v>"%USERPROFILE%\Documents\GitHub\eaglep3\Utilities\RefineRTDCRunTimes.py" --tripid 315-19 --locoid 4031 --swversion DE.1.0.9.0 --startMP 204:460 --initTime 2017-02-20T00:41:31 --startdatetime 1969-12-31T17:00:00 --delay 1 --endMP 300:23304 --enddatetime 1969-12-31T17:00:00 --enforcementcount 0 &gt;&gt;C:\Users\stu\Documents\GitHub\eaglep3-reporting\EC\2017-02-19-refined-times.txt</v>
      </c>
      <c r="AI201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ID","value":"315-19"},{"id":16,"name":"Locomotive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56"/>
        <v>start /low /b %USERPROFILE%\Documents\GitHub\eaglep3\Utilities\DownloadLogsFromS3.py --loco 4031 --day 1969-12-31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2017-02-19-UncaughtWiMAX.txt</v>
      </c>
    </row>
    <row r="202" spans="1:40" x14ac:dyDescent="0.25">
      <c r="A202" s="33" t="s">
        <v>475</v>
      </c>
      <c r="B202" s="7">
        <v>4007</v>
      </c>
      <c r="C202" s="21" t="s">
        <v>665</v>
      </c>
      <c r="D202" s="21" t="s">
        <v>754</v>
      </c>
      <c r="E202" s="13">
        <v>42785.227546296293</v>
      </c>
      <c r="F202" s="13">
        <v>42785.228518518517</v>
      </c>
      <c r="G202" s="7">
        <v>1</v>
      </c>
      <c r="H202" s="21" t="s">
        <v>712</v>
      </c>
      <c r="I202" s="13">
        <v>42785.233460648145</v>
      </c>
      <c r="J202" s="7">
        <v>0</v>
      </c>
      <c r="K202" s="98" t="str">
        <f t="shared" ref="K202:K223" si="57">IF(ISEVEN(B202),(B202-1)&amp;"/"&amp;B202,B202&amp;"/"&amp;(B202+1))</f>
        <v>4007/4008</v>
      </c>
      <c r="L202" s="21" t="str">
        <f>VLOOKUP(A202,'Trips&amp;Operators'!$C$1:$G$99999,5,FALSE)</f>
        <v>YORK EDGAR</v>
      </c>
      <c r="M202" s="6">
        <f t="shared" ref="M202:M223" si="58">I202-F202</f>
        <v>4.9421296280343086E-3</v>
      </c>
      <c r="N202" s="7">
        <f t="shared" ref="N202:N223" si="59">24*60*SUM($M202:$M202)</f>
        <v>7.1166666643694043</v>
      </c>
      <c r="O202" s="7"/>
      <c r="P202" s="7"/>
      <c r="Q202" s="22"/>
      <c r="R202" s="22"/>
      <c r="S202" s="31">
        <f t="shared" ref="S202:S223" si="60">SUM(U202:U202)/IF(AG202="EC",12,1)</f>
        <v>0</v>
      </c>
      <c r="T202" s="46" t="str">
        <f t="shared" ref="T202:T223" si="61">IF(ISEVEN(LEFT(AD202,4)),"Southbound","NorthBound")</f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7" t="str">
        <f t="shared" ref="V202:V223" si="62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-02-19T04:27:40-0700',mode:absolute,to:'2017-02-19T06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188" t="str">
        <f t="shared" ref="W202:W223" si="63">IF(AA202&lt;IF(AG202="EC",23,5.65),"Y","N")</f>
        <v>Y</v>
      </c>
      <c r="X202" s="188">
        <f t="shared" ref="X202:X223" si="64">VALUE(LEFT(AD202,4))-VALUE(LEFT(AD201,4))</f>
        <v>1586</v>
      </c>
      <c r="Y202" s="62">
        <f t="shared" ref="Y202:Y223" si="65">RIGHT(D202,LEN(D202)-4)/10000</f>
        <v>3.0362</v>
      </c>
      <c r="Z202" s="62">
        <f t="shared" ref="Z202:Z223" si="66">RIGHT(H202,LEN(H202)-4)/10000</f>
        <v>5.8939000000000004</v>
      </c>
      <c r="AA202" s="62">
        <f t="shared" ref="AA202:AA223" si="67">ABS(Z202-Y202)</f>
        <v>2.8577000000000004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ref="AD202:AD223" si="68">IF(LEN(A202)=6,"0"&amp;A202,A202)</f>
        <v>1901-19</v>
      </c>
      <c r="AE202" s="85" t="str">
        <f t="shared" ref="AE202:AE223" si="69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AF202" s="82" t="str">
        <f t="shared" ref="AF202:AF223" si="70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/stypes="app*4007*20170219*" /stext=" 12:.+((SYSTEM_STATE.+slice.+state.+changed )|(ment ac)|(multiple cpu faults)|(system.+state.+changed )|(\[timeout)|(PRM\|1\|D)|(kpr)|(kdp)|(\|loc)|(penalty))" /e /r /s</v>
      </c>
      <c r="AG202" s="1" t="str">
        <f t="shared" ref="AG202:AG223" si="71">IFERROR(IF(VALUE(LEFT(AD202,2))&lt;=2,"EC",IF(OR(VALUE(LEFT(AD202,2))=8,VALUE(LEFT(AD202,2))=18),"NW","Other")),"Other")</f>
        <v>Other</v>
      </c>
      <c r="AH202" s="86" t="str">
        <f t="shared" si="54"/>
        <v>"%USERPROFILE%\Documents\GitHub\eaglep3\Utilities\RefineRTDCRunTimes.py" --tripid 1901-19 --locoid 4007 --swversion DE.1.0.9.0 --startMP 300:30362 --initTime 2017-02-19T05:27:40 --startdatetime 2017-02-19T05:29:04 --delay 1 --endMP 300:58939 --enddatetime 2017-02-19T05:36:11 --enforcementcount 0 &gt;&gt;C:\Users\stu\Documents\GitHub\eaglep3-reporting\EC\2017-02-19-refined-times.txt</v>
      </c>
      <c r="AI202" s="108" t="str">
        <f t="shared" si="55"/>
        <v>echo {"issue":{"subject":"","project_id":79,"tracker_id":40,"status_id":1,"priority_id":2,"assigned_to_id":23,"start_date":"2017-02-19","description":"","custom_fields":[{"id":1,"name":"Subdivision","value":"Other"},{"id":4,"name":"Milepost","value":"5.8939"},{"id":17,"name":"Train ID","value":"1901-19"},{"id":16,"name":"Locomotive ID","value":"4007"},{"id":130,"name":"Impact","value":""},{"id":150,"name":"Time of Event (Mountain Time)","value":"05:36:11"},{"id":151,"name":"Denver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56"/>
        <v>start /low /b %USERPROFILE%\Documents\GitHub\eaglep3\Utilities\DownloadLogsFromS3.py --loco 4007 --day 2017-02-19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2017-02-19-UncaughtWiMAX.txt</v>
      </c>
    </row>
    <row r="203" spans="1:40" x14ac:dyDescent="0.25">
      <c r="A203" s="33" t="s">
        <v>646</v>
      </c>
      <c r="B203" s="7">
        <v>4008</v>
      </c>
      <c r="C203" s="21" t="s">
        <v>665</v>
      </c>
      <c r="D203" s="21" t="s">
        <v>737</v>
      </c>
      <c r="E203" s="13">
        <v>42785.941261574073</v>
      </c>
      <c r="F203" s="13">
        <v>42785.942326388889</v>
      </c>
      <c r="G203" s="7">
        <v>0</v>
      </c>
      <c r="H203" s="21" t="s">
        <v>755</v>
      </c>
      <c r="I203" s="13">
        <v>42785.946631944447</v>
      </c>
      <c r="J203" s="7">
        <v>0</v>
      </c>
      <c r="K203" s="98" t="str">
        <f t="shared" si="57"/>
        <v>4007/4008</v>
      </c>
      <c r="L203" s="21" t="str">
        <f>VLOOKUP(A203,'Trips&amp;Operators'!$C$1:$G$99999,5,FALSE)</f>
        <v>HELVIE ADAM</v>
      </c>
      <c r="M203" s="6">
        <f t="shared" si="58"/>
        <v>4.3055555579485372E-3</v>
      </c>
      <c r="N203" s="7">
        <f t="shared" si="59"/>
        <v>6.2000000034458935</v>
      </c>
      <c r="O203" s="7"/>
      <c r="P203" s="7"/>
      <c r="Q203" s="22"/>
      <c r="R203" s="22"/>
      <c r="S203" s="31">
        <f t="shared" si="60"/>
        <v>0</v>
      </c>
      <c r="T203" s="46" t="str">
        <f t="shared" si="61"/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87" t="str">
        <f t="shared" si="62"/>
        <v>https://d0f6bd738d7f1b3e5a7ca70fe4ff75f0.us-east-1.aws.found.io/app/kibana#/discover/Steve-Slow-Train-Analysis-(2080s-and-2083s)?_g=(refreshInterval:(display:Off,pause:!f,section:0,value:0),time:(from:'2017-02-19T21:35:25-0700',mode:absolute,to:'2017-02-19T23:43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88" t="str">
        <f t="shared" si="63"/>
        <v>Y</v>
      </c>
      <c r="X203" s="188">
        <f t="shared" si="64"/>
        <v>1</v>
      </c>
      <c r="Y203" s="62">
        <f t="shared" si="65"/>
        <v>5.8624000000000001</v>
      </c>
      <c r="Z203" s="62">
        <f t="shared" si="66"/>
        <v>2.1785999999999999</v>
      </c>
      <c r="AA203" s="62">
        <f t="shared" si="67"/>
        <v>3.6838000000000002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8"/>
        <v>1902-19</v>
      </c>
      <c r="AE203" s="85" t="str">
        <f t="shared" si="69"/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AF203" s="82" t="str">
        <f t="shared" si="70"/>
        <v>"C:\Program Files (x86)\AstroGrep\AstroGrep.exe" /spath="%USERPROFILE%\AppData\Local\Temp\OnboardLogs" /stypes="app*4008*20170220*" /stext=" 05:.+((SYSTEM_STATE.+slice.+state.+changed )|(ment ac)|(multiple cpu faults)|(system.+state.+changed )|(\[timeout)|(PRM\|1\|D)|(kpr)|(kdp)|(\|loc)|(penalty))" /e /r /s</v>
      </c>
      <c r="AG203" s="1" t="str">
        <f t="shared" si="71"/>
        <v>Other</v>
      </c>
      <c r="AH203" s="86" t="str">
        <f t="shared" ref="AH203:AH223" si="7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1902-19 --locoid 4008 --swversion DE.1.0.9.0 --startMP 300:58624 --initTime 2017-02-19T22:35:25 --startdatetime 2017-02-19T22:36:57 --delay 0 --endMP 300:21786 --enddatetime 2017-02-19T22:43:09 --enforcementcount 0 &gt;&gt;C:\Users\stu\Documents\GitHub\eaglep3-reporting\EC\2017-02-19-refined-times.txt</v>
      </c>
      <c r="AI203" s="108" t="str">
        <f t="shared" ref="AI203:AI223" si="7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{"issue":{"subject":"","project_id":79,"tracker_id":40,"status_id":1,"priority_id":2,"assigned_to_id":23,"start_date":"2017-02-19","description":"","custom_fields":[{"id":1,"name":"Subdivision","value":"Other"},{"id":4,"name":"Milepost","value":"2.1786"},{"id":17,"name":"Train ID","value":"1902-19"},{"id":16,"name":"Locomotive ID","value":"4008"},{"id":130,"name":"Impact","value":""},{"id":150,"name":"Time of Event (Mountain Time)","value":"22:43:09"},{"id":151,"name":"Denver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ref="AM203:AM223" si="74">"start /low /b "&amp;dls3logs&amp;" --loco "&amp;B203&amp;" --day "&amp;TEXT(F203,"YYYY-MM-DD")</f>
        <v>start /low /b %USERPROFILE%\Documents\GitHub\eaglep3\Utilities\DownloadLogsFromS3.py --loco 4008 --day 2017-02-19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2017-02-19-UncaughtWiMAX.txt</v>
      </c>
    </row>
    <row r="204" spans="1:40" x14ac:dyDescent="0.25">
      <c r="A204" s="33" t="s">
        <v>522</v>
      </c>
      <c r="B204" s="7">
        <v>4045</v>
      </c>
      <c r="C204" s="21" t="s">
        <v>665</v>
      </c>
      <c r="D204" s="21" t="s">
        <v>791</v>
      </c>
      <c r="E204" s="13">
        <v>42785.435949074075</v>
      </c>
      <c r="F204" s="13">
        <v>42785.43712962963</v>
      </c>
      <c r="G204" s="7">
        <v>1</v>
      </c>
      <c r="H204" s="21" t="s">
        <v>208</v>
      </c>
      <c r="I204" s="13">
        <v>42785.442511574074</v>
      </c>
      <c r="J204" s="7">
        <v>0</v>
      </c>
      <c r="K204" s="98" t="str">
        <f t="shared" si="57"/>
        <v>4045/4046</v>
      </c>
      <c r="L204" s="21" t="str">
        <f>VLOOKUP(A204,'Trips&amp;Operators'!$C$1:$G$99999,5,FALSE)</f>
        <v>WHITED DUSTIN</v>
      </c>
      <c r="M204" s="6">
        <f t="shared" si="58"/>
        <v>5.3819444437976927E-3</v>
      </c>
      <c r="N204" s="7">
        <f t="shared" si="59"/>
        <v>7.7499999990686774</v>
      </c>
      <c r="O204" s="7"/>
      <c r="P204" s="7"/>
      <c r="Q204" s="22"/>
      <c r="R204" s="22"/>
      <c r="S204" s="31">
        <f t="shared" si="60"/>
        <v>0</v>
      </c>
      <c r="T204" s="46" t="e">
        <f t="shared" si="61"/>
        <v>#VALUE!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7" t="str">
        <f t="shared" si="62"/>
        <v>https://d0f6bd738d7f1b3e5a7ca70fe4ff75f0.us-east-1.aws.found.io/app/kibana#/discover/Steve-Slow-Train-Analysis-(2080s-and-2083s)?_g=(refreshInterval:(display:Off,pause:!f,section:0,value:0),time:(from:'2017-02-19T09:27:46-0700',mode:absolute,to:'2017-02-19T11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4" s="188" t="str">
        <f t="shared" si="63"/>
        <v>Y</v>
      </c>
      <c r="X204" s="188" t="e">
        <f t="shared" si="64"/>
        <v>#VALUE!</v>
      </c>
      <c r="Y204" s="62">
        <f t="shared" si="65"/>
        <v>2.1918000000000002</v>
      </c>
      <c r="Z204" s="62">
        <f t="shared" si="66"/>
        <v>1.5800000000000002E-2</v>
      </c>
      <c r="AA204" s="62">
        <f t="shared" si="67"/>
        <v>2.1760000000000002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8"/>
        <v>50-19</v>
      </c>
      <c r="AE204" s="85" t="str">
        <f t="shared" si="69"/>
        <v>aws s3 cp s3://rtdc.mdm.uploadarchive.raw/RTDC4045/ "%USERPROFILE%\AppData\Local\Temp\OnboardLogs"\RTDC4045\2017-02-19 --exclude "*" --recursive --include "*20170219*" &amp; "%USERPROFILE%\Documents\GitHub\mrs-test-scripts\Headless Mode &amp; Sideloading\WalkAndUnGZ.bat" "%USERPROFILE%\AppData\Local\Temp\OnboardLogs"\RTDC4045\2017-02-19 &amp; 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</v>
      </c>
      <c r="AF204" s="82" t="str">
        <f t="shared" si="70"/>
        <v>"C:\Program Files (x86)\AstroGrep\AstroGrep.exe" /spath="%USERPROFILE%\AppData\Local\Temp\OnboardLogs" /stypes="app*4045*20170219*" /stext=" 17:.+((SYSTEM_STATE.+slice.+state.+changed )|(ment ac)|(multiple cpu faults)|(system.+state.+changed )|(\[timeout)|(PRM\|1\|D)|(kpr)|(kdp)|(\|loc)|(penalty))" /e /r /s</v>
      </c>
      <c r="AG204" s="1" t="str">
        <f t="shared" si="71"/>
        <v>Other</v>
      </c>
      <c r="AH204" s="86" t="str">
        <f t="shared" si="72"/>
        <v>"%USERPROFILE%\Documents\GitHub\eaglep3\Utilities\RefineRTDCRunTimes.py" --tripid 50-19 --locoid 4045 --swversion DE.1.0.9.0 --startMP 300:21918 --initTime 2017-02-19T10:27:46 --startdatetime 2017-02-19T10:29:28 --delay 1 --endMP 204:158 --enddatetime 2017-02-19T10:37:13 --enforcementcount 0 &gt;&gt;C:\Users\stu\Documents\GitHub\eaglep3-reporting\EC\2017-02-19-refined-times.txt</v>
      </c>
      <c r="AI204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{"issue":{"subject":"","project_id":79,"tracker_id":40,"status_id":1,"priority_id":2,"assigned_to_id":23,"start_date":"2017-02-19","description":"","custom_fields":[{"id":1,"name":"Subdivision","value":"Other"},{"id":4,"name":"Milepost","value":"0.0158"},{"id":17,"name":"Train ID","value":"50-19"},{"id":16,"name":"Locomotive ID","value":"4045"},{"id":130,"name":"Impact","value":""},{"id":150,"name":"Time of Event (Mountain Time)","value":"10:37:13"},{"id":151,"name":"Denver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4"/>
        <v>start /low /b %USERPROFILE%\Documents\GitHub\eaglep3\Utilities\DownloadLogsFromS3.py --loco 4045 --day 2017-02-19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"%USERPROFILE%\AppData\Local\Temp\OnboardLogs"\RTDC4045\*4045*20170219* | grep -SE "(Enforcement Action)|(\[TIMEOUT)|(CHR.+\|PRM\|1\|D.+(SWITCH|SIGNAL).+UNKNOWN)" - &gt;&gt; 2017-02-19-UncaughtWiMAX.txt</v>
      </c>
    </row>
    <row r="205" spans="1:40" x14ac:dyDescent="0.25">
      <c r="A205" s="33" t="s">
        <v>530</v>
      </c>
      <c r="B205" s="7">
        <v>4046</v>
      </c>
      <c r="C205" s="21" t="s">
        <v>665</v>
      </c>
      <c r="D205" s="21" t="s">
        <v>792</v>
      </c>
      <c r="E205" s="13">
        <v>42785.471099537041</v>
      </c>
      <c r="F205" s="13">
        <v>42785.484710648147</v>
      </c>
      <c r="G205" s="7">
        <v>1</v>
      </c>
      <c r="H205" s="21" t="s">
        <v>793</v>
      </c>
      <c r="I205" s="13">
        <v>42785.490300925929</v>
      </c>
      <c r="J205" s="7">
        <v>0</v>
      </c>
      <c r="K205" s="98" t="str">
        <f t="shared" si="57"/>
        <v>4045/4046</v>
      </c>
      <c r="L205" s="21" t="str">
        <f>VLOOKUP(A205,'Trips&amp;Operators'!$C$1:$G$99999,5,FALSE)</f>
        <v>MOSES BRADLEY</v>
      </c>
      <c r="M205" s="6">
        <f t="shared" si="58"/>
        <v>5.5902777821756899E-3</v>
      </c>
      <c r="N205" s="7">
        <f t="shared" si="59"/>
        <v>8.0500000063329935</v>
      </c>
      <c r="O205" s="7"/>
      <c r="P205" s="7"/>
      <c r="Q205" s="22"/>
      <c r="R205" s="22"/>
      <c r="S205" s="31">
        <f t="shared" si="60"/>
        <v>0</v>
      </c>
      <c r="T205" s="46" t="e">
        <f t="shared" si="61"/>
        <v>#VALUE!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7" t="str">
        <f t="shared" si="62"/>
        <v>https://d0f6bd738d7f1b3e5a7ca70fe4ff75f0.us-east-1.aws.found.io/app/kibana#/discover/Steve-Slow-Train-Analysis-(2080s-and-2083s)?_g=(refreshInterval:(display:Off,pause:!f,section:0,value:0),time:(from:'2017-02-19T10:18:23-0700',mode:absolute,to:'2017-02-19T12:46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188" t="str">
        <f t="shared" si="63"/>
        <v>Y</v>
      </c>
      <c r="X205" s="188" t="e">
        <f t="shared" si="64"/>
        <v>#VALUE!</v>
      </c>
      <c r="Y205" s="62">
        <f t="shared" si="65"/>
        <v>4.24E-2</v>
      </c>
      <c r="Z205" s="62">
        <f t="shared" si="66"/>
        <v>2.4253999999999998</v>
      </c>
      <c r="AA205" s="62">
        <f t="shared" si="67"/>
        <v>2.3829999999999996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68"/>
        <v>51-19</v>
      </c>
      <c r="AE205" s="85" t="str">
        <f t="shared" si="69"/>
        <v>aws s3 cp s3://rtdc.mdm.uploadarchive.raw/RTDC4046/ "%USERPROFILE%\AppData\Local\Temp\OnboardLogs"\RTDC4046\2017-02-19 --exclude "*" --recursive --include "*20170219*" &amp; "%USERPROFILE%\Documents\GitHub\mrs-test-scripts\Headless Mode &amp; Sideloading\WalkAndUnGZ.bat" "%USERPROFILE%\AppData\Local\Temp\OnboardLogs"\RTDC4046\2017-02-19 &amp; 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</v>
      </c>
      <c r="AF205" s="82" t="str">
        <f t="shared" si="70"/>
        <v>"C:\Program Files (x86)\AstroGrep\AstroGrep.exe" /spath="%USERPROFILE%\AppData\Local\Temp\OnboardLogs" /stypes="app*4046*20170219*" /stext=" 18:.+((SYSTEM_STATE.+slice.+state.+changed )|(ment ac)|(multiple cpu faults)|(system.+state.+changed )|(\[timeout)|(PRM\|1\|D)|(kpr)|(kdp)|(\|loc)|(penalty))" /e /r /s</v>
      </c>
      <c r="AG205" s="1" t="str">
        <f t="shared" si="71"/>
        <v>Other</v>
      </c>
      <c r="AH205" s="86" t="str">
        <f t="shared" si="72"/>
        <v>"%USERPROFILE%\Documents\GitHub\eaglep3\Utilities\RefineRTDCRunTimes.py" --tripid 51-19 --locoid 4046 --swversion DE.1.0.9.0 --startMP 204:424 --initTime 2017-02-19T11:18:23 --startdatetime 2017-02-19T11:37:59 --delay 1 --endMP 300:24254 --enddatetime 2017-02-19T11:46:02 --enforcementcount 0 &gt;&gt;C:\Users\stu\Documents\GitHub\eaglep3-reporting\EC\2017-02-19-refined-times.txt</v>
      </c>
      <c r="AI205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{"issue":{"subject":"","project_id":79,"tracker_id":40,"status_id":1,"priority_id":2,"assigned_to_id":23,"start_date":"2017-02-19","description":"","custom_fields":[{"id":1,"name":"Subdivision","value":"Other"},{"id":4,"name":"Milepost","value":"2.4254"},{"id":17,"name":"Train ID","value":"51-19"},{"id":16,"name":"Locomotive ID","value":"4046"},{"id":130,"name":"Impact","value":""},{"id":150,"name":"Time of Event (Mountain Time)","value":"11:46:02"},{"id":151,"name":"Denver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4"/>
        <v>start /low /b %USERPROFILE%\Documents\GitHub\eaglep3\Utilities\DownloadLogsFromS3.py --loco 4046 --day 2017-02-19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"%USERPROFILE%\AppData\Local\Temp\OnboardLogs"\RTDC4046\*4046*20170219* | grep -SE "(Enforcement Action)|(\[TIMEOUT)|(CHR.+\|PRM\|1\|D.+(SWITCH|SIGNAL).+UNKNOWN)" - &gt;&gt; 2017-02-19-UncaughtWiMAX.txt</v>
      </c>
    </row>
    <row r="206" spans="1:40" x14ac:dyDescent="0.25">
      <c r="A206" s="33" t="s">
        <v>531</v>
      </c>
      <c r="B206" s="7">
        <v>4028</v>
      </c>
      <c r="C206" s="21" t="s">
        <v>665</v>
      </c>
      <c r="D206" s="21" t="s">
        <v>794</v>
      </c>
      <c r="E206" s="13">
        <v>42785.471053240741</v>
      </c>
      <c r="F206" s="13">
        <v>42785.475555555553</v>
      </c>
      <c r="G206" s="7">
        <v>6</v>
      </c>
      <c r="H206" s="21" t="s">
        <v>795</v>
      </c>
      <c r="I206" s="13">
        <v>42785.480532407404</v>
      </c>
      <c r="J206" s="7">
        <v>0</v>
      </c>
      <c r="K206" s="98" t="str">
        <f t="shared" si="57"/>
        <v>4027/4028</v>
      </c>
      <c r="L206" s="21" t="str">
        <f>VLOOKUP(A206,'Trips&amp;Operators'!$C$1:$G$99999,5,FALSE)</f>
        <v>CRAYTON QUNTRELL</v>
      </c>
      <c r="M206" s="6">
        <f t="shared" si="58"/>
        <v>4.9768518510973081E-3</v>
      </c>
      <c r="N206" s="7">
        <f t="shared" si="59"/>
        <v>7.1666666655801237</v>
      </c>
      <c r="O206" s="7"/>
      <c r="P206" s="7"/>
      <c r="Q206" s="22"/>
      <c r="R206" s="22"/>
      <c r="S206" s="31">
        <f t="shared" si="60"/>
        <v>0</v>
      </c>
      <c r="T206" s="46" t="e">
        <f t="shared" si="61"/>
        <v>#VALUE!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7" t="str">
        <f t="shared" si="62"/>
        <v>https://d0f6bd738d7f1b3e5a7ca70fe4ff75f0.us-east-1.aws.found.io/app/kibana#/discover/Steve-Slow-Train-Analysis-(2080s-and-2083s)?_g=(refreshInterval:(display:Off,pause:!f,section:0,value:0),time:(from:'2017-02-19T10:18:19-0700',mode:absolute,to:'2017-02-19T12:31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188" t="str">
        <f t="shared" si="63"/>
        <v>Y</v>
      </c>
      <c r="X206" s="188" t="e">
        <f t="shared" si="64"/>
        <v>#VALUE!</v>
      </c>
      <c r="Y206" s="62">
        <f t="shared" si="65"/>
        <v>2.1187</v>
      </c>
      <c r="Z206" s="62">
        <f t="shared" si="66"/>
        <v>8.9700000000000002E-2</v>
      </c>
      <c r="AA206" s="62">
        <f t="shared" si="67"/>
        <v>2.0289999999999999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68"/>
        <v>52-19</v>
      </c>
      <c r="AE206" s="85" t="str">
        <f t="shared" si="69"/>
        <v>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 &amp; 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</v>
      </c>
      <c r="AF206" s="82" t="str">
        <f t="shared" si="70"/>
        <v>"C:\Program Files (x86)\AstroGrep\AstroGrep.exe" /spath="%USERPROFILE%\AppData\Local\Temp\OnboardLogs" /stypes="app*4028*20170219*" /stext=" 18:.+((SYSTEM_STATE.+slice.+state.+changed )|(ment ac)|(multiple cpu faults)|(system.+state.+changed )|(\[timeout)|(PRM\|1\|D)|(kpr)|(kdp)|(\|loc)|(penalty))" /e /r /s</v>
      </c>
      <c r="AG206" s="1" t="str">
        <f t="shared" si="71"/>
        <v>Other</v>
      </c>
      <c r="AH206" s="86" t="str">
        <f t="shared" si="72"/>
        <v>"%USERPROFILE%\Documents\GitHub\eaglep3\Utilities\RefineRTDCRunTimes.py" --tripid 52-19 --locoid 4028 --swversion DE.1.0.9.0 --startMP 300:21187 --initTime 2017-02-19T11:18:19 --startdatetime 2017-02-19T11:24:48 --delay 6 --endMP 204:897 --enddatetime 2017-02-19T11:31:58 --enforcementcount 0 &gt;&gt;C:\Users\stu\Documents\GitHub\eaglep3-reporting\EC\2017-02-19-refined-times.txt</v>
      </c>
      <c r="AI206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{"issue":{"subject":"","project_id":79,"tracker_id":40,"status_id":1,"priority_id":2,"assigned_to_id":23,"start_date":"2017-02-19","description":"","custom_fields":[{"id":1,"name":"Subdivision","value":"Other"},{"id":4,"name":"Milepost","value":"0.0897"},{"id":17,"name":"Train ID","value":"52-19"},{"id":16,"name":"Locomotive ID","value":"4028"},{"id":130,"name":"Impact","value":""},{"id":150,"name":"Time of Event (Mountain Time)","value":"11:31:58"},{"id":151,"name":"Denver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4"/>
        <v>start /low /b %USERPROFILE%\Documents\GitHub\eaglep3\Utilities\DownloadLogsFromS3.py --loco 4028 --day 2017-02-19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2017-02-19-UncaughtWiMAX.txt</v>
      </c>
    </row>
    <row r="207" spans="1:40" x14ac:dyDescent="0.25">
      <c r="A207" s="33" t="s">
        <v>545</v>
      </c>
      <c r="B207" s="7">
        <v>4027</v>
      </c>
      <c r="C207" s="21" t="s">
        <v>665</v>
      </c>
      <c r="D207" s="21" t="s">
        <v>796</v>
      </c>
      <c r="E207" s="13">
        <v>42785.506504629629</v>
      </c>
      <c r="F207" s="13">
        <v>25568.708333333332</v>
      </c>
      <c r="G207" s="7">
        <v>1</v>
      </c>
      <c r="H207" s="21" t="s">
        <v>797</v>
      </c>
      <c r="I207" s="13">
        <v>25568.708333333332</v>
      </c>
      <c r="J207" s="7">
        <v>0</v>
      </c>
      <c r="K207" s="98" t="str">
        <f t="shared" si="57"/>
        <v>4027/4028</v>
      </c>
      <c r="L207" s="21" t="str">
        <f>VLOOKUP(A207,'Trips&amp;Operators'!$C$1:$G$99999,5,FALSE)</f>
        <v>GEBRETEKLE DAGNEW</v>
      </c>
      <c r="M207" s="6">
        <f t="shared" si="58"/>
        <v>0</v>
      </c>
      <c r="N207" s="7">
        <f t="shared" si="59"/>
        <v>0</v>
      </c>
      <c r="O207" s="7"/>
      <c r="P207" s="7"/>
      <c r="Q207" s="22"/>
      <c r="R207" s="22"/>
      <c r="S207" s="31">
        <f t="shared" si="60"/>
        <v>0</v>
      </c>
      <c r="T207" s="46" t="e">
        <f t="shared" si="61"/>
        <v>#VALUE!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7" t="str">
        <f t="shared" si="62"/>
        <v>https://d0f6bd738d7f1b3e5a7ca70fe4ff75f0.us-east-1.aws.found.io/app/kibana#/discover/Steve-Slow-Train-Analysis-(2080s-and-2083s)?_g=(refreshInterval:(display:Off,pause:!f,section:0,value:0),time:(from:'2017-02-19T11:09:22-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188" t="str">
        <f t="shared" si="63"/>
        <v>Y</v>
      </c>
      <c r="X207" s="188" t="e">
        <f t="shared" si="64"/>
        <v>#VALUE!</v>
      </c>
      <c r="Y207" s="62">
        <f t="shared" si="65"/>
        <v>0.12180000000000001</v>
      </c>
      <c r="Z207" s="62">
        <f t="shared" si="66"/>
        <v>2.4228999999999998</v>
      </c>
      <c r="AA207" s="62">
        <f t="shared" si="67"/>
        <v>2.3010999999999999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68"/>
        <v>53-19</v>
      </c>
      <c r="AE207" s="85" t="str">
        <f t="shared" si="69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7" s="82" t="str">
        <f t="shared" si="70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)|(\[timeout)|(PRM\|1\|D)|(kpr)|(kdp)|(\|loc)|(penalty))"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53-19 --locoid 4027 --swversion DE.1.0.9.0 --startMP 204:1218 --initTime 2017-02-19T12:09:22 --startdatetime 1969-12-31T17:00:00 --delay 1 --endMP 300:24229 --enddatetime 1969-12-31T17:00:00 --enforcementcount 0 &gt;&gt;C:\Users\stu\Documents\GitHub\eaglep3-reporting\EC\2017-02-19-refined-times.txt</v>
      </c>
      <c r="AI20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{"issue":{"subject":"","project_id":79,"tracker_id":40,"status_id":1,"priority_id":2,"assigned_to_id":23,"start_date":"1969-12-31","description":"","custom_fields":[{"id":1,"name":"Subdivision","value":"Other"},{"id":4,"name":"Milepost","value":"2.4229"},{"id":17,"name":"Train ID","value":"53-19"},{"id":16,"name":"Locomotive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4"/>
        <v>start /low /b %USERPROFILE%\Documents\GitHub\eaglep3\Utilities\DownloadLogsFromS3.py --loco 4027 --day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2017-02-19-UncaughtWiMAX.txt</v>
      </c>
    </row>
    <row r="208" spans="1:40" x14ac:dyDescent="0.25">
      <c r="A208" s="33" t="s">
        <v>542</v>
      </c>
      <c r="B208" s="7">
        <v>4045</v>
      </c>
      <c r="C208" s="21" t="s">
        <v>665</v>
      </c>
      <c r="D208" s="21" t="s">
        <v>798</v>
      </c>
      <c r="E208" s="13">
        <v>42785.500428240739</v>
      </c>
      <c r="F208" s="13">
        <v>42785.501608796294</v>
      </c>
      <c r="G208" s="7">
        <v>1</v>
      </c>
      <c r="H208" s="21" t="s">
        <v>301</v>
      </c>
      <c r="I208" s="13">
        <v>42785.506851851853</v>
      </c>
      <c r="J208" s="7">
        <v>0</v>
      </c>
      <c r="K208" s="98" t="str">
        <f t="shared" si="57"/>
        <v>4045/4046</v>
      </c>
      <c r="L208" s="21" t="str">
        <f>VLOOKUP(A208,'Trips&amp;Operators'!$C$1:$G$99999,5,FALSE)</f>
        <v>KILLION DAVID</v>
      </c>
      <c r="M208" s="6">
        <f t="shared" si="58"/>
        <v>5.2430555588216521E-3</v>
      </c>
      <c r="N208" s="7">
        <f t="shared" si="59"/>
        <v>7.550000004703179</v>
      </c>
      <c r="O208" s="7"/>
      <c r="P208" s="7"/>
      <c r="Q208" s="22"/>
      <c r="R208" s="22"/>
      <c r="S208" s="31">
        <f t="shared" si="60"/>
        <v>0</v>
      </c>
      <c r="T208" s="46" t="e">
        <f t="shared" si="61"/>
        <v>#VALUE!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7" t="str">
        <f t="shared" si="62"/>
        <v>https://d0f6bd738d7f1b3e5a7ca70fe4ff75f0.us-east-1.aws.found.io/app/kibana#/discover/Steve-Slow-Train-Analysis-(2080s-and-2083s)?_g=(refreshInterval:(display:Off,pause:!f,section:0,value:0),time:(from:'2017-02-19T11:00:37-0700',mode:absolute,to:'2017-02-19T13:09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188" t="str">
        <f t="shared" si="63"/>
        <v>Y</v>
      </c>
      <c r="X208" s="188" t="e">
        <f t="shared" si="64"/>
        <v>#VALUE!</v>
      </c>
      <c r="Y208" s="62">
        <f t="shared" si="65"/>
        <v>2.3113999999999999</v>
      </c>
      <c r="Z208" s="62">
        <f t="shared" si="66"/>
        <v>1.38E-2</v>
      </c>
      <c r="AA208" s="62">
        <f t="shared" si="67"/>
        <v>2.2976000000000001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68"/>
        <v>54-19</v>
      </c>
      <c r="AE208" s="85" t="str">
        <f t="shared" si="69"/>
        <v>aws s3 cp s3://rtdc.mdm.uploadarchive.raw/RTDC4045/ "%USERPROFILE%\AppData\Local\Temp\OnboardLogs"\RTDC4045\2017-02-19 --exclude "*" --recursive --include "*20170219*" &amp; "%USERPROFILE%\Documents\GitHub\mrs-test-scripts\Headless Mode &amp; Sideloading\WalkAndUnGZ.bat" "%USERPROFILE%\AppData\Local\Temp\OnboardLogs"\RTDC4045\2017-02-19 &amp; 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</v>
      </c>
      <c r="AF208" s="82" t="str">
        <f t="shared" si="70"/>
        <v>"C:\Program Files (x86)\AstroGrep\AstroGrep.exe" /spath="%USERPROFILE%\AppData\Local\Temp\OnboardLogs" /stypes="app*4045*20170219*" /stext=" 19:.+((SYSTEM_STATE.+slice.+state.+changed )|(ment ac)|(multiple cpu faults)|(system.+state.+changed )|(\[timeout)|(PRM\|1\|D)|(kpr)|(kdp)|(\|loc)|(penalty))"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54-19 --locoid 4045 --swversion DE.1.0.9.0 --startMP 300:23114 --initTime 2017-02-19T12:00:37 --startdatetime 2017-02-19T12:02:19 --delay 1 --endMP 204:138 --enddatetime 2017-02-19T12:09:52 --enforcementcount 0 &gt;&gt;C:\Users\stu\Documents\GitHub\eaglep3-reporting\EC\2017-02-19-refined-times.txt</v>
      </c>
      <c r="AI208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{"issue":{"subject":"","project_id":79,"tracker_id":40,"status_id":1,"priority_id":2,"assigned_to_id":23,"start_date":"2017-02-19","description":"","custom_fields":[{"id":1,"name":"Subdivision","value":"Other"},{"id":4,"name":"Milepost","value":"0.0138"},{"id":17,"name":"Train ID","value":"54-19"},{"id":16,"name":"Locomotive ID","value":"4045"},{"id":130,"name":"Impact","value":""},{"id":150,"name":"Time of Event (Mountain Time)","value":"12:09:52"},{"id":151,"name":"Denver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4"/>
        <v>start /low /b %USERPROFILE%\Documents\GitHub\eaglep3\Utilities\DownloadLogsFromS3.py --loco 4045 --day 2017-02-19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"%USERPROFILE%\AppData\Local\Temp\OnboardLogs"\RTDC4045\*4045*20170219* | grep -SE "(Enforcement Action)|(\[TIMEOUT)|(CHR.+\|PRM\|1\|D.+(SWITCH|SIGNAL).+UNKNOWN)" - &gt;&gt; 2017-02-19-UncaughtWiMAX.txt</v>
      </c>
    </row>
    <row r="209" spans="1:40" x14ac:dyDescent="0.25">
      <c r="A209" s="33" t="s">
        <v>551</v>
      </c>
      <c r="B209" s="7">
        <v>4046</v>
      </c>
      <c r="C209" s="21" t="s">
        <v>665</v>
      </c>
      <c r="D209" s="21" t="s">
        <v>231</v>
      </c>
      <c r="E209" s="13">
        <v>42785.523287037038</v>
      </c>
      <c r="F209" s="13">
        <v>42785.525578703702</v>
      </c>
      <c r="G209" s="7">
        <v>1</v>
      </c>
      <c r="H209" s="21" t="s">
        <v>799</v>
      </c>
      <c r="I209" s="13">
        <v>42785.531481481485</v>
      </c>
      <c r="J209" s="7">
        <v>0</v>
      </c>
      <c r="K209" s="98" t="str">
        <f t="shared" si="57"/>
        <v>4045/4046</v>
      </c>
      <c r="L209" s="21" t="str">
        <f>VLOOKUP(A209,'Trips&amp;Operators'!$C$1:$G$99999,5,FALSE)</f>
        <v>SHOOK JOHN</v>
      </c>
      <c r="M209" s="6">
        <f t="shared" si="58"/>
        <v>5.9027777824667282E-3</v>
      </c>
      <c r="N209" s="7">
        <f t="shared" si="59"/>
        <v>8.5000000067520887</v>
      </c>
      <c r="O209" s="7"/>
      <c r="P209" s="7"/>
      <c r="Q209" s="22"/>
      <c r="R209" s="22"/>
      <c r="S209" s="31">
        <f t="shared" si="60"/>
        <v>0</v>
      </c>
      <c r="T209" s="46" t="e">
        <f t="shared" si="61"/>
        <v>#VALUE!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7" t="str">
        <f t="shared" si="62"/>
        <v>https://d0f6bd738d7f1b3e5a7ca70fe4ff75f0.us-east-1.aws.found.io/app/kibana#/discover/Steve-Slow-Train-Analysis-(2080s-and-2083s)?_g=(refreshInterval:(display:Off,pause:!f,section:0,value:0),time:(from:'2017-02-19T11:33:32-0700',mode:absolute,to:'2017-02-19T13:45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9" s="188" t="str">
        <f t="shared" si="63"/>
        <v>Y</v>
      </c>
      <c r="X209" s="188" t="e">
        <f t="shared" si="64"/>
        <v>#VALUE!</v>
      </c>
      <c r="Y209" s="62">
        <f t="shared" si="65"/>
        <v>4.5999999999999999E-2</v>
      </c>
      <c r="Z209" s="62">
        <f t="shared" si="66"/>
        <v>2.4232999999999998</v>
      </c>
      <c r="AA209" s="62">
        <f t="shared" si="67"/>
        <v>2.3773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68"/>
        <v>55-19</v>
      </c>
      <c r="AE209" s="85" t="str">
        <f t="shared" si="69"/>
        <v>aws s3 cp s3://rtdc.mdm.uploadarchive.raw/RTDC4046/ "%USERPROFILE%\AppData\Local\Temp\OnboardLogs"\RTDC4046\2017-02-19 --exclude "*" --recursive --include "*20170219*" &amp; "%USERPROFILE%\Documents\GitHub\mrs-test-scripts\Headless Mode &amp; Sideloading\WalkAndUnGZ.bat" "%USERPROFILE%\AppData\Local\Temp\OnboardLogs"\RTDC4046\2017-02-19 &amp; 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</v>
      </c>
      <c r="AF209" s="82" t="str">
        <f t="shared" si="70"/>
        <v>"C:\Program Files (x86)\AstroGrep\AstroGrep.exe" /spath="%USERPROFILE%\AppData\Local\Temp\OnboardLogs" /stypes="app*4046*20170219*" /stext=" 19:.+((SYSTEM_STATE.+slice.+state.+changed )|(ment ac)|(multiple cpu faults)|(system.+state.+changed )|(\[timeout)|(PRM\|1\|D)|(kpr)|(kdp)|(\|loc)|(penalty))"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55-19 --locoid 4046 --swversion DE.1.0.9.0 --startMP 204:460 --initTime 2017-02-19T12:33:32 --startdatetime 2017-02-19T12:36:50 --delay 1 --endMP 300:24233 --enddatetime 2017-02-19T12:45:20 --enforcementcount 0 &gt;&gt;C:\Users\stu\Documents\GitHub\eaglep3-reporting\EC\2017-02-19-refined-times.txt</v>
      </c>
      <c r="AI209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{"issue":{"subject":"","project_id":79,"tracker_id":40,"status_id":1,"priority_id":2,"assigned_to_id":23,"start_date":"2017-02-19","description":"","custom_fields":[{"id":1,"name":"Subdivision","value":"Other"},{"id":4,"name":"Milepost","value":"2.4233"},{"id":17,"name":"Train ID","value":"55-19"},{"id":16,"name":"Locomotive ID","value":"4046"},{"id":130,"name":"Impact","value":""},{"id":150,"name":"Time of Event (Mountain Time)","value":"12:45:20"},{"id":151,"name":"Denver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4"/>
        <v>start /low /b %USERPROFILE%\Documents\GitHub\eaglep3\Utilities\DownloadLogsFromS3.py --loco 4046 --day 2017-02-19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"%USERPROFILE%\AppData\Local\Temp\OnboardLogs"\RTDC4046\*4046*20170219* | grep -SE "(Enforcement Action)|(\[TIMEOUT)|(CHR.+\|PRM\|1\|D.+(SWITCH|SIGNAL).+UNKNOWN)" - &gt;&gt; 2017-02-19-UncaughtWiMAX.txt</v>
      </c>
    </row>
    <row r="210" spans="1:40" x14ac:dyDescent="0.25">
      <c r="A210" s="33" t="s">
        <v>604</v>
      </c>
      <c r="B210" s="7">
        <v>4045</v>
      </c>
      <c r="C210" s="21" t="s">
        <v>665</v>
      </c>
      <c r="D210" s="21" t="s">
        <v>800</v>
      </c>
      <c r="E210" s="13">
        <v>42785.734490740739</v>
      </c>
      <c r="F210" s="13">
        <v>42785.743495370371</v>
      </c>
      <c r="G210" s="7">
        <v>12</v>
      </c>
      <c r="H210" s="21">
        <v>8.5333333333333332</v>
      </c>
      <c r="I210" s="13">
        <v>42785.74927083333</v>
      </c>
      <c r="J210" s="7">
        <v>0</v>
      </c>
      <c r="K210" s="98" t="str">
        <f t="shared" si="57"/>
        <v>4045/4046</v>
      </c>
      <c r="L210" s="21" t="str">
        <f>VLOOKUP(A210,'Trips&amp;Operators'!$C$1:$G$99999,5,FALSE)</f>
        <v>SMITH MICHAEL</v>
      </c>
      <c r="M210" s="6">
        <f t="shared" si="58"/>
        <v>5.7754629597184248E-3</v>
      </c>
      <c r="N210" s="7">
        <f t="shared" si="59"/>
        <v>8.3166666619945318</v>
      </c>
      <c r="O210" s="7"/>
      <c r="P210" s="7"/>
      <c r="Q210" s="22"/>
      <c r="R210" s="22"/>
      <c r="S210" s="31">
        <f t="shared" si="60"/>
        <v>0</v>
      </c>
      <c r="T210" s="46" t="e">
        <f t="shared" si="61"/>
        <v>#VALUE!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 t="shared" si="62"/>
        <v>https://d0f6bd738d7f1b3e5a7ca70fe4ff75f0.us-east-1.aws.found.io/app/kibana#/discover/Steve-Slow-Train-Analysis-(2080s-and-2083s)?_g=(refreshInterval:(display:Off,pause:!f,section:0,value:0),time:(from:'2017-02-19T16:37:40-0700',mode:absolute,to:'2017-02-19T18:58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188" t="str">
        <f t="shared" si="63"/>
        <v>N</v>
      </c>
      <c r="X210" s="188" t="e">
        <f t="shared" si="64"/>
        <v>#VALUE!</v>
      </c>
      <c r="Y210" s="62">
        <f t="shared" si="65"/>
        <v>2.3696999999999999</v>
      </c>
      <c r="Z210" s="62">
        <f t="shared" si="66"/>
        <v>33333333.333299998</v>
      </c>
      <c r="AA210" s="62">
        <f t="shared" si="67"/>
        <v>33333330.963599999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68"/>
        <v>56-19</v>
      </c>
      <c r="AE210" s="85" t="str">
        <f t="shared" si="69"/>
        <v>aws s3 cp s3://rtdc.mdm.uploadarchive.raw/RTDC4045/ "%USERPROFILE%\AppData\Local\Temp\OnboardLogs"\RTDC4045\2017-02-19 --exclude "*" --recursive --include "*20170219*" &amp; "%USERPROFILE%\Documents\GitHub\mrs-test-scripts\Headless Mode &amp; Sideloading\WalkAndUnGZ.bat" "%USERPROFILE%\AppData\Local\Temp\OnboardLogs"\RTDC4045\2017-02-19 &amp; 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</v>
      </c>
      <c r="AF210" s="82" t="str">
        <f t="shared" si="70"/>
        <v>"C:\Program Files (x86)\AstroGrep\AstroGrep.exe" /spath="%USERPROFILE%\AppData\Local\Temp\OnboardLogs" /stypes="app*4045*20170220*" /stext=" 00:.+((SYSTEM_STATE.+slice.+state.+changed )|(ment ac)|(multiple cpu faults)|(system.+state.+changed )|(\[timeout)|(PRM\|1\|D)|(kpr)|(kdp)|(\|loc)|(penalty))"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56-19 --locoid 4045 --swversion DE.1.0.9.0 --startMP 300:23697 --initTime 2017-02-19T17:37:40 --startdatetime 2017-02-19T17:50:38 --delay 12 --endMP 8.53333333333333 --enddatetime 2017-02-19T17:58:57 --enforcementcount 0 &gt;&gt;C:\Users\stu\Documents\GitHub\eaglep3-reporting\EC\2017-02-19-refined-times.txt</v>
      </c>
      <c r="AI210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33333333.3333"},{"id":17,"name":"Train ID","value":"56-19"},{"id":16,"name":"Locomotive ID","value":"4045"},{"id":130,"name":"Impact","value":""},{"id":150,"name":"Time of Event (Mountain Time)","value":"17:58:57"},{"id":151,"name":"Denver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4"/>
        <v>start /low /b %USERPROFILE%\Documents\GitHub\eaglep3\Utilities\DownloadLogsFromS3.py --loco 4045 --day 2017-02-19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2017-02-19-UncaughtWiMAX.txt</v>
      </c>
    </row>
    <row r="211" spans="1:40" x14ac:dyDescent="0.25">
      <c r="A211" s="33" t="s">
        <v>606</v>
      </c>
      <c r="B211" s="7">
        <v>4030</v>
      </c>
      <c r="C211" s="21" t="s">
        <v>665</v>
      </c>
      <c r="D211" s="21" t="s">
        <v>801</v>
      </c>
      <c r="E211" s="13">
        <v>42785.746319444443</v>
      </c>
      <c r="F211" s="13">
        <v>42785.747696759259</v>
      </c>
      <c r="G211" s="7">
        <v>1</v>
      </c>
      <c r="H211" s="21" t="s">
        <v>802</v>
      </c>
      <c r="I211" s="13">
        <v>42785.758298611108</v>
      </c>
      <c r="J211" s="7">
        <v>0</v>
      </c>
      <c r="K211" s="98" t="str">
        <f t="shared" si="57"/>
        <v>4029/4030</v>
      </c>
      <c r="L211" s="21" t="str">
        <f>VLOOKUP(A211,'Trips&amp;Operators'!$C$1:$G$99999,5,FALSE)</f>
        <v>COMELLA JUSTIN</v>
      </c>
      <c r="M211" s="6">
        <f t="shared" si="58"/>
        <v>1.060185184906004E-2</v>
      </c>
      <c r="N211" s="7">
        <f t="shared" si="59"/>
        <v>15.266666662646458</v>
      </c>
      <c r="O211" s="7"/>
      <c r="P211" s="7"/>
      <c r="Q211" s="22"/>
      <c r="R211" s="22"/>
      <c r="S211" s="31">
        <f t="shared" si="60"/>
        <v>0</v>
      </c>
      <c r="T211" s="46" t="e">
        <f t="shared" si="61"/>
        <v>#VALUE!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7" t="str">
        <f t="shared" si="62"/>
        <v>https://d0f6bd738d7f1b3e5a7ca70fe4ff75f0.us-east-1.aws.found.io/app/kibana#/discover/Steve-Slow-Train-Analysis-(2080s-and-2083s)?_g=(refreshInterval:(display:Off,pause:!f,section:0,value:0),time:(from:'2017-02-19T16:54:42-0700',mode:absolute,to:'2017-02-19T19:11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1" s="188" t="str">
        <f t="shared" si="63"/>
        <v>Y</v>
      </c>
      <c r="X211" s="188" t="e">
        <f t="shared" si="64"/>
        <v>#VALUE!</v>
      </c>
      <c r="Y211" s="62">
        <f t="shared" si="65"/>
        <v>2.1823999999999999</v>
      </c>
      <c r="Z211" s="62">
        <f t="shared" si="66"/>
        <v>0.1371</v>
      </c>
      <c r="AA211" s="62">
        <f t="shared" si="67"/>
        <v>2.0453000000000001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68"/>
        <v>58-19</v>
      </c>
      <c r="AE211" s="85" t="str">
        <f t="shared" si="69"/>
        <v>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 &amp; 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</v>
      </c>
      <c r="AF211" s="82" t="str">
        <f t="shared" si="70"/>
        <v>"C:\Program Files (x86)\AstroGrep\AstroGrep.exe" /spath="%USERPROFILE%\AppData\Local\Temp\OnboardLogs" /stypes="app*4030*20170220*" /stext=" 01:.+((SYSTEM_STATE.+slice.+state.+changed )|(ment ac)|(multiple cpu faults)|(system.+state.+changed )|(\[timeout)|(PRM\|1\|D)|(kpr)|(kdp)|(\|loc)|(penalty))"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58-19 --locoid 4030 --swversion DE.1.0.9.0 --startMP 300:21824 --initTime 2017-02-19T17:54:42 --startdatetime 2017-02-19T17:56:41 --delay 1 --endMP 204:1371 --enddatetime 2017-02-19T18:11:57 --enforcementcount 0 &gt;&gt;C:\Users\stu\Documents\GitHub\eaglep3-reporting\EC\2017-02-19-refined-times.txt</v>
      </c>
      <c r="AI211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{"issue":{"subject":"","project_id":79,"tracker_id":40,"status_id":1,"priority_id":2,"assigned_to_id":23,"start_date":"2017-02-19","description":"","custom_fields":[{"id":1,"name":"Subdivision","value":"Other"},{"id":4,"name":"Milepost","value":"0.1371"},{"id":17,"name":"Train ID","value":"58-19"},{"id":16,"name":"Locomotive ID","value":"4030"},{"id":130,"name":"Impact","value":""},{"id":150,"name":"Time of Event (Mountain Time)","value":"18:11:57"},{"id":151,"name":"Denver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4"/>
        <v>start /low /b %USERPROFILE%\Documents\GitHub\eaglep3\Utilities\DownloadLogsFromS3.py --loco 4030 --day 2017-02-19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2017-02-19-UncaughtWiMAX.txt</v>
      </c>
    </row>
    <row r="212" spans="1:40" x14ac:dyDescent="0.25">
      <c r="A212" s="33" t="s">
        <v>613</v>
      </c>
      <c r="B212" s="7">
        <v>4051</v>
      </c>
      <c r="C212" s="21" t="s">
        <v>665</v>
      </c>
      <c r="D212" s="21" t="s">
        <v>316</v>
      </c>
      <c r="E212" s="13">
        <v>42785.767581018517</v>
      </c>
      <c r="F212" s="13">
        <v>42785.768888888888</v>
      </c>
      <c r="G212" s="7">
        <v>1</v>
      </c>
      <c r="H212" s="21" t="s">
        <v>298</v>
      </c>
      <c r="I212" s="13">
        <v>42785.77412037037</v>
      </c>
      <c r="J212" s="7">
        <v>0</v>
      </c>
      <c r="K212" s="98" t="str">
        <f t="shared" si="57"/>
        <v>4051/4052</v>
      </c>
      <c r="L212" s="21" t="str">
        <f>VLOOKUP(A212,'Trips&amp;Operators'!$C$1:$G$99999,5,FALSE)</f>
        <v>STEWART MICHAEL</v>
      </c>
      <c r="M212" s="6">
        <f t="shared" si="58"/>
        <v>5.2314814820419997E-3</v>
      </c>
      <c r="N212" s="7">
        <f t="shared" si="59"/>
        <v>7.5333333341404796</v>
      </c>
      <c r="O212" s="7"/>
      <c r="P212" s="7"/>
      <c r="Q212" s="22"/>
      <c r="R212" s="22"/>
      <c r="S212" s="31">
        <f t="shared" si="60"/>
        <v>0</v>
      </c>
      <c r="T212" s="46" t="e">
        <f t="shared" si="61"/>
        <v>#VALUE!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 t="shared" si="62"/>
        <v>https://d0f6bd738d7f1b3e5a7ca70fe4ff75f0.us-east-1.aws.found.io/app/kibana#/discover/Steve-Slow-Train-Analysis-(2080s-and-2083s)?_g=(refreshInterval:(display:Off,pause:!f,section:0,value:0),time:(from:'2017-02-19T17:25:19-0700',mode:absolute,to:'2017-02-19T19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2" s="188" t="str">
        <f t="shared" si="63"/>
        <v>Y</v>
      </c>
      <c r="X212" s="188" t="e">
        <f t="shared" si="64"/>
        <v>#VALUE!</v>
      </c>
      <c r="Y212" s="62">
        <f t="shared" si="65"/>
        <v>6.7799999999999999E-2</v>
      </c>
      <c r="Z212" s="62">
        <f t="shared" si="66"/>
        <v>2.3346</v>
      </c>
      <c r="AA212" s="62">
        <f t="shared" si="67"/>
        <v>2.2667999999999999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68"/>
        <v>59-19</v>
      </c>
      <c r="AE212" s="85" t="str">
        <f t="shared" si="69"/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AF212" s="82" t="str">
        <f t="shared" si="70"/>
        <v>"C:\Program Files (x86)\AstroGrep\AstroGrep.exe" /spath="%USERPROFILE%\AppData\Local\Temp\OnboardLogs" /stypes="app*4051*20170220*" /stext=" 01:.+((SYSTEM_STATE.+slice.+state.+changed )|(ment ac)|(multiple cpu faults)|(system.+state.+changed )|(\[timeout)|(PRM\|1\|D)|(kpr)|(kdp)|(\|loc)|(penalty))"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59-19 --locoid 4051 --swversion DE.1.0.9.0 --startMP 204:678 --initTime 2017-02-19T18:25:19 --startdatetime 2017-02-19T18:27:12 --delay 1 --endMP 300:23346 --enddatetime 2017-02-19T18:34:44 --enforcementcount 0 &gt;&gt;C:\Users\stu\Documents\GitHub\eaglep3-reporting\EC\2017-02-19-refined-times.txt</v>
      </c>
      <c r="AI212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{"issue":{"subject":"","project_id":79,"tracker_id":40,"status_id":1,"priority_id":2,"assigned_to_id":23,"start_date":"2017-02-19","description":"","custom_fields":[{"id":1,"name":"Subdivision","value":"Other"},{"id":4,"name":"Milepost","value":"2.3346"},{"id":17,"name":"Train ID","value":"59-19"},{"id":16,"name":"Locomotive ID","value":"4051"},{"id":130,"name":"Impact","value":""},{"id":150,"name":"Time of Event (Mountain Time)","value":"18:34:44"},{"id":151,"name":"Denver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4"/>
        <v>start /low /b %USERPROFILE%\Documents\GitHub\eaglep3\Utilities\DownloadLogsFromS3.py --loco 4051 --day 2017-02-19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"%USERPROFILE%\AppData\Local\Temp\OnboardLogs"\RTDC4051\*4051*20170220* | grep -SE "(Enforcement Action)|(\[TIMEOUT)|(CHR.+\|PRM\|1\|D.+(SWITCH|SIGNAL).+UNKNOWN)" - &gt;&gt; 2017-02-19-UncaughtWiMAX.txt</v>
      </c>
    </row>
    <row r="213" spans="1:40" x14ac:dyDescent="0.25">
      <c r="A213" s="33" t="s">
        <v>439</v>
      </c>
      <c r="B213" s="7">
        <v>4009</v>
      </c>
      <c r="C213" s="21" t="s">
        <v>665</v>
      </c>
      <c r="D213" s="21" t="s">
        <v>803</v>
      </c>
      <c r="E213" s="13">
        <v>42785.813784722224</v>
      </c>
      <c r="F213" s="13">
        <v>42785.822905092595</v>
      </c>
      <c r="G213" s="7">
        <v>4</v>
      </c>
      <c r="H213" s="21" t="s">
        <v>804</v>
      </c>
      <c r="I213" s="13">
        <v>42785.839525462965</v>
      </c>
      <c r="J213" s="7">
        <v>0</v>
      </c>
      <c r="K213" s="98" t="str">
        <f t="shared" si="57"/>
        <v>4009/4010</v>
      </c>
      <c r="L213" s="21" t="str">
        <f>VLOOKUP(A213,'Trips&amp;Operators'!$C$1:$G$99999,5,FALSE)</f>
        <v>YANG JAN</v>
      </c>
      <c r="M213" s="6">
        <f t="shared" si="58"/>
        <v>1.6620370370219462E-2</v>
      </c>
      <c r="N213" s="7">
        <f t="shared" si="59"/>
        <v>23.933333333116025</v>
      </c>
      <c r="O213" s="7"/>
      <c r="P213" s="7"/>
      <c r="Q213" s="22"/>
      <c r="R213" s="22"/>
      <c r="S213" s="31">
        <f t="shared" si="60"/>
        <v>0</v>
      </c>
      <c r="T213" s="46" t="e">
        <f t="shared" si="61"/>
        <v>#VALUE!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7" t="str">
        <f t="shared" si="62"/>
        <v>https://d0f6bd738d7f1b3e5a7ca70fe4ff75f0.us-east-1.aws.found.io/app/kibana#/discover/Steve-Slow-Train-Analysis-(2080s-and-2083s)?_g=(refreshInterval:(display:Off,pause:!f,section:0,value:0),time:(from:'2017-02-19T18:31:51-0700',mode:absolute,to:'2017-02-19T21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188" t="str">
        <f t="shared" si="63"/>
        <v>N</v>
      </c>
      <c r="X213" s="188" t="e">
        <f t="shared" si="64"/>
        <v>#VALUE!</v>
      </c>
      <c r="Y213" s="62">
        <f t="shared" si="65"/>
        <v>0.1246</v>
      </c>
      <c r="Z213" s="62">
        <f t="shared" si="66"/>
        <v>12.8277</v>
      </c>
      <c r="AA213" s="62">
        <f t="shared" si="67"/>
        <v>12.703100000000001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68"/>
        <v>61-19</v>
      </c>
      <c r="AE213" s="85" t="str">
        <f t="shared" si="69"/>
        <v>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 &amp; aws s3 cp s3://rtdc.mdm.uploadarchive.raw/RTDC4009/ "%USERPROFILE%\AppData\Local\Temp\OnboardLogs"\RTDC4009\2017-02-20 --exclude "*" --recursive --include "*20170220*" &amp; "%USERPROFILE%\Documents\GitHub\mrs-test-scripts\Headless Mode &amp; Sideloading\WalkAndUnGZ.bat" "%USERPROFILE%\AppData\Local\Temp\OnboardLogs"\RTDC4009\2017-02-20</v>
      </c>
      <c r="AF213" s="82" t="str">
        <f t="shared" si="70"/>
        <v>"C:\Program Files (x86)\AstroGrep\AstroGrep.exe" /spath="%USERPROFILE%\AppData\Local\Temp\OnboardLogs" /stypes="app*4009*20170220*" /stext=" 03:.+((SYSTEM_STATE.+slice.+state.+changed )|(ment ac)|(multiple cpu faults)|(system.+state.+changed )|(\[timeout)|(PRM\|1\|D)|(kpr)|(kdp)|(\|loc)|(penalty))"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61-19 --locoid 4009 --swversion DE.1.0.9.0 --startMP 204:1246 --initTime 2017-02-19T19:31:51 --startdatetime 2017-02-19T19:44:59 --delay 4 --endMP 204:128277 --enddatetime 2017-02-19T20:08:55 --enforcementcount 0 &gt;&gt;C:\Users\stu\Documents\GitHub\eaglep3-reporting\EC\2017-02-19-refined-times.txt</v>
      </c>
      <c r="AI213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{"issue":{"subject":"","project_id":79,"tracker_id":40,"status_id":1,"priority_id":2,"assigned_to_id":23,"start_date":"2017-02-19","description":"","custom_fields":[{"id":1,"name":"Subdivision","value":"Other"},{"id":4,"name":"Milepost","value":"12.8277"},{"id":17,"name":"Train ID","value":"61-19"},{"id":16,"name":"Locomotive ID","value":"4009"},{"id":130,"name":"Impact","value":""},{"id":150,"name":"Time of Event (Mountain Time)","value":"20:08:55"},{"id":151,"name":"Denver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4"/>
        <v>start /low /b %USERPROFILE%\Documents\GitHub\eaglep3\Utilities\DownloadLogsFromS3.py --loco 4009 --day 2017-02-19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"%USERPROFILE%\AppData\Local\Temp\OnboardLogs"\RTDC4009\*4009*20170220* | grep -SE "(Enforcement Action)|(\[TIMEOUT)|(CHR.+\|PRM\|1\|D.+(SWITCH|SIGNAL).+UNKNOWN)" - &gt;&gt; 2017-02-19-UncaughtWiMAX.txt</v>
      </c>
    </row>
    <row r="214" spans="1:40" x14ac:dyDescent="0.25">
      <c r="A214" s="33" t="s">
        <v>439</v>
      </c>
      <c r="B214" s="7">
        <v>4009</v>
      </c>
      <c r="C214" s="21" t="s">
        <v>665</v>
      </c>
      <c r="D214" s="21" t="s">
        <v>805</v>
      </c>
      <c r="E214" s="13">
        <v>42785.963356481479</v>
      </c>
      <c r="F214" s="13">
        <v>42785.965914351851</v>
      </c>
      <c r="G214" s="7">
        <v>1</v>
      </c>
      <c r="H214" s="21" t="s">
        <v>806</v>
      </c>
      <c r="I214" s="13">
        <v>42785.982314814813</v>
      </c>
      <c r="J214" s="7">
        <v>0</v>
      </c>
      <c r="K214" s="98" t="str">
        <f t="shared" si="57"/>
        <v>4009/4010</v>
      </c>
      <c r="L214" s="21" t="str">
        <f>VLOOKUP(A214,'Trips&amp;Operators'!$C$1:$G$99999,5,FALSE)</f>
        <v>YANG JAN</v>
      </c>
      <c r="M214" s="6">
        <f t="shared" si="58"/>
        <v>1.640046296233777E-2</v>
      </c>
      <c r="N214" s="7">
        <f t="shared" si="59"/>
        <v>23.616666665766388</v>
      </c>
      <c r="O214" s="7"/>
      <c r="P214" s="7"/>
      <c r="Q214" s="22"/>
      <c r="R214" s="22"/>
      <c r="S214" s="31">
        <f t="shared" si="60"/>
        <v>0</v>
      </c>
      <c r="T214" s="46" t="e">
        <f t="shared" si="61"/>
        <v>#VALUE!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7" t="str">
        <f t="shared" si="62"/>
        <v>https://d0f6bd738d7f1b3e5a7ca70fe4ff75f0.us-east-1.aws.found.io/app/kibana#/discover/Steve-Slow-Train-Analysis-(2080s-and-2083s)?_g=(refreshInterval:(display:Off,pause:!f,section:0,value:0),time:(from:'2017-02-19T22:07:14-0700',mode:absolute,to:'2017-02-20T00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188" t="str">
        <f t="shared" si="63"/>
        <v>N</v>
      </c>
      <c r="X214" s="188" t="e">
        <f t="shared" si="64"/>
        <v>#VALUE!</v>
      </c>
      <c r="Y214" s="62">
        <f t="shared" si="65"/>
        <v>0.14960000000000001</v>
      </c>
      <c r="Z214" s="62">
        <f t="shared" si="66"/>
        <v>12.8264</v>
      </c>
      <c r="AA214" s="62">
        <f t="shared" si="67"/>
        <v>12.6768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68"/>
        <v>61-19</v>
      </c>
      <c r="AE214" s="85" t="str">
        <f t="shared" si="69"/>
        <v>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 &amp; aws s3 cp s3://rtdc.mdm.uploadarchive.raw/RTDC4009/ "%USERPROFILE%\AppData\Local\Temp\OnboardLogs"\RTDC4009\2017-02-20 --exclude "*" --recursive --include "*20170220*" &amp; "%USERPROFILE%\Documents\GitHub\mrs-test-scripts\Headless Mode &amp; Sideloading\WalkAndUnGZ.bat" "%USERPROFILE%\AppData\Local\Temp\OnboardLogs"\RTDC4009\2017-02-20</v>
      </c>
      <c r="AF214" s="82" t="str">
        <f t="shared" si="70"/>
        <v>"C:\Program Files (x86)\AstroGrep\AstroGrep.exe" /spath="%USERPROFILE%\AppData\Local\Temp\OnboardLogs" /stypes="app*4009*20170220*" /stext=" 06:.+((SYSTEM_STATE.+slice.+state.+changed )|(ment ac)|(multiple cpu faults)|(system.+state.+changed )|(\[timeout)|(PRM\|1\|D)|(kpr)|(kdp)|(\|loc)|(penalty))"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61-19 --locoid 4009 --swversion DE.1.0.9.0 --startMP 204:1496 --initTime 2017-02-19T23:07:14 --startdatetime 2017-02-19T23:10:55 --delay 1 --endMP 204:128264 --enddatetime 2017-02-19T23:34:32 --enforcementcount 0 &gt;&gt;C:\Users\stu\Documents\GitHub\eaglep3-reporting\EC\2017-02-19-refined-times.txt</v>
      </c>
      <c r="AI214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{"issue":{"subject":"","project_id":79,"tracker_id":40,"status_id":1,"priority_id":2,"assigned_to_id":23,"start_date":"2017-02-19","description":"","custom_fields":[{"id":1,"name":"Subdivision","value":"Other"},{"id":4,"name":"Milepost","value":"12.8264"},{"id":17,"name":"Train ID","value":"61-19"},{"id":16,"name":"Locomotive ID","value":"4009"},{"id":130,"name":"Impact","value":""},{"id":150,"name":"Time of Event (Mountain Time)","value":"23:34:32"},{"id":151,"name":"Denver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4"/>
        <v>start /low /b %USERPROFILE%\Documents\GitHub\eaglep3\Utilities\DownloadLogsFromS3.py --loco 4009 --day 2017-02-19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"%USERPROFILE%\AppData\Local\Temp\OnboardLogs"\RTDC4009\*4009*20170220* | grep -SE "(Enforcement Action)|(\[TIMEOUT)|(CHR.+\|PRM\|1\|D.+(SWITCH|SIGNAL).+UNKNOWN)" - &gt;&gt; 2017-02-19-UncaughtWiMAX.txt</v>
      </c>
    </row>
    <row r="215" spans="1:40" x14ac:dyDescent="0.25">
      <c r="A215" s="33" t="s">
        <v>439</v>
      </c>
      <c r="B215" s="7">
        <v>4009</v>
      </c>
      <c r="C215" s="21" t="s">
        <v>665</v>
      </c>
      <c r="D215" s="21" t="s">
        <v>805</v>
      </c>
      <c r="E215" s="13">
        <v>42786.004178240742</v>
      </c>
      <c r="F215" s="13">
        <v>42786.005960648145</v>
      </c>
      <c r="G215" s="7">
        <v>1</v>
      </c>
      <c r="H215" s="21" t="s">
        <v>807</v>
      </c>
      <c r="I215" s="13">
        <v>42786.022812499999</v>
      </c>
      <c r="J215" s="7">
        <v>0</v>
      </c>
      <c r="K215" s="98" t="str">
        <f t="shared" si="57"/>
        <v>4009/4010</v>
      </c>
      <c r="L215" s="21" t="str">
        <f>VLOOKUP(A215,'Trips&amp;Operators'!$C$1:$G$99999,5,FALSE)</f>
        <v>YANG JAN</v>
      </c>
      <c r="M215" s="6">
        <f t="shared" si="58"/>
        <v>1.6851851854880806E-2</v>
      </c>
      <c r="N215" s="7">
        <f t="shared" si="59"/>
        <v>24.266666671028361</v>
      </c>
      <c r="O215" s="7"/>
      <c r="P215" s="7"/>
      <c r="Q215" s="22"/>
      <c r="R215" s="22"/>
      <c r="S215" s="31">
        <f t="shared" si="60"/>
        <v>0</v>
      </c>
      <c r="T215" s="46" t="e">
        <f t="shared" si="61"/>
        <v>#VALUE!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7" t="str">
        <f t="shared" si="62"/>
        <v>https://d0f6bd738d7f1b3e5a7ca70fe4ff75f0.us-east-1.aws.found.io/app/kibana#/discover/Steve-Slow-Train-Analysis-(2080s-and-2083s)?_g=(refreshInterval:(display:Off,pause:!f,section:0,value:0),time:(from:'2017-02-19T23:06:01-0700',mode:absolute,to:'2017-02-20T01:32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188" t="str">
        <f t="shared" si="63"/>
        <v>N</v>
      </c>
      <c r="X215" s="188" t="e">
        <f t="shared" si="64"/>
        <v>#VALUE!</v>
      </c>
      <c r="Y215" s="62">
        <f t="shared" si="65"/>
        <v>0.14960000000000001</v>
      </c>
      <c r="Z215" s="62">
        <f t="shared" si="66"/>
        <v>12.827400000000001</v>
      </c>
      <c r="AA215" s="62">
        <f t="shared" si="67"/>
        <v>12.677800000000001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68"/>
        <v>61-19</v>
      </c>
      <c r="AE215" s="85" t="str">
        <f t="shared" si="69"/>
        <v>aws s3 cp s3://rtdc.mdm.uploadarchive.raw/RTDC4009/ "%USERPROFILE%\AppData\Local\Temp\OnboardLogs"\RTDC4009\2017-02-20 --exclude "*" --recursive --include "*20170220*" &amp; "%USERPROFILE%\Documents\GitHub\mrs-test-scripts\Headless Mode &amp; Sideloading\WalkAndUnGZ.bat" "%USERPROFILE%\AppData\Local\Temp\OnboardLogs"\RTDC4009\2017-02-20 &amp; 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</v>
      </c>
      <c r="AF215" s="82" t="str">
        <f t="shared" si="70"/>
        <v>"C:\Program Files (x86)\AstroGrep\AstroGrep.exe" /spath="%USERPROFILE%\AppData\Local\Temp\OnboardLogs" /stypes="app*4009*20170220*" /stext=" 07:.+((SYSTEM_STATE.+slice.+state.+changed )|(ment ac)|(multiple cpu faults)|(system.+state.+changed )|(\[timeout)|(PRM\|1\|D)|(kpr)|(kdp)|(\|loc)|(penalty))"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61-19 --locoid 4009 --swversion DE.1.0.9.0 --startMP 204:1496 --initTime 2017-02-20T00:06:01 --startdatetime 2017-02-20T00:08:35 --delay 1 --endMP 204:128274 --enddatetime 2017-02-20T00:32:51 --enforcementcount 0 &gt;&gt;C:\Users\stu\Documents\GitHub\eaglep3-reporting\EC\2017-02-19-refined-times.txt</v>
      </c>
      <c r="AI215" s="108" t="str">
        <f t="shared" si="73"/>
        <v>echo {"issue":{"subject":"","project_id":79,"tracker_id":40,"status_id":1,"priority_id":2,"assigned_to_id":23,"start_date":"2017-02-20","description":"","custom_fields":[{"id":1,"name":"Subdivision","value":"Other"},{"id":4,"name":"Milepost","value":"12.8274"},{"id":17,"name":"Train ID","value":"61-19"},{"id":16,"name":"Locomotive ID","value":"4009"},{"id":130,"name":"Impact","value":""},{"id":150,"name":"Time of Event (Mountain Time)","value":"00:32:51"},{"id":151,"name":"Denver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4"/>
        <v>start /low /b %USERPROFILE%\Documents\GitHub\eaglep3\Utilities\DownloadLogsFromS3.py --loco 4009 --day 2017-02-20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"%USERPROFILE%\AppData\Local\Temp\OnboardLogs"\RTDC4009\*4009*20170220* | grep -SE "(Enforcement Action)|(\[TIMEOUT)|(CHR.+\|PRM\|1\|D.+(SWITCH|SIGNAL).+UNKNOWN)" - &gt;&gt; 2017-02-19-UncaughtWiMAX.txt</v>
      </c>
    </row>
    <row r="216" spans="1:40" x14ac:dyDescent="0.25">
      <c r="A216" s="33" t="s">
        <v>439</v>
      </c>
      <c r="B216" s="7">
        <v>4009</v>
      </c>
      <c r="C216" s="21" t="s">
        <v>665</v>
      </c>
      <c r="D216" s="21" t="s">
        <v>260</v>
      </c>
      <c r="E216" s="13">
        <v>42785.867071759261</v>
      </c>
      <c r="F216" s="13">
        <v>42785.891585648147</v>
      </c>
      <c r="G216" s="7">
        <v>1</v>
      </c>
      <c r="H216" s="21" t="s">
        <v>808</v>
      </c>
      <c r="I216" s="13">
        <v>42785.909386574072</v>
      </c>
      <c r="J216" s="7">
        <v>0</v>
      </c>
      <c r="K216" s="98" t="str">
        <f t="shared" si="57"/>
        <v>4009/4010</v>
      </c>
      <c r="L216" s="21" t="str">
        <f>VLOOKUP(A216,'Trips&amp;Operators'!$C$1:$G$99999,5,FALSE)</f>
        <v>YANG JAN</v>
      </c>
      <c r="M216" s="6">
        <f t="shared" si="58"/>
        <v>1.7800925925257616E-2</v>
      </c>
      <c r="N216" s="7">
        <f t="shared" si="59"/>
        <v>25.633333332370967</v>
      </c>
      <c r="O216" s="7"/>
      <c r="P216" s="7"/>
      <c r="Q216" s="22"/>
      <c r="R216" s="22"/>
      <c r="S216" s="31">
        <f t="shared" si="60"/>
        <v>0</v>
      </c>
      <c r="T216" s="46" t="e">
        <f t="shared" si="61"/>
        <v>#VALUE!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7" t="str">
        <f t="shared" si="62"/>
        <v>https://d0f6bd738d7f1b3e5a7ca70fe4ff75f0.us-east-1.aws.found.io/app/kibana#/discover/Steve-Slow-Train-Analysis-(2080s-and-2083s)?_g=(refreshInterval:(display:Off,pause:!f,section:0,value:0),time:(from:'2017-02-19T19:48:35-0700',mode:absolute,to:'2017-02-19T22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6" s="188" t="str">
        <f t="shared" si="63"/>
        <v>N</v>
      </c>
      <c r="X216" s="188" t="e">
        <f t="shared" si="64"/>
        <v>#VALUE!</v>
      </c>
      <c r="Y216" s="62">
        <f t="shared" si="65"/>
        <v>4.5499999999999999E-2</v>
      </c>
      <c r="Z216" s="62">
        <f t="shared" si="66"/>
        <v>12.826700000000001</v>
      </c>
      <c r="AA216" s="62">
        <f t="shared" si="67"/>
        <v>12.7812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68"/>
        <v>61-19</v>
      </c>
      <c r="AE216" s="85" t="str">
        <f t="shared" si="69"/>
        <v>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 &amp; aws s3 cp s3://rtdc.mdm.uploadarchive.raw/RTDC4009/ "%USERPROFILE%\AppData\Local\Temp\OnboardLogs"\RTDC4009\2017-02-20 --exclude "*" --recursive --include "*20170220*" &amp; "%USERPROFILE%\Documents\GitHub\mrs-test-scripts\Headless Mode &amp; Sideloading\WalkAndUnGZ.bat" "%USERPROFILE%\AppData\Local\Temp\OnboardLogs"\RTDC4009\2017-02-20</v>
      </c>
      <c r="AF216" s="82" t="str">
        <f t="shared" si="70"/>
        <v>"C:\Program Files (x86)\AstroGrep\AstroGrep.exe" /spath="%USERPROFILE%\AppData\Local\Temp\OnboardLogs" /stypes="app*4009*20170220*" /stext=" 04:.+((SYSTEM_STATE.+slice.+state.+changed )|(ment ac)|(multiple cpu faults)|(system.+state.+changed )|(\[timeout)|(PRM\|1\|D)|(kpr)|(kdp)|(\|loc)|(penalty))"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61-19 --locoid 4009 --swversion DE.1.0.9.0 --startMP 204:455 --initTime 2017-02-19T20:48:35 --startdatetime 2017-02-19T21:23:53 --delay 1 --endMP 204:128267 --enddatetime 2017-02-19T21:49:31 --enforcementcount 0 &gt;&gt;C:\Users\stu\Documents\GitHub\eaglep3-reporting\EC\2017-02-19-refined-times.txt</v>
      </c>
      <c r="AI216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{"issue":{"subject":"","project_id":79,"tracker_id":40,"status_id":1,"priority_id":2,"assigned_to_id":23,"start_date":"2017-02-19","description":"","custom_fields":[{"id":1,"name":"Subdivision","value":"Other"},{"id":4,"name":"Milepost","value":"12.8267"},{"id":17,"name":"Train ID","value":"61-19"},{"id":16,"name":"Locomotive ID","value":"4009"},{"id":130,"name":"Impact","value":""},{"id":150,"name":"Time of Event (Mountain Time)","value":"21:49:31"},{"id":151,"name":"Denver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4"/>
        <v>start /low /b %USERPROFILE%\Documents\GitHub\eaglep3\Utilities\DownloadLogsFromS3.py --loco 4009 --day 2017-02-19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"%USERPROFILE%\AppData\Local\Temp\OnboardLogs"\RTDC4009\*4009*20170220* | grep -SE "(Enforcement Action)|(\[TIMEOUT)|(CHR.+\|PRM\|1\|D.+(SWITCH|SIGNAL).+UNKNOWN)" - &gt;&gt; 2017-02-19-UncaughtWiMAX.txt</v>
      </c>
    </row>
    <row r="217" spans="1:40" x14ac:dyDescent="0.25">
      <c r="A217" s="33" t="s">
        <v>439</v>
      </c>
      <c r="B217" s="7">
        <v>4009</v>
      </c>
      <c r="C217" s="21" t="s">
        <v>665</v>
      </c>
      <c r="D217" s="21" t="s">
        <v>231</v>
      </c>
      <c r="E217" s="13">
        <v>42785.912094907406</v>
      </c>
      <c r="F217" s="13">
        <v>42785.92083333333</v>
      </c>
      <c r="G217" s="7">
        <v>1</v>
      </c>
      <c r="H217" s="21" t="s">
        <v>804</v>
      </c>
      <c r="I217" s="13">
        <v>42785.936990740738</v>
      </c>
      <c r="J217" s="7">
        <v>0</v>
      </c>
      <c r="K217" s="98" t="str">
        <f t="shared" si="57"/>
        <v>4009/4010</v>
      </c>
      <c r="L217" s="21" t="str">
        <f>VLOOKUP(A217,'Trips&amp;Operators'!$C$1:$G$99999,5,FALSE)</f>
        <v>YANG JAN</v>
      </c>
      <c r="M217" s="6">
        <f t="shared" si="58"/>
        <v>1.615740740817273E-2</v>
      </c>
      <c r="N217" s="7">
        <f t="shared" si="59"/>
        <v>23.266666667768732</v>
      </c>
      <c r="O217" s="7"/>
      <c r="P217" s="7"/>
      <c r="Q217" s="22"/>
      <c r="R217" s="22"/>
      <c r="S217" s="31">
        <f t="shared" si="60"/>
        <v>0</v>
      </c>
      <c r="T217" s="46" t="e">
        <f t="shared" si="61"/>
        <v>#VALUE!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7" t="str">
        <f t="shared" si="62"/>
        <v>https://d0f6bd738d7f1b3e5a7ca70fe4ff75f0.us-east-1.aws.found.io/app/kibana#/discover/Steve-Slow-Train-Analysis-(2080s-and-2083s)?_g=(refreshInterval:(display:Off,pause:!f,section:0,value:0),time:(from:'2017-02-19T20:53:25-0700',mode:absolute,to:'2017-02-19T23:29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88" t="str">
        <f t="shared" si="63"/>
        <v>N</v>
      </c>
      <c r="X217" s="188" t="e">
        <f t="shared" si="64"/>
        <v>#VALUE!</v>
      </c>
      <c r="Y217" s="62">
        <f t="shared" si="65"/>
        <v>4.5999999999999999E-2</v>
      </c>
      <c r="Z217" s="62">
        <f t="shared" si="66"/>
        <v>12.8277</v>
      </c>
      <c r="AA217" s="62">
        <f t="shared" si="67"/>
        <v>12.781700000000001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68"/>
        <v>61-19</v>
      </c>
      <c r="AE217" s="85" t="str">
        <f t="shared" si="69"/>
        <v>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 &amp; aws s3 cp s3://rtdc.mdm.uploadarchive.raw/RTDC4009/ "%USERPROFILE%\AppData\Local\Temp\OnboardLogs"\RTDC4009\2017-02-20 --exclude "*" --recursive --include "*20170220*" &amp; "%USERPROFILE%\Documents\GitHub\mrs-test-scripts\Headless Mode &amp; Sideloading\WalkAndUnGZ.bat" "%USERPROFILE%\AppData\Local\Temp\OnboardLogs"\RTDC4009\2017-02-20</v>
      </c>
      <c r="AF217" s="82" t="str">
        <f t="shared" si="70"/>
        <v>"C:\Program Files (x86)\AstroGrep\AstroGrep.exe" /spath="%USERPROFILE%\AppData\Local\Temp\OnboardLogs" /stypes="app*4009*20170220*" /stext=" 05:.+((SYSTEM_STATE.+slice.+state.+changed )|(ment ac)|(multiple cpu faults)|(system.+state.+changed )|(\[timeout)|(PRM\|1\|D)|(kpr)|(kdp)|(\|loc)|(penalty))"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61-19 --locoid 4009 --swversion DE.1.0.9.0 --startMP 204:460 --initTime 2017-02-19T21:53:25 --startdatetime 2017-02-19T22:06:00 --delay 1 --endMP 204:128277 --enddatetime 2017-02-19T22:29:16 --enforcementcount 0 &gt;&gt;C:\Users\stu\Documents\GitHub\eaglep3-reporting\EC\2017-02-19-refined-times.txt</v>
      </c>
      <c r="AI217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{"issue":{"subject":"","project_id":79,"tracker_id":40,"status_id":1,"priority_id":2,"assigned_to_id":23,"start_date":"2017-02-19","description":"","custom_fields":[{"id":1,"name":"Subdivision","value":"Other"},{"id":4,"name":"Milepost","value":"12.8277"},{"id":17,"name":"Train ID","value":"61-19"},{"id":16,"name":"Locomotive ID","value":"4009"},{"id":130,"name":"Impact","value":""},{"id":150,"name":"Time of Event (Mountain Time)","value":"22:29:16"},{"id":151,"name":"Denver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4"/>
        <v>start /low /b %USERPROFILE%\Documents\GitHub\eaglep3\Utilities\DownloadLogsFromS3.py --loco 4009 --day 2017-02-19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"%USERPROFILE%\AppData\Local\Temp\OnboardLogs"\RTDC4009\*4009*20170220* | grep -SE "(Enforcement Action)|(\[TIMEOUT)|(CHR.+\|PRM\|1\|D.+(SWITCH|SIGNAL).+UNKNOWN)" - &gt;&gt; 2017-02-19-UncaughtWiMAX.txt</v>
      </c>
    </row>
    <row r="218" spans="1:40" x14ac:dyDescent="0.25">
      <c r="A218" s="33" t="s">
        <v>439</v>
      </c>
      <c r="B218" s="7">
        <v>4010</v>
      </c>
      <c r="C218" s="21" t="s">
        <v>665</v>
      </c>
      <c r="D218" s="21" t="s">
        <v>809</v>
      </c>
      <c r="E218" s="13">
        <v>42785.889953703707</v>
      </c>
      <c r="F218" s="13">
        <v>42785.92083333333</v>
      </c>
      <c r="G218" s="7">
        <v>1</v>
      </c>
      <c r="H218" s="21" t="s">
        <v>294</v>
      </c>
      <c r="I218" s="13">
        <v>42785.936990740738</v>
      </c>
      <c r="J218" s="7">
        <v>0</v>
      </c>
      <c r="K218" s="98" t="str">
        <f t="shared" si="57"/>
        <v>4009/4010</v>
      </c>
      <c r="L218" s="21" t="str">
        <f>VLOOKUP(A218,'Trips&amp;Operators'!$C$1:$G$99999,5,FALSE)</f>
        <v>YANG JAN</v>
      </c>
      <c r="M218" s="6">
        <f t="shared" si="58"/>
        <v>1.615740740817273E-2</v>
      </c>
      <c r="N218" s="7">
        <f t="shared" si="59"/>
        <v>23.266666667768732</v>
      </c>
      <c r="O218" s="7"/>
      <c r="P218" s="7"/>
      <c r="Q218" s="22"/>
      <c r="R218" s="22"/>
      <c r="S218" s="31">
        <f t="shared" si="60"/>
        <v>0</v>
      </c>
      <c r="T218" s="46" t="e">
        <f t="shared" si="61"/>
        <v>#VALUE!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 t="shared" si="62"/>
        <v>https://d0f6bd738d7f1b3e5a7ca70fe4ff75f0.us-east-1.aws.found.io/app/kibana#/discover/Steve-Slow-Train-Analysis-(2080s-and-2083s)?_g=(refreshInterval:(display:Off,pause:!f,section:0,value:0),time:(from:'2017-02-19T20:21:32-0700',mode:absolute,to:'2017-02-19T23:29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188" t="str">
        <f t="shared" si="63"/>
        <v>N</v>
      </c>
      <c r="X218" s="188" t="e">
        <f t="shared" si="64"/>
        <v>#VALUE!</v>
      </c>
      <c r="Y218" s="62">
        <f t="shared" si="65"/>
        <v>12.801500000000001</v>
      </c>
      <c r="Z218" s="62">
        <f t="shared" si="66"/>
        <v>1.5599999999999999E-2</v>
      </c>
      <c r="AA218" s="62">
        <f t="shared" si="67"/>
        <v>12.785900000000002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68"/>
        <v>61-19</v>
      </c>
      <c r="AE218" s="85" t="str">
        <f t="shared" si="69"/>
        <v>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 &amp; aws s3 cp s3://rtdc.mdm.uploadarchive.raw/RTDC4010/ "%USERPROFILE%\AppData\Local\Temp\OnboardLogs"\RTDC4010\2017-02-20 --exclude "*" --recursive --include "*20170220*" &amp; "%USERPROFILE%\Documents\GitHub\mrs-test-scripts\Headless Mode &amp; Sideloading\WalkAndUnGZ.bat" "%USERPROFILE%\AppData\Local\Temp\OnboardLogs"\RTDC4010\2017-02-20</v>
      </c>
      <c r="AF218" s="82" t="str">
        <f t="shared" si="70"/>
        <v>"C:\Program Files (x86)\AstroGrep\AstroGrep.exe" /spath="%USERPROFILE%\AppData\Local\Temp\OnboardLogs" /stypes="app*4010*20170220*" /stext=" 05:.+((SYSTEM_STATE.+slice.+state.+changed )|(ment ac)|(multiple cpu faults)|(system.+state.+changed )|(\[timeout)|(PRM\|1\|D)|(kpr)|(kdp)|(\|loc)|(penalty))"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61-19 --locoid 4010 --swversion DE.1.0.9.0 --startMP 204:128015 --initTime 2017-02-19T21:21:32 --startdatetime 2017-02-19T22:06:00 --delay 1 --endMP 204:156 --enddatetime 2017-02-19T22:29:16 --enforcementcount 0 &gt;&gt;C:\Users\stu\Documents\GitHub\eaglep3-reporting\EC\2017-02-19-refined-times.txt</v>
      </c>
      <c r="AI218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{"issue":{"subject":"","project_id":79,"tracker_id":40,"status_id":1,"priority_id":2,"assigned_to_id":23,"start_date":"2017-02-19","description":"","custom_fields":[{"id":1,"name":"Subdivision","value":"Other"},{"id":4,"name":"Milepost","value":"0.0156"},{"id":17,"name":"Train ID","value":"61-19"},{"id":16,"name":"Locomotive ID","value":"4010"},{"id":130,"name":"Impact","value":""},{"id":150,"name":"Time of Event (Mountain Time)","value":"22:29:16"},{"id":151,"name":"Denver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4"/>
        <v>start /low /b %USERPROFILE%\Documents\GitHub\eaglep3\Utilities\DownloadLogsFromS3.py --loco 4010 --day 2017-02-19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"%USERPROFILE%\AppData\Local\Temp\OnboardLogs"\RTDC4010\*4010*20170220* | grep -SE "(Enforcement Action)|(\[TIMEOUT)|(CHR.+\|PRM\|1\|D.+(SWITCH|SIGNAL).+UNKNOWN)" - &gt;&gt; 2017-02-19-UncaughtWiMAX.txt</v>
      </c>
    </row>
    <row r="219" spans="1:40" x14ac:dyDescent="0.25">
      <c r="A219" s="33" t="s">
        <v>623</v>
      </c>
      <c r="B219" s="7">
        <v>4010</v>
      </c>
      <c r="C219" s="21" t="s">
        <v>665</v>
      </c>
      <c r="D219" s="21" t="s">
        <v>810</v>
      </c>
      <c r="E219" s="13">
        <v>42785.982835648145</v>
      </c>
      <c r="F219" s="13">
        <v>42785.984224537038</v>
      </c>
      <c r="G219" s="7">
        <v>1</v>
      </c>
      <c r="H219" s="21" t="s">
        <v>811</v>
      </c>
      <c r="I219" s="13">
        <v>42786.001574074071</v>
      </c>
      <c r="J219" s="7">
        <v>0</v>
      </c>
      <c r="K219" s="98" t="str">
        <f t="shared" si="57"/>
        <v>4009/4010</v>
      </c>
      <c r="L219" s="21" t="str">
        <f>VLOOKUP(A219,'Trips&amp;Operators'!$C$1:$G$99999,5,FALSE)</f>
        <v>SIMMONS SHYHESHA</v>
      </c>
      <c r="M219" s="6">
        <f t="shared" si="58"/>
        <v>1.7349537032714579E-2</v>
      </c>
      <c r="N219" s="7">
        <f t="shared" si="59"/>
        <v>24.983333327108994</v>
      </c>
      <c r="O219" s="7"/>
      <c r="P219" s="7"/>
      <c r="Q219" s="22"/>
      <c r="R219" s="22"/>
      <c r="S219" s="31">
        <f t="shared" si="60"/>
        <v>0</v>
      </c>
      <c r="T219" s="46" t="e">
        <f t="shared" si="61"/>
        <v>#VALUE!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62"/>
        <v>https://d0f6bd738d7f1b3e5a7ca70fe4ff75f0.us-east-1.aws.found.io/app/kibana#/discover/Steve-Slow-Train-Analysis-(2080s-and-2083s)?_g=(refreshInterval:(display:Off,pause:!f,section:0,value:0),time:(from:'2017-02-19T22:35:17-0700',mode:absolute,to:'2017-02-20T01:02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9" s="188" t="str">
        <f t="shared" si="63"/>
        <v>N</v>
      </c>
      <c r="X219" s="188" t="e">
        <f t="shared" si="64"/>
        <v>#VALUE!</v>
      </c>
      <c r="Y219" s="62">
        <f t="shared" si="65"/>
        <v>12.8004</v>
      </c>
      <c r="Z219" s="62">
        <f t="shared" si="66"/>
        <v>0.2475</v>
      </c>
      <c r="AA219" s="62">
        <f t="shared" si="67"/>
        <v>12.552899999999999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68"/>
        <v>62-19</v>
      </c>
      <c r="AE219" s="85" t="str">
        <f t="shared" si="69"/>
        <v>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 &amp; aws s3 cp s3://rtdc.mdm.uploadarchive.raw/RTDC4010/ "%USERPROFILE%\AppData\Local\Temp\OnboardLogs"\RTDC4010\2017-02-20 --exclude "*" --recursive --include "*20170220*" &amp; "%USERPROFILE%\Documents\GitHub\mrs-test-scripts\Headless Mode &amp; Sideloading\WalkAndUnGZ.bat" "%USERPROFILE%\AppData\Local\Temp\OnboardLogs"\RTDC4010\2017-02-20</v>
      </c>
      <c r="AF219" s="82" t="str">
        <f t="shared" si="70"/>
        <v>"C:\Program Files (x86)\AstroGrep\AstroGrep.exe" /spath="%USERPROFILE%\AppData\Local\Temp\OnboardLogs" /stypes="app*4010*20170220*" /stext=" 07:.+((SYSTEM_STATE.+slice.+state.+changed )|(ment ac)|(multiple cpu faults)|(system.+state.+changed )|(\[timeout)|(PRM\|1\|D)|(kpr)|(kdp)|(\|loc)|(penalty))"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62-19 --locoid 4010 --swversion DE.1.0.9.0 --startMP 204:128004 --initTime 2017-02-19T23:35:17 --startdatetime 2017-02-19T23:37:17 --delay 1 --endMP 204:2475 --enddatetime 2017-02-20T00:02:16 --enforcementcount 0 &gt;&gt;C:\Users\stu\Documents\GitHub\eaglep3-reporting\EC\2017-02-19-refined-times.txt</v>
      </c>
      <c r="AI219" s="108" t="str">
        <f t="shared" si="73"/>
        <v>echo {"issue":{"subject":"","project_id":79,"tracker_id":40,"status_id":1,"priority_id":2,"assigned_to_id":23,"start_date":"2017-02-20","description":"","custom_fields":[{"id":1,"name":"Subdivision","value":"Other"},{"id":4,"name":"Milepost","value":"0.2475"},{"id":17,"name":"Train ID","value":"62-19"},{"id":16,"name":"Locomotive ID","value":"4010"},{"id":130,"name":"Impact","value":""},{"id":150,"name":"Time of Event (Mountain Time)","value":"00:02:16"},{"id":151,"name":"Denver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4"/>
        <v>start /low /b %USERPROFILE%\Documents\GitHub\eaglep3\Utilities\DownloadLogsFromS3.py --loco 4010 --day 2017-02-19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"%USERPROFILE%\AppData\Local\Temp\OnboardLogs"\RTDC4010\*4010*20170220* | grep -SE "(Enforcement Action)|(\[TIMEOUT)|(CHR.+\|PRM\|1\|D.+(SWITCH|SIGNAL).+UNKNOWN)" - &gt;&gt; 2017-02-19-UncaughtWiMAX.txt</v>
      </c>
    </row>
    <row r="220" spans="1:40" x14ac:dyDescent="0.25">
      <c r="A220" s="33" t="s">
        <v>623</v>
      </c>
      <c r="B220" s="7">
        <v>4010</v>
      </c>
      <c r="C220" s="21" t="s">
        <v>665</v>
      </c>
      <c r="D220" s="21" t="s">
        <v>812</v>
      </c>
      <c r="E220" s="13">
        <v>42786.023645833331</v>
      </c>
      <c r="F220" s="13">
        <v>42786.025439814817</v>
      </c>
      <c r="G220" s="7">
        <v>1</v>
      </c>
      <c r="H220" s="21" t="s">
        <v>813</v>
      </c>
      <c r="I220" s="13">
        <v>42786.043067129627</v>
      </c>
      <c r="J220" s="7">
        <v>0</v>
      </c>
      <c r="K220" s="98" t="str">
        <f t="shared" si="57"/>
        <v>4009/4010</v>
      </c>
      <c r="L220" s="21" t="str">
        <f>VLOOKUP(A220,'Trips&amp;Operators'!$C$1:$G$99999,5,FALSE)</f>
        <v>SIMMONS SHYHESHA</v>
      </c>
      <c r="M220" s="6">
        <f t="shared" si="58"/>
        <v>1.7627314809942618E-2</v>
      </c>
      <c r="N220" s="7">
        <f t="shared" si="59"/>
        <v>25.38333332631737</v>
      </c>
      <c r="O220" s="7"/>
      <c r="P220" s="7"/>
      <c r="Q220" s="22"/>
      <c r="R220" s="22"/>
      <c r="S220" s="31">
        <f t="shared" si="60"/>
        <v>0</v>
      </c>
      <c r="T220" s="46" t="e">
        <f t="shared" si="61"/>
        <v>#VALUE!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7" t="str">
        <f t="shared" si="62"/>
        <v>https://d0f6bd738d7f1b3e5a7ca70fe4ff75f0.us-east-1.aws.found.io/app/kibana#/discover/Steve-Slow-Train-Analysis-(2080s-and-2083s)?_g=(refreshInterval:(display:Off,pause:!f,section:0,value:0),time:(from:'2017-02-19T23:34:03-0700',mode:absolute,to:'2017-02-20T02:02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0" s="188" t="str">
        <f t="shared" si="63"/>
        <v>N</v>
      </c>
      <c r="X220" s="188" t="e">
        <f t="shared" si="64"/>
        <v>#VALUE!</v>
      </c>
      <c r="Y220" s="62">
        <f t="shared" si="65"/>
        <v>12.800800000000001</v>
      </c>
      <c r="Z220" s="62">
        <f t="shared" si="66"/>
        <v>1.4E-2</v>
      </c>
      <c r="AA220" s="62">
        <f t="shared" si="67"/>
        <v>12.786800000000001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68"/>
        <v>62-19</v>
      </c>
      <c r="AE220" s="85" t="str">
        <f t="shared" si="69"/>
        <v>aws s3 cp s3://rtdc.mdm.uploadarchive.raw/RTDC4010/ "%USERPROFILE%\AppData\Local\Temp\OnboardLogs"\RTDC4010\2017-02-20 --exclude "*" --recursive --include "*20170220*" &amp; "%USERPROFILE%\Documents\GitHub\mrs-test-scripts\Headless Mode &amp; Sideloading\WalkAndUnGZ.bat" "%USERPROFILE%\AppData\Local\Temp\OnboardLogs"\RTDC4010\2017-02-20 &amp; 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</v>
      </c>
      <c r="AF220" s="82" t="str">
        <f t="shared" si="70"/>
        <v>"C:\Program Files (x86)\AstroGrep\AstroGrep.exe" /spath="%USERPROFILE%\AppData\Local\Temp\OnboardLogs" /stypes="app*4010*20170220*" /stext=" 08:.+((SYSTEM_STATE.+slice.+state.+changed )|(ment ac)|(multiple cpu faults)|(system.+state.+changed )|(\[timeout)|(PRM\|1\|D)|(kpr)|(kdp)|(\|loc)|(penalty))"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62-19 --locoid 4010 --swversion DE.1.0.9.0 --startMP 204:128008 --initTime 2017-02-20T00:34:03 --startdatetime 2017-02-20T00:36:38 --delay 1 --endMP 204:140 --enddatetime 2017-02-20T01:02:01 --enforcementcount 0 &gt;&gt;C:\Users\stu\Documents\GitHub\eaglep3-reporting\EC\2017-02-19-refined-times.txt</v>
      </c>
      <c r="AI220" s="108" t="str">
        <f t="shared" si="73"/>
        <v>echo {"issue":{"subject":"","project_id":79,"tracker_id":40,"status_id":1,"priority_id":2,"assigned_to_id":23,"start_date":"2017-02-20","description":"","custom_fields":[{"id":1,"name":"Subdivision","value":"Other"},{"id":4,"name":"Milepost","value":"0.014"},{"id":17,"name":"Train ID","value":"62-19"},{"id":16,"name":"Locomotive ID","value":"4010"},{"id":130,"name":"Impact","value":""},{"id":150,"name":"Time of Event (Mountain Time)","value":"01:02:01"},{"id":151,"name":"Denver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4"/>
        <v>start /low /b %USERPROFILE%\Documents\GitHub\eaglep3\Utilities\DownloadLogsFromS3.py --loco 4010 --day 2017-02-20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"%USERPROFILE%\AppData\Local\Temp\OnboardLogs"\RTDC4010\*4010*20170220* | grep -SE "(Enforcement Action)|(\[TIMEOUT)|(CHR.+\|PRM\|1\|D.+(SWITCH|SIGNAL).+UNKNOWN)" - &gt;&gt; 2017-02-19-UncaughtWiMAX.txt</v>
      </c>
    </row>
    <row r="221" spans="1:40" x14ac:dyDescent="0.25">
      <c r="A221" s="33" t="s">
        <v>623</v>
      </c>
      <c r="B221" s="7">
        <v>4010</v>
      </c>
      <c r="C221" s="21" t="s">
        <v>665</v>
      </c>
      <c r="D221" s="21" t="s">
        <v>814</v>
      </c>
      <c r="E221" s="13">
        <v>42785.937592592592</v>
      </c>
      <c r="F221" s="13">
        <v>42785.939317129632</v>
      </c>
      <c r="G221" s="7">
        <v>1</v>
      </c>
      <c r="H221" s="21" t="s">
        <v>815</v>
      </c>
      <c r="I221" s="13">
        <v>42785.956863425927</v>
      </c>
      <c r="J221" s="7">
        <v>0</v>
      </c>
      <c r="K221" s="98" t="str">
        <f t="shared" si="57"/>
        <v>4009/4010</v>
      </c>
      <c r="L221" s="21" t="str">
        <f>VLOOKUP(A221,'Trips&amp;Operators'!$C$1:$G$99999,5,FALSE)</f>
        <v>SIMMONS SHYHESHA</v>
      </c>
      <c r="M221" s="6">
        <f t="shared" si="58"/>
        <v>1.7546296294312924E-2</v>
      </c>
      <c r="N221" s="7">
        <f t="shared" si="59"/>
        <v>25.266666663810611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 t="shared" si="62"/>
        <v>https://d0f6bd738d7f1b3e5a7ca70fe4ff75f0.us-east-1.aws.found.io/app/kibana#/discover/Steve-Slow-Train-Analysis-(2080s-and-2083s)?_g=(refreshInterval:(display:Off,pause:!f,section:0,value:0),time:(from:'2017-02-19T21:30:08-0700',mode:absolute,to:'2017-02-19T23:57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1" s="188" t="str">
        <f t="shared" si="63"/>
        <v>N</v>
      </c>
      <c r="X221" s="188" t="e">
        <f t="shared" si="64"/>
        <v>#VALUE!</v>
      </c>
      <c r="Y221" s="62">
        <f t="shared" si="65"/>
        <v>12.802099999999999</v>
      </c>
      <c r="Z221" s="62">
        <f t="shared" si="66"/>
        <v>0.1164</v>
      </c>
      <c r="AA221" s="62">
        <f t="shared" si="67"/>
        <v>12.685699999999999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68"/>
        <v>62-19</v>
      </c>
      <c r="AE221" s="85" t="str">
        <f t="shared" si="69"/>
        <v>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 &amp; aws s3 cp s3://rtdc.mdm.uploadarchive.raw/RTDC4010/ "%USERPROFILE%\AppData\Local\Temp\OnboardLogs"\RTDC4010\2017-02-20 --exclude "*" --recursive --include "*20170220*" &amp; "%USERPROFILE%\Documents\GitHub\mrs-test-scripts\Headless Mode &amp; Sideloading\WalkAndUnGZ.bat" "%USERPROFILE%\AppData\Local\Temp\OnboardLogs"\RTDC4010\2017-02-20</v>
      </c>
      <c r="AF221" s="82" t="str">
        <f t="shared" si="70"/>
        <v>"C:\Program Files (x86)\AstroGrep\AstroGrep.exe" /spath="%USERPROFILE%\AppData\Local\Temp\OnboardLogs" /stypes="app*4010*20170220*" /stext=" 05:.+((SYSTEM_STATE.+slice.+state.+changed )|(ment ac)|(multiple cpu faults)|(system.+state.+changed )|(\[timeout)|(PRM\|1\|D)|(kpr)|(kdp)|(\|loc)|(penalty))"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62-19 --locoid 4010 --swversion DE.1.0.9.0 --startMP 204:128021 --initTime 2017-02-19T22:30:08 --startdatetime 2017-02-19T22:32:37 --delay 1 --endMP 204:1164 --enddatetime 2017-02-19T22:57:53 --enforcementcount 0 &gt;&gt;C:\Users\stu\Documents\GitHub\eaglep3-reporting\EC\2017-02-19-refined-times.txt</v>
      </c>
      <c r="AI221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{"issue":{"subject":"","project_id":79,"tracker_id":40,"status_id":1,"priority_id":2,"assigned_to_id":23,"start_date":"2017-02-19","description":"","custom_fields":[{"id":1,"name":"Subdivision","value":"Other"},{"id":4,"name":"Milepost","value":"0.1164"},{"id":17,"name":"Train ID","value":"62-19"},{"id":16,"name":"Locomotive ID","value":"4010"},{"id":130,"name":"Impact","value":""},{"id":150,"name":"Time of Event (Mountain Time)","value":"22:57:53"},{"id":151,"name":"Denver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4"/>
        <v>start /low /b %USERPROFILE%\Documents\GitHub\eaglep3\Utilities\DownloadLogsFromS3.py --loco 4010 --day 2017-02-19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"%USERPROFILE%\AppData\Local\Temp\OnboardLogs"\RTDC4010\*4010*20170220* | grep -SE "(Enforcement Action)|(\[TIMEOUT)|(CHR.+\|PRM\|1\|D.+(SWITCH|SIGNAL).+UNKNOWN)" - &gt;&gt; 2017-02-19-UncaughtWiMAX.txt</v>
      </c>
    </row>
    <row r="222" spans="1:40" x14ac:dyDescent="0.25">
      <c r="A222" s="33" t="s">
        <v>623</v>
      </c>
      <c r="B222" s="7">
        <v>4010</v>
      </c>
      <c r="C222" s="21" t="s">
        <v>665</v>
      </c>
      <c r="D222" s="21" t="s">
        <v>816</v>
      </c>
      <c r="E222" s="13">
        <v>42785.841203703705</v>
      </c>
      <c r="F222" s="13">
        <v>42785.843449074076</v>
      </c>
      <c r="G222" s="7">
        <v>1</v>
      </c>
      <c r="H222" s="21" t="s">
        <v>194</v>
      </c>
      <c r="I222" s="13">
        <v>42785.866643518515</v>
      </c>
      <c r="J222" s="7">
        <v>0</v>
      </c>
      <c r="K222" s="98" t="str">
        <f t="shared" si="57"/>
        <v>4009/4010</v>
      </c>
      <c r="L222" s="21" t="str">
        <f>VLOOKUP(A222,'Trips&amp;Operators'!$C$1:$G$99999,5,FALSE)</f>
        <v>SIMMONS SHYHESHA</v>
      </c>
      <c r="M222" s="6">
        <f t="shared" si="58"/>
        <v>2.3194444438559003E-2</v>
      </c>
      <c r="N222" s="7">
        <f t="shared" si="59"/>
        <v>33.399999991524965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7" t="str">
        <f t="shared" si="62"/>
        <v>https://d0f6bd738d7f1b3e5a7ca70fe4ff75f0.us-east-1.aws.found.io/app/kibana#/discover/Steve-Slow-Train-Analysis-(2080s-and-2083s)?_g=(refreshInterval:(display:Off,pause:!f,section:0,value:0),time:(from:'2017-02-19T19:11:20-0700',mode:absolute,to:'2017-02-19T21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2" s="188" t="str">
        <f t="shared" si="63"/>
        <v>N</v>
      </c>
      <c r="X222" s="188" t="e">
        <f t="shared" si="64"/>
        <v>#VALUE!</v>
      </c>
      <c r="Y222" s="62">
        <f t="shared" si="65"/>
        <v>12.8025</v>
      </c>
      <c r="Z222" s="62">
        <f t="shared" si="66"/>
        <v>1.4999999999999999E-2</v>
      </c>
      <c r="AA222" s="62">
        <f t="shared" si="67"/>
        <v>12.7875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68"/>
        <v>62-19</v>
      </c>
      <c r="AE222" s="85" t="str">
        <f t="shared" si="69"/>
        <v>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 &amp; aws s3 cp s3://rtdc.mdm.uploadarchive.raw/RTDC4010/ "%USERPROFILE%\AppData\Local\Temp\OnboardLogs"\RTDC4010\2017-02-20 --exclude "*" --recursive --include "*20170220*" &amp; "%USERPROFILE%\Documents\GitHub\mrs-test-scripts\Headless Mode &amp; Sideloading\WalkAndUnGZ.bat" "%USERPROFILE%\AppData\Local\Temp\OnboardLogs"\RTDC4010\2017-02-20</v>
      </c>
      <c r="AF222" s="82" t="str">
        <f t="shared" si="70"/>
        <v>"C:\Program Files (x86)\AstroGrep\AstroGrep.exe" /spath="%USERPROFILE%\AppData\Local\Temp\OnboardLogs" /stypes="app*4010*20170220*" /stext=" 03:.+((SYSTEM_STATE.+slice.+state.+changed )|(ment ac)|(multiple cpu faults)|(system.+state.+changed )|(\[timeout)|(PRM\|1\|D)|(kpr)|(kdp)|(\|loc)|(penalty))"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62-19 --locoid 4010 --swversion DE.1.0.9.0 --startMP 204:128025 --initTime 2017-02-19T20:11:20 --startdatetime 2017-02-19T20:14:34 --delay 1 --endMP 204:150 --enddatetime 2017-02-19T20:47:58 --enforcementcount 0 &gt;&gt;C:\Users\stu\Documents\GitHub\eaglep3-reporting\EC\2017-02-19-refined-times.txt</v>
      </c>
      <c r="AI222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{"issue":{"subject":"","project_id":79,"tracker_id":40,"status_id":1,"priority_id":2,"assigned_to_id":23,"start_date":"2017-02-19","description":"","custom_fields":[{"id":1,"name":"Subdivision","value":"Other"},{"id":4,"name":"Milepost","value":"0.015"},{"id":17,"name":"Train ID","value":"62-19"},{"id":16,"name":"Locomotive ID","value":"4010"},{"id":130,"name":"Impact","value":""},{"id":150,"name":"Time of Event (Mountain Time)","value":"20:47:58"},{"id":151,"name":"Denver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4"/>
        <v>start /low /b %USERPROFILE%\Documents\GitHub\eaglep3\Utilities\DownloadLogsFromS3.py --loco 4010 --day 2017-02-19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"%USERPROFILE%\AppData\Local\Temp\OnboardLogs"\RTDC4010\*4010*20170220* | grep -SE "(Enforcement Action)|(\[TIMEOUT)|(CHR.+\|PRM\|1\|D.+(SWITCH|SIGNAL).+UNKNOWN)" - &gt;&gt; 2017-02-19-UncaughtWiMAX.txt</v>
      </c>
    </row>
    <row r="223" spans="1:40" x14ac:dyDescent="0.25">
      <c r="A223" s="33" t="s">
        <v>623</v>
      </c>
      <c r="B223" s="7">
        <v>4010</v>
      </c>
      <c r="C223" s="21" t="s">
        <v>665</v>
      </c>
      <c r="D223" s="21" t="s">
        <v>817</v>
      </c>
      <c r="E223" s="13">
        <v>42785.802418981482</v>
      </c>
      <c r="F223" s="13">
        <v>42785.803969907407</v>
      </c>
      <c r="G223" s="7">
        <v>1</v>
      </c>
      <c r="H223" s="21" t="s">
        <v>818</v>
      </c>
      <c r="I223" s="13">
        <v>42785.809907407405</v>
      </c>
      <c r="J223" s="7">
        <v>0</v>
      </c>
      <c r="K223" s="98" t="str">
        <f t="shared" si="57"/>
        <v>4009/4010</v>
      </c>
      <c r="L223" s="21" t="str">
        <f>VLOOKUP(A223,'Trips&amp;Operators'!$C$1:$G$99999,5,FALSE)</f>
        <v>SIMMONS SHYHESHA</v>
      </c>
      <c r="M223" s="6">
        <f t="shared" si="58"/>
        <v>5.9374999982537702E-3</v>
      </c>
      <c r="N223" s="7">
        <f t="shared" si="59"/>
        <v>8.549999997485429</v>
      </c>
      <c r="O223" s="7"/>
      <c r="P223" s="7"/>
      <c r="Q223" s="22"/>
      <c r="R223" s="22"/>
      <c r="S223" s="31">
        <f t="shared" si="60"/>
        <v>0</v>
      </c>
      <c r="T223" s="46" t="e">
        <f t="shared" si="61"/>
        <v>#VALUE!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7" t="str">
        <f t="shared" si="62"/>
        <v>https://d0f6bd738d7f1b3e5a7ca70fe4ff75f0.us-east-1.aws.found.io/app/kibana#/discover/Steve-Slow-Train-Analysis-(2080s-and-2083s)?_g=(refreshInterval:(display:Off,pause:!f,section:0,value:0),time:(from:'2017-02-19T18:15:29-0700',mode:absolute,to:'2017-02-19T20:26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188" t="str">
        <f t="shared" si="63"/>
        <v>Y</v>
      </c>
      <c r="X223" s="188" t="e">
        <f t="shared" si="64"/>
        <v>#VALUE!</v>
      </c>
      <c r="Y223" s="62">
        <f t="shared" si="65"/>
        <v>2.3174999999999999</v>
      </c>
      <c r="Z223" s="62">
        <f t="shared" si="66"/>
        <v>9.3200000000000005E-2</v>
      </c>
      <c r="AA223" s="62">
        <f t="shared" si="67"/>
        <v>2.2242999999999999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68"/>
        <v>62-19</v>
      </c>
      <c r="AE223" s="85" t="str">
        <f t="shared" si="69"/>
        <v>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 &amp; aws s3 cp s3://rtdc.mdm.uploadarchive.raw/RTDC4010/ "%USERPROFILE%\AppData\Local\Temp\OnboardLogs"\RTDC4010\2017-02-20 --exclude "*" --recursive --include "*20170220*" &amp; "%USERPROFILE%\Documents\GitHub\mrs-test-scripts\Headless Mode &amp; Sideloading\WalkAndUnGZ.bat" "%USERPROFILE%\AppData\Local\Temp\OnboardLogs"\RTDC4010\2017-02-20</v>
      </c>
      <c r="AF223" s="82" t="str">
        <f t="shared" si="70"/>
        <v>"C:\Program Files (x86)\AstroGrep\AstroGrep.exe" /spath="%USERPROFILE%\AppData\Local\Temp\OnboardLogs" /stypes="app*4010*20170220*" /stext=" 02:.+((SYSTEM_STATE.+slice.+state.+changed )|(ment ac)|(multiple cpu faults)|(system.+state.+changed )|(\[timeout)|(PRM\|1\|D)|(kpr)|(kdp)|(\|loc)|(penalty))" /e /r /s</v>
      </c>
      <c r="AG223" s="1" t="str">
        <f t="shared" si="71"/>
        <v>Other</v>
      </c>
      <c r="AH223" s="86" t="str">
        <f t="shared" si="72"/>
        <v>"%USERPROFILE%\Documents\GitHub\eaglep3\Utilities\RefineRTDCRunTimes.py" --tripid 62-19 --locoid 4010 --swversion DE.1.0.9.0 --startMP 300:23175 --initTime 2017-02-19T19:15:29 --startdatetime 2017-02-19T19:17:43 --delay 1 --endMP 204:932 --enddatetime 2017-02-19T19:26:16 --enforcementcount 0 &gt;&gt;C:\Users\stu\Documents\GitHub\eaglep3-reporting\EC\2017-02-19-refined-times.txt</v>
      </c>
      <c r="AI223" s="108" t="str">
        <f t="shared" si="73"/>
        <v>echo {"issue":{"subject":"","project_id":79,"tracker_id":40,"status_id":1,"priority_id":2,"assigned_to_id":23,"start_date":"2017-02-19","description":"","custom_fields":[{"id":1,"name":"Subdivision","value":"Other"},{"id":4,"name":"Milepost","value":"0.0932"},{"id":17,"name":"Train ID","value":"62-19"},{"id":16,"name":"Locomotive ID","value":"4010"},{"id":130,"name":"Impact","value":""},{"id":150,"name":"Time of Event (Mountain Time)","value":"19:26:16"},{"id":151,"name":"Denver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4"/>
        <v>start /low /b %USERPROFILE%\Documents\GitHub\eaglep3\Utilities\DownloadLogsFromS3.py --loco 4010 --day 2017-02-19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"%USERPROFILE%\AppData\Local\Temp\OnboardLogs"\RTDC4010\*4010*20170220* | grep -SE "(Enforcement Action)|(\[TIMEOUT)|(CHR.+\|PRM\|1\|D.+(SWITCH|SIGNAL).+UNKNOWN)" - &gt;&gt; 2017-02-19-UncaughtWiMAX.txt</v>
      </c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</sheetData>
  <autoFilter ref="A12:AG229">
    <sortState ref="A13:AG232">
      <sortCondition ref="AG13:AG226"/>
      <sortCondition ref="AD13:AD226"/>
    </sortState>
  </autoFilter>
  <sortState ref="A13:AH200">
    <sortCondition ref="AG13:AG200"/>
    <sortCondition ref="AD13:AD200"/>
  </sortState>
  <mergeCells count="1">
    <mergeCell ref="A11:P11"/>
  </mergeCells>
  <conditionalFormatting sqref="W11:W12 W245:X1048576 W13:X223">
    <cfRule type="cellIs" dxfId="10" priority="356" operator="equal">
      <formula>"Y"</formula>
    </cfRule>
  </conditionalFormatting>
  <conditionalFormatting sqref="X245:X1048576 X13:X223">
    <cfRule type="cellIs" dxfId="9" priority="339" operator="greaterThan">
      <formula>1</formula>
    </cfRule>
  </conditionalFormatting>
  <conditionalFormatting sqref="X245:X1048576 X12:X223">
    <cfRule type="cellIs" dxfId="8" priority="336" operator="equal">
      <formula>0</formula>
    </cfRule>
  </conditionalFormatting>
  <conditionalFormatting sqref="A13:S22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2" zoomScaleNormal="100" workbookViewId="0">
      <selection activeCell="N33" sqref="N3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49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2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21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6" t="str">
        <f>"Eagle P3 Braking Events - "&amp;TEXT(Variables!$A$2,"YYYY-mm-dd")</f>
        <v>Eagle P3 Braking Events - 2017-02-19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210</v>
      </c>
    </row>
    <row r="7" spans="1:32" s="1" customFormat="1" x14ac:dyDescent="0.25">
      <c r="A7" s="32">
        <v>42785.942361111112</v>
      </c>
      <c r="B7" s="30" t="s">
        <v>366</v>
      </c>
      <c r="C7" s="30" t="s">
        <v>441</v>
      </c>
      <c r="D7" s="30" t="s">
        <v>49</v>
      </c>
      <c r="E7" s="30" t="s">
        <v>197</v>
      </c>
      <c r="F7" s="43">
        <v>0</v>
      </c>
      <c r="G7" s="43">
        <v>212</v>
      </c>
      <c r="H7" s="43">
        <v>26993</v>
      </c>
      <c r="I7" s="43">
        <v>27238</v>
      </c>
      <c r="J7" s="30" t="s">
        <v>198</v>
      </c>
      <c r="K7" s="43">
        <v>27053</v>
      </c>
      <c r="L7" s="143" t="s">
        <v>50</v>
      </c>
      <c r="M7" s="144">
        <f t="shared" ref="M7:M29" si="0">CONVERT((I7-K7)/10000,"mi","ft")*IF(L7="Increasing Mileposts (1)",-1,1)</f>
        <v>-97.68</v>
      </c>
      <c r="N7" s="145" t="str">
        <f>VLOOKUP(C7,'Trips&amp;Operators'!$C$1:$G$99999,5,FALSE)</f>
        <v>STAMBAUGH JAMES</v>
      </c>
      <c r="O7" s="194" t="s">
        <v>185</v>
      </c>
      <c r="P7" s="146" t="s">
        <v>839</v>
      </c>
      <c r="Q7" s="30"/>
      <c r="R7" s="89" t="str">
        <f>VLOOKUP(C7,'Train Runs'!$A$13:$AE$9949,31,0)</f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S7" s="92" t="str">
        <f>VLOOKUP(C7,'Train Runs'!$A$13:$AE$9949,22,0)</f>
        <v>https://d0f6bd738d7f1b3e5a7ca70fe4ff75f0.us-east-1.aws.found.io/app/kibana#/discover/Steve-Slow-Train-Analysis-(2080s-and-2083s)?_g=(refreshInterval:(display:Off,pause:!f,section:0,value:0),time:(from:'2017-02-19T21:07:59-0700',mode:absolute,to:'2017-02-20T00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94" t="str">
        <f t="shared" ref="T7:T2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/stypes="*4014*201702200*" /stext=" 05:.+((SYSTEM_STATE.+slice.+state.+changed )|(ment ac)|(multiple cpu faults)|(system.+state.+changed )|(\[timeout)|(PRM\|1\|D)|(kpr)|(kdp)|(\|loc)|(penalty))" /e /r /s</v>
      </c>
      <c r="U7" s="9" t="str">
        <f t="shared" ref="U7:U29" si="2">MID(B7,13,4)</f>
        <v>4014</v>
      </c>
      <c r="V7" s="32">
        <f t="shared" ref="V7:V29" si="3">A7-utc_offset/24</f>
        <v>42786.234027777777</v>
      </c>
      <c r="W7" s="46" t="str">
        <f t="shared" ref="W7:W2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29" si="5">IF(AND(E7="TRACK WARRANT AUTHORITY",G7&lt;10),"OMIT","KEEP")</f>
        <v>KEEP</v>
      </c>
      <c r="Y7" s="108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arrival","project_id":79,"tracker_id":40,"status_id":1,"priority_id":2,"assigned_to_id":23,"start_date":"2017-02-19","description":"","custom_fields":[{"id":1,"name":"Subdivision","value":"EC"},{"id":4,"name":"Milepost","value":"2.7053"},{"id":17,"name":"Train ID","value":"235-19"},{"id":16,"name":"Locomotive ID","value":"4014"},{"id":130,"name":"Impact","value":""},{"id":150,"name":"Time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"%USERPROFILE%\AppData\Local\Temp\OnboardLogs"\RTDC4014\*4014*201702200*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"%USERPROFILE%\AppData\Local\Temp\OnboardLogs"\RTDC4014\*4014*201702200* &gt;&gt; 2017-02-19-SliceDisagreementCheck.txt</v>
      </c>
      <c r="AE7" s="157" t="str">
        <f t="shared" ref="AE7:AE29" si="8">"start /low /b "&amp;dls3logs&amp;" --loco "&amp;U7&amp;" --day "&amp;TEXT(V7,"YYYY-MM-DD")</f>
        <v>start /low /b %USERPROFILE%\Documents\GitHub\eaglep3\Utilities\DownloadLogsFromS3.py --loco 4014 --day 2017-02-20</v>
      </c>
    </row>
    <row r="8" spans="1:32" s="1" customFormat="1" x14ac:dyDescent="0.25">
      <c r="A8" s="32">
        <v>42785.310798611114</v>
      </c>
      <c r="B8" s="30" t="s">
        <v>213</v>
      </c>
      <c r="C8" s="30" t="s">
        <v>418</v>
      </c>
      <c r="D8" s="30" t="s">
        <v>98</v>
      </c>
      <c r="E8" s="30" t="s">
        <v>197</v>
      </c>
      <c r="F8" s="43">
        <v>180</v>
      </c>
      <c r="G8" s="43">
        <v>235</v>
      </c>
      <c r="H8" s="43">
        <v>27131</v>
      </c>
      <c r="I8" s="43">
        <v>26708</v>
      </c>
      <c r="J8" s="30" t="s">
        <v>198</v>
      </c>
      <c r="K8" s="43">
        <v>27350</v>
      </c>
      <c r="L8" s="143" t="s">
        <v>51</v>
      </c>
      <c r="M8" s="144">
        <f t="shared" si="0"/>
        <v>-338.97599999999994</v>
      </c>
      <c r="N8" s="145" t="str">
        <f>VLOOKUP(C8,'Trips&amp;Operators'!$C$1:$G$99999,5,FALSE)</f>
        <v>BADERTSCHER DIANE</v>
      </c>
      <c r="O8" s="194" t="s">
        <v>185</v>
      </c>
      <c r="P8" s="146" t="s">
        <v>853</v>
      </c>
      <c r="Q8" s="30"/>
      <c r="R8" s="89" t="str">
        <f>VLOOKUP(C8,'Train Runs'!$A$13:$AE$9949,31,0)</f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S8" s="92" t="str">
        <f>VLOOKUP(C8,'Train Runs'!$A$13:$AE$9949,22,0)</f>
        <v>https://d0f6bd738d7f1b3e5a7ca70fe4ff75f0.us-east-1.aws.found.io/app/kibana#/discover/Steve-Slow-Train-Analysis-(2080s-and-2083s)?_g=(refreshInterval:(display:Off,pause:!f,section:0,value:0),time:(from:'2017-02-19T05:46:10-0700',mode:absolute,to:'2017-02-19T08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8" s="94" t="str">
        <f t="shared" si="1"/>
        <v>"C:\Program Files (x86)\AstroGrep\AstroGrep.exe" /spath="%USERPROFILE%\AppData\Local\Temp\OnboardLogs" /stypes="*4026*201702191*" /stext=" 14:.+((SYSTEM_STATE.+slice.+state.+changed )|(ment ac)|(multiple cpu faults)|(system.+state.+changed )|(\[timeout)|(PRM\|1\|D)|(kpr)|(kdp)|(\|loc)|(penalty))" /e /r /s</v>
      </c>
      <c r="U8" s="9" t="str">
        <f t="shared" si="2"/>
        <v>4026</v>
      </c>
      <c r="V8" s="32">
        <f t="shared" si="3"/>
        <v>42785.602465277778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arrival; accelerated despite warning prompts to reduce speed","project_id":79,"tracker_id":40,"status_id":1,"priority_id":2,"assigned_to_id":23,"start_date":"2017-02-19","description":"","custom_fields":[{"id":1,"name":"Subdivision","value":"EC"},{"id":4,"name":"Milepost","value":"2.735"},{"id":17,"name":"Train ID","value":"120-19"},{"id":16,"name":"Locomotive ID","value":"4026"},{"id":130,"name":"Impact","value":""},{"id":150,"name":"Time of Event (Mountain Time)","value":"07:27:33"},{"id":151,"name":"Denver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"%USERPROFILE%\AppData\Local\Temp\OnboardLogs"\RTDC4026\*4026*201702191*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"%USERPROFILE%\AppData\Local\Temp\OnboardLogs"\RTDC4026\*4026*201702191* &gt;&gt; 2017-02-19-SliceDisagreementCheck.txt</v>
      </c>
      <c r="AE8" s="157" t="str">
        <f t="shared" si="8"/>
        <v>start /low /b %USERPROFILE%\Documents\GitHub\eaglep3\Utilities\DownloadLogsFromS3.py --loco 4026 --day 2017-02-19</v>
      </c>
    </row>
    <row r="9" spans="1:32" s="1" customFormat="1" x14ac:dyDescent="0.25">
      <c r="A9" s="32">
        <v>42785.331296296295</v>
      </c>
      <c r="B9" s="30" t="s">
        <v>272</v>
      </c>
      <c r="C9" s="30" t="s">
        <v>422</v>
      </c>
      <c r="D9" s="30" t="s">
        <v>49</v>
      </c>
      <c r="E9" s="30" t="s">
        <v>197</v>
      </c>
      <c r="F9" s="43">
        <v>0</v>
      </c>
      <c r="G9" s="43">
        <v>150</v>
      </c>
      <c r="H9" s="43">
        <v>27361</v>
      </c>
      <c r="I9" s="43">
        <v>27194</v>
      </c>
      <c r="J9" s="30" t="s">
        <v>198</v>
      </c>
      <c r="K9" s="43">
        <v>27350</v>
      </c>
      <c r="L9" s="143" t="s">
        <v>51</v>
      </c>
      <c r="M9" s="144">
        <f t="shared" si="0"/>
        <v>-82.367999999999995</v>
      </c>
      <c r="N9" s="145" t="str">
        <f>VLOOKUP(C9,'Trips&amp;Operators'!$C$1:$G$99999,5,FALSE)</f>
        <v>ROBINSON KADDIBA</v>
      </c>
      <c r="O9" s="194" t="s">
        <v>185</v>
      </c>
      <c r="P9" s="146" t="s">
        <v>851</v>
      </c>
      <c r="Q9" s="30"/>
      <c r="R9" s="89" t="str">
        <f>VLOOKUP(C9,'Train Runs'!$A$13:$AE$9949,31,0)</f>
        <v>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 &amp; aws s3 cp s3://rtdc.mdm.uploadarchive.raw/RTDC4032/ "%USERPROFILE%\AppData\Local\Temp\OnboardLogs"\RTDC4032\2017-02-20 --exclude "*" --recursive --include "*20170220*" &amp; "%USERPROFILE%\Documents\GitHub\mrs-test-scripts\Headless Mode &amp; Sideloading\WalkAndUnGZ.bat" "%USERPROFILE%\AppData\Local\Temp\OnboardLogs"\RTDC4032\2017-02-20</v>
      </c>
      <c r="S9" s="92" t="str">
        <f>VLOOKUP(C9,'Train Runs'!$A$13:$AE$9949,22,0)</f>
        <v>https://d0f6bd738d7f1b3e5a7ca70fe4ff75f0.us-east-1.aws.found.io/app/kibana#/discover/Steve-Slow-Train-Analysis-(2080s-and-2083s)?_g=(refreshInterval:(display:Off,pause:!f,section:0,value:0),time:(from:'2017-02-19T06:09:46-0700',mode:absolute,to:'2017-02-19T09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94" t="str">
        <f t="shared" si="1"/>
        <v>"C:\Program Files (x86)\AstroGrep\AstroGrep.exe" /spath="%USERPROFILE%\AppData\Local\Temp\OnboardLogs" /stypes="*4032*201702191*" /stext=" 14:.+((SYSTEM_STATE.+slice.+state.+changed )|(ment ac)|(multiple cpu faults)|(system.+state.+changed )|(\[timeout)|(PRM\|1\|D)|(kpr)|(kdp)|(\|loc)|(penalty))" /e /r /s</v>
      </c>
      <c r="U9" s="9" t="str">
        <f t="shared" si="2"/>
        <v>4032</v>
      </c>
      <c r="V9" s="32">
        <f t="shared" si="3"/>
        <v>42785.62296296296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arrival; accelerated while &lt; 350 ft from crossing edge","project_id":79,"tracker_id":40,"status_id":1,"priority_id":2,"assigned_to_id":23,"start_date":"2017-02-19","description":"","custom_fields":[{"id":1,"name":"Subdivision","value":"EC"},{"id":4,"name":"Milepost","value":"2.735"},{"id":17,"name":"Train ID","value":"124-19"},{"id":16,"name":"Locomotive ID","value":"4032"},{"id":130,"name":"Impact","value":""},{"id":150,"name":"Time of Event (Mountain Time)","value":"07:57:04"},{"id":151,"name":"Denver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"%USERPROFILE%\AppData\Local\Temp\OnboardLogs"\RTDC4032\*4032*201702191*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"%USERPROFILE%\AppData\Local\Temp\OnboardLogs"\RTDC4032\*4032*201702191* &gt;&gt; 2017-02-19-SliceDisagreementCheck.txt</v>
      </c>
      <c r="AE9" s="157" t="str">
        <f t="shared" si="8"/>
        <v>start /low /b %USERPROFILE%\Documents\GitHub\eaglep3\Utilities\DownloadLogsFromS3.py --loco 4032 --day 2017-02-19</v>
      </c>
    </row>
    <row r="10" spans="1:32" s="1" customFormat="1" x14ac:dyDescent="0.25">
      <c r="A10" s="32">
        <v>42785.695787037039</v>
      </c>
      <c r="B10" s="30" t="s">
        <v>269</v>
      </c>
      <c r="C10" s="30" t="s">
        <v>435</v>
      </c>
      <c r="D10" s="30" t="s">
        <v>98</v>
      </c>
      <c r="E10" s="30" t="s">
        <v>197</v>
      </c>
      <c r="F10" s="43">
        <v>0</v>
      </c>
      <c r="G10" s="43">
        <v>87</v>
      </c>
      <c r="H10" s="43">
        <v>27323</v>
      </c>
      <c r="I10" s="43">
        <v>27225</v>
      </c>
      <c r="J10" s="30" t="s">
        <v>198</v>
      </c>
      <c r="K10" s="43">
        <v>27350</v>
      </c>
      <c r="L10" s="143" t="s">
        <v>51</v>
      </c>
      <c r="M10" s="144">
        <f t="shared" si="0"/>
        <v>-66</v>
      </c>
      <c r="N10" s="145" t="str">
        <f>VLOOKUP(C10,'Trips&amp;Operators'!$C$1:$G$99999,5,FALSE)</f>
        <v>LALONDE GREGORY</v>
      </c>
      <c r="O10" s="194" t="s">
        <v>185</v>
      </c>
      <c r="P10" s="146" t="s">
        <v>852</v>
      </c>
      <c r="Q10" s="30"/>
      <c r="R10" s="89" t="str">
        <f>VLOOKUP(C10,'Train Runs'!$A$13:$AE$9949,31,0)</f>
        <v>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 &amp; 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</v>
      </c>
      <c r="S10" s="92" t="str">
        <f>VLOOKUP(C10,'Train Runs'!$A$13:$AE$9949,22,0)</f>
        <v>https://d0f6bd738d7f1b3e5a7ca70fe4ff75f0.us-east-1.aws.found.io/app/kibana#/discover/Steve-Slow-Train-Analysis-(2080s-and-2083s)?_g=(refreshInterval:(display:Off,pause:!f,section:0,value:0),time:(from:'2017-02-19T14:55:12-0700',mode:absolute,to:'2017-02-19T17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/spath="%USERPROFILE%\AppData\Local\Temp\OnboardLogs" /stypes="*4019*201702192*" /stext=" 23:.+((SYSTEM_STATE.+slice.+state.+changed )|(ment ac)|(multiple cpu faults)|(system.+state.+changed )|(\[timeout)|(PRM\|1\|D)|(kpr)|(kdp)|(\|loc)|(penalty))" /e /r /s</v>
      </c>
      <c r="U10" s="9" t="str">
        <f t="shared" si="2"/>
        <v>4019</v>
      </c>
      <c r="V10" s="32">
        <f t="shared" si="3"/>
        <v>42785.987453703703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arrival; did not quickly comply with speed reduction prompts","project_id":79,"tracker_id":40,"status_id":1,"priority_id":2,"assigned_to_id":23,"start_date":"2017-02-19","description":"","custom_fields":[{"id":1,"name":"Subdivision","value":"EC"},{"id":4,"name":"Milepost","value":"2.735"},{"id":17,"name":"Train ID","value":"194-19"},{"id":16,"name":"Locomotive ID","value":"4019"},{"id":130,"name":"Impact","value":""},{"id":150,"name":"Time of Event (Mountain Time)","value":"16:41:56"},{"id":151,"name":"Denver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"%USERPROFILE%\AppData\Local\Temp\OnboardLogs"\RTDC4019\*4019*201702192*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"%USERPROFILE%\AppData\Local\Temp\OnboardLogs"\RTDC4019\*4019*201702192* &gt;&gt; 2017-02-19-SliceDisagreementCheck.txt</v>
      </c>
      <c r="AE10" s="157" t="str">
        <f t="shared" si="8"/>
        <v>start /low /b %USERPROFILE%\Documents\GitHub\eaglep3\Utilities\DownloadLogsFromS3.py --loco 4019 --day 2017-02-19</v>
      </c>
    </row>
    <row r="11" spans="1:32" s="1" customFormat="1" x14ac:dyDescent="0.25">
      <c r="A11" s="32">
        <v>42785.411689814813</v>
      </c>
      <c r="B11" s="30" t="s">
        <v>367</v>
      </c>
      <c r="C11" s="30" t="s">
        <v>424</v>
      </c>
      <c r="D11" s="30" t="s">
        <v>49</v>
      </c>
      <c r="E11" s="30" t="s">
        <v>197</v>
      </c>
      <c r="F11" s="43">
        <v>0</v>
      </c>
      <c r="G11" s="43">
        <v>145</v>
      </c>
      <c r="H11" s="43">
        <v>30810</v>
      </c>
      <c r="I11" s="43">
        <v>30909</v>
      </c>
      <c r="J11" s="30" t="s">
        <v>198</v>
      </c>
      <c r="K11" s="43">
        <v>30830</v>
      </c>
      <c r="L11" s="143" t="s">
        <v>50</v>
      </c>
      <c r="M11" s="144">
        <f t="shared" si="0"/>
        <v>-41.712000000000003</v>
      </c>
      <c r="N11" s="145" t="str">
        <f>VLOOKUP(C11,'Trips&amp;Operators'!$C$1:$G$99999,5,FALSE)</f>
        <v>HAITHCOX MICHAEL</v>
      </c>
      <c r="O11" s="194" t="s">
        <v>185</v>
      </c>
      <c r="P11" s="146" t="s">
        <v>852</v>
      </c>
      <c r="Q11" s="30"/>
      <c r="R11" s="89" t="str">
        <f>VLOOKUP(C11,'Train Runs'!$A$13:$AE$9949,31,0)</f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S11" s="92" t="str">
        <f>VLOOKUP(C11,'Train Runs'!$A$13:$AE$9949,22,0)</f>
        <v>https://d0f6bd738d7f1b3e5a7ca70fe4ff75f0.us-east-1.aws.found.io/app/kibana#/discover/Steve-Slow-Train-Analysis-(2080s-and-2083s)?_g=(refreshInterval:(display:Off,pause:!f,section:0,value:0),time:(from:'2017-02-19T08:37:34-0700',mode:absolute,to:'2017-02-19T11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94" t="str">
        <f t="shared" si="1"/>
        <v>"C:\Program Files (x86)\AstroGrep\AstroGrep.exe" /spath="%USERPROFILE%\AppData\Local\Temp\OnboardLogs" /stypes="*4051*201702191*" /stext=" 16:.+((SYSTEM_STATE.+slice.+state.+changed )|(ment ac)|(multiple cpu faults)|(system.+state.+changed )|(\[timeout)|(PRM\|1\|D)|(kpr)|(kdp)|(\|loc)|(penalty))" /e /r /s</v>
      </c>
      <c r="U11" s="9" t="str">
        <f t="shared" si="2"/>
        <v>4051</v>
      </c>
      <c r="V11" s="32">
        <f t="shared" si="3"/>
        <v>42785.703356481477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arrival; did not quickly comply with speed reduction prompts","project_id":79,"tracker_id":40,"status_id":1,"priority_id":2,"assigned_to_id":23,"start_date":"2017-02-19","description":"","custom_fields":[{"id":1,"name":"Subdivision","value":"EC"},{"id":4,"name":"Milepost","value":"3.083"},{"id":17,"name":"Train ID","value":"149-19"},{"id":16,"name":"Locomotive ID","value":"4051"},{"id":130,"name":"Impact","value":""},{"id":150,"name":"Time of Event (Mountain Time)","value":"09:52:50"},{"id":151,"name":"Denver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"%USERPROFILE%\AppData\Local\Temp\OnboardLogs"\RTDC4051\*4051*201702191*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"%USERPROFILE%\AppData\Local\Temp\OnboardLogs"\RTDC4051\*4051*201702191* &gt;&gt; 2017-02-19-SliceDisagreementCheck.txt</v>
      </c>
      <c r="AE11" s="157" t="str">
        <f t="shared" si="8"/>
        <v>start /low /b %USERPROFILE%\Documents\GitHub\eaglep3\Utilities\DownloadLogsFromS3.py --loco 4051 --day 2017-02-19</v>
      </c>
    </row>
    <row r="12" spans="1:32" s="1" customFormat="1" x14ac:dyDescent="0.25">
      <c r="A12" s="32">
        <v>42785.497384259259</v>
      </c>
      <c r="B12" s="30" t="s">
        <v>225</v>
      </c>
      <c r="C12" s="30" t="s">
        <v>428</v>
      </c>
      <c r="D12" s="30" t="s">
        <v>49</v>
      </c>
      <c r="E12" s="30" t="s">
        <v>197</v>
      </c>
      <c r="F12" s="43">
        <v>0</v>
      </c>
      <c r="G12" s="43">
        <v>241</v>
      </c>
      <c r="H12" s="43">
        <v>32428</v>
      </c>
      <c r="I12" s="43">
        <v>31992</v>
      </c>
      <c r="J12" s="30" t="s">
        <v>198</v>
      </c>
      <c r="K12" s="43">
        <v>30970</v>
      </c>
      <c r="L12" s="143" t="s">
        <v>51</v>
      </c>
      <c r="M12" s="144">
        <f t="shared" si="0"/>
        <v>539.61599999999999</v>
      </c>
      <c r="N12" s="145" t="str">
        <f>VLOOKUP(C12,'Trips&amp;Operators'!$C$1:$G$99999,5,FALSE)</f>
        <v>ROMERO CHAD</v>
      </c>
      <c r="O12" s="194" t="s">
        <v>185</v>
      </c>
      <c r="P12" s="146" t="s">
        <v>840</v>
      </c>
      <c r="Q12" s="30"/>
      <c r="R12" s="89" t="str">
        <f>VLOOKUP(C12,'Train Runs'!$A$13:$AE$9949,31,0)</f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S12" s="92" t="str">
        <f>VLOOKUP(C12,'Train Runs'!$A$13:$AE$9949,22,0)</f>
        <v>https://d0f6bd738d7f1b3e5a7ca70fe4ff75f0.us-east-1.aws.found.io/app/kibana#/discover/Steve-Slow-Train-Analysis-(2080s-and-2083s)?_g=(refreshInterval:(display:Off,pause:!f,section:0,value:0),time:(from:'2017-02-19T10:16:40-0700',mode:absolute,to:'2017-02-19T13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94" t="str">
        <f t="shared" si="1"/>
        <v>"C:\Program Files (x86)\AstroGrep\AstroGrep.exe" /spath="%USERPROFILE%\AppData\Local\Temp\OnboardLogs" /stypes="*4015*201702191*" /stext=" 18:.+((SYSTEM_STATE.+slice.+state.+changed )|(ment ac)|(multiple cpu faults)|(system.+state.+changed )|(\[timeout)|(PRM\|1\|D)|(kpr)|(kdp)|(\|loc)|(penalty))" /e /r /s</v>
      </c>
      <c r="U12" s="9" t="str">
        <f t="shared" si="2"/>
        <v>4015</v>
      </c>
      <c r="V12" s="32">
        <f t="shared" si="3"/>
        <v>42785.789050925923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{"issue":{"subject":"Form C","project_id":79,"tracker_id":40,"status_id":1,"priority_id":2,"assigned_to_id":23,"start_date":"2017-02-19","description":"","custom_fields":[{"id":1,"name":"Subdivision","value":"EC"},{"id":4,"name":"Milepost","value":"3.097"},{"id":17,"name":"Train ID","value":"156-19"},{"id":16,"name":"Locomotive ID","value":"4015"},{"id":130,"name":"Impact","value":""},{"id":150,"name":"Time of Event (Mountain Time)","value":"11:56:14"},{"id":151,"name":"Denver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"%USERPROFILE%\AppData\Local\Temp\OnboardLogs"\RTDC4015\*4015*201702191*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"%USERPROFILE%\AppData\Local\Temp\OnboardLogs"\RTDC4015\*4015*201702191* &gt;&gt; 2017-02-19-SliceDisagreementCheck.txt</v>
      </c>
      <c r="AE12" s="157" t="str">
        <f t="shared" si="8"/>
        <v>start /low /b %USERPROFILE%\Documents\GitHub\eaglep3\Utilities\DownloadLogsFromS3.py --loco 4015 --day 2017-02-19</v>
      </c>
    </row>
    <row r="13" spans="1:32" s="1" customFormat="1" x14ac:dyDescent="0.25">
      <c r="A13" s="32">
        <v>42785.478634259256</v>
      </c>
      <c r="B13" s="30" t="s">
        <v>376</v>
      </c>
      <c r="C13" s="30" t="s">
        <v>426</v>
      </c>
      <c r="D13" s="30" t="s">
        <v>49</v>
      </c>
      <c r="E13" s="30" t="s">
        <v>197</v>
      </c>
      <c r="F13" s="43">
        <v>360</v>
      </c>
      <c r="G13" s="43">
        <v>411</v>
      </c>
      <c r="H13" s="43">
        <v>32776</v>
      </c>
      <c r="I13" s="43">
        <v>33599</v>
      </c>
      <c r="J13" s="30" t="s">
        <v>198</v>
      </c>
      <c r="K13" s="43">
        <v>33137</v>
      </c>
      <c r="L13" s="143" t="s">
        <v>50</v>
      </c>
      <c r="M13" s="144">
        <f t="shared" si="0"/>
        <v>-243.93600000000001</v>
      </c>
      <c r="N13" s="145" t="str">
        <f>VLOOKUP(C13,'Trips&amp;Operators'!$C$1:$G$99999,5,FALSE)</f>
        <v>STEWART MICHAEL</v>
      </c>
      <c r="O13" s="194" t="s">
        <v>185</v>
      </c>
      <c r="P13" s="146" t="s">
        <v>854</v>
      </c>
      <c r="Q13" s="30"/>
      <c r="R13" s="89" t="str">
        <f>VLOOKUP(C13,'Train Runs'!$A$13:$AE$9949,31,0)</f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S13" s="92" t="str">
        <f>VLOOKUP(C13,'Train Runs'!$A$13:$AE$9949,22,0)</f>
        <v>https://d0f6bd738d7f1b3e5a7ca70fe4ff75f0.us-east-1.aws.found.io/app/kibana#/discover/Steve-Slow-Train-Analysis-(2080s-and-2083s)?_g=(refreshInterval:(display:Off,pause:!f,section:0,value:0),time:(from:'2017-02-19T10:13:03-0700',mode:absolute,to:'2017-02-19T12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3" s="94" t="str">
        <f t="shared" si="1"/>
        <v>"C:\Program Files (x86)\AstroGrep\AstroGrep.exe" /spath="%USERPROFILE%\AppData\Local\Temp\OnboardLogs" /stypes="*4006*201702191*" /stext=" 18:.+((SYSTEM_STATE.+slice.+state.+changed )|(ment ac)|(multiple cpu faults)|(system.+state.+changed )|(\[timeout)|(PRM\|1\|D)|(kpr)|(kdp)|(\|loc)|(penalty))" /e /r /s</v>
      </c>
      <c r="U13" s="9" t="str">
        <f t="shared" si="2"/>
        <v>4006</v>
      </c>
      <c r="V13" s="32">
        <f t="shared" si="3"/>
        <v>42785.77030092592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arrival; Form C at Clayton made train establish "slow contract" with Steele, operator should accelerate up to 35 mph immediately after clearing Clayton, and maintain 35 mph until clearing Steele","project_id":79,"tracker_id":40,"status_id":1,"priority_id":2,"assigned_to_id":23,"start_date":"2017-02-19","description":"","custom_fields":[{"id":1,"name":"Subdivision","value":"EC"},{"id":4,"name":"Milepost","value":"3.3137"},{"id":17,"name":"Train ID","value":"161-19"},{"id":16,"name":"Locomotive ID","value":"4006"},{"id":130,"name":"Impact","value":""},{"id":150,"name":"Time of Event (Mountain Time)","value":"11:29:14"},{"id":151,"name":"Denver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"%USERPROFILE%\AppData\Local\Temp\OnboardLogs"\RTDC4006\*4006*201702191*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"%USERPROFILE%\AppData\Local\Temp\OnboardLogs"\RTDC4006\*4006*201702191* &gt;&gt; 2017-02-19-SliceDisagreementCheck.txt</v>
      </c>
      <c r="AE13" s="157" t="str">
        <f t="shared" si="8"/>
        <v>start /low /b %USERPROFILE%\Documents\GitHub\eaglep3\Utilities\DownloadLogsFromS3.py --loco 4006 --day 2017-02-19</v>
      </c>
    </row>
    <row r="14" spans="1:32" x14ac:dyDescent="0.25">
      <c r="A14" s="32">
        <v>42785.694467592592</v>
      </c>
      <c r="B14" s="30" t="s">
        <v>367</v>
      </c>
      <c r="C14" s="30" t="s">
        <v>434</v>
      </c>
      <c r="D14" s="30" t="s">
        <v>49</v>
      </c>
      <c r="E14" s="30" t="s">
        <v>197</v>
      </c>
      <c r="F14" s="43">
        <v>360</v>
      </c>
      <c r="G14" s="43">
        <v>411</v>
      </c>
      <c r="H14" s="43">
        <v>32784</v>
      </c>
      <c r="I14" s="43">
        <v>33597</v>
      </c>
      <c r="J14" s="30" t="s">
        <v>198</v>
      </c>
      <c r="K14" s="43">
        <v>33137</v>
      </c>
      <c r="L14" s="143" t="s">
        <v>50</v>
      </c>
      <c r="M14" s="144">
        <f t="shared" si="0"/>
        <v>-242.88</v>
      </c>
      <c r="N14" s="145" t="str">
        <f>VLOOKUP(C14,'Trips&amp;Operators'!$C$1:$G$99999,5,FALSE)</f>
        <v>STEWART MICHAEL</v>
      </c>
      <c r="O14" s="194" t="s">
        <v>185</v>
      </c>
      <c r="P14" s="146" t="s">
        <v>854</v>
      </c>
      <c r="Q14" s="30"/>
      <c r="R14" s="89" t="str">
        <f>VLOOKUP(C14,'Train Runs'!$A$13:$AE$9949,31,0)</f>
        <v>aws s3 cp s3://rtdc.mdm.uploadarchive.raw/RTDC4051/ "%USERPROFILE%\AppData\Local\Temp\OnboardLogs"\RTDC4051\2017-02-19 --exclude "*" --recursive --include "*20170219*" &amp; "%USERPROFILE%\Documents\GitHub\mrs-test-scripts\Headless Mode &amp; Sideloading\WalkAndUnGZ.bat" "%USERPROFILE%\AppData\Local\Temp\OnboardLogs"\RTDC4051\2017-02-19 &amp; aws s3 cp s3://rtdc.mdm.uploadarchive.raw/RTDC4051/ "%USERPROFILE%\AppData\Local\Temp\OnboardLogs"\RTDC4051\2017-02-20 --exclude "*" --recursive --include "*20170220*" &amp; "%USERPROFILE%\Documents\GitHub\mrs-test-scripts\Headless Mode &amp; Sideloading\WalkAndUnGZ.bat" "%USERPROFILE%\AppData\Local\Temp\OnboardLogs"\RTDC4051\2017-02-20</v>
      </c>
      <c r="S14" s="92" t="str">
        <f>VLOOKUP(C14,'Train Runs'!$A$13:$AE$9949,22,0)</f>
        <v>https://d0f6bd738d7f1b3e5a7ca70fe4ff75f0.us-east-1.aws.found.io/app/kibana#/discover/Steve-Slow-Train-Analysis-(2080s-and-2083s)?_g=(refreshInterval:(display:Off,pause:!f,section:0,value:0),time:(from:'2017-02-19T15:26:04-0700',mode:absolute,to:'2017-02-19T18:16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4" s="94" t="str">
        <f t="shared" si="1"/>
        <v>"C:\Program Files (x86)\AstroGrep\AstroGrep.exe" /spath="%USERPROFILE%\AppData\Local\Temp\OnboardLogs" /stypes="*4051*201702192*" /stext=" 23:.+((SYSTEM_STATE.+slice.+state.+changed )|(ment ac)|(multiple cpu faults)|(system.+state.+changed )|(\[timeout)|(PRM\|1\|D)|(kpr)|(kdp)|(\|loc)|(penalty))" /e /r /s</v>
      </c>
      <c r="U14" s="9" t="str">
        <f t="shared" si="2"/>
        <v>4051</v>
      </c>
      <c r="V14" s="32">
        <f t="shared" si="3"/>
        <v>42785.986134259256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arrival; Form C at Clayton made train establish "slow contract" with Steele, operator should accelerate up to 35 mph immediately after clearing Clayton, and maintain 35 mph until clearing Steele","project_id":79,"tracker_id":40,"status_id":1,"priority_id":2,"assigned_to_id":23,"start_date":"2017-02-19","description":"","custom_fields":[{"id":1,"name":"Subdivision","value":"EC"},{"id":4,"name":"Milepost","value":"3.3137"},{"id":17,"name":"Train ID","value":"203-19"},{"id":16,"name":"Locomotive ID","value":"4051"},{"id":130,"name":"Impact","value":""},{"id":150,"name":"Time of Event (Mountain Time)","value":"16:40:02"},{"id":151,"name":"Denver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"%USERPROFILE%\AppData\Local\Temp\OnboardLogs"\RTDC4051\*4051*201702192*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"%USERPROFILE%\AppData\Local\Temp\OnboardLogs"\RTDC4051\*4051*201702192* &gt;&gt; 2017-02-19-SliceDisagreementCheck.txt</v>
      </c>
      <c r="AE14" s="157" t="str">
        <f t="shared" si="8"/>
        <v>start /low /b %USERPROFILE%\Documents\GitHub\eaglep3\Utilities\DownloadLogsFromS3.py --loco 4051 --day 2017-02-19</v>
      </c>
      <c r="AF14" s="1"/>
    </row>
    <row r="15" spans="1:32" x14ac:dyDescent="0.25">
      <c r="A15" s="32">
        <v>42785.393807870372</v>
      </c>
      <c r="B15" s="30" t="s">
        <v>376</v>
      </c>
      <c r="C15" s="30" t="s">
        <v>423</v>
      </c>
      <c r="D15" s="30" t="s">
        <v>49</v>
      </c>
      <c r="E15" s="30" t="s">
        <v>197</v>
      </c>
      <c r="F15" s="43">
        <v>0</v>
      </c>
      <c r="G15" s="43">
        <v>403</v>
      </c>
      <c r="H15" s="43">
        <v>52642</v>
      </c>
      <c r="I15" s="43">
        <v>53384</v>
      </c>
      <c r="J15" s="30" t="s">
        <v>198</v>
      </c>
      <c r="K15" s="43">
        <v>53156</v>
      </c>
      <c r="L15" s="143" t="s">
        <v>50</v>
      </c>
      <c r="M15" s="144">
        <f t="shared" si="0"/>
        <v>-120.384</v>
      </c>
      <c r="N15" s="145" t="str">
        <f>VLOOKUP(C15,'Trips&amp;Operators'!$C$1:$G$99999,5,FALSE)</f>
        <v>ARVIDSON DANIEL</v>
      </c>
      <c r="O15" s="194" t="s">
        <v>185</v>
      </c>
      <c r="P15" s="146" t="s">
        <v>852</v>
      </c>
      <c r="Q15" s="30"/>
      <c r="R15" s="89" t="str">
        <f>VLOOKUP(C15,'Train Runs'!$A$13:$AE$9949,31,0)</f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S15" s="92" t="str">
        <f>VLOOKUP(C15,'Train Runs'!$A$13:$AE$9949,22,0)</f>
        <v>https://d0f6bd738d7f1b3e5a7ca70fe4ff75f0.us-east-1.aws.found.io/app/kibana#/discover/Steve-Slow-Train-Analysis-(2080s-and-2083s)?_g=(refreshInterval:(display:Off,pause:!f,section:0,value:0),time:(from:'2017-02-19T08:11:35-0700',mode:absolute,to:'2017-02-19T10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5" s="94" t="str">
        <f t="shared" si="1"/>
        <v>"C:\Program Files (x86)\AstroGrep\AstroGrep.exe" /spath="%USERPROFILE%\AppData\Local\Temp\OnboardLogs" /stypes="*4006*201702191*" /stext=" 16:.+((SYSTEM_STATE.+slice.+state.+changed )|(ment ac)|(multiple cpu faults)|(system.+state.+changed )|(\[timeout)|(PRM\|1\|D)|(kpr)|(kdp)|(\|loc)|(penalty))" /e /r /s</v>
      </c>
      <c r="U15" s="9" t="str">
        <f t="shared" si="2"/>
        <v>4006</v>
      </c>
      <c r="V15" s="32">
        <f t="shared" si="3"/>
        <v>42785.685474537036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arrival; did not quickly comply with speed reduction prompts","project_id":79,"tracker_id":40,"status_id":1,"priority_id":2,"assigned_to_id":23,"start_date":"2017-02-19","description":"","custom_fields":[{"id":1,"name":"Subdivision","value":"EC"},{"id":4,"name":"Milepost","value":"5.3156"},{"id":17,"name":"Train ID","value":"145-19"},{"id":16,"name":"Locomotive ID","value":"4006"},{"id":130,"name":"Impact","value":""},{"id":150,"name":"Time of Event (Mountain Time)","value":"09:27:05"},{"id":151,"name":"Denver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"%USERPROFILE%\AppData\Local\Temp\OnboardLogs"\RTDC4006\*4006*201702191*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"%USERPROFILE%\AppData\Local\Temp\OnboardLogs"\RTDC4006\*4006*201702191* &gt;&gt; 2017-02-19-SliceDisagreementCheck.txt</v>
      </c>
      <c r="AE15" s="157" t="str">
        <f t="shared" si="8"/>
        <v>start /low /b %USERPROFILE%\Documents\GitHub\eaglep3\Utilities\DownloadLogsFromS3.py --loco 4006 --day 2017-02-19</v>
      </c>
      <c r="AF15" s="1"/>
    </row>
    <row r="16" spans="1:32" x14ac:dyDescent="0.25">
      <c r="A16" s="32">
        <v>42785.314293981479</v>
      </c>
      <c r="B16" s="30" t="s">
        <v>376</v>
      </c>
      <c r="C16" s="30" t="s">
        <v>419</v>
      </c>
      <c r="D16" s="30" t="s">
        <v>98</v>
      </c>
      <c r="E16" s="30" t="s">
        <v>420</v>
      </c>
      <c r="F16" s="43">
        <v>200</v>
      </c>
      <c r="G16" s="43">
        <v>259</v>
      </c>
      <c r="H16" s="43">
        <v>5503</v>
      </c>
      <c r="I16" s="43">
        <v>6045</v>
      </c>
      <c r="J16" s="30" t="s">
        <v>421</v>
      </c>
      <c r="K16" s="43">
        <v>4677</v>
      </c>
      <c r="L16" s="143" t="s">
        <v>50</v>
      </c>
      <c r="M16" s="144">
        <f t="shared" si="0"/>
        <v>-722.30399999999997</v>
      </c>
      <c r="N16" s="145" t="str">
        <f>VLOOKUP(C16,'Trips&amp;Operators'!$C$1:$G$99999,5,FALSE)</f>
        <v>ARVIDSON DANIEL</v>
      </c>
      <c r="O16" s="194" t="s">
        <v>185</v>
      </c>
      <c r="P16" s="146"/>
      <c r="Q16" s="30"/>
      <c r="R16" s="89" t="str">
        <f>VLOOKUP(C16,'Train Runs'!$A$13:$AE$9949,31,0)</f>
        <v>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 &amp; aws s3 cp s3://rtdc.mdm.uploadarchive.raw/RTDC4006/ "%USERPROFILE%\AppData\Local\Temp\OnboardLogs"\RTDC4006\2017-02-20 --exclude "*" --recursive --include "*20170220*" &amp; "%USERPROFILE%\Documents\GitHub\mrs-test-scripts\Headless Mode &amp; Sideloading\WalkAndUnGZ.bat" "%USERPROFILE%\AppData\Local\Temp\OnboardLogs"\RTDC4006\2017-02-20</v>
      </c>
      <c r="S16" s="92" t="str">
        <f>VLOOKUP(C16,'Train Runs'!$A$13:$AE$9949,22,0)</f>
        <v>https://d0f6bd738d7f1b3e5a7ca70fe4ff75f0.us-east-1.aws.found.io/app/kibana#/discover/Steve-Slow-Train-Analysis-(2080s-and-2083s)?_g=(refreshInterval:(display:Off,pause:!f,section:0,value:0),time:(from:'2017-02-19T06:24:45-0700',mode:absolute,to:'2017-02-19T09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94" t="str">
        <f t="shared" si="1"/>
        <v>"C:\Program Files (x86)\AstroGrep\AstroGrep.exe" /spath="%USERPROFILE%\AppData\Local\Temp\OnboardLogs" /stypes="*4006*201702191*" /stext=" 14:.+((SYSTEM_STATE.+slice.+state.+changed )|(ment ac)|(multiple cpu faults)|(system.+state.+changed )|(\[timeout)|(PRM\|1\|D)|(kpr)|(kdp)|(\|loc)|(penalty))" /e /r /s</v>
      </c>
      <c r="U16" s="9" t="str">
        <f t="shared" si="2"/>
        <v>4006</v>
      </c>
      <c r="V16" s="32">
        <f t="shared" si="3"/>
        <v>42785.605960648143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{"issue":{"subject":"","project_id":79,"tracker_id":40,"status_id":1,"priority_id":2,"assigned_to_id":23,"start_date":"2017-02-19","description":"","custom_fields":[{"id":1,"name":"Subdivision","value":"EC"},{"id":4,"name":"Milepost","value":"0.4677"},{"id":17,"name":"Train ID","value":"131-19"},{"id":16,"name":"Locomotive ID","value":"4006"},{"id":130,"name":"Impact","value":""},{"id":150,"name":"Time of Event (Mountain Time)","value":"07:32:35"},{"id":151,"name":"Denver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"%USERPROFILE%\AppData\Local\Temp\OnboardLogs"\RTDC4006\*4006*201702191*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"%USERPROFILE%\AppData\Local\Temp\OnboardLogs"\RTDC4006\*4006*201702191* &gt;&gt; 2017-02-19-SliceDisagreementCheck.txt</v>
      </c>
      <c r="AE16" s="157" t="str">
        <f t="shared" si="8"/>
        <v>start /low /b %USERPROFILE%\Documents\GitHub\eaglep3\Utilities\DownloadLogsFromS3.py --loco 4006 --day 2017-02-19</v>
      </c>
      <c r="AF16" s="1"/>
    </row>
    <row r="17" spans="1:32" x14ac:dyDescent="0.25">
      <c r="A17" s="32">
        <v>42785.466990740744</v>
      </c>
      <c r="B17" s="30" t="s">
        <v>213</v>
      </c>
      <c r="C17" s="30" t="s">
        <v>425</v>
      </c>
      <c r="D17" s="30" t="s">
        <v>49</v>
      </c>
      <c r="E17" s="30" t="s">
        <v>420</v>
      </c>
      <c r="F17" s="43">
        <v>300</v>
      </c>
      <c r="G17" s="43">
        <v>414</v>
      </c>
      <c r="H17" s="43">
        <v>23242</v>
      </c>
      <c r="I17" s="43">
        <v>22180</v>
      </c>
      <c r="J17" s="30" t="s">
        <v>421</v>
      </c>
      <c r="K17" s="43">
        <v>21848</v>
      </c>
      <c r="L17" s="143" t="s">
        <v>51</v>
      </c>
      <c r="M17" s="144">
        <f t="shared" si="0"/>
        <v>175.29599999999999</v>
      </c>
      <c r="N17" s="145" t="str">
        <f>VLOOKUP(C17,'Trips&amp;Operators'!$C$1:$G$99999,5,FALSE)</f>
        <v>BADERTSCHER DIANE</v>
      </c>
      <c r="O17" s="194" t="s">
        <v>185</v>
      </c>
      <c r="P17" s="146"/>
      <c r="Q17" s="30"/>
      <c r="R17" s="89" t="str">
        <f>VLOOKUP(C17,'Train Runs'!$A$13:$AE$9949,31,0)</f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S17" s="92" t="str">
        <f>VLOOKUP(C17,'Train Runs'!$A$13:$AE$9949,22,0)</f>
        <v>https://d0f6bd738d7f1b3e5a7ca70fe4ff75f0.us-east-1.aws.found.io/app/kibana#/discover/Steve-Slow-Train-Analysis-(2080s-and-2083s)?_g=(refreshInterval:(display:Off,pause:!f,section:0,value:0),time:(from:'2017-02-19T09:16:13-0700',mode:absolute,to:'2017-02-19T12:32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94" t="str">
        <f t="shared" si="1"/>
        <v>"C:\Program Files (x86)\AstroGrep\AstroGrep.exe" /spath="%USERPROFILE%\AppData\Local\Temp\OnboardLogs" /stypes="*4026*201702191*" /stext=" 18:.+((SYSTEM_STATE.+slice.+state.+changed )|(ment ac)|(multiple cpu faults)|(system.+state.+changed )|(\[timeout)|(PRM\|1\|D)|(kpr)|(kdp)|(\|loc)|(penalty))" /e /r /s</v>
      </c>
      <c r="U17" s="9" t="str">
        <f t="shared" si="2"/>
        <v>4026</v>
      </c>
      <c r="V17" s="32">
        <f t="shared" si="3"/>
        <v>42785.758657407408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{"issue":{"subject":"","project_id":79,"tracker_id":40,"status_id":1,"priority_id":2,"assigned_to_id":23,"start_date":"2017-02-19","description":"","custom_fields":[{"id":1,"name":"Subdivision","value":"EC"},{"id":4,"name":"Milepost","value":"2.1848"},{"id":17,"name":"Train ID","value":"148-19"},{"id":16,"name":"Locomotive ID","value":"4026"},{"id":130,"name":"Impact","value":""},{"id":150,"name":"Time of Event (Mountain Time)","value":"11:12:28"},{"id":151,"name":"Denver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"%USERPROFILE%\AppData\Local\Temp\OnboardLogs"\RTDC4026\*4026*201702191*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"%USERPROFILE%\AppData\Local\Temp\OnboardLogs"\RTDC4026\*4026*201702191* &gt;&gt; 2017-02-19-SliceDisagreementCheck.txt</v>
      </c>
      <c r="AE17" s="157" t="str">
        <f t="shared" si="8"/>
        <v>start /low /b %USERPROFILE%\Documents\GitHub\eaglep3\Utilities\DownloadLogsFromS3.py --loco 4026 --day 2017-02-19</v>
      </c>
      <c r="AF17" s="1"/>
    </row>
    <row r="18" spans="1:32" ht="15" customHeight="1" x14ac:dyDescent="0.25">
      <c r="A18" s="32">
        <v>42785.488252314812</v>
      </c>
      <c r="B18" s="30" t="s">
        <v>249</v>
      </c>
      <c r="C18" s="30" t="s">
        <v>427</v>
      </c>
      <c r="D18" s="30" t="s">
        <v>98</v>
      </c>
      <c r="E18" s="30" t="s">
        <v>420</v>
      </c>
      <c r="F18" s="43">
        <v>350</v>
      </c>
      <c r="G18" s="43">
        <v>401</v>
      </c>
      <c r="H18" s="43">
        <v>228563</v>
      </c>
      <c r="I18" s="43">
        <v>227681</v>
      </c>
      <c r="J18" s="30" t="s">
        <v>421</v>
      </c>
      <c r="K18" s="43">
        <v>232107</v>
      </c>
      <c r="L18" s="143" t="s">
        <v>51</v>
      </c>
      <c r="M18" s="144">
        <f t="shared" si="0"/>
        <v>-2336.9279999999999</v>
      </c>
      <c r="N18" s="145" t="str">
        <f>VLOOKUP(C18,'Trips&amp;Operators'!$C$1:$G$99999,5,FALSE)</f>
        <v>SHOOK JOHN</v>
      </c>
      <c r="O18" s="194" t="s">
        <v>185</v>
      </c>
      <c r="P18" s="146"/>
      <c r="Q18" s="30"/>
      <c r="R18" s="89" t="str">
        <f>VLOOKUP(C18,'Train Runs'!$A$13:$AE$9949,31,0)</f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S18" s="92" t="str">
        <f>VLOOKUP(C18,'Train Runs'!$A$13:$AE$9949,22,0)</f>
        <v>https://d0f6bd738d7f1b3e5a7ca70fe4ff75f0.us-east-1.aws.found.io/app/kibana#/discover/Steve-Slow-Train-Analysis-(2080s-and-2083s)?_g=(refreshInterval:(display:Off,pause:!f,section:0,value:0),time:(from:'2017-02-19T10:39:49-0700',mode:absolute,to:'2017-02-19T13:27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94" t="str">
        <f t="shared" si="1"/>
        <v>"C:\Program Files (x86)\AstroGrep\AstroGrep.exe" /spath="%USERPROFILE%\AppData\Local\Temp\OnboardLogs" /stypes="*4043*201702191*" /stext=" 18:.+((SYSTEM_STATE.+slice.+state.+changed )|(ment ac)|(multiple cpu faults)|(system.+state.+changed )|(\[timeout)|(PRM\|1\|D)|(kpr)|(kdp)|(\|loc)|(penalty))" /e /r /s</v>
      </c>
      <c r="U18" s="9" t="str">
        <f t="shared" si="2"/>
        <v>4043</v>
      </c>
      <c r="V18" s="32">
        <f t="shared" si="3"/>
        <v>42785.779918981476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{"issue":{"subject":"","project_id":79,"tracker_id":40,"status_id":1,"priority_id":2,"assigned_to_id":23,"start_date":"2017-02-19","description":"","custom_fields":[{"id":1,"name":"Subdivision","value":"EC"},{"id":4,"name":"Milepost","value":"23.2107"},{"id":17,"name":"Train ID","value":"158-19"},{"id":16,"name":"Locomotive ID","value":"4043"},{"id":130,"name":"Impact","value":""},{"id":150,"name":"Time of Event (Mountain Time)","value":"11:43:05"},{"id":151,"name":"Denver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"%USERPROFILE%\AppData\Local\Temp\OnboardLogs"\RTDC4043\*4043*201702191*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"%USERPROFILE%\AppData\Local\Temp\OnboardLogs"\RTDC4043\*4043*201702191* &gt;&gt; 2017-02-19-SliceDisagreementCheck.txt</v>
      </c>
      <c r="AE18" s="157" t="str">
        <f t="shared" si="8"/>
        <v>start /low /b %USERPROFILE%\Documents\GitHub\eaglep3\Utilities\DownloadLogsFromS3.py --loco 4043 --day 2017-02-19</v>
      </c>
      <c r="AF18" s="1"/>
    </row>
    <row r="19" spans="1:32" x14ac:dyDescent="0.25">
      <c r="A19" s="32">
        <v>42785.934178240743</v>
      </c>
      <c r="B19" s="30" t="s">
        <v>235</v>
      </c>
      <c r="C19" s="30" t="s">
        <v>440</v>
      </c>
      <c r="D19" s="30" t="s">
        <v>49</v>
      </c>
      <c r="E19" s="30" t="s">
        <v>186</v>
      </c>
      <c r="F19" s="43">
        <v>0</v>
      </c>
      <c r="G19" s="43">
        <v>772</v>
      </c>
      <c r="H19" s="43">
        <v>147296</v>
      </c>
      <c r="I19" s="43">
        <v>151118</v>
      </c>
      <c r="J19" s="30" t="s">
        <v>187</v>
      </c>
      <c r="K19" s="43">
        <v>149694</v>
      </c>
      <c r="L19" s="143" t="s">
        <v>50</v>
      </c>
      <c r="M19" s="144">
        <f t="shared" si="0"/>
        <v>-751.87199999999996</v>
      </c>
      <c r="N19" s="145" t="str">
        <f>VLOOKUP(C19,'Trips&amp;Operators'!$C$1:$G$99999,5,FALSE)</f>
        <v>SMITH MICHAEL</v>
      </c>
      <c r="O19" s="194" t="s">
        <v>443</v>
      </c>
      <c r="P19" s="146" t="s">
        <v>841</v>
      </c>
      <c r="Q19" s="30"/>
      <c r="R19" s="89" t="str">
        <f>VLOOKUP(C19,'Train Runs'!$A$13:$AE$9949,31,0)</f>
        <v>aws s3 cp s3://rtdc.mdm.uploadarchive.raw/RTDC4025/ "%USERPROFILE%\AppData\Local\Temp\OnboardLogs"\RTDC4025\2017-02-19 --exclude "*" --recursive --include "*20170219*" &amp; "%USERPROFILE%\Documents\GitHub\mrs-test-scripts\Headless Mode &amp; Sideloading\WalkAndUnGZ.bat" "%USERPROFILE%\AppData\Local\Temp\OnboardLogs"\RTDC4025\2017-02-19 &amp; aws s3 cp s3://rtdc.mdm.uploadarchive.raw/RTDC4025/ "%USERPROFILE%\AppData\Local\Temp\OnboardLogs"\RTDC4025\2017-02-20 --exclude "*" --recursive --include "*20170220*" &amp; "%USERPROFILE%\Documents\GitHub\mrs-test-scripts\Headless Mode &amp; Sideloading\WalkAndUnGZ.bat" "%USERPROFILE%\AppData\Local\Temp\OnboardLogs"\RTDC4025\2017-02-20</v>
      </c>
      <c r="S19" s="92" t="str">
        <f>VLOOKUP(C19,'Train Runs'!$A$13:$AE$9949,22,0)</f>
        <v>https://d0f6bd738d7f1b3e5a7ca70fe4ff75f0.us-east-1.aws.found.io/app/kibana#/discover/Steve-Slow-Train-Analysis-(2080s-and-2083s)?_g=(refreshInterval:(display:Off,pause:!f,section:0,value:0),time:(from:'2017-02-19T20:48:12-0700',mode:absolute,to:'2017-02-19T23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94" t="str">
        <f t="shared" si="1"/>
        <v>"C:\Program Files (x86)\AstroGrep\AstroGrep.exe" /spath="%USERPROFILE%\AppData\Local\Temp\OnboardLogs" /stypes="*4025*201702200*" /stext=" 05:.+((SYSTEM_STATE.+slice.+state.+changed )|(ment ac)|(multiple cpu faults)|(system.+state.+changed )|(\[timeout)|(PRM\|1\|D)|(kpr)|(kdp)|(\|loc)|(penalty))" /e /r /s</v>
      </c>
      <c r="U19" s="9" t="str">
        <f t="shared" si="2"/>
        <v>4025</v>
      </c>
      <c r="V19" s="32">
        <f t="shared" si="3"/>
        <v>42786.225844907407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{"issue":{"subject":"Wi-MAX data drop","project_id":79,"tracker_id":40,"status_id":1,"priority_id":2,"assigned_to_id":23,"start_date":"2017-02-19","description":"http://stevetu21.github.io/eaglep3/load_kml.html?kml=http://rtdc.gmaps-snips.s3.amazonaws.com/f17efe4c-d6c2-4b58-bf4d-d0f15efabaf9.kml","custom_fields":[{"id":1,"name":"Subdivision","value":"EC"},{"id":4,"name":"Milepost","value":"14.9694"},{"id":17,"name":"Train ID","value":"233-19"},{"id":16,"name":"Locomotive ID","value":"4025"},{"id":130,"name":"Impact","value":"Enforcement"},{"id":150,"name":"Time of Event (Mountain Time)","value":"22:25:13"},{"id":151,"name":"Denver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20" t="s">
        <v>842</v>
      </c>
      <c r="AA19" s="48" t="s">
        <v>124</v>
      </c>
      <c r="AB19" s="48" t="s">
        <v>137</v>
      </c>
      <c r="AC19" s="127" t="str">
        <f t="shared" si="7"/>
        <v>grep -hSE -A400 "Enforcement Action" "%USERPROFILE%\AppData\Local\Temp\OnboardLogs"\RTDC4025\*4025*201702200*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"%USERPROFILE%\AppData\Local\Temp\OnboardLogs"\RTDC4025\*4025*201702200* &gt;&gt; 2017-02-19-SliceDisagreementCheck.txt</v>
      </c>
      <c r="AE19" s="157" t="str">
        <f t="shared" si="8"/>
        <v>start /low /b %USERPROFILE%\Documents\GitHub\eaglep3\Utilities\DownloadLogsFromS3.py --loco 4025 --day 2017-02-20</v>
      </c>
      <c r="AF19" s="1"/>
    </row>
    <row r="20" spans="1:32" x14ac:dyDescent="0.25">
      <c r="A20" s="32">
        <v>42786.065717592595</v>
      </c>
      <c r="B20" s="30" t="s">
        <v>371</v>
      </c>
      <c r="C20" s="30" t="s">
        <v>442</v>
      </c>
      <c r="D20" s="30" t="s">
        <v>49</v>
      </c>
      <c r="E20" s="30" t="s">
        <v>186</v>
      </c>
      <c r="F20" s="43">
        <v>0</v>
      </c>
      <c r="G20" s="43">
        <v>604</v>
      </c>
      <c r="H20" s="43">
        <v>165050</v>
      </c>
      <c r="I20" s="43">
        <v>162498</v>
      </c>
      <c r="J20" s="30" t="s">
        <v>187</v>
      </c>
      <c r="K20" s="43">
        <v>162262</v>
      </c>
      <c r="L20" s="143" t="s">
        <v>51</v>
      </c>
      <c r="M20" s="144">
        <f t="shared" si="0"/>
        <v>124.608</v>
      </c>
      <c r="N20" s="145" t="str">
        <f>VLOOKUP(C20,'Trips&amp;Operators'!$C$1:$G$99999,5,FALSE)</f>
        <v>STAMBAUGH JAMES</v>
      </c>
      <c r="O20" s="194" t="s">
        <v>443</v>
      </c>
      <c r="P20" s="146" t="s">
        <v>844</v>
      </c>
      <c r="Q20" s="30"/>
      <c r="R20" s="89" t="str">
        <f>VLOOKUP(C20,'Train Runs'!$A$13:$AE$9949,31,0)</f>
        <v>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 &amp; 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</v>
      </c>
      <c r="S20" s="92" t="str">
        <f>VLOOKUP(C20,'Train Runs'!$A$13:$AE$9949,22,0)</f>
        <v>https://d0f6bd738d7f1b3e5a7ca70fe4ff75f0.us-east-1.aws.found.io/app/kibana#/discover/Steve-Slow-Train-Analysis-(2080s-and-2083s)?_g=(refreshInterval:(display:Off,pause:!f,section:0,value:0),time:(from:'2017-02-20T00:08:21-0700',mode:absolute,to:'2017-02-20T03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94" t="str">
        <f t="shared" si="1"/>
        <v>"C:\Program Files (x86)\AstroGrep\AstroGrep.exe" /spath="%USERPROFILE%\AppData\Local\Temp\OnboardLogs" /stypes="*4013*201702200*" /stext=" 08:.+((SYSTEM_STATE.+slice.+state.+changed )|(ment ac)|(multiple cpu faults)|(system.+state.+changed )|(\[timeout)|(PRM\|1\|D)|(kpr)|(kdp)|(\|loc)|(penalty))" /e /r /s</v>
      </c>
      <c r="U20" s="9" t="str">
        <f t="shared" si="2"/>
        <v>4013</v>
      </c>
      <c r="V20" s="32">
        <f t="shared" si="3"/>
        <v>42786.35738425926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{"issue":{"subject":"EC1620RH went offline for 20 seconds","project_id":79,"tracker_id":40,"status_id":1,"priority_id":2,"assigned_to_id":23,"start_date":"2017-02-20","description":"From 01:33:51 - 01:34:09, EC1620RH was offline (didn't beacon, we expect beacons every second). Do logs tell of any irregular activity during this time?","custom_fields":[{"id":1,"name":"Subdivision","value":"EC"},{"id":4,"name":"Milepost","value":"16.2262"},{"id":17,"name":"Train ID","value":"244-19"},{"id":16,"name":"Locomotive ID","value":"4013"},{"id":130,"name":"Impact","value":"Enforcement"},{"id":150,"name":"Time of Event (Mountain Time)","value":"01:34:38"},{"id":151,"name":"Denver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48" t="s">
        <v>845</v>
      </c>
      <c r="AA20" s="48" t="s">
        <v>124</v>
      </c>
      <c r="AB20" s="48" t="s">
        <v>129</v>
      </c>
      <c r="AC20" s="127" t="str">
        <f t="shared" si="7"/>
        <v>grep -hSE -A400 "Enforcement Action" "%USERPROFILE%\AppData\Local\Temp\OnboardLogs"\RTDC4013\*4013*201702200*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"%USERPROFILE%\AppData\Local\Temp\OnboardLogs"\RTDC4013\*4013*201702200* &gt;&gt; 2017-02-19-SliceDisagreementCheck.txt</v>
      </c>
      <c r="AE20" s="157" t="str">
        <f t="shared" si="8"/>
        <v>start /low /b %USERPROFILE%\Documents\GitHub\eaglep3\Utilities\DownloadLogsFromS3.py --loco 4013 --day 2017-02-20</v>
      </c>
      <c r="AF20" s="1"/>
    </row>
    <row r="21" spans="1:32" x14ac:dyDescent="0.25">
      <c r="A21" s="32">
        <v>42785.638611111113</v>
      </c>
      <c r="B21" s="30" t="s">
        <v>225</v>
      </c>
      <c r="C21" s="30" t="s">
        <v>433</v>
      </c>
      <c r="D21" s="30" t="s">
        <v>49</v>
      </c>
      <c r="E21" s="30" t="s">
        <v>186</v>
      </c>
      <c r="F21" s="43">
        <v>0</v>
      </c>
      <c r="G21" s="43">
        <v>52</v>
      </c>
      <c r="H21" s="43">
        <v>191846</v>
      </c>
      <c r="I21" s="43">
        <v>191817</v>
      </c>
      <c r="J21" s="30" t="s">
        <v>187</v>
      </c>
      <c r="K21" s="43">
        <v>191723</v>
      </c>
      <c r="L21" s="143" t="s">
        <v>51</v>
      </c>
      <c r="M21" s="144">
        <f t="shared" si="0"/>
        <v>49.631999999999998</v>
      </c>
      <c r="N21" s="145" t="str">
        <f>VLOOKUP(C21,'Trips&amp;Operators'!$C$1:$G$99999,5,FALSE)</f>
        <v>ROMERO CHAD</v>
      </c>
      <c r="O21" s="194" t="s">
        <v>185</v>
      </c>
      <c r="P21" s="146" t="s">
        <v>843</v>
      </c>
      <c r="Q21" s="30"/>
      <c r="R21" s="89" t="str">
        <f>VLOOKUP(C21,'Train Runs'!$A$13:$AE$9949,31,0)</f>
        <v>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 &amp; 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</v>
      </c>
      <c r="S21" s="92" t="str">
        <f>VLOOKUP(C21,'Train Runs'!$A$13:$AE$9949,22,0)</f>
        <v>https://d0f6bd738d7f1b3e5a7ca70fe4ff75f0.us-east-1.aws.found.io/app/kibana#/discover/Steve-Slow-Train-Analysis-(2080s-and-2083s)?_g=(refreshInterval:(display:Off,pause:!f,section:0,value:0),time:(from:'2017-02-19T13:53:45-0700',mode:absolute,to:'2017-02-19T16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94" t="str">
        <f t="shared" si="1"/>
        <v>"C:\Program Files (x86)\AstroGrep\AstroGrep.exe" /spath="%USERPROFILE%\AppData\Local\Temp\OnboardLogs" /stypes="*4015*201702192*" /stext=" 22:.+((SYSTEM_STATE.+slice.+state.+changed )|(ment ac)|(multiple cpu faults)|(system.+state.+changed )|(\[timeout)|(PRM\|1\|D)|(kpr)|(kdp)|(\|loc)|(penalty))" /e /r /s</v>
      </c>
      <c r="U21" s="9" t="str">
        <f t="shared" si="2"/>
        <v>4015</v>
      </c>
      <c r="V21" s="32">
        <f t="shared" si="3"/>
        <v>42785.930277777778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{"issue":{"subject":"Pena 4S STOP","project_id":79,"tracker_id":40,"status_id":1,"priority_id":2,"assigned_to_id":23,"start_date":"2017-02-19","description":"","custom_fields":[{"id":1,"name":"Subdivision","value":"EC"},{"id":4,"name":"Milepost","value":"19.1723"},{"id":17,"name":"Train ID","value":"186-19"},{"id":16,"name":"Locomotive ID","value":"4015"},{"id":130,"name":"Impact","value":""},{"id":150,"name":"Time of Event (Mountain Time)","value":"15:19:36"},{"id":151,"name":"Denver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"%USERPROFILE%\AppData\Local\Temp\OnboardLogs"\RTDC4015\*4015*201702192*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"%USERPROFILE%\AppData\Local\Temp\OnboardLogs"\RTDC4015\*4015*201702192* &gt;&gt; 2017-02-19-SliceDisagreementCheck.txt</v>
      </c>
      <c r="AE21" s="157" t="str">
        <f t="shared" si="8"/>
        <v>start /low /b %USERPROFILE%\Documents\GitHub\eaglep3\Utilities\DownloadLogsFromS3.py --loco 4015 --day 2017-02-19</v>
      </c>
      <c r="AF21" s="1"/>
    </row>
    <row r="22" spans="1:32" x14ac:dyDescent="0.25">
      <c r="A22" s="32">
        <v>42785.598599537036</v>
      </c>
      <c r="B22" s="30" t="s">
        <v>249</v>
      </c>
      <c r="C22" s="30" t="s">
        <v>430</v>
      </c>
      <c r="D22" s="30" t="s">
        <v>49</v>
      </c>
      <c r="E22" s="30" t="s">
        <v>188</v>
      </c>
      <c r="F22" s="43">
        <v>0</v>
      </c>
      <c r="G22" s="43">
        <v>73</v>
      </c>
      <c r="H22" s="43">
        <v>236</v>
      </c>
      <c r="I22" s="43">
        <v>169</v>
      </c>
      <c r="J22" s="30" t="s">
        <v>189</v>
      </c>
      <c r="K22" s="43">
        <v>1</v>
      </c>
      <c r="L22" s="143" t="s">
        <v>51</v>
      </c>
      <c r="M22" s="144">
        <f t="shared" si="0"/>
        <v>88.703999999999994</v>
      </c>
      <c r="N22" s="145" t="str">
        <f>VLOOKUP(C22,'Trips&amp;Operators'!$C$1:$G$99999,5,FALSE)</f>
        <v>KILLION DAVID</v>
      </c>
      <c r="O22" s="194" t="s">
        <v>185</v>
      </c>
      <c r="P22" s="146"/>
      <c r="Q22" s="30"/>
      <c r="R22" s="89" t="str">
        <f>VLOOKUP(C22,'Train Runs'!$A$13:$AE$9949,31,0)</f>
        <v>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 &amp; 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</v>
      </c>
      <c r="S22" s="92" t="str">
        <f>VLOOKUP(C22,'Train Runs'!$A$13:$AE$9949,22,0)</f>
        <v>https://d0f6bd738d7f1b3e5a7ca70fe4ff75f0.us-east-1.aws.found.io/app/kibana#/discover/Steve-Slow-Train-Analysis-(2080s-and-2083s)?_g=(refreshInterval:(display:Off,pause:!f,section:0,value:0),time:(from:'2017-02-19T12:34:31-0700',mode:absolute,to:'2017-02-19T15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94" t="str">
        <f t="shared" si="1"/>
        <v>"C:\Program Files (x86)\AstroGrep\AstroGrep.exe" /spath="%USERPROFILE%\AppData\Local\Temp\OnboardLogs" /stypes="*4043*201702192*" /stext=" 21:.+((SYSTEM_STATE.+slice.+state.+changed )|(ment ac)|(multiple cpu faults)|(system.+state.+changed )|(\[timeout)|(PRM\|1\|D)|(kpr)|(kdp)|(\|loc)|(penalty))" /e /r /s</v>
      </c>
      <c r="U22" s="9" t="str">
        <f t="shared" si="2"/>
        <v>4043</v>
      </c>
      <c r="V22" s="32">
        <f t="shared" si="3"/>
        <v>42785.8902662037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{"issue":{"subject":"","project_id":79,"tracker_id":40,"status_id":1,"priority_id":2,"assigned_to_id":23,"start_date":"2017-02-19","description":"","custom_fields":[{"id":1,"name":"Subdivision","value":"EC"},{"id":4,"name":"Milepost","value":"0.0001"},{"id":17,"name":"Train ID","value":"174-19"},{"id":16,"name":"Locomotive ID","value":"4043"},{"id":130,"name":"Impact","value":""},{"id":150,"name":"Time of Event (Mountain Time)","value":"14:21:59"},{"id":151,"name":"Denver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"%USERPROFILE%\AppData\Local\Temp\OnboardLogs"\RTDC4043\*4043*201702192*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"%USERPROFILE%\AppData\Local\Temp\OnboardLogs"\RTDC4043\*4043*201702192* &gt;&gt; 2017-02-19-SliceDisagreementCheck.txt</v>
      </c>
      <c r="AE22" s="157" t="str">
        <f t="shared" si="8"/>
        <v>start /low /b %USERPROFILE%\Documents\GitHub\eaglep3\Utilities\DownloadLogsFromS3.py --loco 4043 --day 2017-02-19</v>
      </c>
      <c r="AF22" s="1"/>
    </row>
    <row r="23" spans="1:32" x14ac:dyDescent="0.25">
      <c r="A23" s="32">
        <v>42785.629687499997</v>
      </c>
      <c r="B23" s="30" t="s">
        <v>269</v>
      </c>
      <c r="C23" s="30" t="s">
        <v>432</v>
      </c>
      <c r="D23" s="30" t="s">
        <v>49</v>
      </c>
      <c r="E23" s="30" t="s">
        <v>188</v>
      </c>
      <c r="F23" s="43">
        <v>0</v>
      </c>
      <c r="G23" s="43">
        <v>76</v>
      </c>
      <c r="H23" s="43">
        <v>245</v>
      </c>
      <c r="I23" s="43">
        <v>178</v>
      </c>
      <c r="J23" s="30" t="s">
        <v>189</v>
      </c>
      <c r="K23" s="43">
        <v>1</v>
      </c>
      <c r="L23" s="143" t="s">
        <v>51</v>
      </c>
      <c r="M23" s="144">
        <f t="shared" si="0"/>
        <v>93.456000000000003</v>
      </c>
      <c r="N23" s="145" t="str">
        <f>VLOOKUP(C23,'Trips&amp;Operators'!$C$1:$G$99999,5,FALSE)</f>
        <v>HOLCOMB KAMDEN</v>
      </c>
      <c r="O23" s="194" t="s">
        <v>185</v>
      </c>
      <c r="P23" s="146"/>
      <c r="Q23" s="30"/>
      <c r="R23" s="89" t="str">
        <f>VLOOKUP(C23,'Train Runs'!$A$13:$AE$9949,31,0)</f>
        <v>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 &amp; 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</v>
      </c>
      <c r="S23" s="92" t="str">
        <f>VLOOKUP(C23,'Train Runs'!$A$13:$AE$9949,22,0)</f>
        <v>https://d0f6bd738d7f1b3e5a7ca70fe4ff75f0.us-east-1.aws.found.io/app/kibana#/discover/Steve-Slow-Train-Analysis-(2080s-and-2083s)?_g=(refreshInterval:(display:Off,pause:!f,section:0,value:0),time:(from:'2017-02-19T13:09:27-0700',mode:absolute,to:'2017-02-19T16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 t="shared" si="1"/>
        <v>"C:\Program Files (x86)\AstroGrep\AstroGrep.exe" /spath="%USERPROFILE%\AppData\Local\Temp\OnboardLogs" /stypes="*4019*201702192*" /stext=" 22:.+((SYSTEM_STATE.+slice.+state.+changed )|(ment ac)|(multiple cpu faults)|(system.+state.+changed )|(\[timeout)|(PRM\|1\|D)|(kpr)|(kdp)|(\|loc)|(penalty))" /e /r /s</v>
      </c>
      <c r="U23" s="9" t="str">
        <f t="shared" si="2"/>
        <v>4019</v>
      </c>
      <c r="V23" s="32">
        <f t="shared" si="3"/>
        <v>42785.921354166661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{"issue":{"subject":"","project_id":79,"tracker_id":40,"status_id":1,"priority_id":2,"assigned_to_id":23,"start_date":"2017-02-19","description":"","custom_fields":[{"id":1,"name":"Subdivision","value":"EC"},{"id":4,"name":"Milepost","value":"0.0001"},{"id":17,"name":"Train ID","value":"180-19"},{"id":16,"name":"Locomotive ID","value":"4019"},{"id":130,"name":"Impact","value":""},{"id":150,"name":"Time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"%USERPROFILE%\AppData\Local\Temp\OnboardLogs"\RTDC4019\*4019*201702192*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"%USERPROFILE%\AppData\Local\Temp\OnboardLogs"\RTDC4019\*4019*201702192* &gt;&gt; 2017-02-19-SliceDisagreementCheck.txt</v>
      </c>
      <c r="AE23" s="157" t="str">
        <f t="shared" si="8"/>
        <v>start /low /b %USERPROFILE%\Documents\GitHub\eaglep3\Utilities\DownloadLogsFromS3.py --loco 4019 --day 2017-02-19</v>
      </c>
      <c r="AF23" s="1"/>
    </row>
    <row r="24" spans="1:32" x14ac:dyDescent="0.25">
      <c r="A24" s="32">
        <v>42785.55945601852</v>
      </c>
      <c r="B24" s="30" t="s">
        <v>213</v>
      </c>
      <c r="C24" s="30" t="s">
        <v>429</v>
      </c>
      <c r="D24" s="30" t="s">
        <v>49</v>
      </c>
      <c r="E24" s="30" t="s">
        <v>188</v>
      </c>
      <c r="F24" s="43">
        <v>0</v>
      </c>
      <c r="G24" s="43">
        <v>20</v>
      </c>
      <c r="H24" s="43">
        <v>888</v>
      </c>
      <c r="I24" s="43">
        <v>875</v>
      </c>
      <c r="J24" s="30" t="s">
        <v>189</v>
      </c>
      <c r="K24" s="43">
        <v>839</v>
      </c>
      <c r="L24" s="143" t="s">
        <v>51</v>
      </c>
      <c r="M24" s="144">
        <f t="shared" si="0"/>
        <v>19.007999999999999</v>
      </c>
      <c r="N24" s="145" t="str">
        <f>VLOOKUP(C24,'Trips&amp;Operators'!$C$1:$G$99999,5,FALSE)</f>
        <v>DAVIS MICHAEL</v>
      </c>
      <c r="O24" s="194" t="s">
        <v>185</v>
      </c>
      <c r="P24" s="146"/>
      <c r="Q24" s="30"/>
      <c r="R24" s="89" t="str">
        <f>VLOOKUP(C24,'Train Runs'!$A$13:$AE$9949,31,0)</f>
        <v>aws s3 cp s3://rtdc.mdm.uploadarchive.raw/RTDC4026/ "%USERPROFILE%\AppData\Local\Temp\OnboardLogs"\RTDC4026\2017-02-19 --exclude "*" --recursive --include "*20170219*" &amp; "%USERPROFILE%\Documents\GitHub\mrs-test-scripts\Headless Mode &amp; Sideloading\WalkAndUnGZ.bat" "%USERPROFILE%\AppData\Local\Temp\OnboardLogs"\RTDC4026\2017-02-19 &amp; 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</v>
      </c>
      <c r="S24" s="92" t="str">
        <f>VLOOKUP(C24,'Train Runs'!$A$13:$AE$9949,22,0)</f>
        <v>https://d0f6bd738d7f1b3e5a7ca70fe4ff75f0.us-east-1.aws.found.io/app/kibana#/discover/Steve-Slow-Train-Analysis-(2080s-and-2083s)?_g=(refreshInterval:(display:Off,pause:!f,section:0,value:0),time:(from:'2017-02-19T11:37:02-0700',mode:absolute,to:'2017-02-19T14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4" s="94" t="str">
        <f t="shared" si="1"/>
        <v>"C:\Program Files (x86)\AstroGrep\AstroGrep.exe" /spath="%USERPROFILE%\AppData\Local\Temp\OnboardLogs" /stypes="*4026*201702192*" /stext=" 20:.+((SYSTEM_STATE.+slice.+state.+changed )|(ment ac)|(multiple cpu faults)|(system.+state.+changed )|(\[timeout)|(PRM\|1\|D)|(kpr)|(kdp)|(\|loc)|(penalty))" /e /r /s</v>
      </c>
      <c r="U24" s="9" t="str">
        <f t="shared" si="2"/>
        <v>4026</v>
      </c>
      <c r="V24" s="32">
        <f t="shared" si="3"/>
        <v>42785.851122685184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{"issue":{"subject":"","project_id":79,"tracker_id":40,"status_id":1,"priority_id":2,"assigned_to_id":23,"start_date":"2017-02-19","description":"","custom_fields":[{"id":1,"name":"Subdivision","value":"EC"},{"id":4,"name":"Milepost","value":"0.0839"},{"id":17,"name":"Train ID","value":"164-19"},{"id":16,"name":"Locomotive ID","value":"4026"},{"id":130,"name":"Impact","value":""},{"id":150,"name":"Time of Event (Mountain Time)","value":"13:25:37"},{"id":151,"name":"Denver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"%USERPROFILE%\AppData\Local\Temp\OnboardLogs"\RTDC4026\*4026*201702192*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"%USERPROFILE%\AppData\Local\Temp\OnboardLogs"\RTDC4026\*4026*201702192* &gt;&gt; 2017-02-19-SliceDisagreementCheck.txt</v>
      </c>
      <c r="AE24" s="157" t="str">
        <f t="shared" si="8"/>
        <v>start /low /b %USERPROFILE%\Documents\GitHub\eaglep3\Utilities\DownloadLogsFromS3.py --loco 4026 --day 2017-02-19</v>
      </c>
      <c r="AF24" s="1"/>
    </row>
    <row r="25" spans="1:32" x14ac:dyDescent="0.25">
      <c r="A25" s="32">
        <v>42785.796342592592</v>
      </c>
      <c r="B25" s="30" t="s">
        <v>366</v>
      </c>
      <c r="C25" s="30" t="s">
        <v>436</v>
      </c>
      <c r="D25" s="30" t="s">
        <v>49</v>
      </c>
      <c r="E25" s="30" t="s">
        <v>188</v>
      </c>
      <c r="F25" s="43">
        <v>0</v>
      </c>
      <c r="G25" s="43">
        <v>51</v>
      </c>
      <c r="H25" s="43">
        <v>233311</v>
      </c>
      <c r="I25" s="43">
        <v>233357</v>
      </c>
      <c r="J25" s="30" t="s">
        <v>189</v>
      </c>
      <c r="K25" s="43">
        <v>233491</v>
      </c>
      <c r="L25" s="143" t="s">
        <v>50</v>
      </c>
      <c r="M25" s="144">
        <f t="shared" si="0"/>
        <v>70.751999999999995</v>
      </c>
      <c r="N25" s="145" t="str">
        <f>VLOOKUP(C25,'Trips&amp;Operators'!$C$1:$G$99999,5,FALSE)</f>
        <v>STAMBAUGH JAMES</v>
      </c>
      <c r="O25" s="194" t="s">
        <v>185</v>
      </c>
      <c r="P25" s="146"/>
      <c r="Q25" s="30"/>
      <c r="R25" s="89" t="str">
        <f>VLOOKUP(C25,'Train Runs'!$A$13:$AE$9949,31,0)</f>
        <v>aws s3 cp s3://rtdc.mdm.uploadarchive.raw/RTDC4014/ "%USERPROFILE%\AppData\Local\Temp\OnboardLogs"\RTDC4014\2017-02-19 --exclude "*" --recursive --include "*20170219*" &amp; "%USERPROFILE%\Documents\GitHub\mrs-test-scripts\Headless Mode &amp; Sideloading\WalkAndUnGZ.bat" "%USERPROFILE%\AppData\Local\Temp\OnboardLogs"\RTDC4014\2017-02-19 &amp; aws s3 cp s3://rtdc.mdm.uploadarchive.raw/RTDC4014/ "%USERPROFILE%\AppData\Local\Temp\OnboardLogs"\RTDC4014\2017-02-20 --exclude "*" --recursive --include "*20170220*" &amp; "%USERPROFILE%\Documents\GitHub\mrs-test-scripts\Headless Mode &amp; Sideloading\WalkAndUnGZ.bat" "%USERPROFILE%\AppData\Local\Temp\OnboardLogs"\RTDC4014\2017-02-20</v>
      </c>
      <c r="S25" s="92" t="str">
        <f>VLOOKUP(C25,'Train Runs'!$A$13:$AE$9949,22,0)</f>
        <v>https://d0f6bd738d7f1b3e5a7ca70fe4ff75f0.us-east-1.aws.found.io/app/kibana#/discover/Steve-Slow-Train-Analysis-(2080s-and-2083s)?_g=(refreshInterval:(display:Off,pause:!f,section:0,value:0),time:(from:'2017-02-19T17:29:09-0700',mode:absolute,to:'2017-02-19T20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94" t="str">
        <f t="shared" si="1"/>
        <v>"C:\Program Files (x86)\AstroGrep\AstroGrep.exe" /spath="%USERPROFILE%\AppData\Local\Temp\OnboardLogs" /stypes="*4014*201702200*" /stext=" 02:.+((SYSTEM_STATE.+slice.+state.+changed )|(ment ac)|(multiple cpu faults)|(system.+state.+changed )|(\[timeout)|(PRM\|1\|D)|(kpr)|(kdp)|(\|loc)|(penalty))" /e /r /s</v>
      </c>
      <c r="U25" s="9" t="str">
        <f t="shared" si="2"/>
        <v>4014</v>
      </c>
      <c r="V25" s="32">
        <f t="shared" si="3"/>
        <v>42786.088009259256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{"issue":{"subject":"","project_id":79,"tracker_id":40,"status_id":1,"priority_id":2,"assigned_to_id":23,"start_date":"2017-02-19","description":"","custom_fields":[{"id":1,"name":"Subdivision","value":"EC"},{"id":4,"name":"Milepost","value":"23.3491"},{"id":17,"name":"Train ID","value":"219-19"},{"id":16,"name":"Locomotive ID","value":"4014"},{"id":130,"name":"Impact","value":""},{"id":150,"name":"Time of Event (Mountain Time)","value":"19:06:44"},{"id":151,"name":"Denver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"%USERPROFILE%\AppData\Local\Temp\OnboardLogs"\RTDC4014\*4014*201702200*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"%USERPROFILE%\AppData\Local\Temp\OnboardLogs"\RTDC4014\*4014*201702200* &gt;&gt; 2017-02-19-SliceDisagreementCheck.txt</v>
      </c>
      <c r="AE25" s="157" t="str">
        <f t="shared" si="8"/>
        <v>start /low /b %USERPROFILE%\Documents\GitHub\eaglep3\Utilities\DownloadLogsFromS3.py --loco 4014 --day 2017-02-20</v>
      </c>
      <c r="AF25" s="1"/>
    </row>
    <row r="26" spans="1:32" x14ac:dyDescent="0.25">
      <c r="A26" s="32">
        <v>42785.267060185186</v>
      </c>
      <c r="B26" s="30" t="s">
        <v>232</v>
      </c>
      <c r="C26" s="30" t="s">
        <v>417</v>
      </c>
      <c r="D26" s="30" t="s">
        <v>49</v>
      </c>
      <c r="E26" s="30" t="s">
        <v>197</v>
      </c>
      <c r="F26" s="43">
        <v>360</v>
      </c>
      <c r="G26" s="43">
        <v>453</v>
      </c>
      <c r="H26" s="43">
        <v>8546</v>
      </c>
      <c r="I26" s="43">
        <v>9984</v>
      </c>
      <c r="J26" s="30" t="s">
        <v>198</v>
      </c>
      <c r="K26" s="43">
        <v>10714</v>
      </c>
      <c r="L26" s="143" t="s">
        <v>50</v>
      </c>
      <c r="M26" s="144">
        <f t="shared" si="0"/>
        <v>385.44</v>
      </c>
      <c r="N26" s="145" t="str">
        <f>VLOOKUP(C26,'Trips&amp;Operators'!$C$1:$G$99999,5,FALSE)</f>
        <v>YORK EDGAR</v>
      </c>
      <c r="O26" s="194" t="s">
        <v>185</v>
      </c>
      <c r="P26" s="146" t="s">
        <v>839</v>
      </c>
      <c r="Q26" s="30"/>
      <c r="R26" s="89" t="str">
        <f>VLOOKUP(C26,'Train Runs'!$A$13:$AE$9949,31,0)</f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S26" s="92" t="str">
        <f>VLOOKUP(C26,'Train Runs'!$A$13:$AE$9949,22,0)</f>
        <v>https://d0f6bd738d7f1b3e5a7ca70fe4ff75f0.us-east-1.aws.found.io/app/kibana#/discover/Steve-Slow-Train-Analysis-(2080s-and-2083s)?_g=(refreshInterval:(display:Off,pause:!f,section:0,value:0),time:(from:'2017-02-19T04:56:32-0700',mode:absolute,to:'2017-02-19T07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94" t="str">
        <f t="shared" si="1"/>
        <v>"C:\Program Files (x86)\AstroGrep\AstroGrep.exe" /spath="%USERPROFILE%\AppData\Local\Temp\OnboardLogs" /stypes="*4007*201702191*" /stext=" 13:.+((SYSTEM_STATE.+slice.+state.+changed )|(ment ac)|(multiple cpu faults)|(system.+state.+changed )|(\[timeout)|(PRM\|1\|D)|(kpr)|(kdp)|(\|loc)|(penalty))" /e /r /s</v>
      </c>
      <c r="U26" s="9" t="str">
        <f t="shared" si="2"/>
        <v>4007</v>
      </c>
      <c r="V26" s="32">
        <f t="shared" si="3"/>
        <v>42785.55872685185</v>
      </c>
      <c r="W26" s="46" t="str">
        <f t="shared" si="4"/>
        <v>NW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arrival","project_id":79,"tracker_id":40,"status_id":1,"priority_id":2,"assigned_to_id":23,"start_date":"2017-02-19","description":"","custom_fields":[{"id":1,"name":"Subdivision","value":"NW"},{"id":4,"name":"Milepost","value":"1.0714"},{"id":17,"name":"Train ID","value":"1801-19"},{"id":16,"name":"Locomotive ID","value":"4007"},{"id":130,"name":"Impact","value":""},{"id":150,"name":"Time of Event (Mountain Time)","value":"06:24:34"},{"id":151,"name":"Denver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"%USERPROFILE%\AppData\Local\Temp\OnboardLogs"\RTDC4007\*4007*201702191*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"%USERPROFILE%\AppData\Local\Temp\OnboardLogs"\RTDC4007\*4007*201702191* &gt;&gt; 2017-02-19-SliceDisagreementCheck.txt</v>
      </c>
      <c r="AE26" s="157" t="str">
        <f t="shared" si="8"/>
        <v>start /low /b %USERPROFILE%\Documents\GitHub\eaglep3\Utilities\DownloadLogsFromS3.py --loco 4007 --day 2017-02-19</v>
      </c>
      <c r="AF26" s="1"/>
    </row>
    <row r="27" spans="1:32" x14ac:dyDescent="0.25">
      <c r="A27" s="32">
        <v>42785.621018518519</v>
      </c>
      <c r="B27" s="30" t="s">
        <v>285</v>
      </c>
      <c r="C27" s="30" t="s">
        <v>431</v>
      </c>
      <c r="D27" s="30" t="s">
        <v>49</v>
      </c>
      <c r="E27" s="30" t="s">
        <v>188</v>
      </c>
      <c r="F27" s="43">
        <v>0</v>
      </c>
      <c r="G27" s="43">
        <v>44</v>
      </c>
      <c r="H27" s="43">
        <v>717</v>
      </c>
      <c r="I27" s="43">
        <v>680</v>
      </c>
      <c r="J27" s="30" t="s">
        <v>189</v>
      </c>
      <c r="K27" s="43">
        <v>575</v>
      </c>
      <c r="L27" s="143" t="s">
        <v>51</v>
      </c>
      <c r="M27" s="144">
        <f t="shared" si="0"/>
        <v>55.44</v>
      </c>
      <c r="N27" s="145" t="str">
        <f>VLOOKUP(C27,'Trips&amp;Operators'!$C$1:$G$99999,5,FALSE)</f>
        <v>HELVIE ADAM</v>
      </c>
      <c r="O27" s="194" t="s">
        <v>185</v>
      </c>
      <c r="P27" s="146"/>
      <c r="Q27" s="30"/>
      <c r="R27" s="89" t="str">
        <f>VLOOKUP(C27,'Train Runs'!$A$13:$AE$9949,31,0)</f>
        <v>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 &amp; 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</v>
      </c>
      <c r="S27" s="92" t="str">
        <f>VLOOKUP(C27,'Train Runs'!$A$13:$AE$9949,22,0)</f>
        <v>https://d0f6bd738d7f1b3e5a7ca70fe4ff75f0.us-east-1.aws.found.io/app/kibana#/discover/Steve-Slow-Train-Analysis-(2080s-and-2083s)?_g=(refreshInterval:(display:Off,pause:!f,section:0,value:0),time:(from:'2017-02-19T13:39:54-0700',mode:absolute,to:'2017-02-19T15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94" t="str">
        <f t="shared" si="1"/>
        <v>"C:\Program Files (x86)\AstroGrep\AstroGrep.exe" /spath="%USERPROFILE%\AppData\Local\Temp\OnboardLogs" /stypes="*4008*201702192*" /stext=" 21:.+((SYSTEM_STATE.+slice.+state.+changed )|(ment ac)|(multiple cpu faults)|(system.+state.+changed )|(\[timeout)|(PRM\|1\|D)|(kpr)|(kdp)|(\|loc)|(penalty))" /e /r /s</v>
      </c>
      <c r="U27" s="9" t="str">
        <f t="shared" si="2"/>
        <v>4008</v>
      </c>
      <c r="V27" s="32">
        <f t="shared" si="3"/>
        <v>42785.912685185183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{"issue":{"subject":"","project_id":79,"tracker_id":40,"status_id":1,"priority_id":2,"assigned_to_id":23,"start_date":"2017-02-19","description":"","custom_fields":[{"id":1,"name":"Subdivision","value":"NW"},{"id":4,"name":"Milepost","value":"0.0575"},{"id":17,"name":"Train ID","value":"1818-19"},{"id":16,"name":"Locomotive ID","value":"4008"},{"id":130,"name":"Impact","value":""},{"id":150,"name":"Time of Event (Mountain Time)","value":"14:54:16"},{"id":151,"name":"Denver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"%USERPROFILE%\AppData\Local\Temp\OnboardLogs"\RTDC4008\*4008*201702192*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"%USERPROFILE%\AppData\Local\Temp\OnboardLogs"\RTDC4008\*4008*201702192* &gt;&gt; 2017-02-19-SliceDisagreementCheck.txt</v>
      </c>
      <c r="AE27" s="157" t="str">
        <f t="shared" si="8"/>
        <v>start /low /b %USERPROFILE%\Documents\GitHub\eaglep3\Utilities\DownloadLogsFromS3.py --loco 4008 --day 2017-02-19</v>
      </c>
      <c r="AF27" s="1"/>
    </row>
    <row r="28" spans="1:32" x14ac:dyDescent="0.25">
      <c r="A28" s="32">
        <v>42785.816504629627</v>
      </c>
      <c r="B28" s="30" t="s">
        <v>232</v>
      </c>
      <c r="C28" s="30" t="s">
        <v>437</v>
      </c>
      <c r="D28" s="30" t="s">
        <v>49</v>
      </c>
      <c r="E28" s="30" t="s">
        <v>188</v>
      </c>
      <c r="F28" s="43">
        <v>0</v>
      </c>
      <c r="G28" s="43">
        <v>28</v>
      </c>
      <c r="H28" s="43">
        <v>58969</v>
      </c>
      <c r="I28" s="43">
        <v>58978</v>
      </c>
      <c r="J28" s="30" t="s">
        <v>189</v>
      </c>
      <c r="K28" s="43">
        <v>59048</v>
      </c>
      <c r="L28" s="143" t="s">
        <v>50</v>
      </c>
      <c r="M28" s="144">
        <f t="shared" si="0"/>
        <v>36.96</v>
      </c>
      <c r="N28" s="145" t="str">
        <f>VLOOKUP(C28,'Trips&amp;Operators'!$C$1:$G$99999,5,FALSE)</f>
        <v>HELVIE ADAM</v>
      </c>
      <c r="O28" s="194" t="s">
        <v>185</v>
      </c>
      <c r="P28" s="146"/>
      <c r="Q28" s="30"/>
      <c r="R28" s="89" t="str">
        <f>VLOOKUP(C28,'Train Runs'!$A$13:$AE$9949,31,0)</f>
        <v>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 &amp; 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</v>
      </c>
      <c r="S28" s="92" t="str">
        <f>VLOOKUP(C28,'Train Runs'!$A$13:$AE$9949,22,0)</f>
        <v>https://d0f6bd738d7f1b3e5a7ca70fe4ff75f0.us-east-1.aws.found.io/app/kibana#/discover/Steve-Slow-Train-Analysis-(2080s-and-2083s)?_g=(refreshInterval:(display:Off,pause:!f,section:0,value:0),time:(from:'2017-02-19T18:18:15-0700',mode:absolute,to:'2017-02-19T20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94" t="str">
        <f t="shared" si="1"/>
        <v>"C:\Program Files (x86)\AstroGrep\AstroGrep.exe" /spath="%USERPROFILE%\AppData\Local\Temp\OnboardLogs" /stypes="*4007*201702200*" /stext=" 02:.+((SYSTEM_STATE.+slice.+state.+changed )|(ment ac)|(multiple cpu faults)|(system.+state.+changed )|(\[timeout)|(PRM\|1\|D)|(kpr)|(kdp)|(\|loc)|(penalty))" /e /r /s</v>
      </c>
      <c r="U28" s="9" t="str">
        <f t="shared" si="2"/>
        <v>4007</v>
      </c>
      <c r="V28" s="32">
        <f t="shared" si="3"/>
        <v>42786.108171296291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{"issue":{"subject":"","project_id":79,"tracker_id":40,"status_id":1,"priority_id":2,"assigned_to_id":23,"start_date":"2017-02-19","description":"","custom_fields":[{"id":1,"name":"Subdivision","value":"NW"},{"id":4,"name":"Milepost","value":"5.9048"},{"id":17,"name":"Train ID","value":"1827-19"},{"id":16,"name":"Locomotive ID","value":"4007"},{"id":130,"name":"Impact","value":""},{"id":150,"name":"Time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"%USERPROFILE%\AppData\Local\Temp\OnboardLogs"\RTDC4007\*4007*201702200*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"%USERPROFILE%\AppData\Local\Temp\OnboardLogs"\RTDC4007\*4007*201702200* &gt;&gt; 2017-02-19-SliceDisagreementCheck.txt</v>
      </c>
      <c r="AE28" s="157" t="str">
        <f t="shared" si="8"/>
        <v>start /low /b %USERPROFILE%\Documents\GitHub\eaglep3\Utilities\DownloadLogsFromS3.py --loco 4007 --day 2017-02-20</v>
      </c>
      <c r="AF28" s="1"/>
    </row>
    <row r="29" spans="1:32" x14ac:dyDescent="0.25">
      <c r="A29" s="32">
        <v>42785.832245370373</v>
      </c>
      <c r="B29" s="30" t="s">
        <v>438</v>
      </c>
      <c r="C29" s="30" t="s">
        <v>439</v>
      </c>
      <c r="D29" s="30" t="s">
        <v>49</v>
      </c>
      <c r="E29" s="30" t="s">
        <v>197</v>
      </c>
      <c r="F29" s="43">
        <v>370</v>
      </c>
      <c r="G29" s="43">
        <v>493</v>
      </c>
      <c r="H29" s="43">
        <v>61988</v>
      </c>
      <c r="I29" s="43">
        <v>63281</v>
      </c>
      <c r="J29" s="30" t="s">
        <v>198</v>
      </c>
      <c r="K29" s="43">
        <v>63069</v>
      </c>
      <c r="L29" s="143" t="s">
        <v>50</v>
      </c>
      <c r="M29" s="144">
        <f t="shared" si="0"/>
        <v>-111.93600000000001</v>
      </c>
      <c r="N29" s="145" t="str">
        <f>VLOOKUP(C29,'Trips&amp;Operators'!$C$1:$G$99999,5,FALSE)</f>
        <v>YANG JAN</v>
      </c>
      <c r="O29" s="194" t="s">
        <v>185</v>
      </c>
      <c r="P29" s="146"/>
      <c r="Q29" s="30"/>
      <c r="R29" s="89" t="str">
        <f>VLOOKUP(C29,'Train Runs'!$A$13:$AE$9949,31,0)</f>
        <v>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 &amp; aws s3 cp s3://rtdc.mdm.uploadarchive.raw/RTDC4009/ "%USERPROFILE%\AppData\Local\Temp\OnboardLogs"\RTDC4009\2017-02-20 --exclude "*" --recursive --include "*20170220*" &amp; "%USERPROFILE%\Documents\GitHub\mrs-test-scripts\Headless Mode &amp; Sideloading\WalkAndUnGZ.bat" "%USERPROFILE%\AppData\Local\Temp\OnboardLogs"\RTDC4009\2017-02-20</v>
      </c>
      <c r="S29" s="92" t="str">
        <f>VLOOKUP(C29,'Train Runs'!$A$13:$AE$9949,22,0)</f>
        <v>https://d0f6bd738d7f1b3e5a7ca70fe4ff75f0.us-east-1.aws.found.io/app/kibana#/discover/Steve-Slow-Train-Analysis-(2080s-and-2083s)?_g=(refreshInterval:(display:Off,pause:!f,section:0,value:0),time:(from:'2017-02-19T18:31:51-0700',mode:absolute,to:'2017-02-19T21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94" t="str">
        <f t="shared" si="1"/>
        <v>"C:\Program Files (x86)\AstroGrep\AstroGrep.exe" /spath="%USERPROFILE%\AppData\Local\Temp\OnboardLogs" /stypes="*4009*201702200*" /stext=" 02:.+((SYSTEM_STATE.+slice.+state.+changed )|(ment ac)|(multiple cpu faults)|(system.+state.+changed )|(\[timeout)|(PRM\|1\|D)|(kpr)|(kdp)|(\|loc)|(penalty))" /e /r /s</v>
      </c>
      <c r="U29" s="9" t="str">
        <f t="shared" si="2"/>
        <v>4009</v>
      </c>
      <c r="V29" s="32">
        <f t="shared" si="3"/>
        <v>42786.123912037037</v>
      </c>
      <c r="W29" s="46" t="str">
        <f t="shared" si="4"/>
        <v>Other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{"issue":{"subject":"","project_id":79,"tracker_id":40,"status_id":1,"priority_id":2,"assigned_to_id":23,"start_date":"2017-02-19","description":"","custom_fields":[{"id":1,"name":"Subdivision","value":"Other"},{"id":4,"name":"Milepost","value":"6.3069"},{"id":17,"name":"Train ID","value":"61-19"},{"id":16,"name":"Locomotive ID","value":"4009"},{"id":130,"name":"Impact","value":""},{"id":150,"name":"Time of Event (Mountain Time)","value":"19:58:26"},{"id":151,"name":"Denver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"%USERPROFILE%\AppData\Local\Temp\OnboardLogs"\RTDC4009\*4009*201702200*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"%USERPROFILE%\AppData\Local\Temp\OnboardLogs"\RTDC4009\*4009*201702200* &gt;&gt; 2017-02-19-SliceDisagreementCheck.txt</v>
      </c>
      <c r="AE29" s="157" t="str">
        <f t="shared" si="8"/>
        <v>start /low /b %USERPROFILE%\Documents\GitHub\eaglep3\Utilities\DownloadLogsFromS3.py --loco 4009 --day 2017-02-20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</sheetData>
  <autoFilter ref="A6:AC48">
    <sortState ref="A7:AC48">
      <sortCondition ref="A6:A48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57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9"/>
  <sheetViews>
    <sheetView workbookViewId="0">
      <selection activeCell="E4" sqref="E4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7" t="str">
        <f>"Trips that did not appear in PTC Data "&amp;TEXT(Variables!$A$2,"YYYY-mm-dd")</f>
        <v>Trips that did not appear in PTC Data 2017-02-19</v>
      </c>
      <c r="C1" s="197"/>
      <c r="D1" s="197"/>
      <c r="E1" s="197"/>
      <c r="F1" s="197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s="20" customFormat="1" x14ac:dyDescent="0.25">
      <c r="A3" s="186">
        <v>159</v>
      </c>
      <c r="B3" s="43" t="str">
        <f>A3&amp;"-"&amp;IF(DAY(Variables!$A$2)&lt;10,0,"")&amp;DAY(Variables!$A$2)</f>
        <v>159-19</v>
      </c>
      <c r="C3" s="147"/>
      <c r="D3" s="165"/>
      <c r="E3" s="30" t="s">
        <v>849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22159-19%22)),sort:!(Time.ISO8601,asc))</v>
      </c>
      <c r="J3" s="30" t="e">
        <f>VLOOKUP(B3,'Train Runs'!$A$13:$A$99946,1,FALSE)</f>
        <v>#N/A</v>
      </c>
    </row>
    <row r="4" spans="1:10" x14ac:dyDescent="0.25">
      <c r="A4" s="186">
        <v>160</v>
      </c>
      <c r="B4" s="43" t="str">
        <f>A4&amp;"-"&amp;IF(DAY(Variables!$A$2)&lt;10,0,"")&amp;DAY(Variables!$A$2)</f>
        <v>160-19</v>
      </c>
      <c r="C4" s="147"/>
      <c r="D4" s="165"/>
      <c r="E4" s="30" t="s">
        <v>849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22160-19%22)),sort:!(Time.ISO8601,asc))</v>
      </c>
      <c r="J4" s="30" t="e">
        <f>VLOOKUP(B4,'Train Runs'!$A$13:$A$99946,1,FALSE)</f>
        <v>#N/A</v>
      </c>
    </row>
    <row r="5" spans="1:10" x14ac:dyDescent="0.25">
      <c r="A5" s="186"/>
      <c r="B5" s="43" t="str">
        <f>A5&amp;"-"&amp;IF(DAY(Variables!$A$2)&lt;10,0,"")&amp;DAY(Variables!$A$2)</f>
        <v>-19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Runs'!$A$13:$A$99946,1,FALSE)</f>
        <v>#N/A</v>
      </c>
    </row>
    <row r="6" spans="1:10" x14ac:dyDescent="0.25">
      <c r="A6" s="186"/>
      <c r="B6" s="43" t="str">
        <f>A6&amp;"-"&amp;IF(DAY(Variables!$A$2)&lt;10,0,"")&amp;DAY(Variables!$A$2)</f>
        <v>-19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Runs'!$A$13:$A$99946,1,FALSE)</f>
        <v>#N/A</v>
      </c>
    </row>
    <row r="7" spans="1:10" x14ac:dyDescent="0.25">
      <c r="A7" s="186"/>
      <c r="B7" s="43" t="str">
        <f>A7&amp;"-"&amp;IF(DAY(Variables!$A$2)&lt;10,0,"")&amp;DAY(Variables!$A$2)</f>
        <v>-19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Runs'!$A$13:$A$99946,1,FALSE)</f>
        <v>#N/A</v>
      </c>
    </row>
    <row r="8" spans="1:10" x14ac:dyDescent="0.25">
      <c r="A8" s="186"/>
      <c r="B8" s="43" t="str">
        <f>A8&amp;"-"&amp;IF(DAY(Variables!$A$2)&lt;10,0,"")&amp;DAY(Variables!$A$2)</f>
        <v>-19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Runs'!$A$13:$A$99946,1,FALSE)</f>
        <v>#N/A</v>
      </c>
    </row>
    <row r="9" spans="1:10" x14ac:dyDescent="0.25">
      <c r="A9" s="186"/>
      <c r="B9" s="43" t="str">
        <f>A9&amp;"-"&amp;IF(DAY(Variables!$A$2)&lt;10,0,"")&amp;DAY(Variables!$A$2)</f>
        <v>-19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Runs'!$A$13:$A$99946,1,FALSE)</f>
        <v>#N/A</v>
      </c>
    </row>
    <row r="10" spans="1:10" x14ac:dyDescent="0.25">
      <c r="A10" s="186"/>
      <c r="B10" s="43" t="str">
        <f>A10&amp;"-"&amp;IF(DAY(Variables!$A$2)&lt;10,0,"")&amp;DAY(Variables!$A$2)</f>
        <v>-19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Runs'!$A$13:$A$99946,1,FALSE)</f>
        <v>#N/A</v>
      </c>
    </row>
    <row r="11" spans="1:10" x14ac:dyDescent="0.25">
      <c r="A11" s="186"/>
      <c r="B11" s="43" t="str">
        <f>A11&amp;"-"&amp;IF(DAY(Variables!$A$2)&lt;10,0,"")&amp;DAY(Variables!$A$2)</f>
        <v>-19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Runs'!$A$13:$A$99946,1,FALSE)</f>
        <v>#N/A</v>
      </c>
    </row>
    <row r="12" spans="1:10" x14ac:dyDescent="0.25">
      <c r="A12" s="186"/>
      <c r="B12" s="43" t="str">
        <f>A12&amp;"-"&amp;IF(DAY(Variables!$A$2)&lt;10,0,"")&amp;DAY(Variables!$A$2)</f>
        <v>-19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Runs'!$A$13:$A$99946,1,FALSE)</f>
        <v>#N/A</v>
      </c>
    </row>
    <row r="13" spans="1:10" x14ac:dyDescent="0.25">
      <c r="A13" s="186"/>
      <c r="B13" s="43" t="str">
        <f>A13&amp;"-"&amp;IF(DAY(Variables!$A$2)&lt;10,0,"")&amp;DAY(Variables!$A$2)</f>
        <v>-19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Runs'!$A$13:$A$99946,1,FALSE)</f>
        <v>#N/A</v>
      </c>
    </row>
    <row r="14" spans="1:10" x14ac:dyDescent="0.25">
      <c r="A14" s="186"/>
      <c r="B14" s="43" t="str">
        <f>A14&amp;"-"&amp;IF(DAY(Variables!$A$2)&lt;10,0,"")&amp;DAY(Variables!$A$2)</f>
        <v>-19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Runs'!$A$13:$A$99946,1,FALSE)</f>
        <v>#N/A</v>
      </c>
    </row>
    <row r="15" spans="1:10" x14ac:dyDescent="0.25">
      <c r="A15" s="186"/>
      <c r="B15" s="43" t="str">
        <f>A15&amp;"-"&amp;IF(DAY(Variables!$A$2)&lt;10,0,"")&amp;DAY(Variables!$A$2)</f>
        <v>-19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Runs'!$A$13:$A$99946,1,FALSE)</f>
        <v>#N/A</v>
      </c>
    </row>
    <row r="16" spans="1:10" x14ac:dyDescent="0.25">
      <c r="A16" s="186"/>
      <c r="B16" s="43" t="str">
        <f>A16&amp;"-"&amp;IF(DAY(Variables!$A$2)&lt;10,0,"")&amp;DAY(Variables!$A$2)</f>
        <v>-19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Runs'!$A$13:$A$99946,1,FALSE)</f>
        <v>#N/A</v>
      </c>
    </row>
    <row r="17" spans="1:10" x14ac:dyDescent="0.25">
      <c r="A17" s="186"/>
      <c r="B17" s="43" t="str">
        <f>A17&amp;"-"&amp;IF(DAY(Variables!$A$2)&lt;10,0,"")&amp;DAY(Variables!$A$2)</f>
        <v>-19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Runs'!$A$13:$A$99946,1,FALSE)</f>
        <v>#N/A</v>
      </c>
    </row>
    <row r="18" spans="1:10" x14ac:dyDescent="0.25">
      <c r="A18" s="186"/>
      <c r="B18" s="43" t="str">
        <f>A18&amp;"-"&amp;IF(DAY(Variables!$A$2)&lt;10,0,"")&amp;DAY(Variables!$A$2)</f>
        <v>-19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Runs'!$A$13:$A$99946,1,FALSE)</f>
        <v>#N/A</v>
      </c>
    </row>
    <row r="19" spans="1:10" x14ac:dyDescent="0.25">
      <c r="A19" s="186"/>
      <c r="B19" s="43" t="str">
        <f>A19&amp;"-"&amp;IF(DAY(Variables!$A$2)&lt;10,0,"")&amp;DAY(Variables!$A$2)</f>
        <v>-19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Runs'!$A$13:$A$99946,1,FALSE)</f>
        <v>#N/A</v>
      </c>
    </row>
    <row r="20" spans="1:10" x14ac:dyDescent="0.25">
      <c r="A20" s="186"/>
      <c r="B20" s="43" t="str">
        <f>A20&amp;"-"&amp;IF(DAY(Variables!$A$2)&lt;10,0,"")&amp;DAY(Variables!$A$2)</f>
        <v>-19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Runs'!$A$13:$A$99946,1,FALSE)</f>
        <v>#N/A</v>
      </c>
    </row>
    <row r="21" spans="1:10" x14ac:dyDescent="0.25">
      <c r="A21" s="186"/>
      <c r="B21" s="43" t="str">
        <f>A21&amp;"-"&amp;IF(DAY(Variables!$A$2)&lt;10,0,"")&amp;DAY(Variables!$A$2)</f>
        <v>-19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Runs'!$A$13:$A$99946,1,FALSE)</f>
        <v>#N/A</v>
      </c>
    </row>
    <row r="22" spans="1:10" x14ac:dyDescent="0.25">
      <c r="A22" s="186"/>
      <c r="B22" s="43" t="str">
        <f>A22&amp;"-"&amp;IF(DAY(Variables!$A$2)&lt;10,0,"")&amp;DAY(Variables!$A$2)</f>
        <v>-19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Runs'!$A$13:$A$99946,1,FALSE)</f>
        <v>#N/A</v>
      </c>
    </row>
    <row r="23" spans="1:10" x14ac:dyDescent="0.25">
      <c r="A23" s="186"/>
      <c r="B23" s="43" t="str">
        <f>A23&amp;"-"&amp;IF(DAY(Variables!$A$2)&lt;10,0,"")&amp;DAY(Variables!$A$2)</f>
        <v>-19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Runs'!$A$13:$A$99946,1,FALSE)</f>
        <v>#N/A</v>
      </c>
    </row>
    <row r="24" spans="1:10" x14ac:dyDescent="0.25">
      <c r="A24" s="186"/>
      <c r="B24" s="43" t="str">
        <f>A24&amp;"-"&amp;IF(DAY(Variables!$A$2)&lt;10,0,"")&amp;DAY(Variables!$A$2)</f>
        <v>-19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Runs'!$A$13:$A$99946,1,FALSE)</f>
        <v>#N/A</v>
      </c>
    </row>
    <row r="25" spans="1:10" x14ac:dyDescent="0.25">
      <c r="A25" s="186"/>
      <c r="B25" s="43" t="str">
        <f>A25&amp;"-"&amp;IF(DAY(Variables!$A$2)&lt;10,0,"")&amp;DAY(Variables!$A$2)</f>
        <v>-19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Runs'!$A$13:$A$99946,1,FALSE)</f>
        <v>#N/A</v>
      </c>
    </row>
    <row r="26" spans="1:10" x14ac:dyDescent="0.25">
      <c r="A26" s="186"/>
      <c r="B26" s="43" t="str">
        <f>A26&amp;"-"&amp;IF(DAY(Variables!$A$2)&lt;10,0,"")&amp;DAY(Variables!$A$2)</f>
        <v>-19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Runs'!$A$13:$A$99946,1,FALSE)</f>
        <v>#N/A</v>
      </c>
    </row>
    <row r="27" spans="1:10" x14ac:dyDescent="0.25">
      <c r="A27" s="186"/>
      <c r="B27" s="43" t="str">
        <f>A27&amp;"-"&amp;IF(DAY(Variables!$A$2)&lt;10,0,"")&amp;DAY(Variables!$A$2)</f>
        <v>-19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Runs'!$A$13:$A$99946,1,FALSE)</f>
        <v>#N/A</v>
      </c>
    </row>
    <row r="28" spans="1:10" x14ac:dyDescent="0.25">
      <c r="A28" s="186"/>
      <c r="B28" s="43" t="str">
        <f>A28&amp;"-"&amp;IF(DAY(Variables!$A$2)&lt;10,0,"")&amp;DAY(Variables!$A$2)</f>
        <v>-19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Runs'!$A$13:$A$99946,1,FALSE)</f>
        <v>#N/A</v>
      </c>
    </row>
    <row r="29" spans="1:10" x14ac:dyDescent="0.25">
      <c r="A29" s="186"/>
      <c r="B29" s="43" t="str">
        <f>A29&amp;"-"&amp;IF(DAY(Variables!$A$2)&lt;10,0,"")&amp;DAY(Variables!$A$2)</f>
        <v>-19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Runs'!$A$13:$A$99946,1,FALSE)</f>
        <v>#N/A</v>
      </c>
    </row>
    <row r="30" spans="1:10" x14ac:dyDescent="0.25">
      <c r="A30" s="186"/>
      <c r="B30" s="43" t="str">
        <f>A30&amp;"-"&amp;IF(DAY(Variables!$A$2)&lt;10,0,"")&amp;DAY(Variables!$A$2)</f>
        <v>-19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Runs'!$A$13:$A$99946,1,FALSE)</f>
        <v>#N/A</v>
      </c>
    </row>
    <row r="31" spans="1:10" x14ac:dyDescent="0.25">
      <c r="A31" s="186"/>
      <c r="B31" s="43" t="str">
        <f>A31&amp;"-"&amp;IF(DAY(Variables!$A$2)&lt;10,0,"")&amp;DAY(Variables!$A$2)</f>
        <v>-19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Runs'!$A$13:$A$99946,1,FALSE)</f>
        <v>#N/A</v>
      </c>
    </row>
    <row r="32" spans="1:10" x14ac:dyDescent="0.25">
      <c r="A32" s="186"/>
      <c r="B32" s="43" t="str">
        <f>A32&amp;"-"&amp;IF(DAY(Variables!$A$2)&lt;10,0,"")&amp;DAY(Variables!$A$2)</f>
        <v>-19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0" t="e">
        <f>VLOOKUP(B32,'Train Runs'!$A$13:$A$99946,1,FALSE)</f>
        <v>#N/A</v>
      </c>
    </row>
    <row r="33" spans="1:10" x14ac:dyDescent="0.25">
      <c r="A33" s="186"/>
      <c r="B33" s="43" t="str">
        <f>A33&amp;"-"&amp;IF(DAY(Variables!$A$2)&lt;10,0,"")&amp;DAY(Variables!$A$2)</f>
        <v>-19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0" t="e">
        <f>VLOOKUP(B33,'Train Runs'!$A$13:$A$99946,1,FALSE)</f>
        <v>#N/A</v>
      </c>
    </row>
    <row r="34" spans="1:10" x14ac:dyDescent="0.25">
      <c r="A34" s="186"/>
      <c r="B34" s="43" t="str">
        <f>A34&amp;"-"&amp;IF(DAY(Variables!$A$2)&lt;10,0,"")&amp;DAY(Variables!$A$2)</f>
        <v>-19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ref="I34:I6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0" t="e">
        <f>VLOOKUP(B34,'Train Runs'!$A$13:$A$99946,1,FALSE)</f>
        <v>#N/A</v>
      </c>
    </row>
    <row r="35" spans="1:10" x14ac:dyDescent="0.25">
      <c r="A35" s="186"/>
      <c r="B35" s="43" t="str">
        <f>A35&amp;"-"&amp;IF(DAY(Variables!$A$2)&lt;10,0,"")&amp;DAY(Variables!$A$2)</f>
        <v>-19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0" t="e">
        <f>VLOOKUP(B35,'Train Runs'!$A$13:$A$99946,1,FALSE)</f>
        <v>#N/A</v>
      </c>
    </row>
    <row r="36" spans="1:10" x14ac:dyDescent="0.25">
      <c r="A36" s="186"/>
      <c r="B36" s="43" t="str">
        <f>A36&amp;"-"&amp;IF(DAY(Variables!$A$2)&lt;10,0,"")&amp;DAY(Variables!$A$2)</f>
        <v>-19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0" t="e">
        <f>VLOOKUP(B36,'Train Runs'!$A$13:$A$99946,1,FALSE)</f>
        <v>#N/A</v>
      </c>
    </row>
    <row r="37" spans="1:10" x14ac:dyDescent="0.25">
      <c r="A37" s="186"/>
      <c r="B37" s="43" t="str">
        <f>A37&amp;"-"&amp;IF(DAY(Variables!$A$2)&lt;10,0,"")&amp;DAY(Variables!$A$2)</f>
        <v>-19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0" t="e">
        <f>VLOOKUP(B37,'Train Runs'!$A$13:$A$99946,1,FALSE)</f>
        <v>#N/A</v>
      </c>
    </row>
    <row r="38" spans="1:10" x14ac:dyDescent="0.25">
      <c r="A38" s="186"/>
      <c r="B38" s="43" t="str">
        <f>A38&amp;"-"&amp;IF(DAY(Variables!$A$2)&lt;10,0,"")&amp;DAY(Variables!$A$2)</f>
        <v>-19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0" t="e">
        <f>VLOOKUP(B38,'Train Runs'!$A$13:$A$99946,1,FALSE)</f>
        <v>#N/A</v>
      </c>
    </row>
    <row r="39" spans="1:10" x14ac:dyDescent="0.25">
      <c r="A39" s="186"/>
      <c r="B39" s="43" t="str">
        <f>A39&amp;"-"&amp;IF(DAY(Variables!$A$2)&lt;10,0,"")&amp;DAY(Variables!$A$2)</f>
        <v>-19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0" t="e">
        <f>VLOOKUP(B39,'Train Runs'!$A$13:$A$99946,1,FALSE)</f>
        <v>#N/A</v>
      </c>
    </row>
    <row r="40" spans="1:10" x14ac:dyDescent="0.25">
      <c r="A40" s="186"/>
      <c r="B40" s="43" t="str">
        <f>A40&amp;"-"&amp;IF(DAY(Variables!$A$2)&lt;10,0,"")&amp;DAY(Variables!$A$2)</f>
        <v>-19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0" t="e">
        <f>VLOOKUP(B40,'Train Runs'!$A$13:$A$99946,1,FALSE)</f>
        <v>#N/A</v>
      </c>
    </row>
    <row r="41" spans="1:10" x14ac:dyDescent="0.25">
      <c r="A41" s="186"/>
      <c r="B41" s="43" t="str">
        <f>A41&amp;"-"&amp;IF(DAY(Variables!$A$2)&lt;10,0,"")&amp;DAY(Variables!$A$2)</f>
        <v>-19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0" t="e">
        <f>VLOOKUP(B41,'Train Runs'!$A$13:$A$99946,1,FALSE)</f>
        <v>#N/A</v>
      </c>
    </row>
    <row r="42" spans="1:10" x14ac:dyDescent="0.25">
      <c r="A42" s="186"/>
      <c r="B42" s="43" t="str">
        <f>A42&amp;"-"&amp;IF(DAY(Variables!$A$2)&lt;10,0,"")&amp;DAY(Variables!$A$2)</f>
        <v>-19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0" t="e">
        <f>VLOOKUP(B42,'Train Runs'!$A$13:$A$99946,1,FALSE)</f>
        <v>#N/A</v>
      </c>
    </row>
    <row r="43" spans="1:10" x14ac:dyDescent="0.25">
      <c r="A43" s="186"/>
      <c r="B43" s="43" t="str">
        <f>A43&amp;"-"&amp;IF(DAY(Variables!$A$2)&lt;10,0,"")&amp;DAY(Variables!$A$2)</f>
        <v>-19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0" t="e">
        <f>VLOOKUP(B43,'Train Runs'!$A$13:$A$99946,1,FALSE)</f>
        <v>#N/A</v>
      </c>
    </row>
    <row r="44" spans="1:10" x14ac:dyDescent="0.25">
      <c r="A44" s="186"/>
      <c r="B44" s="43" t="str">
        <f>A44&amp;"-"&amp;IF(DAY(Variables!$A$2)&lt;10,0,"")&amp;DAY(Variables!$A$2)</f>
        <v>-19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0" t="e">
        <f>VLOOKUP(B44,'Train Runs'!$A$13:$A$99946,1,FALSE)</f>
        <v>#N/A</v>
      </c>
    </row>
    <row r="45" spans="1:10" x14ac:dyDescent="0.25">
      <c r="A45" s="186"/>
      <c r="B45" s="43" t="str">
        <f>A45&amp;"-"&amp;IF(DAY(Variables!$A$2)&lt;10,0,"")&amp;DAY(Variables!$A$2)</f>
        <v>-19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0" t="e">
        <f>VLOOKUP(B45,'Train Runs'!$A$13:$A$99946,1,FALSE)</f>
        <v>#N/A</v>
      </c>
    </row>
    <row r="46" spans="1:10" x14ac:dyDescent="0.25">
      <c r="A46" s="186"/>
      <c r="B46" s="43" t="str">
        <f>A46&amp;"-"&amp;IF(DAY(Variables!$A$2)&lt;10,0,"")&amp;DAY(Variables!$A$2)</f>
        <v>-19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0" t="e">
        <f>VLOOKUP(B46,'Train Runs'!$A$13:$A$99946,1,FALSE)</f>
        <v>#N/A</v>
      </c>
    </row>
    <row r="47" spans="1:10" x14ac:dyDescent="0.25">
      <c r="A47" s="186"/>
      <c r="B47" s="43" t="str">
        <f>A47&amp;"-"&amp;IF(DAY(Variables!$A$2)&lt;10,0,"")&amp;DAY(Variables!$A$2)</f>
        <v>-19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0" t="e">
        <f>VLOOKUP(B47,'Train Runs'!$A$13:$A$99946,1,FALSE)</f>
        <v>#N/A</v>
      </c>
    </row>
    <row r="48" spans="1:10" x14ac:dyDescent="0.25">
      <c r="A48" s="186"/>
      <c r="B48" s="43" t="str">
        <f>A48&amp;"-"&amp;IF(DAY(Variables!$A$2)&lt;10,0,"")&amp;DAY(Variables!$A$2)</f>
        <v>-19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0" t="e">
        <f>VLOOKUP(B48,'Train Runs'!$A$13:$A$99946,1,FALSE)</f>
        <v>#N/A</v>
      </c>
    </row>
    <row r="49" spans="1:10" x14ac:dyDescent="0.25">
      <c r="A49" s="186"/>
      <c r="B49" s="43" t="str">
        <f>A49&amp;"-"&amp;IF(DAY(Variables!$A$2)&lt;10,0,"")&amp;DAY(Variables!$A$2)</f>
        <v>-19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0" t="e">
        <f>VLOOKUP(B49,'Train Runs'!$A$13:$A$99946,1,FALSE)</f>
        <v>#N/A</v>
      </c>
    </row>
    <row r="50" spans="1:10" x14ac:dyDescent="0.25">
      <c r="A50" s="186"/>
      <c r="B50" s="43" t="str">
        <f>A50&amp;"-"&amp;IF(DAY(Variables!$A$2)&lt;10,0,"")&amp;DAY(Variables!$A$2)</f>
        <v>-19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0" t="e">
        <f>VLOOKUP(B50,'Train Runs'!$A$13:$A$99946,1,FALSE)</f>
        <v>#N/A</v>
      </c>
    </row>
    <row r="51" spans="1:10" x14ac:dyDescent="0.25">
      <c r="A51" s="186"/>
      <c r="B51" s="43" t="str">
        <f>A51&amp;"-"&amp;IF(DAY(Variables!$A$2)&lt;10,0,"")&amp;DAY(Variables!$A$2)</f>
        <v>-19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0" t="e">
        <f>VLOOKUP(B51,'Train Runs'!$A$13:$A$99946,1,FALSE)</f>
        <v>#N/A</v>
      </c>
    </row>
    <row r="52" spans="1:10" x14ac:dyDescent="0.25">
      <c r="A52" s="186"/>
      <c r="B52" s="43" t="str">
        <f>A52&amp;"-"&amp;IF(DAY(Variables!$A$2)&lt;10,0,"")&amp;DAY(Variables!$A$2)</f>
        <v>-19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0" t="e">
        <f>VLOOKUP(B52,'Train Runs'!$A$13:$A$99946,1,FALSE)</f>
        <v>#N/A</v>
      </c>
    </row>
    <row r="53" spans="1:10" x14ac:dyDescent="0.25">
      <c r="A53" s="186"/>
      <c r="B53" s="43" t="str">
        <f>A53&amp;"-"&amp;IF(DAY(Variables!$A$2)&lt;10,0,"")&amp;DAY(Variables!$A$2)</f>
        <v>-19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0" t="e">
        <f>VLOOKUP(B53,'Train Runs'!$A$13:$A$99946,1,FALSE)</f>
        <v>#N/A</v>
      </c>
    </row>
    <row r="54" spans="1:10" x14ac:dyDescent="0.25">
      <c r="A54" s="186"/>
      <c r="B54" s="43" t="str">
        <f>A54&amp;"-"&amp;IF(DAY(Variables!$A$2)&lt;10,0,"")&amp;DAY(Variables!$A$2)</f>
        <v>-19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0" t="e">
        <f>VLOOKUP(B54,'Train Runs'!$A$13:$A$99946,1,FALSE)</f>
        <v>#N/A</v>
      </c>
    </row>
    <row r="55" spans="1:10" x14ac:dyDescent="0.25">
      <c r="A55" s="186"/>
      <c r="B55" s="43" t="str">
        <f>A55&amp;"-"&amp;IF(DAY(Variables!$A$2)&lt;10,0,"")&amp;DAY(Variables!$A$2)</f>
        <v>-19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0" t="e">
        <f>VLOOKUP(B55,'Train Runs'!$A$13:$A$99946,1,FALSE)</f>
        <v>#N/A</v>
      </c>
    </row>
    <row r="56" spans="1:10" x14ac:dyDescent="0.25">
      <c r="A56" s="186"/>
      <c r="B56" s="43" t="str">
        <f>A56&amp;"-"&amp;IF(DAY(Variables!$A$2)&lt;10,0,"")&amp;DAY(Variables!$A$2)</f>
        <v>-19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0" t="e">
        <f>VLOOKUP(B56,'Train Runs'!$A$13:$A$99946,1,FALSE)</f>
        <v>#N/A</v>
      </c>
    </row>
    <row r="57" spans="1:10" x14ac:dyDescent="0.25">
      <c r="A57" s="186"/>
      <c r="B57" s="43" t="str">
        <f>A57&amp;"-"&amp;IF(DAY(Variables!$A$2)&lt;10,0,"")&amp;DAY(Variables!$A$2)</f>
        <v>-19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0" t="e">
        <f>VLOOKUP(B57,'Train Runs'!$A$13:$A$99946,1,FALSE)</f>
        <v>#N/A</v>
      </c>
    </row>
    <row r="58" spans="1:10" x14ac:dyDescent="0.25">
      <c r="A58" s="186"/>
      <c r="B58" s="43" t="str">
        <f>A58&amp;"-"&amp;IF(DAY(Variables!$A$2)&lt;10,0,"")&amp;DAY(Variables!$A$2)</f>
        <v>-19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0" t="e">
        <f>VLOOKUP(B58,'Train Runs'!$A$13:$A$99946,1,FALSE)</f>
        <v>#N/A</v>
      </c>
    </row>
    <row r="59" spans="1:10" x14ac:dyDescent="0.25">
      <c r="A59" s="186"/>
      <c r="B59" s="43" t="str">
        <f>A59&amp;"-"&amp;IF(DAY(Variables!$A$2)&lt;10,0,"")&amp;DAY(Variables!$A$2)</f>
        <v>-19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0" t="e">
        <f>VLOOKUP(B59,'Train Runs'!$A$13:$A$99946,1,FALSE)</f>
        <v>#N/A</v>
      </c>
    </row>
    <row r="60" spans="1:10" x14ac:dyDescent="0.25">
      <c r="A60" s="186"/>
      <c r="B60" s="43" t="str">
        <f>A60&amp;"-"&amp;IF(DAY(Variables!$A$2)&lt;10,0,"")&amp;DAY(Variables!$A$2)</f>
        <v>-19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0" t="e">
        <f>VLOOKUP(B60,'Train Runs'!$A$13:$A$99946,1,FALSE)</f>
        <v>#N/A</v>
      </c>
    </row>
    <row r="61" spans="1:10" x14ac:dyDescent="0.25">
      <c r="A61" s="186"/>
      <c r="B61" s="43" t="str">
        <f>A61&amp;"-"&amp;IF(DAY(Variables!$A$2)&lt;10,0,"")&amp;DAY(Variables!$A$2)</f>
        <v>-19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0" t="e">
        <f>VLOOKUP(B61,'Train Runs'!$A$13:$A$99946,1,FALSE)</f>
        <v>#N/A</v>
      </c>
    </row>
    <row r="62" spans="1:10" x14ac:dyDescent="0.25">
      <c r="A62" s="186"/>
      <c r="B62" s="43" t="str">
        <f>A62&amp;"-"&amp;IF(DAY(Variables!$A$2)&lt;10,0,"")&amp;DAY(Variables!$A$2)</f>
        <v>-19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0" t="e">
        <f>VLOOKUP(B62,'Train Runs'!$A$13:$A$99946,1,FALSE)</f>
        <v>#N/A</v>
      </c>
    </row>
    <row r="63" spans="1:10" x14ac:dyDescent="0.25">
      <c r="A63" s="186"/>
      <c r="B63" s="43" t="str">
        <f>A63&amp;"-"&amp;IF(DAY(Variables!$A$2)&lt;10,0,"")&amp;DAY(Variables!$A$2)</f>
        <v>-19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0" t="e">
        <f>VLOOKUP(B63,'Train Runs'!$A$13:$A$99946,1,FALSE)</f>
        <v>#N/A</v>
      </c>
    </row>
    <row r="64" spans="1:10" x14ac:dyDescent="0.25">
      <c r="A64" s="186"/>
      <c r="B64" s="43" t="str">
        <f>A64&amp;"-"&amp;IF(DAY(Variables!$A$2)&lt;10,0,"")&amp;DAY(Variables!$A$2)</f>
        <v>-19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0" t="e">
        <f>VLOOKUP(B64,'Train Runs'!$A$13:$A$99946,1,FALSE)</f>
        <v>#N/A</v>
      </c>
    </row>
    <row r="65" spans="1:10" x14ac:dyDescent="0.25">
      <c r="A65" s="186"/>
      <c r="B65" s="43" t="str">
        <f>A65&amp;"-"&amp;IF(DAY(Variables!$A$2)&lt;10,0,"")&amp;DAY(Variables!$A$2)</f>
        <v>-19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0" t="e">
        <f>VLOOKUP(B65,'Train Runs'!$A$13:$A$99946,1,FALSE)</f>
        <v>#N/A</v>
      </c>
    </row>
    <row r="66" spans="1:10" x14ac:dyDescent="0.25">
      <c r="A66" s="186"/>
      <c r="B66" s="43" t="str">
        <f>A66&amp;"-"&amp;IF(DAY(Variables!$A$2)&lt;10,0,"")&amp;DAY(Variables!$A$2)</f>
        <v>-19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ref="I66:I9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6" s="30" t="e">
        <f>VLOOKUP(B66,'Train Runs'!$A$13:$A$99946,1,FALSE)</f>
        <v>#N/A</v>
      </c>
    </row>
    <row r="67" spans="1:10" x14ac:dyDescent="0.25">
      <c r="A67" s="186"/>
      <c r="B67" s="43" t="str">
        <f>A67&amp;"-"&amp;IF(DAY(Variables!$A$2)&lt;10,0,"")&amp;DAY(Variables!$A$2)</f>
        <v>-19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7" s="30" t="e">
        <f>VLOOKUP(B67,'Train Runs'!$A$13:$A$99946,1,FALSE)</f>
        <v>#N/A</v>
      </c>
    </row>
    <row r="68" spans="1:10" x14ac:dyDescent="0.25">
      <c r="A68" s="186"/>
      <c r="B68" s="43" t="str">
        <f>A68&amp;"-"&amp;IF(DAY(Variables!$A$2)&lt;10,0,"")&amp;DAY(Variables!$A$2)</f>
        <v>-19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8" s="30" t="e">
        <f>VLOOKUP(B68,'Train Runs'!$A$13:$A$99946,1,FALSE)</f>
        <v>#N/A</v>
      </c>
    </row>
    <row r="69" spans="1:10" x14ac:dyDescent="0.25">
      <c r="A69" s="186"/>
      <c r="B69" s="43" t="str">
        <f>A69&amp;"-"&amp;IF(DAY(Variables!$A$2)&lt;10,0,"")&amp;DAY(Variables!$A$2)</f>
        <v>-19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9" s="30" t="e">
        <f>VLOOKUP(B69,'Train Runs'!$A$13:$A$99946,1,FALSE)</f>
        <v>#N/A</v>
      </c>
    </row>
    <row r="70" spans="1:10" x14ac:dyDescent="0.25">
      <c r="A70" s="186"/>
      <c r="B70" s="43" t="str">
        <f>A70&amp;"-"&amp;IF(DAY(Variables!$A$2)&lt;10,0,"")&amp;DAY(Variables!$A$2)</f>
        <v>-19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0" s="30" t="e">
        <f>VLOOKUP(B70,'Train Runs'!$A$13:$A$99946,1,FALSE)</f>
        <v>#N/A</v>
      </c>
    </row>
    <row r="71" spans="1:10" x14ac:dyDescent="0.25">
      <c r="A71" s="186"/>
      <c r="B71" s="43" t="str">
        <f>A71&amp;"-"&amp;IF(DAY(Variables!$A$2)&lt;10,0,"")&amp;DAY(Variables!$A$2)</f>
        <v>-19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1" s="30" t="e">
        <f>VLOOKUP(B71,'Train Runs'!$A$13:$A$99946,1,FALSE)</f>
        <v>#N/A</v>
      </c>
    </row>
    <row r="72" spans="1:10" x14ac:dyDescent="0.25">
      <c r="A72" s="186"/>
      <c r="B72" s="43" t="str">
        <f>A72&amp;"-"&amp;IF(DAY(Variables!$A$2)&lt;10,0,"")&amp;DAY(Variables!$A$2)</f>
        <v>-19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2" s="30" t="e">
        <f>VLOOKUP(B72,'Train Runs'!$A$13:$A$99946,1,FALSE)</f>
        <v>#N/A</v>
      </c>
    </row>
    <row r="73" spans="1:10" x14ac:dyDescent="0.25">
      <c r="A73" s="186"/>
      <c r="B73" s="43" t="str">
        <f>A73&amp;"-"&amp;IF(DAY(Variables!$A$2)&lt;10,0,"")&amp;DAY(Variables!$A$2)</f>
        <v>-19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3" s="30" t="e">
        <f>VLOOKUP(B73,'Train Runs'!$A$13:$A$99946,1,FALSE)</f>
        <v>#N/A</v>
      </c>
    </row>
    <row r="74" spans="1:10" x14ac:dyDescent="0.25">
      <c r="A74" s="186"/>
      <c r="B74" s="43" t="str">
        <f>A74&amp;"-"&amp;IF(DAY(Variables!$A$2)&lt;10,0,"")&amp;DAY(Variables!$A$2)</f>
        <v>-19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4" s="30" t="e">
        <f>VLOOKUP(B74,'Train Runs'!$A$13:$A$99946,1,FALSE)</f>
        <v>#N/A</v>
      </c>
    </row>
    <row r="75" spans="1:10" x14ac:dyDescent="0.25">
      <c r="A75" s="186"/>
      <c r="B75" s="43" t="str">
        <f>A75&amp;"-"&amp;IF(DAY(Variables!$A$2)&lt;10,0,"")&amp;DAY(Variables!$A$2)</f>
        <v>-19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5" s="30" t="e">
        <f>VLOOKUP(B75,'Train Runs'!$A$13:$A$99946,1,FALSE)</f>
        <v>#N/A</v>
      </c>
    </row>
    <row r="76" spans="1:10" x14ac:dyDescent="0.25">
      <c r="A76" s="186"/>
      <c r="B76" s="43" t="str">
        <f>A76&amp;"-"&amp;IF(DAY(Variables!$A$2)&lt;10,0,"")&amp;DAY(Variables!$A$2)</f>
        <v>-19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6" s="30" t="e">
        <f>VLOOKUP(B76,'Train Runs'!$A$13:$A$99946,1,FALSE)</f>
        <v>#N/A</v>
      </c>
    </row>
    <row r="77" spans="1:10" x14ac:dyDescent="0.25">
      <c r="A77" s="186"/>
      <c r="B77" s="43" t="str">
        <f>A77&amp;"-"&amp;IF(DAY(Variables!$A$2)&lt;10,0,"")&amp;DAY(Variables!$A$2)</f>
        <v>-19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7" s="30" t="e">
        <f>VLOOKUP(B77,'Train Runs'!$A$13:$A$99946,1,FALSE)</f>
        <v>#N/A</v>
      </c>
    </row>
    <row r="78" spans="1:10" x14ac:dyDescent="0.25">
      <c r="A78" s="186"/>
      <c r="B78" s="43" t="str">
        <f>A78&amp;"-"&amp;IF(DAY(Variables!$A$2)&lt;10,0,"")&amp;DAY(Variables!$A$2)</f>
        <v>-19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8" s="30" t="e">
        <f>VLOOKUP(B78,'Train Runs'!$A$13:$A$99946,1,FALSE)</f>
        <v>#N/A</v>
      </c>
    </row>
    <row r="79" spans="1:10" x14ac:dyDescent="0.25">
      <c r="A79" s="186"/>
      <c r="B79" s="43" t="str">
        <f>A79&amp;"-"&amp;IF(DAY(Variables!$A$2)&lt;10,0,"")&amp;DAY(Variables!$A$2)</f>
        <v>-19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9" s="30" t="e">
        <f>VLOOKUP(B79,'Train Runs'!$A$13:$A$99946,1,FALSE)</f>
        <v>#N/A</v>
      </c>
    </row>
    <row r="80" spans="1:10" x14ac:dyDescent="0.25">
      <c r="A80" s="186"/>
      <c r="B80" s="43" t="str">
        <f>A80&amp;"-"&amp;IF(DAY(Variables!$A$2)&lt;10,0,"")&amp;DAY(Variables!$A$2)</f>
        <v>-19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0" s="30" t="e">
        <f>VLOOKUP(B80,'Train Runs'!$A$13:$A$99946,1,FALSE)</f>
        <v>#N/A</v>
      </c>
    </row>
    <row r="81" spans="1:10" x14ac:dyDescent="0.25">
      <c r="A81" s="186"/>
      <c r="B81" s="43" t="str">
        <f>A81&amp;"-"&amp;IF(DAY(Variables!$A$2)&lt;10,0,"")&amp;DAY(Variables!$A$2)</f>
        <v>-19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1" s="30" t="e">
        <f>VLOOKUP(B81,'Train Runs'!$A$13:$A$99946,1,FALSE)</f>
        <v>#N/A</v>
      </c>
    </row>
    <row r="82" spans="1:10" x14ac:dyDescent="0.25">
      <c r="A82" s="186"/>
      <c r="B82" s="43" t="str">
        <f>A82&amp;"-"&amp;IF(DAY(Variables!$A$2)&lt;10,0,"")&amp;DAY(Variables!$A$2)</f>
        <v>-19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2" s="30" t="e">
        <f>VLOOKUP(B82,'Train Runs'!$A$13:$A$99946,1,FALSE)</f>
        <v>#N/A</v>
      </c>
    </row>
    <row r="83" spans="1:10" x14ac:dyDescent="0.25">
      <c r="A83" s="186"/>
      <c r="B83" s="43" t="str">
        <f>A83&amp;"-"&amp;IF(DAY(Variables!$A$2)&lt;10,0,"")&amp;DAY(Variables!$A$2)</f>
        <v>-19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3" s="30" t="e">
        <f>VLOOKUP(B83,'Train Runs'!$A$13:$A$99946,1,FALSE)</f>
        <v>#N/A</v>
      </c>
    </row>
    <row r="84" spans="1:10" x14ac:dyDescent="0.25">
      <c r="A84" s="186"/>
      <c r="B84" s="43" t="str">
        <f>A84&amp;"-"&amp;IF(DAY(Variables!$A$2)&lt;10,0,"")&amp;DAY(Variables!$A$2)</f>
        <v>-19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4" s="30" t="e">
        <f>VLOOKUP(B84,'Train Runs'!$A$13:$A$99946,1,FALSE)</f>
        <v>#N/A</v>
      </c>
    </row>
    <row r="85" spans="1:10" x14ac:dyDescent="0.25">
      <c r="A85" s="186"/>
      <c r="B85" s="43" t="str">
        <f>A85&amp;"-"&amp;IF(DAY(Variables!$A$2)&lt;10,0,"")&amp;DAY(Variables!$A$2)</f>
        <v>-19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5" s="30" t="e">
        <f>VLOOKUP(B85,'Train Runs'!$A$13:$A$99946,1,FALSE)</f>
        <v>#N/A</v>
      </c>
    </row>
    <row r="86" spans="1:10" x14ac:dyDescent="0.25">
      <c r="A86" s="186"/>
      <c r="B86" s="43" t="str">
        <f>A86&amp;"-"&amp;IF(DAY(Variables!$A$2)&lt;10,0,"")&amp;DAY(Variables!$A$2)</f>
        <v>-19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6" s="30" t="e">
        <f>VLOOKUP(B86,'Train Runs'!$A$13:$A$99946,1,FALSE)</f>
        <v>#N/A</v>
      </c>
    </row>
    <row r="87" spans="1:10" x14ac:dyDescent="0.25">
      <c r="A87" s="186"/>
      <c r="B87" s="43" t="str">
        <f>A87&amp;"-"&amp;IF(DAY(Variables!$A$2)&lt;10,0,"")&amp;DAY(Variables!$A$2)</f>
        <v>-19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7" s="30" t="e">
        <f>VLOOKUP(B87,'Train Runs'!$A$13:$A$99946,1,FALSE)</f>
        <v>#N/A</v>
      </c>
    </row>
    <row r="88" spans="1:10" x14ac:dyDescent="0.25">
      <c r="A88" s="186"/>
      <c r="B88" s="43" t="str">
        <f>A88&amp;"-"&amp;IF(DAY(Variables!$A$2)&lt;10,0,"")&amp;DAY(Variables!$A$2)</f>
        <v>-19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8" s="30" t="e">
        <f>VLOOKUP(B88,'Train Runs'!$A$13:$A$99946,1,FALSE)</f>
        <v>#N/A</v>
      </c>
    </row>
    <row r="89" spans="1:10" x14ac:dyDescent="0.25">
      <c r="A89" s="186"/>
      <c r="B89" s="43" t="str">
        <f>A89&amp;"-"&amp;IF(DAY(Variables!$A$2)&lt;10,0,"")&amp;DAY(Variables!$A$2)</f>
        <v>-19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9" s="30" t="e">
        <f>VLOOKUP(B89,'Train Runs'!$A$13:$A$99946,1,FALSE)</f>
        <v>#N/A</v>
      </c>
    </row>
    <row r="90" spans="1:10" x14ac:dyDescent="0.25">
      <c r="A90" s="186"/>
      <c r="B90" s="43" t="str">
        <f>A90&amp;"-"&amp;IF(DAY(Variables!$A$2)&lt;10,0,"")&amp;DAY(Variables!$A$2)</f>
        <v>-19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0" s="30" t="e">
        <f>VLOOKUP(B90,'Train Runs'!$A$13:$A$99946,1,FALSE)</f>
        <v>#N/A</v>
      </c>
    </row>
    <row r="91" spans="1:10" x14ac:dyDescent="0.25">
      <c r="A91" s="186"/>
      <c r="B91" s="43" t="str">
        <f>A91&amp;"-"&amp;IF(DAY(Variables!$A$2)&lt;10,0,"")&amp;DAY(Variables!$A$2)</f>
        <v>-19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1" s="30" t="e">
        <f>VLOOKUP(B91,'Train Runs'!$A$13:$A$99946,1,FALSE)</f>
        <v>#N/A</v>
      </c>
    </row>
    <row r="92" spans="1:10" x14ac:dyDescent="0.25">
      <c r="A92" s="186"/>
      <c r="B92" s="43" t="str">
        <f>A92&amp;"-"&amp;IF(DAY(Variables!$A$2)&lt;10,0,"")&amp;DAY(Variables!$A$2)</f>
        <v>-19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2" s="30" t="e">
        <f>VLOOKUP(B92,'Train Runs'!$A$13:$A$99946,1,FALSE)</f>
        <v>#N/A</v>
      </c>
    </row>
    <row r="93" spans="1:10" x14ac:dyDescent="0.25">
      <c r="A93" s="186"/>
      <c r="B93" s="43" t="str">
        <f>A93&amp;"-"&amp;IF(DAY(Variables!$A$2)&lt;10,0,"")&amp;DAY(Variables!$A$2)</f>
        <v>-19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3" s="30" t="e">
        <f>VLOOKUP(B93,'Train Runs'!$A$13:$A$99946,1,FALSE)</f>
        <v>#N/A</v>
      </c>
    </row>
    <row r="94" spans="1:10" x14ac:dyDescent="0.25">
      <c r="A94" s="186"/>
      <c r="B94" s="43" t="str">
        <f>A94&amp;"-"&amp;IF(DAY(Variables!$A$2)&lt;10,0,"")&amp;DAY(Variables!$A$2)</f>
        <v>-19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4" s="30" t="e">
        <f>VLOOKUP(B94,'Train Runs'!$A$13:$A$99946,1,FALSE)</f>
        <v>#N/A</v>
      </c>
    </row>
    <row r="95" spans="1:10" x14ac:dyDescent="0.25">
      <c r="A95" s="186"/>
      <c r="B95" s="43" t="str">
        <f>A95&amp;"-"&amp;IF(DAY(Variables!$A$2)&lt;10,0,"")&amp;DAY(Variables!$A$2)</f>
        <v>-19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5" s="30" t="e">
        <f>VLOOKUP(B95,'Train Runs'!$A$13:$A$99946,1,FALSE)</f>
        <v>#N/A</v>
      </c>
    </row>
    <row r="96" spans="1:10" x14ac:dyDescent="0.25">
      <c r="A96" s="186"/>
      <c r="B96" s="43" t="str">
        <f>A96&amp;"-"&amp;IF(DAY(Variables!$A$2)&lt;10,0,"")&amp;DAY(Variables!$A$2)</f>
        <v>-19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6" s="30" t="e">
        <f>VLOOKUP(B96,'Train Runs'!$A$13:$A$99946,1,FALSE)</f>
        <v>#N/A</v>
      </c>
    </row>
    <row r="97" spans="1:10" x14ac:dyDescent="0.25">
      <c r="A97" s="186"/>
      <c r="B97" s="43" t="str">
        <f>A97&amp;"-"&amp;IF(DAY(Variables!$A$2)&lt;10,0,"")&amp;DAY(Variables!$A$2)</f>
        <v>-19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7" s="30" t="e">
        <f>VLOOKUP(B97,'Train Runs'!$A$13:$A$99946,1,FALSE)</f>
        <v>#N/A</v>
      </c>
    </row>
    <row r="98" spans="1:10" x14ac:dyDescent="0.25">
      <c r="A98" s="186"/>
      <c r="B98" s="43" t="str">
        <f>A98&amp;"-"&amp;IF(DAY(Variables!$A$2)&lt;10,0,"")&amp;DAY(Variables!$A$2)</f>
        <v>-19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ref="I98:I11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8" s="30" t="e">
        <f>VLOOKUP(B98,'Train Runs'!$A$13:$A$99946,1,FALSE)</f>
        <v>#N/A</v>
      </c>
    </row>
    <row r="99" spans="1:10" x14ac:dyDescent="0.25">
      <c r="A99" s="186"/>
      <c r="B99" s="43" t="str">
        <f>A99&amp;"-"&amp;IF(DAY(Variables!$A$2)&lt;10,0,"")&amp;DAY(Variables!$A$2)</f>
        <v>-19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9" s="30" t="e">
        <f>VLOOKUP(B99,'Train Runs'!$A$13:$A$99946,1,FALSE)</f>
        <v>#N/A</v>
      </c>
    </row>
    <row r="100" spans="1:10" x14ac:dyDescent="0.25">
      <c r="A100" s="186"/>
      <c r="B100" s="43" t="str">
        <f>A100&amp;"-"&amp;IF(DAY(Variables!$A$2)&lt;10,0,"")&amp;DAY(Variables!$A$2)</f>
        <v>-19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0" s="30" t="e">
        <f>VLOOKUP(B100,'Train Runs'!$A$13:$A$99946,1,FALSE)</f>
        <v>#N/A</v>
      </c>
    </row>
    <row r="101" spans="1:10" x14ac:dyDescent="0.25">
      <c r="A101" s="186"/>
      <c r="B101" s="43" t="str">
        <f>A101&amp;"-"&amp;IF(DAY(Variables!$A$2)&lt;10,0,"")&amp;DAY(Variables!$A$2)</f>
        <v>-19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1" s="30" t="e">
        <f>VLOOKUP(B101,'Train Runs'!$A$13:$A$99946,1,FALSE)</f>
        <v>#N/A</v>
      </c>
    </row>
    <row r="102" spans="1:10" x14ac:dyDescent="0.25">
      <c r="A102" s="186"/>
      <c r="B102" s="43" t="str">
        <f>A102&amp;"-"&amp;IF(DAY(Variables!$A$2)&lt;10,0,"")&amp;DAY(Variables!$A$2)</f>
        <v>-19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2" s="30" t="e">
        <f>VLOOKUP(B102,'Train Runs'!$A$13:$A$99946,1,FALSE)</f>
        <v>#N/A</v>
      </c>
    </row>
    <row r="103" spans="1:10" x14ac:dyDescent="0.25">
      <c r="A103" s="186"/>
      <c r="B103" s="43" t="str">
        <f>A103&amp;"-"&amp;IF(DAY(Variables!$A$2)&lt;10,0,"")&amp;DAY(Variables!$A$2)</f>
        <v>-19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3" s="30" t="e">
        <f>VLOOKUP(B103,'Train Runs'!$A$13:$A$99946,1,FALSE)</f>
        <v>#N/A</v>
      </c>
    </row>
    <row r="104" spans="1:10" x14ac:dyDescent="0.25">
      <c r="A104" s="186"/>
      <c r="B104" s="43" t="str">
        <f>A104&amp;"-"&amp;IF(DAY(Variables!$A$2)&lt;10,0,"")&amp;DAY(Variables!$A$2)</f>
        <v>-19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4" s="30" t="e">
        <f>VLOOKUP(B104,'Train Runs'!$A$13:$A$99946,1,FALSE)</f>
        <v>#N/A</v>
      </c>
    </row>
    <row r="105" spans="1:10" x14ac:dyDescent="0.25">
      <c r="A105" s="186"/>
      <c r="B105" s="43" t="str">
        <f>A105&amp;"-"&amp;IF(DAY(Variables!$A$2)&lt;10,0,"")&amp;DAY(Variables!$A$2)</f>
        <v>-19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5" s="30" t="e">
        <f>VLOOKUP(B105,'Train Runs'!$A$13:$A$99946,1,FALSE)</f>
        <v>#N/A</v>
      </c>
    </row>
    <row r="106" spans="1:10" x14ac:dyDescent="0.25">
      <c r="A106" s="186"/>
      <c r="B106" s="43" t="str">
        <f>A106&amp;"-"&amp;IF(DAY(Variables!$A$2)&lt;10,0,"")&amp;DAY(Variables!$A$2)</f>
        <v>-19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6" s="30" t="e">
        <f>VLOOKUP(B106,'Train Runs'!$A$13:$A$99946,1,FALSE)</f>
        <v>#N/A</v>
      </c>
    </row>
    <row r="107" spans="1:10" x14ac:dyDescent="0.25">
      <c r="A107" s="186"/>
      <c r="B107" s="43" t="str">
        <f>A107&amp;"-"&amp;IF(DAY(Variables!$A$2)&lt;10,0,"")&amp;DAY(Variables!$A$2)</f>
        <v>-19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7" s="30" t="e">
        <f>VLOOKUP(B107,'Train Runs'!$A$13:$A$99946,1,FALSE)</f>
        <v>#N/A</v>
      </c>
    </row>
    <row r="108" spans="1:10" x14ac:dyDescent="0.25">
      <c r="A108" s="186"/>
      <c r="B108" s="43" t="str">
        <f>A108&amp;"-"&amp;IF(DAY(Variables!$A$2)&lt;10,0,"")&amp;DAY(Variables!$A$2)</f>
        <v>-19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8" s="30" t="e">
        <f>VLOOKUP(B108,'Train Runs'!$A$13:$A$99946,1,FALSE)</f>
        <v>#N/A</v>
      </c>
    </row>
    <row r="109" spans="1:10" x14ac:dyDescent="0.25">
      <c r="A109" s="186"/>
      <c r="B109" s="43" t="str">
        <f>A109&amp;"-"&amp;IF(DAY(Variables!$A$2)&lt;10,0,"")&amp;DAY(Variables!$A$2)</f>
        <v>-19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9" s="30" t="e">
        <f>VLOOKUP(B109,'Train Runs'!$A$13:$A$99946,1,FALSE)</f>
        <v>#N/A</v>
      </c>
    </row>
    <row r="110" spans="1:10" x14ac:dyDescent="0.25">
      <c r="A110" s="186"/>
      <c r="B110" s="43" t="str">
        <f>A110&amp;"-"&amp;IF(DAY(Variables!$A$2)&lt;10,0,"")&amp;DAY(Variables!$A$2)</f>
        <v>-19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0" s="30" t="e">
        <f>VLOOKUP(B110,'Train Runs'!$A$13:$A$99946,1,FALSE)</f>
        <v>#N/A</v>
      </c>
    </row>
    <row r="111" spans="1:10" x14ac:dyDescent="0.25">
      <c r="A111" s="186"/>
      <c r="B111" s="43" t="str">
        <f>A111&amp;"-"&amp;IF(DAY(Variables!$A$2)&lt;10,0,"")&amp;DAY(Variables!$A$2)</f>
        <v>-19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1" s="30" t="e">
        <f>VLOOKUP(B111,'Train Runs'!$A$13:$A$99946,1,FALSE)</f>
        <v>#N/A</v>
      </c>
    </row>
    <row r="112" spans="1:10" x14ac:dyDescent="0.25">
      <c r="A112" s="186"/>
      <c r="B112" s="43" t="str">
        <f>A112&amp;"-"&amp;IF(DAY(Variables!$A$2)&lt;10,0,"")&amp;DAY(Variables!$A$2)</f>
        <v>-19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2" s="30" t="e">
        <f>VLOOKUP(B112,'Train Runs'!$A$13:$A$99946,1,FALSE)</f>
        <v>#N/A</v>
      </c>
    </row>
    <row r="113" spans="1:10" x14ac:dyDescent="0.25">
      <c r="A113" s="186"/>
      <c r="B113" s="43" t="str">
        <f>A113&amp;"-"&amp;IF(DAY(Variables!$A$2)&lt;10,0,"")&amp;DAY(Variables!$A$2)</f>
        <v>-19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3" s="30" t="e">
        <f>VLOOKUP(B113,'Train Runs'!$A$13:$A$99946,1,FALSE)</f>
        <v>#N/A</v>
      </c>
    </row>
    <row r="114" spans="1:10" x14ac:dyDescent="0.25">
      <c r="A114" s="186"/>
      <c r="B114" s="43" t="str">
        <f>A114&amp;"-"&amp;IF(DAY(Variables!$A$2)&lt;10,0,"")&amp;DAY(Variables!$A$2)</f>
        <v>-19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4" s="30" t="e">
        <f>VLOOKUP(B114,'Train Runs'!$A$13:$A$99946,1,FALSE)</f>
        <v>#N/A</v>
      </c>
    </row>
    <row r="115" spans="1:10" x14ac:dyDescent="0.25">
      <c r="A115" s="186"/>
      <c r="B115" s="43" t="str">
        <f>A115&amp;"-"&amp;IF(DAY(Variables!$A$2)&lt;10,0,"")&amp;DAY(Variables!$A$2)</f>
        <v>-19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5" s="30" t="e">
        <f>VLOOKUP(B115,'Train Runs'!$A$13:$A$99946,1,FALSE)</f>
        <v>#N/A</v>
      </c>
    </row>
    <row r="116" spans="1:10" x14ac:dyDescent="0.25">
      <c r="A116" s="186"/>
      <c r="B116" s="43" t="str">
        <f>A116&amp;"-"&amp;IF(DAY(Variables!$A$2)&lt;10,0,"")&amp;DAY(Variables!$A$2)</f>
        <v>-19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6" s="30" t="e">
        <f>VLOOKUP(B116,'Train Runs'!$A$13:$A$99946,1,FALSE)</f>
        <v>#N/A</v>
      </c>
    </row>
    <row r="117" spans="1:10" x14ac:dyDescent="0.25">
      <c r="A117" s="186"/>
      <c r="B117" s="43" t="str">
        <f>A117&amp;"-"&amp;IF(DAY(Variables!$A$2)&lt;10,0,"")&amp;DAY(Variables!$A$2)</f>
        <v>-19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7" s="30" t="e">
        <f>VLOOKUP(B117,'Train Runs'!$A$13:$A$99946,1,FALSE)</f>
        <v>#N/A</v>
      </c>
    </row>
    <row r="118" spans="1:10" x14ac:dyDescent="0.25">
      <c r="A118" s="186"/>
      <c r="B118" s="43" t="str">
        <f>A118&amp;"-"&amp;IF(DAY(Variables!$A$2)&lt;10,0,"")&amp;DAY(Variables!$A$2)</f>
        <v>-19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8" s="30" t="e">
        <f>VLOOKUP(B118,'Train Runs'!$A$13:$A$99946,1,FALSE)</f>
        <v>#N/A</v>
      </c>
    </row>
    <row r="119" spans="1:10" x14ac:dyDescent="0.25">
      <c r="A119" s="186"/>
      <c r="B119" s="43" t="str">
        <f>A119&amp;"-"&amp;IF(DAY(Variables!$A$2)&lt;10,0,"")&amp;DAY(Variables!$A$2)</f>
        <v>-19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9" s="30" t="e">
        <f>VLOOKUP(B119,'Train Runs'!$A$13:$A$99946,1,FALSE)</f>
        <v>#N/A</v>
      </c>
    </row>
  </sheetData>
  <autoFilter ref="A2:J11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42785.032222222224</v>
      </c>
      <c r="B2" s="20" t="s">
        <v>192</v>
      </c>
      <c r="C2" s="20" t="s">
        <v>444</v>
      </c>
      <c r="D2" s="150">
        <v>2680000</v>
      </c>
      <c r="E2" s="20" t="s">
        <v>445</v>
      </c>
      <c r="F2" s="20" t="s">
        <v>446</v>
      </c>
      <c r="G2" s="8" t="str">
        <f>E2&amp;" "&amp;F2</f>
        <v>DUNCAN SHEILA</v>
      </c>
    </row>
    <row r="3" spans="1:7" x14ac:dyDescent="0.25">
      <c r="A3" s="8">
        <v>42785.04892361111</v>
      </c>
      <c r="B3" s="20" t="s">
        <v>447</v>
      </c>
      <c r="C3" s="20" t="s">
        <v>448</v>
      </c>
      <c r="D3" s="150">
        <v>2230000</v>
      </c>
      <c r="E3" s="20" t="s">
        <v>373</v>
      </c>
      <c r="F3" s="20" t="s">
        <v>202</v>
      </c>
      <c r="G3" s="8" t="str">
        <f t="shared" ref="G3:G66" si="0">E3&amp;" "&amp;F3</f>
        <v>SMITH MICHAEL</v>
      </c>
    </row>
    <row r="4" spans="1:7" x14ac:dyDescent="0.25">
      <c r="A4" s="8">
        <v>42785.053391203706</v>
      </c>
      <c r="B4" s="20" t="s">
        <v>287</v>
      </c>
      <c r="C4" s="20" t="s">
        <v>449</v>
      </c>
      <c r="D4" s="150">
        <v>2610000</v>
      </c>
      <c r="E4" s="20" t="s">
        <v>450</v>
      </c>
      <c r="F4" s="20" t="s">
        <v>451</v>
      </c>
      <c r="G4" s="8" t="str">
        <f t="shared" si="0"/>
        <v>MAGEE KENYA</v>
      </c>
    </row>
    <row r="5" spans="1:7" x14ac:dyDescent="0.25">
      <c r="A5" s="8">
        <v>42785.066759259258</v>
      </c>
      <c r="B5" s="20" t="s">
        <v>226</v>
      </c>
      <c r="C5" s="20" t="s">
        <v>452</v>
      </c>
      <c r="D5" s="150">
        <v>2000000</v>
      </c>
      <c r="E5" s="20" t="s">
        <v>453</v>
      </c>
      <c r="F5" s="20" t="s">
        <v>199</v>
      </c>
      <c r="G5" s="8" t="str">
        <f t="shared" si="0"/>
        <v>STAMBAUGH JAMES</v>
      </c>
    </row>
    <row r="6" spans="1:7" x14ac:dyDescent="0.25">
      <c r="A6" s="8">
        <v>42785.077615740738</v>
      </c>
      <c r="B6" s="20" t="s">
        <v>288</v>
      </c>
      <c r="C6" s="20" t="s">
        <v>454</v>
      </c>
      <c r="D6" s="150">
        <v>2680000</v>
      </c>
      <c r="E6" s="20" t="s">
        <v>445</v>
      </c>
      <c r="F6" s="20" t="s">
        <v>446</v>
      </c>
      <c r="G6" s="8" t="str">
        <f t="shared" si="0"/>
        <v>DUNCAN SHEILA</v>
      </c>
    </row>
    <row r="7" spans="1:7" x14ac:dyDescent="0.25">
      <c r="A7" s="8">
        <v>42785.088761574072</v>
      </c>
      <c r="B7" s="20" t="s">
        <v>286</v>
      </c>
      <c r="C7" s="20" t="s">
        <v>247</v>
      </c>
      <c r="D7" s="150">
        <v>2610000</v>
      </c>
      <c r="E7" s="20" t="s">
        <v>450</v>
      </c>
      <c r="F7" s="20" t="s">
        <v>451</v>
      </c>
      <c r="G7" s="8" t="str">
        <f t="shared" si="0"/>
        <v>MAGEE KENYA</v>
      </c>
    </row>
    <row r="8" spans="1:7" x14ac:dyDescent="0.25">
      <c r="A8" s="8">
        <v>42785.110277777778</v>
      </c>
      <c r="B8" s="20" t="s">
        <v>192</v>
      </c>
      <c r="C8" s="20" t="s">
        <v>248</v>
      </c>
      <c r="D8" s="150">
        <v>2680000</v>
      </c>
      <c r="E8" s="20" t="s">
        <v>445</v>
      </c>
      <c r="F8" s="20" t="s">
        <v>446</v>
      </c>
      <c r="G8" s="8" t="str">
        <f t="shared" si="0"/>
        <v>DUNCAN SHEILA</v>
      </c>
    </row>
    <row r="9" spans="1:7" ht="15.75" thickBot="1" x14ac:dyDescent="0.3">
      <c r="A9" s="24">
        <v>42785.111863425926</v>
      </c>
      <c r="B9" s="20" t="s">
        <v>192</v>
      </c>
      <c r="C9" s="20" t="s">
        <v>248</v>
      </c>
      <c r="D9" s="150">
        <v>2680000</v>
      </c>
      <c r="E9" s="20" t="s">
        <v>445</v>
      </c>
      <c r="F9" s="20" t="s">
        <v>446</v>
      </c>
      <c r="G9" s="8" t="str">
        <f t="shared" si="0"/>
        <v>DUNCAN SHEILA</v>
      </c>
    </row>
    <row r="10" spans="1:7" x14ac:dyDescent="0.25">
      <c r="A10" s="8">
        <v>42785.120868055557</v>
      </c>
      <c r="B10" s="20" t="s">
        <v>225</v>
      </c>
      <c r="C10" s="20" t="s">
        <v>455</v>
      </c>
      <c r="D10" s="150">
        <v>2150000</v>
      </c>
      <c r="E10" s="20" t="s">
        <v>456</v>
      </c>
      <c r="F10" s="20" t="s">
        <v>457</v>
      </c>
      <c r="G10" s="8" t="str">
        <f t="shared" si="0"/>
        <v>SWANSON BRYCE</v>
      </c>
    </row>
    <row r="11" spans="1:7" x14ac:dyDescent="0.25">
      <c r="A11" s="8">
        <v>42785.129629629628</v>
      </c>
      <c r="B11" s="20" t="s">
        <v>254</v>
      </c>
      <c r="C11" s="20" t="s">
        <v>458</v>
      </c>
      <c r="D11" s="150">
        <v>2150000</v>
      </c>
      <c r="E11" s="20" t="s">
        <v>456</v>
      </c>
      <c r="F11" s="20" t="s">
        <v>457</v>
      </c>
      <c r="G11" s="8" t="str">
        <f t="shared" si="0"/>
        <v>SWANSON BRYCE</v>
      </c>
    </row>
    <row r="12" spans="1:7" x14ac:dyDescent="0.25">
      <c r="A12" s="8">
        <v>42785.149108796293</v>
      </c>
      <c r="B12" s="20" t="s">
        <v>459</v>
      </c>
      <c r="C12" s="20" t="s">
        <v>460</v>
      </c>
      <c r="D12" s="150">
        <v>2260000</v>
      </c>
      <c r="E12" s="20" t="s">
        <v>374</v>
      </c>
      <c r="F12" s="20" t="s">
        <v>375</v>
      </c>
      <c r="G12" s="8" t="str">
        <f t="shared" si="0"/>
        <v>ARVIDSON DANIEL</v>
      </c>
    </row>
    <row r="13" spans="1:7" x14ac:dyDescent="0.25">
      <c r="A13" s="8">
        <v>42785.15011574074</v>
      </c>
      <c r="B13" s="20" t="s">
        <v>459</v>
      </c>
      <c r="C13" s="20" t="s">
        <v>460</v>
      </c>
      <c r="D13" s="150">
        <v>2260000</v>
      </c>
      <c r="E13" s="20" t="s">
        <v>374</v>
      </c>
      <c r="F13" s="20" t="s">
        <v>375</v>
      </c>
      <c r="G13" s="8" t="str">
        <f t="shared" si="0"/>
        <v>ARVIDSON DANIEL</v>
      </c>
    </row>
    <row r="14" spans="1:7" x14ac:dyDescent="0.25">
      <c r="A14" s="8">
        <v>42785.159490740742</v>
      </c>
      <c r="B14" s="20" t="s">
        <v>277</v>
      </c>
      <c r="C14" s="20" t="s">
        <v>461</v>
      </c>
      <c r="D14" s="150">
        <v>2260000</v>
      </c>
      <c r="E14" s="20" t="s">
        <v>374</v>
      </c>
      <c r="F14" s="20" t="s">
        <v>375</v>
      </c>
      <c r="G14" s="8" t="str">
        <f t="shared" si="0"/>
        <v>ARVIDSON DANIEL</v>
      </c>
    </row>
    <row r="15" spans="1:7" x14ac:dyDescent="0.25">
      <c r="A15" s="8">
        <v>42785.159803240742</v>
      </c>
      <c r="B15" s="20" t="s">
        <v>371</v>
      </c>
      <c r="C15" s="20" t="s">
        <v>462</v>
      </c>
      <c r="D15" s="150">
        <v>2550000</v>
      </c>
      <c r="E15" s="20" t="s">
        <v>319</v>
      </c>
      <c r="F15" s="20" t="s">
        <v>320</v>
      </c>
      <c r="G15" s="8" t="str">
        <f t="shared" si="0"/>
        <v>BADERTSCHER DIANE</v>
      </c>
    </row>
    <row r="16" spans="1:7" x14ac:dyDescent="0.25">
      <c r="A16" s="8">
        <v>42785.169259259259</v>
      </c>
      <c r="B16" s="20" t="s">
        <v>225</v>
      </c>
      <c r="C16" s="20" t="s">
        <v>463</v>
      </c>
      <c r="D16" s="150">
        <v>2150000</v>
      </c>
      <c r="E16" s="20" t="s">
        <v>456</v>
      </c>
      <c r="F16" s="20" t="s">
        <v>457</v>
      </c>
      <c r="G16" s="8" t="str">
        <f t="shared" si="0"/>
        <v>SWANSON BRYCE</v>
      </c>
    </row>
    <row r="17" spans="1:7" x14ac:dyDescent="0.25">
      <c r="A17" s="8">
        <v>42785.169745370367</v>
      </c>
      <c r="B17" s="20" t="s">
        <v>235</v>
      </c>
      <c r="C17" s="20" t="s">
        <v>464</v>
      </c>
      <c r="D17" s="150">
        <v>2550000</v>
      </c>
      <c r="E17" s="20" t="s">
        <v>319</v>
      </c>
      <c r="F17" s="20" t="s">
        <v>320</v>
      </c>
      <c r="G17" s="8" t="str">
        <f t="shared" si="0"/>
        <v>BADERTSCHER DIANE</v>
      </c>
    </row>
    <row r="18" spans="1:7" x14ac:dyDescent="0.25">
      <c r="A18" s="8">
        <v>42785.174293981479</v>
      </c>
      <c r="B18" s="20" t="s">
        <v>365</v>
      </c>
      <c r="C18" s="20" t="s">
        <v>465</v>
      </c>
      <c r="D18" s="150">
        <v>2090000</v>
      </c>
      <c r="E18" s="20" t="s">
        <v>466</v>
      </c>
      <c r="F18" s="20" t="s">
        <v>202</v>
      </c>
      <c r="G18" s="8" t="str">
        <f t="shared" si="0"/>
        <v>HAITHCOX MICHAEL</v>
      </c>
    </row>
    <row r="19" spans="1:7" x14ac:dyDescent="0.25">
      <c r="A19" s="8">
        <v>42785.18105324074</v>
      </c>
      <c r="B19" s="20" t="s">
        <v>272</v>
      </c>
      <c r="C19" s="20" t="s">
        <v>467</v>
      </c>
      <c r="D19" s="150">
        <v>2140000</v>
      </c>
      <c r="E19" s="20" t="s">
        <v>368</v>
      </c>
      <c r="F19" s="20" t="s">
        <v>369</v>
      </c>
      <c r="G19" s="8" t="str">
        <f t="shared" si="0"/>
        <v>ROBINSON KADDIBA</v>
      </c>
    </row>
    <row r="20" spans="1:7" x14ac:dyDescent="0.25">
      <c r="A20" s="8">
        <v>42785.183217592596</v>
      </c>
      <c r="B20" s="20" t="s">
        <v>367</v>
      </c>
      <c r="C20" s="20" t="s">
        <v>468</v>
      </c>
      <c r="D20" s="150">
        <v>2090000</v>
      </c>
      <c r="E20" s="20" t="s">
        <v>466</v>
      </c>
      <c r="F20" s="20" t="s">
        <v>202</v>
      </c>
      <c r="G20" s="8" t="str">
        <f t="shared" si="0"/>
        <v>HAITHCOX MICHAEL</v>
      </c>
    </row>
    <row r="21" spans="1:7" x14ac:dyDescent="0.25">
      <c r="A21" s="8">
        <v>42785.194282407407</v>
      </c>
      <c r="B21" s="20" t="s">
        <v>459</v>
      </c>
      <c r="C21" s="20" t="s">
        <v>469</v>
      </c>
      <c r="D21" s="150">
        <v>2260000</v>
      </c>
      <c r="E21" s="20" t="s">
        <v>374</v>
      </c>
      <c r="F21" s="20" t="s">
        <v>375</v>
      </c>
      <c r="G21" s="8" t="str">
        <f t="shared" si="0"/>
        <v>ARVIDSON DANIEL</v>
      </c>
    </row>
    <row r="22" spans="1:7" x14ac:dyDescent="0.25">
      <c r="A22" s="26">
        <v>42785.195902777778</v>
      </c>
      <c r="B22" s="20" t="s">
        <v>271</v>
      </c>
      <c r="C22" s="20" t="s">
        <v>470</v>
      </c>
      <c r="D22" s="150">
        <v>2140000</v>
      </c>
      <c r="E22" s="20" t="s">
        <v>368</v>
      </c>
      <c r="F22" s="20" t="s">
        <v>369</v>
      </c>
      <c r="G22" s="8" t="str">
        <f t="shared" si="0"/>
        <v>ROBINSON KADDIBA</v>
      </c>
    </row>
    <row r="23" spans="1:7" x14ac:dyDescent="0.25">
      <c r="A23" s="8">
        <v>42785.205046296294</v>
      </c>
      <c r="B23" s="20" t="s">
        <v>254</v>
      </c>
      <c r="C23" s="20" t="s">
        <v>471</v>
      </c>
      <c r="D23" s="150">
        <v>1100000</v>
      </c>
      <c r="E23" s="20" t="s">
        <v>321</v>
      </c>
      <c r="F23" s="20" t="s">
        <v>322</v>
      </c>
      <c r="G23" s="8" t="str">
        <f t="shared" si="0"/>
        <v>GEBRETEKLE DAGNEW</v>
      </c>
    </row>
    <row r="24" spans="1:7" x14ac:dyDescent="0.25">
      <c r="A24" s="8">
        <v>42785.20585648148</v>
      </c>
      <c r="B24" s="20" t="s">
        <v>263</v>
      </c>
      <c r="C24" s="20" t="s">
        <v>472</v>
      </c>
      <c r="D24" s="150">
        <v>2150000</v>
      </c>
      <c r="E24" s="20" t="s">
        <v>456</v>
      </c>
      <c r="F24" s="20" t="s">
        <v>457</v>
      </c>
      <c r="G24" s="8" t="str">
        <f t="shared" si="0"/>
        <v>SWANSON BRYCE</v>
      </c>
    </row>
    <row r="25" spans="1:7" x14ac:dyDescent="0.25">
      <c r="A25" s="8">
        <v>42785.207118055558</v>
      </c>
      <c r="B25" s="20" t="s">
        <v>371</v>
      </c>
      <c r="C25" s="20" t="s">
        <v>473</v>
      </c>
      <c r="D25" s="150">
        <v>2550000</v>
      </c>
      <c r="E25" s="20" t="s">
        <v>319</v>
      </c>
      <c r="F25" s="20" t="s">
        <v>320</v>
      </c>
      <c r="G25" s="8" t="str">
        <f t="shared" si="0"/>
        <v>BADERTSCHER DIANE</v>
      </c>
    </row>
    <row r="26" spans="1:7" x14ac:dyDescent="0.25">
      <c r="A26" s="8">
        <v>42785.222731481481</v>
      </c>
      <c r="B26" s="20" t="s">
        <v>365</v>
      </c>
      <c r="C26" s="20" t="s">
        <v>474</v>
      </c>
      <c r="D26" s="150">
        <v>2090000</v>
      </c>
      <c r="E26" s="20" t="s">
        <v>466</v>
      </c>
      <c r="F26" s="20" t="s">
        <v>202</v>
      </c>
      <c r="G26" s="8" t="str">
        <f t="shared" si="0"/>
        <v>HAITHCOX MICHAEL</v>
      </c>
    </row>
    <row r="27" spans="1:7" x14ac:dyDescent="0.25">
      <c r="A27" s="8">
        <v>42785.227905092594</v>
      </c>
      <c r="B27" s="20" t="s">
        <v>232</v>
      </c>
      <c r="C27" s="20" t="s">
        <v>475</v>
      </c>
      <c r="D27" s="150">
        <v>1830000</v>
      </c>
      <c r="E27" s="20" t="s">
        <v>290</v>
      </c>
      <c r="F27" s="20" t="s">
        <v>291</v>
      </c>
      <c r="G27" s="8" t="str">
        <f t="shared" si="0"/>
        <v>YORK EDGAR</v>
      </c>
    </row>
    <row r="28" spans="1:7" x14ac:dyDescent="0.25">
      <c r="A28" s="8">
        <v>42785.229247685187</v>
      </c>
      <c r="B28" s="20" t="s">
        <v>277</v>
      </c>
      <c r="C28" s="20" t="s">
        <v>476</v>
      </c>
      <c r="D28" s="150">
        <v>2020000</v>
      </c>
      <c r="E28" s="20" t="s">
        <v>370</v>
      </c>
      <c r="F28" s="20" t="s">
        <v>289</v>
      </c>
      <c r="G28" s="8" t="str">
        <f t="shared" si="0"/>
        <v>SHOOK JOHN</v>
      </c>
    </row>
    <row r="29" spans="1:7" x14ac:dyDescent="0.25">
      <c r="A29" s="8">
        <v>42785.234594907408</v>
      </c>
      <c r="B29" s="20" t="s">
        <v>272</v>
      </c>
      <c r="C29" s="20" t="s">
        <v>477</v>
      </c>
      <c r="D29" s="150">
        <v>2140000</v>
      </c>
      <c r="E29" s="20" t="s">
        <v>368</v>
      </c>
      <c r="F29" s="20" t="s">
        <v>369</v>
      </c>
      <c r="G29" s="8" t="str">
        <f t="shared" si="0"/>
        <v>ROBINSON KADDIBA</v>
      </c>
    </row>
    <row r="30" spans="1:7" x14ac:dyDescent="0.25">
      <c r="A30" s="8">
        <v>42785.234780092593</v>
      </c>
      <c r="B30" s="20" t="s">
        <v>255</v>
      </c>
      <c r="C30" s="20" t="s">
        <v>478</v>
      </c>
      <c r="D30" s="150">
        <v>1100000</v>
      </c>
      <c r="E30" s="20" t="s">
        <v>321</v>
      </c>
      <c r="F30" s="20" t="s">
        <v>322</v>
      </c>
      <c r="G30" s="8" t="str">
        <f t="shared" si="0"/>
        <v>GEBRETEKLE DAGNEW</v>
      </c>
    </row>
    <row r="31" spans="1:7" x14ac:dyDescent="0.25">
      <c r="A31" s="8">
        <v>42785.23537037037</v>
      </c>
      <c r="B31" s="20" t="s">
        <v>285</v>
      </c>
      <c r="C31" s="20" t="s">
        <v>479</v>
      </c>
      <c r="D31" s="150">
        <v>1830000</v>
      </c>
      <c r="E31" s="20" t="s">
        <v>290</v>
      </c>
      <c r="F31" s="20" t="s">
        <v>291</v>
      </c>
      <c r="G31" s="8" t="str">
        <f t="shared" si="0"/>
        <v>YORK EDGAR</v>
      </c>
    </row>
    <row r="32" spans="1:7" x14ac:dyDescent="0.25">
      <c r="A32" s="8">
        <v>42785.238657407404</v>
      </c>
      <c r="B32" s="20" t="s">
        <v>376</v>
      </c>
      <c r="C32" s="20" t="s">
        <v>480</v>
      </c>
      <c r="D32" s="150">
        <v>2260000</v>
      </c>
      <c r="E32" s="20" t="s">
        <v>374</v>
      </c>
      <c r="F32" s="20" t="s">
        <v>375</v>
      </c>
      <c r="G32" s="8" t="str">
        <f t="shared" si="0"/>
        <v>ARVIDSON DANIEL</v>
      </c>
    </row>
    <row r="33" spans="1:7" x14ac:dyDescent="0.25">
      <c r="A33" s="8">
        <v>42785.247418981482</v>
      </c>
      <c r="B33" s="20" t="s">
        <v>225</v>
      </c>
      <c r="C33" s="20" t="s">
        <v>481</v>
      </c>
      <c r="D33" s="150">
        <v>2150000</v>
      </c>
      <c r="E33" s="20" t="s">
        <v>456</v>
      </c>
      <c r="F33" s="20" t="s">
        <v>457</v>
      </c>
      <c r="G33" s="8" t="str">
        <f t="shared" si="0"/>
        <v>SWANSON BRYCE</v>
      </c>
    </row>
    <row r="34" spans="1:7" x14ac:dyDescent="0.25">
      <c r="A34" s="8">
        <v>42785.247870370367</v>
      </c>
      <c r="B34" s="20" t="s">
        <v>232</v>
      </c>
      <c r="C34" s="20" t="s">
        <v>417</v>
      </c>
      <c r="D34" s="150">
        <v>1830000</v>
      </c>
      <c r="E34" s="20" t="s">
        <v>290</v>
      </c>
      <c r="F34" s="20" t="s">
        <v>291</v>
      </c>
      <c r="G34" s="8" t="str">
        <f t="shared" si="0"/>
        <v>YORK EDGAR</v>
      </c>
    </row>
    <row r="35" spans="1:7" x14ac:dyDescent="0.25">
      <c r="A35" s="8">
        <v>42785.248645833337</v>
      </c>
      <c r="B35" s="20" t="s">
        <v>235</v>
      </c>
      <c r="C35" s="20" t="s">
        <v>482</v>
      </c>
      <c r="D35" s="150">
        <v>2550000</v>
      </c>
      <c r="E35" s="20" t="s">
        <v>319</v>
      </c>
      <c r="F35" s="20" t="s">
        <v>320</v>
      </c>
      <c r="G35" s="8" t="str">
        <f t="shared" si="0"/>
        <v>BADERTSCHER DIANE</v>
      </c>
    </row>
    <row r="36" spans="1:7" x14ac:dyDescent="0.25">
      <c r="A36" s="8">
        <v>42785.255972222221</v>
      </c>
      <c r="B36" s="20" t="s">
        <v>367</v>
      </c>
      <c r="C36" s="20" t="s">
        <v>483</v>
      </c>
      <c r="D36" s="150">
        <v>2090000</v>
      </c>
      <c r="E36" s="20" t="s">
        <v>466</v>
      </c>
      <c r="F36" s="20" t="s">
        <v>202</v>
      </c>
      <c r="G36" s="8" t="str">
        <f t="shared" si="0"/>
        <v>HAITHCOX MICHAEL</v>
      </c>
    </row>
    <row r="37" spans="1:7" x14ac:dyDescent="0.25">
      <c r="A37" s="8">
        <v>42785.260520833333</v>
      </c>
      <c r="B37" s="20" t="s">
        <v>249</v>
      </c>
      <c r="C37" s="20" t="s">
        <v>484</v>
      </c>
      <c r="D37" s="150">
        <v>2020000</v>
      </c>
      <c r="E37" s="20" t="s">
        <v>370</v>
      </c>
      <c r="F37" s="20" t="s">
        <v>289</v>
      </c>
      <c r="G37" s="8" t="str">
        <f t="shared" si="0"/>
        <v>SHOOK JOHN</v>
      </c>
    </row>
    <row r="38" spans="1:7" x14ac:dyDescent="0.25">
      <c r="A38" s="8">
        <v>42785.265486111108</v>
      </c>
      <c r="B38" s="20" t="s">
        <v>249</v>
      </c>
      <c r="C38" s="20" t="s">
        <v>484</v>
      </c>
      <c r="D38" s="150">
        <v>2020000</v>
      </c>
      <c r="E38" s="20" t="s">
        <v>370</v>
      </c>
      <c r="F38" s="20" t="s">
        <v>289</v>
      </c>
      <c r="G38" s="8" t="str">
        <f t="shared" si="0"/>
        <v>SHOOK JOHN</v>
      </c>
    </row>
    <row r="39" spans="1:7" x14ac:dyDescent="0.25">
      <c r="A39" s="8">
        <v>42785.267233796294</v>
      </c>
      <c r="B39" s="20" t="s">
        <v>271</v>
      </c>
      <c r="C39" s="20" t="s">
        <v>485</v>
      </c>
      <c r="D39" s="150">
        <v>2140000</v>
      </c>
      <c r="E39" s="20" t="s">
        <v>368</v>
      </c>
      <c r="F39" s="20" t="s">
        <v>369</v>
      </c>
      <c r="G39" s="8" t="str">
        <f t="shared" si="0"/>
        <v>ROBINSON KADDIBA</v>
      </c>
    </row>
    <row r="40" spans="1:7" x14ac:dyDescent="0.25">
      <c r="A40" s="8">
        <v>42785.275891203702</v>
      </c>
      <c r="B40" s="25" t="s">
        <v>459</v>
      </c>
      <c r="C40" s="20" t="s">
        <v>486</v>
      </c>
      <c r="D40" s="150">
        <v>2260000</v>
      </c>
      <c r="E40" s="20" t="s">
        <v>374</v>
      </c>
      <c r="F40" s="20" t="s">
        <v>375</v>
      </c>
      <c r="G40" s="8" t="str">
        <f t="shared" si="0"/>
        <v>ARVIDSON DANIEL</v>
      </c>
    </row>
    <row r="41" spans="1:7" x14ac:dyDescent="0.25">
      <c r="A41" s="8">
        <v>42785.276712962965</v>
      </c>
      <c r="B41" s="20" t="s">
        <v>285</v>
      </c>
      <c r="C41" s="20" t="s">
        <v>487</v>
      </c>
      <c r="D41" s="150">
        <v>1830000</v>
      </c>
      <c r="E41" s="20" t="s">
        <v>290</v>
      </c>
      <c r="F41" s="20" t="s">
        <v>291</v>
      </c>
      <c r="G41" s="8" t="str">
        <f t="shared" si="0"/>
        <v>YORK EDGAR</v>
      </c>
    </row>
    <row r="42" spans="1:7" x14ac:dyDescent="0.25">
      <c r="A42" s="8">
        <v>42785.278090277781</v>
      </c>
      <c r="B42" s="20" t="s">
        <v>254</v>
      </c>
      <c r="C42" s="20" t="s">
        <v>488</v>
      </c>
      <c r="D42" s="150">
        <v>1100000</v>
      </c>
      <c r="E42" s="20" t="s">
        <v>321</v>
      </c>
      <c r="F42" s="20" t="s">
        <v>322</v>
      </c>
      <c r="G42" s="8" t="str">
        <f t="shared" si="0"/>
        <v>GEBRETEKLE DAGNEW</v>
      </c>
    </row>
    <row r="43" spans="1:7" x14ac:dyDescent="0.25">
      <c r="A43" s="8">
        <v>42785.282754629632</v>
      </c>
      <c r="B43" s="20" t="s">
        <v>213</v>
      </c>
      <c r="C43" s="20" t="s">
        <v>418</v>
      </c>
      <c r="D43" s="150">
        <v>2550000</v>
      </c>
      <c r="E43" s="20" t="s">
        <v>319</v>
      </c>
      <c r="F43" s="20" t="s">
        <v>320</v>
      </c>
      <c r="G43" s="8" t="str">
        <f t="shared" si="0"/>
        <v>BADERTSCHER DIANE</v>
      </c>
    </row>
    <row r="44" spans="1:7" x14ac:dyDescent="0.25">
      <c r="A44" s="8">
        <v>42785.28869212963</v>
      </c>
      <c r="B44" s="20" t="s">
        <v>232</v>
      </c>
      <c r="C44" s="20" t="s">
        <v>489</v>
      </c>
      <c r="D44" s="150">
        <v>1830000</v>
      </c>
      <c r="E44" s="20" t="s">
        <v>290</v>
      </c>
      <c r="F44" s="20" t="s">
        <v>291</v>
      </c>
      <c r="G44" s="8" t="str">
        <f t="shared" si="0"/>
        <v>YORK EDGAR</v>
      </c>
    </row>
    <row r="45" spans="1:7" x14ac:dyDescent="0.25">
      <c r="A45" s="8">
        <v>42785.289456018516</v>
      </c>
      <c r="B45" s="20" t="s">
        <v>263</v>
      </c>
      <c r="C45" s="20" t="s">
        <v>490</v>
      </c>
      <c r="D45" s="150">
        <v>2150000</v>
      </c>
      <c r="E45" s="20" t="s">
        <v>456</v>
      </c>
      <c r="F45" s="20" t="s">
        <v>457</v>
      </c>
      <c r="G45" s="8" t="str">
        <f t="shared" si="0"/>
        <v>SWANSON BRYCE</v>
      </c>
    </row>
    <row r="46" spans="1:7" x14ac:dyDescent="0.25">
      <c r="A46" s="8">
        <v>42785.296307870369</v>
      </c>
      <c r="B46" s="20" t="s">
        <v>365</v>
      </c>
      <c r="C46" s="20" t="s">
        <v>491</v>
      </c>
      <c r="D46" s="150">
        <v>2090000</v>
      </c>
      <c r="E46" s="20" t="s">
        <v>466</v>
      </c>
      <c r="F46" s="20" t="s">
        <v>202</v>
      </c>
      <c r="G46" s="8" t="str">
        <f t="shared" si="0"/>
        <v>HAITHCOX MICHAEL</v>
      </c>
    </row>
    <row r="47" spans="1:7" x14ac:dyDescent="0.25">
      <c r="A47" s="8">
        <v>42785.298761574071</v>
      </c>
      <c r="B47" s="20" t="s">
        <v>272</v>
      </c>
      <c r="C47" s="20" t="s">
        <v>422</v>
      </c>
      <c r="D47" s="150">
        <v>2140000</v>
      </c>
      <c r="E47" s="20" t="s">
        <v>368</v>
      </c>
      <c r="F47" s="20" t="s">
        <v>369</v>
      </c>
      <c r="G47" s="8" t="str">
        <f t="shared" si="0"/>
        <v>ROBINSON KADDIBA</v>
      </c>
    </row>
    <row r="48" spans="1:7" x14ac:dyDescent="0.25">
      <c r="A48" s="8">
        <v>42785.30059027778</v>
      </c>
      <c r="B48" s="20" t="s">
        <v>277</v>
      </c>
      <c r="C48" s="20" t="s">
        <v>492</v>
      </c>
      <c r="D48" s="150">
        <v>2020000</v>
      </c>
      <c r="E48" s="20" t="s">
        <v>370</v>
      </c>
      <c r="F48" s="20" t="s">
        <v>289</v>
      </c>
      <c r="G48" s="8" t="str">
        <f t="shared" si="0"/>
        <v>SHOOK JOHN</v>
      </c>
    </row>
    <row r="49" spans="1:7" x14ac:dyDescent="0.25">
      <c r="A49" s="8">
        <v>42785.307858796295</v>
      </c>
      <c r="B49" s="20" t="s">
        <v>255</v>
      </c>
      <c r="C49" s="20" t="s">
        <v>493</v>
      </c>
      <c r="D49" s="150">
        <v>1100000</v>
      </c>
      <c r="E49" s="20" t="s">
        <v>321</v>
      </c>
      <c r="F49" s="20" t="s">
        <v>322</v>
      </c>
      <c r="G49" s="8" t="str">
        <f t="shared" si="0"/>
        <v>GEBRETEKLE DAGNEW</v>
      </c>
    </row>
    <row r="50" spans="1:7" x14ac:dyDescent="0.25">
      <c r="A50" s="8">
        <v>42785.309236111112</v>
      </c>
      <c r="B50" s="20" t="s">
        <v>376</v>
      </c>
      <c r="C50" s="20" t="s">
        <v>419</v>
      </c>
      <c r="D50" s="150">
        <v>2260000</v>
      </c>
      <c r="E50" s="20" t="s">
        <v>374</v>
      </c>
      <c r="F50" s="20" t="s">
        <v>375</v>
      </c>
      <c r="G50" s="8" t="str">
        <f t="shared" si="0"/>
        <v>ARVIDSON DANIEL</v>
      </c>
    </row>
    <row r="51" spans="1:7" x14ac:dyDescent="0.25">
      <c r="A51" s="8">
        <v>42785.319409722222</v>
      </c>
      <c r="B51" s="20" t="s">
        <v>235</v>
      </c>
      <c r="C51" s="20" t="s">
        <v>494</v>
      </c>
      <c r="D51" s="150">
        <v>2550000</v>
      </c>
      <c r="E51" s="20" t="s">
        <v>319</v>
      </c>
      <c r="F51" s="20" t="s">
        <v>320</v>
      </c>
      <c r="G51" s="8" t="str">
        <f t="shared" si="0"/>
        <v>BADERTSCHER DIANE</v>
      </c>
    </row>
    <row r="52" spans="1:7" x14ac:dyDescent="0.25">
      <c r="A52" s="8">
        <v>42785.319432870368</v>
      </c>
      <c r="B52" s="20" t="s">
        <v>225</v>
      </c>
      <c r="C52" s="20" t="s">
        <v>495</v>
      </c>
      <c r="D52" s="150">
        <v>2150000</v>
      </c>
      <c r="E52" s="20" t="s">
        <v>456</v>
      </c>
      <c r="F52" s="20" t="s">
        <v>457</v>
      </c>
      <c r="G52" s="8" t="str">
        <f t="shared" si="0"/>
        <v>SWANSON BRYCE</v>
      </c>
    </row>
    <row r="53" spans="1:7" x14ac:dyDescent="0.25">
      <c r="A53" s="8">
        <v>42785.320150462961</v>
      </c>
      <c r="B53" s="20" t="s">
        <v>285</v>
      </c>
      <c r="C53" s="20" t="s">
        <v>496</v>
      </c>
      <c r="D53" s="150">
        <v>1830000</v>
      </c>
      <c r="E53" s="20" t="s">
        <v>290</v>
      </c>
      <c r="F53" s="20" t="s">
        <v>291</v>
      </c>
      <c r="G53" s="8" t="str">
        <f t="shared" si="0"/>
        <v>YORK EDGAR</v>
      </c>
    </row>
    <row r="54" spans="1:7" x14ac:dyDescent="0.25">
      <c r="A54" s="8">
        <v>42785.328564814816</v>
      </c>
      <c r="B54" s="20" t="s">
        <v>367</v>
      </c>
      <c r="C54" s="20" t="s">
        <v>497</v>
      </c>
      <c r="D54" s="150">
        <v>2090000</v>
      </c>
      <c r="E54" s="20" t="s">
        <v>466</v>
      </c>
      <c r="F54" s="20" t="s">
        <v>202</v>
      </c>
      <c r="G54" s="8" t="str">
        <f t="shared" si="0"/>
        <v>HAITHCOX MICHAEL</v>
      </c>
    </row>
    <row r="55" spans="1:7" x14ac:dyDescent="0.25">
      <c r="A55" s="8">
        <v>42785.330648148149</v>
      </c>
      <c r="B55" s="20" t="s">
        <v>249</v>
      </c>
      <c r="C55" s="20" t="s">
        <v>498</v>
      </c>
      <c r="D55" s="150">
        <v>2020000</v>
      </c>
      <c r="E55" s="20" t="s">
        <v>370</v>
      </c>
      <c r="F55" s="20" t="s">
        <v>289</v>
      </c>
      <c r="G55" s="8" t="str">
        <f t="shared" si="0"/>
        <v>SHOOK JOHN</v>
      </c>
    </row>
    <row r="56" spans="1:7" x14ac:dyDescent="0.25">
      <c r="A56" s="8">
        <v>42785.330682870372</v>
      </c>
      <c r="B56" s="20" t="s">
        <v>232</v>
      </c>
      <c r="C56" s="20" t="s">
        <v>499</v>
      </c>
      <c r="D56" s="150">
        <v>1830000</v>
      </c>
      <c r="E56" s="20" t="s">
        <v>290</v>
      </c>
      <c r="F56" s="20" t="s">
        <v>291</v>
      </c>
      <c r="G56" s="8" t="str">
        <f t="shared" si="0"/>
        <v>YORK EDGAR</v>
      </c>
    </row>
    <row r="57" spans="1:7" x14ac:dyDescent="0.25">
      <c r="A57" s="8">
        <v>42785.34107638889</v>
      </c>
      <c r="B57" s="20" t="s">
        <v>271</v>
      </c>
      <c r="C57" s="20" t="s">
        <v>500</v>
      </c>
      <c r="D57" s="150">
        <v>2140000</v>
      </c>
      <c r="E57" s="20" t="s">
        <v>368</v>
      </c>
      <c r="F57" s="20" t="s">
        <v>369</v>
      </c>
      <c r="G57" s="8" t="str">
        <f t="shared" si="0"/>
        <v>ROBINSON KADDIBA</v>
      </c>
    </row>
    <row r="58" spans="1:7" x14ac:dyDescent="0.25">
      <c r="A58" s="8">
        <v>42785.349270833336</v>
      </c>
      <c r="B58" s="20" t="s">
        <v>254</v>
      </c>
      <c r="C58" s="20" t="s">
        <v>501</v>
      </c>
      <c r="D58" s="150">
        <v>1100000</v>
      </c>
      <c r="E58" s="20" t="s">
        <v>321</v>
      </c>
      <c r="F58" s="20" t="s">
        <v>322</v>
      </c>
      <c r="G58" s="8" t="str">
        <f t="shared" si="0"/>
        <v>GEBRETEKLE DAGNEW</v>
      </c>
    </row>
    <row r="59" spans="1:7" x14ac:dyDescent="0.25">
      <c r="A59" s="8">
        <v>42785.349618055552</v>
      </c>
      <c r="B59" s="20" t="s">
        <v>459</v>
      </c>
      <c r="C59" s="20" t="s">
        <v>502</v>
      </c>
      <c r="D59" s="150">
        <v>2260000</v>
      </c>
      <c r="E59" s="20" t="s">
        <v>374</v>
      </c>
      <c r="F59" s="20" t="s">
        <v>375</v>
      </c>
      <c r="G59" s="8" t="str">
        <f t="shared" si="0"/>
        <v>ARVIDSON DANIEL</v>
      </c>
    </row>
    <row r="60" spans="1:7" x14ac:dyDescent="0.25">
      <c r="A60" s="8">
        <v>42785.352337962962</v>
      </c>
      <c r="B60" s="20" t="s">
        <v>213</v>
      </c>
      <c r="C60" s="20" t="s">
        <v>503</v>
      </c>
      <c r="D60" s="150">
        <v>2550000</v>
      </c>
      <c r="E60" s="20" t="s">
        <v>319</v>
      </c>
      <c r="F60" s="20" t="s">
        <v>320</v>
      </c>
      <c r="G60" s="8" t="str">
        <f t="shared" si="0"/>
        <v>BADERTSCHER DIANE</v>
      </c>
    </row>
    <row r="61" spans="1:7" x14ac:dyDescent="0.25">
      <c r="A61" s="8">
        <v>42785.35900462963</v>
      </c>
      <c r="B61" s="20" t="s">
        <v>285</v>
      </c>
      <c r="C61" s="20" t="s">
        <v>504</v>
      </c>
      <c r="D61" s="150">
        <v>1830000</v>
      </c>
      <c r="E61" s="20" t="s">
        <v>290</v>
      </c>
      <c r="F61" s="20" t="s">
        <v>291</v>
      </c>
      <c r="G61" s="8" t="str">
        <f t="shared" si="0"/>
        <v>YORK EDGAR</v>
      </c>
    </row>
    <row r="62" spans="1:7" x14ac:dyDescent="0.25">
      <c r="A62" s="8">
        <v>42785.360289351855</v>
      </c>
      <c r="B62" s="20" t="s">
        <v>263</v>
      </c>
      <c r="C62" s="20" t="s">
        <v>505</v>
      </c>
      <c r="D62" s="150">
        <v>2150000</v>
      </c>
      <c r="E62" s="20" t="s">
        <v>456</v>
      </c>
      <c r="F62" s="20" t="s">
        <v>457</v>
      </c>
      <c r="G62" s="8" t="str">
        <f t="shared" si="0"/>
        <v>SWANSON BRYCE</v>
      </c>
    </row>
    <row r="63" spans="1:7" x14ac:dyDescent="0.25">
      <c r="A63" s="8">
        <v>42785.365960648145</v>
      </c>
      <c r="B63" s="20" t="s">
        <v>365</v>
      </c>
      <c r="C63" s="20" t="s">
        <v>506</v>
      </c>
      <c r="D63" s="150">
        <v>2090000</v>
      </c>
      <c r="E63" s="20" t="s">
        <v>466</v>
      </c>
      <c r="F63" s="20" t="s">
        <v>202</v>
      </c>
      <c r="G63" s="8" t="str">
        <f t="shared" si="0"/>
        <v>HAITHCOX MICHAEL</v>
      </c>
    </row>
    <row r="64" spans="1:7" x14ac:dyDescent="0.25">
      <c r="A64" s="26">
        <v>42785.370520833334</v>
      </c>
      <c r="B64" s="20" t="s">
        <v>277</v>
      </c>
      <c r="C64" s="20" t="s">
        <v>507</v>
      </c>
      <c r="D64" s="150">
        <v>2020000</v>
      </c>
      <c r="E64" s="20" t="s">
        <v>370</v>
      </c>
      <c r="F64" s="20" t="s">
        <v>289</v>
      </c>
      <c r="G64" s="8" t="str">
        <f t="shared" si="0"/>
        <v>SHOOK JOHN</v>
      </c>
    </row>
    <row r="65" spans="1:7" x14ac:dyDescent="0.25">
      <c r="A65" s="8">
        <v>42785.374201388891</v>
      </c>
      <c r="B65" s="20" t="s">
        <v>232</v>
      </c>
      <c r="C65" s="20" t="s">
        <v>508</v>
      </c>
      <c r="D65" s="150">
        <v>1830000</v>
      </c>
      <c r="E65" s="20" t="s">
        <v>290</v>
      </c>
      <c r="F65" s="20" t="s">
        <v>291</v>
      </c>
      <c r="G65" s="8" t="str">
        <f t="shared" si="0"/>
        <v>YORK EDGAR</v>
      </c>
    </row>
    <row r="66" spans="1:7" x14ac:dyDescent="0.25">
      <c r="A66" s="8">
        <v>42785.380370370367</v>
      </c>
      <c r="B66" s="20" t="s">
        <v>255</v>
      </c>
      <c r="C66" s="20" t="s">
        <v>509</v>
      </c>
      <c r="D66" s="150">
        <v>1100000</v>
      </c>
      <c r="E66" s="20" t="s">
        <v>321</v>
      </c>
      <c r="F66" s="20" t="s">
        <v>322</v>
      </c>
      <c r="G66" s="8" t="str">
        <f t="shared" si="0"/>
        <v>GEBRETEKLE DAGNEW</v>
      </c>
    </row>
    <row r="67" spans="1:7" x14ac:dyDescent="0.25">
      <c r="A67" s="8">
        <v>42785.380532407406</v>
      </c>
      <c r="B67" s="20" t="s">
        <v>272</v>
      </c>
      <c r="C67" s="20" t="s">
        <v>510</v>
      </c>
      <c r="D67" s="150">
        <v>2140000</v>
      </c>
      <c r="E67" s="20" t="s">
        <v>368</v>
      </c>
      <c r="F67" s="20" t="s">
        <v>369</v>
      </c>
      <c r="G67" s="8" t="str">
        <f t="shared" ref="G67:G130" si="1">E67&amp;" "&amp;F67</f>
        <v>ROBINSON KADDIBA</v>
      </c>
    </row>
    <row r="68" spans="1:7" x14ac:dyDescent="0.25">
      <c r="A68" s="8">
        <v>42785.383518518516</v>
      </c>
      <c r="B68" s="20" t="s">
        <v>376</v>
      </c>
      <c r="C68" s="20" t="s">
        <v>423</v>
      </c>
      <c r="D68" s="150">
        <v>2260000</v>
      </c>
      <c r="E68" s="20" t="s">
        <v>374</v>
      </c>
      <c r="F68" s="20" t="s">
        <v>375</v>
      </c>
      <c r="G68" s="8" t="str">
        <f t="shared" si="1"/>
        <v>ARVIDSON DANIEL</v>
      </c>
    </row>
    <row r="69" spans="1:7" x14ac:dyDescent="0.25">
      <c r="A69" s="8">
        <v>42785.391793981478</v>
      </c>
      <c r="B69" s="20" t="s">
        <v>235</v>
      </c>
      <c r="C69" s="20" t="s">
        <v>511</v>
      </c>
      <c r="D69" s="150">
        <v>2550000</v>
      </c>
      <c r="E69" s="20" t="s">
        <v>319</v>
      </c>
      <c r="F69" s="20" t="s">
        <v>320</v>
      </c>
      <c r="G69" s="8" t="str">
        <f t="shared" si="1"/>
        <v>BADERTSCHER DIANE</v>
      </c>
    </row>
    <row r="70" spans="1:7" x14ac:dyDescent="0.25">
      <c r="A70" s="8">
        <v>42785.392013888886</v>
      </c>
      <c r="B70" s="20" t="s">
        <v>225</v>
      </c>
      <c r="C70" s="20" t="s">
        <v>512</v>
      </c>
      <c r="D70" s="150">
        <v>2150000</v>
      </c>
      <c r="E70" s="20" t="s">
        <v>456</v>
      </c>
      <c r="F70" s="20" t="s">
        <v>457</v>
      </c>
      <c r="G70" s="8" t="str">
        <f t="shared" si="1"/>
        <v>SWANSON BRYCE</v>
      </c>
    </row>
    <row r="71" spans="1:7" x14ac:dyDescent="0.25">
      <c r="A71" s="8">
        <v>42785.401574074072</v>
      </c>
      <c r="B71" s="20" t="s">
        <v>367</v>
      </c>
      <c r="C71" s="20" t="s">
        <v>424</v>
      </c>
      <c r="D71" s="150">
        <v>2090000</v>
      </c>
      <c r="E71" s="20" t="s">
        <v>466</v>
      </c>
      <c r="F71" s="20" t="s">
        <v>202</v>
      </c>
      <c r="G71" s="8" t="str">
        <f t="shared" si="1"/>
        <v>HAITHCOX MICHAEL</v>
      </c>
    </row>
    <row r="72" spans="1:7" x14ac:dyDescent="0.25">
      <c r="A72" s="8">
        <v>42785.402442129627</v>
      </c>
      <c r="B72" s="20" t="s">
        <v>249</v>
      </c>
      <c r="C72" s="20" t="s">
        <v>513</v>
      </c>
      <c r="D72" s="150">
        <v>2020000</v>
      </c>
      <c r="E72" s="20" t="s">
        <v>370</v>
      </c>
      <c r="F72" s="20" t="s">
        <v>289</v>
      </c>
      <c r="G72" s="8" t="str">
        <f t="shared" si="1"/>
        <v>SHOOK JOHN</v>
      </c>
    </row>
    <row r="73" spans="1:7" x14ac:dyDescent="0.25">
      <c r="A73" s="8">
        <v>42785.402951388889</v>
      </c>
      <c r="B73" s="20" t="s">
        <v>285</v>
      </c>
      <c r="C73" s="20" t="s">
        <v>514</v>
      </c>
      <c r="D73" s="150">
        <v>1830000</v>
      </c>
      <c r="E73" s="20" t="s">
        <v>290</v>
      </c>
      <c r="F73" s="20" t="s">
        <v>291</v>
      </c>
      <c r="G73" s="8" t="str">
        <f t="shared" si="1"/>
        <v>YORK EDGAR</v>
      </c>
    </row>
    <row r="74" spans="1:7" x14ac:dyDescent="0.25">
      <c r="A74" s="8">
        <v>42785.413657407407</v>
      </c>
      <c r="B74" s="20" t="s">
        <v>271</v>
      </c>
      <c r="C74" s="20" t="s">
        <v>515</v>
      </c>
      <c r="D74" s="150">
        <v>2140000</v>
      </c>
      <c r="E74" s="20" t="s">
        <v>368</v>
      </c>
      <c r="F74" s="20" t="s">
        <v>369</v>
      </c>
      <c r="G74" s="8" t="str">
        <f t="shared" si="1"/>
        <v>ROBINSON KADDIBA</v>
      </c>
    </row>
    <row r="75" spans="1:7" x14ac:dyDescent="0.25">
      <c r="A75" s="8">
        <v>42785.414085648146</v>
      </c>
      <c r="B75" s="20" t="s">
        <v>232</v>
      </c>
      <c r="C75" s="20" t="s">
        <v>516</v>
      </c>
      <c r="D75" s="150">
        <v>1830000</v>
      </c>
      <c r="E75" s="20" t="s">
        <v>290</v>
      </c>
      <c r="F75" s="20" t="s">
        <v>291</v>
      </c>
      <c r="G75" s="8" t="str">
        <f t="shared" si="1"/>
        <v>YORK EDGAR</v>
      </c>
    </row>
    <row r="76" spans="1:7" x14ac:dyDescent="0.25">
      <c r="A76" s="8">
        <v>42785.421817129631</v>
      </c>
      <c r="B76" s="20" t="s">
        <v>459</v>
      </c>
      <c r="C76" s="20" t="s">
        <v>517</v>
      </c>
      <c r="D76" s="150">
        <v>2260000</v>
      </c>
      <c r="E76" s="20" t="s">
        <v>374</v>
      </c>
      <c r="F76" s="20" t="s">
        <v>375</v>
      </c>
      <c r="G76" s="8" t="str">
        <f t="shared" si="1"/>
        <v>ARVIDSON DANIEL</v>
      </c>
    </row>
    <row r="77" spans="1:7" x14ac:dyDescent="0.25">
      <c r="A77" s="8">
        <v>42785.423055555555</v>
      </c>
      <c r="B77" s="20" t="s">
        <v>254</v>
      </c>
      <c r="C77" s="20" t="s">
        <v>518</v>
      </c>
      <c r="D77" s="150">
        <v>1100000</v>
      </c>
      <c r="E77" s="20" t="s">
        <v>321</v>
      </c>
      <c r="F77" s="20" t="s">
        <v>322</v>
      </c>
      <c r="G77" s="8" t="str">
        <f t="shared" si="1"/>
        <v>GEBRETEKLE DAGNEW</v>
      </c>
    </row>
    <row r="78" spans="1:7" x14ac:dyDescent="0.25">
      <c r="A78" s="8">
        <v>42785.428252314814</v>
      </c>
      <c r="B78" s="20" t="s">
        <v>213</v>
      </c>
      <c r="C78" s="20" t="s">
        <v>425</v>
      </c>
      <c r="D78" s="150">
        <v>2550000</v>
      </c>
      <c r="E78" s="20" t="s">
        <v>319</v>
      </c>
      <c r="F78" s="20" t="s">
        <v>320</v>
      </c>
      <c r="G78" s="8" t="str">
        <f t="shared" si="1"/>
        <v>BADERTSCHER DIANE</v>
      </c>
    </row>
    <row r="79" spans="1:7" x14ac:dyDescent="0.25">
      <c r="A79" s="8">
        <v>42785.434351851851</v>
      </c>
      <c r="B79" s="20" t="s">
        <v>263</v>
      </c>
      <c r="C79" s="20" t="s">
        <v>519</v>
      </c>
      <c r="D79" s="150">
        <v>2470000</v>
      </c>
      <c r="E79" s="20" t="s">
        <v>520</v>
      </c>
      <c r="F79" s="20" t="s">
        <v>521</v>
      </c>
      <c r="G79" s="8" t="str">
        <f t="shared" si="1"/>
        <v>ROMERO CHAD</v>
      </c>
    </row>
    <row r="80" spans="1:7" x14ac:dyDescent="0.25">
      <c r="A80" s="8">
        <v>42785.43645833333</v>
      </c>
      <c r="B80" s="20" t="s">
        <v>218</v>
      </c>
      <c r="C80" s="20" t="s">
        <v>522</v>
      </c>
      <c r="D80" s="150">
        <v>2480000</v>
      </c>
      <c r="E80" s="20" t="s">
        <v>377</v>
      </c>
      <c r="F80" s="20" t="s">
        <v>216</v>
      </c>
      <c r="G80" s="8" t="str">
        <f t="shared" si="1"/>
        <v>WHITED DUSTIN</v>
      </c>
    </row>
    <row r="81" spans="1:7" x14ac:dyDescent="0.25">
      <c r="A81" s="8">
        <v>42785.443796296298</v>
      </c>
      <c r="B81" s="20" t="s">
        <v>285</v>
      </c>
      <c r="C81" s="20" t="s">
        <v>523</v>
      </c>
      <c r="D81" s="150">
        <v>1830000</v>
      </c>
      <c r="E81" s="20" t="s">
        <v>290</v>
      </c>
      <c r="F81" s="20" t="s">
        <v>291</v>
      </c>
      <c r="G81" s="8" t="str">
        <f t="shared" si="1"/>
        <v>YORK EDGAR</v>
      </c>
    </row>
    <row r="82" spans="1:7" x14ac:dyDescent="0.25">
      <c r="A82" s="8">
        <v>42785.444687499999</v>
      </c>
      <c r="B82" s="20" t="s">
        <v>365</v>
      </c>
      <c r="C82" s="20" t="s">
        <v>524</v>
      </c>
      <c r="D82" s="150">
        <v>2090000</v>
      </c>
      <c r="E82" s="20" t="s">
        <v>466</v>
      </c>
      <c r="F82" s="20" t="s">
        <v>202</v>
      </c>
      <c r="G82" s="8" t="str">
        <f t="shared" si="1"/>
        <v>HAITHCOX MICHAEL</v>
      </c>
    </row>
    <row r="83" spans="1:7" x14ac:dyDescent="0.25">
      <c r="A83" s="8">
        <v>42785.446608796294</v>
      </c>
      <c r="B83" s="20" t="s">
        <v>277</v>
      </c>
      <c r="C83" s="20" t="s">
        <v>525</v>
      </c>
      <c r="D83" s="150">
        <v>2020000</v>
      </c>
      <c r="E83" s="20" t="s">
        <v>370</v>
      </c>
      <c r="F83" s="20" t="s">
        <v>289</v>
      </c>
      <c r="G83" s="8" t="str">
        <f t="shared" si="1"/>
        <v>SHOOK JOHN</v>
      </c>
    </row>
    <row r="84" spans="1:7" x14ac:dyDescent="0.25">
      <c r="A84" s="8">
        <v>42785.450266203705</v>
      </c>
      <c r="B84" s="20" t="s">
        <v>272</v>
      </c>
      <c r="C84" s="20" t="s">
        <v>526</v>
      </c>
      <c r="D84" s="150">
        <v>2140000</v>
      </c>
      <c r="E84" s="20" t="s">
        <v>368</v>
      </c>
      <c r="F84" s="20" t="s">
        <v>369</v>
      </c>
      <c r="G84" s="8" t="str">
        <f t="shared" si="1"/>
        <v>ROBINSON KADDIBA</v>
      </c>
    </row>
    <row r="85" spans="1:7" x14ac:dyDescent="0.25">
      <c r="A85" s="8">
        <v>42785.458784722221</v>
      </c>
      <c r="B85" s="20" t="s">
        <v>232</v>
      </c>
      <c r="C85" s="20" t="s">
        <v>527</v>
      </c>
      <c r="D85" s="150">
        <v>1830000</v>
      </c>
      <c r="E85" s="20" t="s">
        <v>290</v>
      </c>
      <c r="F85" s="20" t="s">
        <v>291</v>
      </c>
      <c r="G85" s="8" t="str">
        <f t="shared" si="1"/>
        <v>YORK EDGAR</v>
      </c>
    </row>
    <row r="86" spans="1:7" x14ac:dyDescent="0.25">
      <c r="A86" s="8">
        <v>42785.461956018517</v>
      </c>
      <c r="B86" s="20" t="s">
        <v>255</v>
      </c>
      <c r="C86" s="20" t="s">
        <v>528</v>
      </c>
      <c r="D86" s="150">
        <v>1100000</v>
      </c>
      <c r="E86" s="20" t="s">
        <v>321</v>
      </c>
      <c r="F86" s="20" t="s">
        <v>322</v>
      </c>
      <c r="G86" s="8" t="str">
        <f t="shared" si="1"/>
        <v>GEBRETEKLE DAGNEW</v>
      </c>
    </row>
    <row r="87" spans="1:7" x14ac:dyDescent="0.25">
      <c r="A87" s="8">
        <v>42785.466886574075</v>
      </c>
      <c r="B87" s="20" t="s">
        <v>376</v>
      </c>
      <c r="C87" s="20" t="s">
        <v>426</v>
      </c>
      <c r="D87" s="150">
        <v>880000</v>
      </c>
      <c r="E87" s="20" t="s">
        <v>529</v>
      </c>
      <c r="F87" s="20" t="s">
        <v>202</v>
      </c>
      <c r="G87" s="8" t="str">
        <f t="shared" si="1"/>
        <v>STEWART MICHAEL</v>
      </c>
    </row>
    <row r="88" spans="1:7" x14ac:dyDescent="0.25">
      <c r="A88" s="8">
        <v>42785.467743055553</v>
      </c>
      <c r="B88" s="20" t="s">
        <v>376</v>
      </c>
      <c r="C88" s="20" t="s">
        <v>426</v>
      </c>
      <c r="D88" s="150">
        <v>880000</v>
      </c>
      <c r="E88" s="20" t="s">
        <v>529</v>
      </c>
      <c r="F88" s="20" t="s">
        <v>202</v>
      </c>
      <c r="G88" s="8" t="str">
        <f t="shared" si="1"/>
        <v>STEWART MICHAEL</v>
      </c>
    </row>
    <row r="89" spans="1:7" x14ac:dyDescent="0.25">
      <c r="A89" s="8">
        <v>42785.470613425925</v>
      </c>
      <c r="B89" s="20" t="s">
        <v>225</v>
      </c>
      <c r="C89" s="20" t="s">
        <v>428</v>
      </c>
      <c r="D89" s="150">
        <v>2470000</v>
      </c>
      <c r="E89" s="20" t="s">
        <v>520</v>
      </c>
      <c r="F89" s="20" t="s">
        <v>521</v>
      </c>
      <c r="G89" s="8" t="str">
        <f t="shared" si="1"/>
        <v>ROMERO CHAD</v>
      </c>
    </row>
    <row r="90" spans="1:7" x14ac:dyDescent="0.25">
      <c r="A90" s="8">
        <v>42785.471631944441</v>
      </c>
      <c r="B90" s="20" t="s">
        <v>217</v>
      </c>
      <c r="C90" s="20" t="s">
        <v>530</v>
      </c>
      <c r="D90" s="150">
        <v>2040000</v>
      </c>
      <c r="E90" s="20" t="s">
        <v>275</v>
      </c>
      <c r="F90" s="20" t="s">
        <v>276</v>
      </c>
      <c r="G90" s="8" t="str">
        <f t="shared" si="1"/>
        <v>MOSES BRADLEY</v>
      </c>
    </row>
    <row r="91" spans="1:7" x14ac:dyDescent="0.25">
      <c r="A91" s="8">
        <v>42785.474814814814</v>
      </c>
      <c r="B91" s="20" t="s">
        <v>220</v>
      </c>
      <c r="C91" s="20" t="s">
        <v>531</v>
      </c>
      <c r="D91" s="150">
        <v>2250000</v>
      </c>
      <c r="E91" s="20" t="s">
        <v>532</v>
      </c>
      <c r="F91" s="20" t="s">
        <v>533</v>
      </c>
      <c r="G91" s="8" t="str">
        <f t="shared" si="1"/>
        <v>CRAYTON QUNTRELL</v>
      </c>
    </row>
    <row r="92" spans="1:7" x14ac:dyDescent="0.25">
      <c r="A92" s="8">
        <v>42785.484502314815</v>
      </c>
      <c r="B92" s="20" t="s">
        <v>285</v>
      </c>
      <c r="C92" s="20" t="s">
        <v>534</v>
      </c>
      <c r="D92" s="150">
        <v>1830000</v>
      </c>
      <c r="E92" s="20" t="s">
        <v>290</v>
      </c>
      <c r="F92" s="20" t="s">
        <v>291</v>
      </c>
      <c r="G92" s="8" t="str">
        <f t="shared" si="1"/>
        <v>YORK EDGAR</v>
      </c>
    </row>
    <row r="93" spans="1:7" x14ac:dyDescent="0.25">
      <c r="A93" s="8">
        <v>42785.485682870371</v>
      </c>
      <c r="B93" s="20" t="s">
        <v>367</v>
      </c>
      <c r="C93" s="20" t="s">
        <v>535</v>
      </c>
      <c r="D93" s="150">
        <v>1300000</v>
      </c>
      <c r="E93" s="20" t="s">
        <v>536</v>
      </c>
      <c r="F93" s="20" t="s">
        <v>537</v>
      </c>
      <c r="G93" s="8" t="str">
        <f t="shared" si="1"/>
        <v>LEVIN SCOTT</v>
      </c>
    </row>
    <row r="94" spans="1:7" x14ac:dyDescent="0.25">
      <c r="A94" s="8">
        <v>42785.486342592594</v>
      </c>
      <c r="B94" s="20" t="s">
        <v>249</v>
      </c>
      <c r="C94" s="20" t="s">
        <v>427</v>
      </c>
      <c r="D94" s="150">
        <v>2020000</v>
      </c>
      <c r="E94" s="20" t="s">
        <v>370</v>
      </c>
      <c r="F94" s="20" t="s">
        <v>289</v>
      </c>
      <c r="G94" s="8" t="str">
        <f t="shared" si="1"/>
        <v>SHOOK JOHN</v>
      </c>
    </row>
    <row r="95" spans="1:7" x14ac:dyDescent="0.25">
      <c r="A95" s="8">
        <v>42785.48704861111</v>
      </c>
      <c r="B95" s="20" t="s">
        <v>367</v>
      </c>
      <c r="C95" s="20" t="s">
        <v>535</v>
      </c>
      <c r="D95" s="150">
        <v>1300000</v>
      </c>
      <c r="E95" s="20" t="s">
        <v>536</v>
      </c>
      <c r="F95" s="20" t="s">
        <v>537</v>
      </c>
      <c r="G95" s="8" t="str">
        <f t="shared" si="1"/>
        <v>LEVIN SCOTT</v>
      </c>
    </row>
    <row r="96" spans="1:7" x14ac:dyDescent="0.25">
      <c r="A96" s="8">
        <v>42785.487337962964</v>
      </c>
      <c r="B96" s="20" t="s">
        <v>235</v>
      </c>
      <c r="C96" s="20" t="s">
        <v>538</v>
      </c>
      <c r="D96" s="150">
        <v>920000</v>
      </c>
      <c r="E96" s="20" t="s">
        <v>539</v>
      </c>
      <c r="F96" s="20" t="s">
        <v>202</v>
      </c>
      <c r="G96" s="8" t="str">
        <f t="shared" si="1"/>
        <v>DAVIS MICHAEL</v>
      </c>
    </row>
    <row r="97" spans="1:7" x14ac:dyDescent="0.25">
      <c r="A97" s="8">
        <v>42785.48810185185</v>
      </c>
      <c r="B97" s="20" t="s">
        <v>235</v>
      </c>
      <c r="C97" s="20" t="s">
        <v>538</v>
      </c>
      <c r="D97" s="150">
        <v>920000</v>
      </c>
      <c r="E97" s="20" t="s">
        <v>539</v>
      </c>
      <c r="F97" s="20" t="s">
        <v>202</v>
      </c>
      <c r="G97" s="8" t="str">
        <f t="shared" si="1"/>
        <v>DAVIS MICHAEL</v>
      </c>
    </row>
    <row r="98" spans="1:7" x14ac:dyDescent="0.25">
      <c r="A98" s="8">
        <v>42785.495983796296</v>
      </c>
      <c r="B98" s="20" t="s">
        <v>235</v>
      </c>
      <c r="C98" s="20" t="s">
        <v>538</v>
      </c>
      <c r="D98" s="150">
        <v>920000</v>
      </c>
      <c r="E98" s="20" t="s">
        <v>539</v>
      </c>
      <c r="F98" s="20" t="s">
        <v>202</v>
      </c>
      <c r="G98" s="8" t="str">
        <f t="shared" si="1"/>
        <v>DAVIS MICHAEL</v>
      </c>
    </row>
    <row r="99" spans="1:7" x14ac:dyDescent="0.25">
      <c r="A99" s="8">
        <v>42785.498900462961</v>
      </c>
      <c r="B99" s="20" t="s">
        <v>232</v>
      </c>
      <c r="C99" s="20" t="s">
        <v>540</v>
      </c>
      <c r="D99" s="150">
        <v>1830000</v>
      </c>
      <c r="E99" s="20" t="s">
        <v>290</v>
      </c>
      <c r="F99" s="20" t="s">
        <v>291</v>
      </c>
      <c r="G99" s="8" t="str">
        <f t="shared" si="1"/>
        <v>YORK EDGAR</v>
      </c>
    </row>
    <row r="100" spans="1:7" x14ac:dyDescent="0.25">
      <c r="A100" s="8">
        <v>42785.499236111114</v>
      </c>
      <c r="B100" s="20" t="s">
        <v>271</v>
      </c>
      <c r="C100" s="20" t="s">
        <v>541</v>
      </c>
      <c r="D100" s="150">
        <v>1770000</v>
      </c>
      <c r="E100" s="20" t="s">
        <v>325</v>
      </c>
      <c r="F100" s="20" t="s">
        <v>326</v>
      </c>
      <c r="G100" s="8" t="str">
        <f t="shared" si="1"/>
        <v>BRUDER RICHARD</v>
      </c>
    </row>
    <row r="101" spans="1:7" x14ac:dyDescent="0.25">
      <c r="A101" s="8">
        <v>42785.50099537037</v>
      </c>
      <c r="B101" s="20" t="s">
        <v>218</v>
      </c>
      <c r="C101" s="20" t="s">
        <v>542</v>
      </c>
      <c r="D101" s="150">
        <v>2030000</v>
      </c>
      <c r="E101" s="20" t="s">
        <v>372</v>
      </c>
      <c r="F101" s="20" t="s">
        <v>292</v>
      </c>
      <c r="G101" s="8" t="str">
        <f t="shared" si="1"/>
        <v>KILLION DAVID</v>
      </c>
    </row>
    <row r="102" spans="1:7" x14ac:dyDescent="0.25">
      <c r="A102" s="8">
        <v>42785.503379629627</v>
      </c>
      <c r="B102" s="20" t="s">
        <v>254</v>
      </c>
      <c r="C102" s="20" t="s">
        <v>543</v>
      </c>
      <c r="D102" s="150">
        <v>2250000</v>
      </c>
      <c r="E102" s="20" t="s">
        <v>532</v>
      </c>
      <c r="F102" s="20" t="s">
        <v>533</v>
      </c>
      <c r="G102" s="8" t="str">
        <f t="shared" si="1"/>
        <v>CRAYTON QUNTRELL</v>
      </c>
    </row>
    <row r="103" spans="1:7" x14ac:dyDescent="0.25">
      <c r="A103" s="8">
        <v>42785.50476851852</v>
      </c>
      <c r="B103" s="20" t="s">
        <v>254</v>
      </c>
      <c r="C103" s="20" t="s">
        <v>543</v>
      </c>
      <c r="D103" s="150">
        <v>2250000</v>
      </c>
      <c r="E103" s="20" t="s">
        <v>532</v>
      </c>
      <c r="F103" s="20" t="s">
        <v>533</v>
      </c>
      <c r="G103" s="8" t="str">
        <f t="shared" si="1"/>
        <v>CRAYTON QUNTRELL</v>
      </c>
    </row>
    <row r="104" spans="1:7" x14ac:dyDescent="0.25">
      <c r="A104" s="8">
        <v>42785.506956018522</v>
      </c>
      <c r="B104" s="20" t="s">
        <v>459</v>
      </c>
      <c r="C104" s="20" t="s">
        <v>544</v>
      </c>
      <c r="D104" s="150">
        <v>880000</v>
      </c>
      <c r="E104" s="20" t="s">
        <v>529</v>
      </c>
      <c r="F104" s="20" t="s">
        <v>202</v>
      </c>
      <c r="G104" s="8" t="str">
        <f t="shared" si="1"/>
        <v>STEWART MICHAEL</v>
      </c>
    </row>
    <row r="105" spans="1:7" x14ac:dyDescent="0.25">
      <c r="A105" s="8">
        <v>42785.506990740738</v>
      </c>
      <c r="B105" s="20" t="s">
        <v>221</v>
      </c>
      <c r="C105" s="20" t="s">
        <v>545</v>
      </c>
      <c r="D105" s="150">
        <v>1100000</v>
      </c>
      <c r="E105" s="20" t="s">
        <v>321</v>
      </c>
      <c r="F105" s="20" t="s">
        <v>322</v>
      </c>
      <c r="G105" s="8" t="str">
        <f t="shared" si="1"/>
        <v>GEBRETEKLE DAGNEW</v>
      </c>
    </row>
    <row r="106" spans="1:7" x14ac:dyDescent="0.25">
      <c r="A106" s="8">
        <v>42785.509814814817</v>
      </c>
      <c r="B106" s="20" t="s">
        <v>263</v>
      </c>
      <c r="C106" s="20" t="s">
        <v>546</v>
      </c>
      <c r="D106" s="150">
        <v>2470000</v>
      </c>
      <c r="E106" s="20" t="s">
        <v>520</v>
      </c>
      <c r="F106" s="20" t="s">
        <v>521</v>
      </c>
      <c r="G106" s="8" t="str">
        <f t="shared" si="1"/>
        <v>ROMERO CHAD</v>
      </c>
    </row>
    <row r="107" spans="1:7" x14ac:dyDescent="0.25">
      <c r="A107" s="8">
        <v>42785.514907407407</v>
      </c>
      <c r="B107" s="20" t="s">
        <v>366</v>
      </c>
      <c r="C107" s="20" t="s">
        <v>547</v>
      </c>
      <c r="D107" s="150">
        <v>2440000</v>
      </c>
      <c r="E107" s="20" t="s">
        <v>548</v>
      </c>
      <c r="F107" s="20" t="s">
        <v>549</v>
      </c>
      <c r="G107" s="8" t="str">
        <f t="shared" si="1"/>
        <v>LOPES KIMBERLY</v>
      </c>
    </row>
    <row r="108" spans="1:7" x14ac:dyDescent="0.25">
      <c r="A108" s="8">
        <v>42785.515798611108</v>
      </c>
      <c r="B108" s="20" t="s">
        <v>366</v>
      </c>
      <c r="C108" s="20" t="s">
        <v>547</v>
      </c>
      <c r="D108" s="150">
        <v>2440000</v>
      </c>
      <c r="E108" s="20" t="s">
        <v>548</v>
      </c>
      <c r="F108" s="20" t="s">
        <v>549</v>
      </c>
      <c r="G108" s="8" t="str">
        <f t="shared" si="1"/>
        <v>LOPES KIMBERLY</v>
      </c>
    </row>
    <row r="109" spans="1:7" x14ac:dyDescent="0.25">
      <c r="A109" s="8">
        <v>42785.517581018517</v>
      </c>
      <c r="B109" s="20" t="s">
        <v>366</v>
      </c>
      <c r="C109" s="20" t="s">
        <v>547</v>
      </c>
      <c r="D109" s="150">
        <v>2440000</v>
      </c>
      <c r="E109" s="20" t="s">
        <v>548</v>
      </c>
      <c r="F109" s="20" t="s">
        <v>549</v>
      </c>
      <c r="G109" s="8" t="str">
        <f t="shared" si="1"/>
        <v>LOPES KIMBERLY</v>
      </c>
    </row>
    <row r="110" spans="1:7" x14ac:dyDescent="0.25">
      <c r="A110" s="8">
        <v>42785.521979166668</v>
      </c>
      <c r="B110" s="20" t="s">
        <v>277</v>
      </c>
      <c r="C110" s="20" t="s">
        <v>550</v>
      </c>
      <c r="D110" s="150">
        <v>2030000</v>
      </c>
      <c r="E110" s="20" t="s">
        <v>372</v>
      </c>
      <c r="F110" s="20" t="s">
        <v>292</v>
      </c>
      <c r="G110" s="8" t="str">
        <f t="shared" si="1"/>
        <v>KILLION DAVID</v>
      </c>
    </row>
    <row r="111" spans="1:7" x14ac:dyDescent="0.25">
      <c r="A111" s="8">
        <v>42785.522534722222</v>
      </c>
      <c r="B111" s="20" t="s">
        <v>366</v>
      </c>
      <c r="C111" s="20" t="s">
        <v>547</v>
      </c>
      <c r="D111" s="150">
        <v>2440000</v>
      </c>
      <c r="E111" s="20" t="s">
        <v>548</v>
      </c>
      <c r="F111" s="20" t="s">
        <v>549</v>
      </c>
      <c r="G111" s="8" t="str">
        <f t="shared" si="1"/>
        <v>LOPES KIMBERLY</v>
      </c>
    </row>
    <row r="112" spans="1:7" x14ac:dyDescent="0.25">
      <c r="A112" s="8">
        <v>42785.523796296293</v>
      </c>
      <c r="B112" s="20" t="s">
        <v>217</v>
      </c>
      <c r="C112" s="20" t="s">
        <v>551</v>
      </c>
      <c r="D112" s="150">
        <v>2020000</v>
      </c>
      <c r="E112" s="20" t="s">
        <v>370</v>
      </c>
      <c r="F112" s="20" t="s">
        <v>289</v>
      </c>
      <c r="G112" s="8" t="str">
        <f t="shared" si="1"/>
        <v>SHOOK JOHN</v>
      </c>
    </row>
    <row r="113" spans="1:7" x14ac:dyDescent="0.25">
      <c r="A113" s="8">
        <v>42785.525972222225</v>
      </c>
      <c r="B113" s="20" t="s">
        <v>285</v>
      </c>
      <c r="C113" s="20" t="s">
        <v>552</v>
      </c>
      <c r="D113" s="150">
        <v>1830000</v>
      </c>
      <c r="E113" s="20" t="s">
        <v>290</v>
      </c>
      <c r="F113" s="20" t="s">
        <v>291</v>
      </c>
      <c r="G113" s="8" t="str">
        <f t="shared" si="1"/>
        <v>YORK EDGAR</v>
      </c>
    </row>
    <row r="114" spans="1:7" x14ac:dyDescent="0.25">
      <c r="A114" s="8">
        <v>42785.526458333334</v>
      </c>
      <c r="B114" s="20" t="s">
        <v>213</v>
      </c>
      <c r="C114" s="20" t="s">
        <v>429</v>
      </c>
      <c r="D114" s="150">
        <v>920000</v>
      </c>
      <c r="E114" s="20" t="s">
        <v>539</v>
      </c>
      <c r="F114" s="20" t="s">
        <v>202</v>
      </c>
      <c r="G114" s="8" t="str">
        <f t="shared" si="1"/>
        <v>DAVIS MICHAEL</v>
      </c>
    </row>
    <row r="115" spans="1:7" x14ac:dyDescent="0.25">
      <c r="A115" s="8">
        <v>42785.529421296298</v>
      </c>
      <c r="B115" s="20" t="s">
        <v>365</v>
      </c>
      <c r="C115" s="20" t="s">
        <v>553</v>
      </c>
      <c r="D115" s="150">
        <v>1300000</v>
      </c>
      <c r="E115" s="20" t="s">
        <v>536</v>
      </c>
      <c r="F115" s="20" t="s">
        <v>537</v>
      </c>
      <c r="G115" s="8" t="str">
        <f t="shared" si="1"/>
        <v>LEVIN SCOTT</v>
      </c>
    </row>
    <row r="116" spans="1:7" x14ac:dyDescent="0.25">
      <c r="A116" s="8">
        <v>42785.536423611113</v>
      </c>
      <c r="B116" s="20" t="s">
        <v>272</v>
      </c>
      <c r="C116" s="20" t="s">
        <v>554</v>
      </c>
      <c r="D116" s="150">
        <v>1770000</v>
      </c>
      <c r="E116" s="20" t="s">
        <v>325</v>
      </c>
      <c r="F116" s="20" t="s">
        <v>326</v>
      </c>
      <c r="G116" s="8" t="str">
        <f t="shared" si="1"/>
        <v>BRUDER RICHARD</v>
      </c>
    </row>
    <row r="117" spans="1:7" x14ac:dyDescent="0.25">
      <c r="A117" s="8">
        <v>42785.538865740738</v>
      </c>
      <c r="B117" s="20" t="s">
        <v>232</v>
      </c>
      <c r="C117" s="20" t="s">
        <v>555</v>
      </c>
      <c r="D117" s="150">
        <v>1830000</v>
      </c>
      <c r="E117" s="20" t="s">
        <v>290</v>
      </c>
      <c r="F117" s="20" t="s">
        <v>291</v>
      </c>
      <c r="G117" s="8" t="str">
        <f t="shared" si="1"/>
        <v>YORK EDGAR</v>
      </c>
    </row>
    <row r="118" spans="1:7" x14ac:dyDescent="0.25">
      <c r="A118" s="8">
        <v>42785.540532407409</v>
      </c>
      <c r="B118" s="20" t="s">
        <v>255</v>
      </c>
      <c r="C118" s="20" t="s">
        <v>556</v>
      </c>
      <c r="D118" s="150">
        <v>2250000</v>
      </c>
      <c r="E118" s="20" t="s">
        <v>532</v>
      </c>
      <c r="F118" s="20" t="s">
        <v>533</v>
      </c>
      <c r="G118" s="8" t="str">
        <f t="shared" si="1"/>
        <v>CRAYTON QUNTRELL</v>
      </c>
    </row>
    <row r="119" spans="1:7" x14ac:dyDescent="0.25">
      <c r="A119" s="8">
        <v>42785.541168981479</v>
      </c>
      <c r="B119" s="20" t="s">
        <v>376</v>
      </c>
      <c r="C119" s="20" t="s">
        <v>557</v>
      </c>
      <c r="D119" s="150">
        <v>880000</v>
      </c>
      <c r="E119" s="20" t="s">
        <v>529</v>
      </c>
      <c r="F119" s="20" t="s">
        <v>202</v>
      </c>
      <c r="G119" s="8" t="str">
        <f t="shared" si="1"/>
        <v>STEWART MICHAEL</v>
      </c>
    </row>
    <row r="120" spans="1:7" x14ac:dyDescent="0.25">
      <c r="A120" s="8">
        <v>42785.542708333334</v>
      </c>
      <c r="B120" s="20" t="s">
        <v>366</v>
      </c>
      <c r="C120" s="20" t="s">
        <v>547</v>
      </c>
      <c r="D120" s="150">
        <v>2440000</v>
      </c>
      <c r="E120" s="20" t="s">
        <v>548</v>
      </c>
      <c r="F120" s="20" t="s">
        <v>549</v>
      </c>
      <c r="G120" s="8" t="str">
        <f t="shared" si="1"/>
        <v>LOPES KIMBERLY</v>
      </c>
    </row>
    <row r="121" spans="1:7" x14ac:dyDescent="0.25">
      <c r="A121" s="8">
        <v>42785.550543981481</v>
      </c>
      <c r="B121" s="20" t="s">
        <v>225</v>
      </c>
      <c r="C121" s="20" t="s">
        <v>558</v>
      </c>
      <c r="D121" s="150">
        <v>2470000</v>
      </c>
      <c r="E121" s="20" t="s">
        <v>520</v>
      </c>
      <c r="F121" s="20" t="s">
        <v>521</v>
      </c>
      <c r="G121" s="8" t="str">
        <f t="shared" si="1"/>
        <v>ROMERO CHAD</v>
      </c>
    </row>
    <row r="122" spans="1:7" x14ac:dyDescent="0.25">
      <c r="A122" s="8">
        <v>42785.556377314817</v>
      </c>
      <c r="B122" s="25" t="s">
        <v>274</v>
      </c>
      <c r="C122" s="20" t="s">
        <v>559</v>
      </c>
      <c r="D122" s="150">
        <v>2420000</v>
      </c>
      <c r="E122" s="20" t="s">
        <v>560</v>
      </c>
      <c r="F122" s="20" t="s">
        <v>561</v>
      </c>
      <c r="G122" s="8" t="str">
        <f t="shared" si="1"/>
        <v>HOLCOMB KAMDEN</v>
      </c>
    </row>
    <row r="123" spans="1:7" x14ac:dyDescent="0.25">
      <c r="A123" s="8">
        <v>42785.566446759258</v>
      </c>
      <c r="B123" s="20" t="s">
        <v>249</v>
      </c>
      <c r="C123" s="20" t="s">
        <v>430</v>
      </c>
      <c r="D123" s="150">
        <v>2030000</v>
      </c>
      <c r="E123" s="20" t="s">
        <v>372</v>
      </c>
      <c r="F123" s="20" t="s">
        <v>292</v>
      </c>
      <c r="G123" s="8" t="str">
        <f t="shared" si="1"/>
        <v>KILLION DAVID</v>
      </c>
    </row>
    <row r="124" spans="1:7" x14ac:dyDescent="0.25">
      <c r="A124" s="8">
        <v>42785.56689814815</v>
      </c>
      <c r="B124" s="20" t="s">
        <v>285</v>
      </c>
      <c r="C124" s="20" t="s">
        <v>562</v>
      </c>
      <c r="D124" s="150">
        <v>1830000</v>
      </c>
      <c r="E124" s="20" t="s">
        <v>290</v>
      </c>
      <c r="F124" s="20" t="s">
        <v>291</v>
      </c>
      <c r="G124" s="8" t="str">
        <f t="shared" si="1"/>
        <v>YORK EDGAR</v>
      </c>
    </row>
    <row r="125" spans="1:7" x14ac:dyDescent="0.25">
      <c r="A125" s="8">
        <v>42785.569363425922</v>
      </c>
      <c r="B125" s="20" t="s">
        <v>271</v>
      </c>
      <c r="C125" s="20" t="s">
        <v>563</v>
      </c>
      <c r="D125" s="150">
        <v>1770000</v>
      </c>
      <c r="E125" s="20" t="s">
        <v>325</v>
      </c>
      <c r="F125" s="20" t="s">
        <v>326</v>
      </c>
      <c r="G125" s="8" t="str">
        <f t="shared" si="1"/>
        <v>BRUDER RICHARD</v>
      </c>
    </row>
    <row r="126" spans="1:7" x14ac:dyDescent="0.25">
      <c r="A126" s="8">
        <v>42785.577372685184</v>
      </c>
      <c r="B126" s="20" t="s">
        <v>459</v>
      </c>
      <c r="C126" s="20" t="s">
        <v>564</v>
      </c>
      <c r="D126" s="150">
        <v>880000</v>
      </c>
      <c r="E126" s="20" t="s">
        <v>529</v>
      </c>
      <c r="F126" s="20" t="s">
        <v>202</v>
      </c>
      <c r="G126" s="8" t="str">
        <f t="shared" si="1"/>
        <v>STEWART MICHAEL</v>
      </c>
    </row>
    <row r="127" spans="1:7" x14ac:dyDescent="0.25">
      <c r="A127" s="8">
        <v>42785.578344907408</v>
      </c>
      <c r="B127" s="20" t="s">
        <v>254</v>
      </c>
      <c r="C127" s="20" t="s">
        <v>565</v>
      </c>
      <c r="D127" s="150">
        <v>2250000</v>
      </c>
      <c r="E127" s="20" t="s">
        <v>532</v>
      </c>
      <c r="F127" s="20" t="s">
        <v>533</v>
      </c>
      <c r="G127" s="8" t="str">
        <f t="shared" si="1"/>
        <v>CRAYTON QUNTRELL</v>
      </c>
    </row>
    <row r="128" spans="1:7" x14ac:dyDescent="0.25">
      <c r="A128" s="8">
        <v>42785.583101851851</v>
      </c>
      <c r="B128" s="20" t="s">
        <v>371</v>
      </c>
      <c r="C128" s="20" t="s">
        <v>566</v>
      </c>
      <c r="D128" s="150">
        <v>2440000</v>
      </c>
      <c r="E128" s="20" t="s">
        <v>548</v>
      </c>
      <c r="F128" s="20" t="s">
        <v>549</v>
      </c>
      <c r="G128" s="8" t="str">
        <f t="shared" si="1"/>
        <v>LOPES KIMBERLY</v>
      </c>
    </row>
    <row r="129" spans="1:7" x14ac:dyDescent="0.25">
      <c r="A129" s="8">
        <v>42785.589432870373</v>
      </c>
      <c r="B129" s="20" t="s">
        <v>263</v>
      </c>
      <c r="C129" s="20" t="s">
        <v>567</v>
      </c>
      <c r="D129" s="150">
        <v>2470000</v>
      </c>
      <c r="E129" s="20" t="s">
        <v>520</v>
      </c>
      <c r="F129" s="20" t="s">
        <v>521</v>
      </c>
      <c r="G129" s="8" t="str">
        <f t="shared" si="1"/>
        <v>ROMERO CHAD</v>
      </c>
    </row>
    <row r="130" spans="1:7" x14ac:dyDescent="0.25">
      <c r="A130" s="8">
        <v>42785.590381944443</v>
      </c>
      <c r="B130" s="20" t="s">
        <v>269</v>
      </c>
      <c r="C130" s="20" t="s">
        <v>432</v>
      </c>
      <c r="D130" s="150">
        <v>2420000</v>
      </c>
      <c r="E130" s="20" t="s">
        <v>560</v>
      </c>
      <c r="F130" s="20" t="s">
        <v>561</v>
      </c>
      <c r="G130" s="8" t="str">
        <f t="shared" si="1"/>
        <v>HOLCOMB KAMDEN</v>
      </c>
    </row>
    <row r="131" spans="1:7" x14ac:dyDescent="0.25">
      <c r="A131" s="8">
        <v>42785.590833333335</v>
      </c>
      <c r="B131" s="20" t="s">
        <v>232</v>
      </c>
      <c r="C131" s="20" t="s">
        <v>568</v>
      </c>
      <c r="D131" s="150">
        <v>1540000</v>
      </c>
      <c r="E131" s="20" t="s">
        <v>323</v>
      </c>
      <c r="F131" s="20" t="s">
        <v>324</v>
      </c>
      <c r="G131" s="8" t="str">
        <f t="shared" ref="G131:G194" si="2">E131&amp;" "&amp;F131</f>
        <v>HELVIE ADAM</v>
      </c>
    </row>
    <row r="132" spans="1:7" x14ac:dyDescent="0.25">
      <c r="A132" s="8">
        <v>42785.602083333331</v>
      </c>
      <c r="B132" s="20" t="s">
        <v>277</v>
      </c>
      <c r="C132" s="20" t="s">
        <v>569</v>
      </c>
      <c r="D132" s="150">
        <v>2030000</v>
      </c>
      <c r="E132" s="20" t="s">
        <v>372</v>
      </c>
      <c r="F132" s="20" t="s">
        <v>292</v>
      </c>
      <c r="G132" s="8" t="str">
        <f t="shared" si="2"/>
        <v>KILLION DAVID</v>
      </c>
    </row>
    <row r="133" spans="1:7" x14ac:dyDescent="0.25">
      <c r="A133" s="8">
        <v>42785.60832175926</v>
      </c>
      <c r="B133" s="20" t="s">
        <v>272</v>
      </c>
      <c r="C133" s="20" t="s">
        <v>570</v>
      </c>
      <c r="D133" s="150">
        <v>1770000</v>
      </c>
      <c r="E133" s="20" t="s">
        <v>325</v>
      </c>
      <c r="F133" s="20" t="s">
        <v>326</v>
      </c>
      <c r="G133" s="8" t="str">
        <f t="shared" si="2"/>
        <v>BRUDER RICHARD</v>
      </c>
    </row>
    <row r="134" spans="1:7" x14ac:dyDescent="0.25">
      <c r="A134" s="8">
        <v>42785.611504629633</v>
      </c>
      <c r="B134" s="20" t="s">
        <v>285</v>
      </c>
      <c r="C134" s="20" t="s">
        <v>431</v>
      </c>
      <c r="D134" s="150">
        <v>1540000</v>
      </c>
      <c r="E134" s="20" t="s">
        <v>323</v>
      </c>
      <c r="F134" s="20" t="s">
        <v>324</v>
      </c>
      <c r="G134" s="8" t="str">
        <f t="shared" si="2"/>
        <v>HELVIE ADAM</v>
      </c>
    </row>
    <row r="135" spans="1:7" x14ac:dyDescent="0.25">
      <c r="A135" s="8">
        <v>42785.613368055558</v>
      </c>
      <c r="B135" s="20" t="s">
        <v>255</v>
      </c>
      <c r="C135" s="20" t="s">
        <v>571</v>
      </c>
      <c r="D135" s="150">
        <v>2250000</v>
      </c>
      <c r="E135" s="20" t="s">
        <v>532</v>
      </c>
      <c r="F135" s="20" t="s">
        <v>533</v>
      </c>
      <c r="G135" s="8" t="str">
        <f t="shared" si="2"/>
        <v>CRAYTON QUNTRELL</v>
      </c>
    </row>
    <row r="136" spans="1:7" x14ac:dyDescent="0.25">
      <c r="A136" s="8">
        <v>42785.615266203706</v>
      </c>
      <c r="B136" s="20" t="s">
        <v>367</v>
      </c>
      <c r="C136" s="20" t="s">
        <v>572</v>
      </c>
      <c r="D136" s="150">
        <v>880000</v>
      </c>
      <c r="E136" s="20" t="s">
        <v>529</v>
      </c>
      <c r="F136" s="20" t="s">
        <v>202</v>
      </c>
      <c r="G136" s="8" t="str">
        <f t="shared" si="2"/>
        <v>STEWART MICHAEL</v>
      </c>
    </row>
    <row r="137" spans="1:7" x14ac:dyDescent="0.25">
      <c r="A137" s="8">
        <v>42785.621087962965</v>
      </c>
      <c r="B137" s="20" t="s">
        <v>225</v>
      </c>
      <c r="C137" s="20" t="s">
        <v>433</v>
      </c>
      <c r="D137" s="150">
        <v>2470000</v>
      </c>
      <c r="E137" s="20" t="s">
        <v>520</v>
      </c>
      <c r="F137" s="20" t="s">
        <v>521</v>
      </c>
      <c r="G137" s="8" t="str">
        <f t="shared" si="2"/>
        <v>ROMERO CHAD</v>
      </c>
    </row>
    <row r="138" spans="1:7" x14ac:dyDescent="0.25">
      <c r="A138" s="8">
        <v>42785.623541666668</v>
      </c>
      <c r="B138" s="20" t="s">
        <v>366</v>
      </c>
      <c r="C138" s="20" t="s">
        <v>573</v>
      </c>
      <c r="D138" s="150">
        <v>920000</v>
      </c>
      <c r="E138" s="20" t="s">
        <v>539</v>
      </c>
      <c r="F138" s="20" t="s">
        <v>202</v>
      </c>
      <c r="G138" s="8" t="str">
        <f t="shared" si="2"/>
        <v>DAVIS MICHAEL</v>
      </c>
    </row>
    <row r="139" spans="1:7" x14ac:dyDescent="0.25">
      <c r="A139" s="8">
        <v>42785.633796296293</v>
      </c>
      <c r="B139" s="20" t="s">
        <v>274</v>
      </c>
      <c r="C139" s="20" t="s">
        <v>574</v>
      </c>
      <c r="D139" s="150">
        <v>2530000</v>
      </c>
      <c r="E139" s="20" t="s">
        <v>575</v>
      </c>
      <c r="F139" s="20" t="s">
        <v>576</v>
      </c>
      <c r="G139" s="8" t="str">
        <f t="shared" si="2"/>
        <v>LALONDE GREGORY</v>
      </c>
    </row>
    <row r="140" spans="1:7" x14ac:dyDescent="0.25">
      <c r="A140" s="8">
        <v>42785.637129629627</v>
      </c>
      <c r="B140" s="20" t="s">
        <v>249</v>
      </c>
      <c r="C140" s="20" t="s">
        <v>577</v>
      </c>
      <c r="D140" s="150">
        <v>2030000</v>
      </c>
      <c r="E140" s="20" t="s">
        <v>372</v>
      </c>
      <c r="F140" s="20" t="s">
        <v>292</v>
      </c>
      <c r="G140" s="8" t="str">
        <f t="shared" si="2"/>
        <v>KILLION DAVID</v>
      </c>
    </row>
    <row r="141" spans="1:7" x14ac:dyDescent="0.25">
      <c r="A141" s="8">
        <v>42785.637233796297</v>
      </c>
      <c r="B141" s="20" t="s">
        <v>232</v>
      </c>
      <c r="C141" s="20" t="s">
        <v>578</v>
      </c>
      <c r="D141" s="150">
        <v>1540000</v>
      </c>
      <c r="E141" s="20" t="s">
        <v>323</v>
      </c>
      <c r="F141" s="20" t="s">
        <v>324</v>
      </c>
      <c r="G141" s="8" t="str">
        <f t="shared" si="2"/>
        <v>HELVIE ADAM</v>
      </c>
    </row>
    <row r="142" spans="1:7" x14ac:dyDescent="0.25">
      <c r="A142" s="8">
        <v>42785.643425925926</v>
      </c>
      <c r="B142" s="20" t="s">
        <v>271</v>
      </c>
      <c r="C142" s="20" t="s">
        <v>579</v>
      </c>
      <c r="D142" s="150">
        <v>2480000</v>
      </c>
      <c r="E142" s="20" t="s">
        <v>377</v>
      </c>
      <c r="F142" s="20" t="s">
        <v>216</v>
      </c>
      <c r="G142" s="8" t="str">
        <f t="shared" si="2"/>
        <v>WHITED DUSTIN</v>
      </c>
    </row>
    <row r="143" spans="1:7" x14ac:dyDescent="0.25">
      <c r="A143" s="8">
        <v>42785.650578703702</v>
      </c>
      <c r="B143" s="20" t="s">
        <v>285</v>
      </c>
      <c r="C143" s="20" t="s">
        <v>580</v>
      </c>
      <c r="D143" s="150">
        <v>1540000</v>
      </c>
      <c r="E143" s="20" t="s">
        <v>323</v>
      </c>
      <c r="F143" s="20" t="s">
        <v>324</v>
      </c>
      <c r="G143" s="8" t="str">
        <f t="shared" si="2"/>
        <v>HELVIE ADAM</v>
      </c>
    </row>
    <row r="144" spans="1:7" x14ac:dyDescent="0.25">
      <c r="A144" s="8">
        <v>42785.651238425926</v>
      </c>
      <c r="B144" s="20" t="s">
        <v>365</v>
      </c>
      <c r="C144" s="20" t="s">
        <v>581</v>
      </c>
      <c r="D144" s="150">
        <v>880000</v>
      </c>
      <c r="E144" s="20" t="s">
        <v>529</v>
      </c>
      <c r="F144" s="20" t="s">
        <v>202</v>
      </c>
      <c r="G144" s="8" t="str">
        <f t="shared" si="2"/>
        <v>STEWART MICHAEL</v>
      </c>
    </row>
    <row r="145" spans="1:7" x14ac:dyDescent="0.25">
      <c r="A145" s="8">
        <v>42785.653437499997</v>
      </c>
      <c r="B145" s="20" t="s">
        <v>254</v>
      </c>
      <c r="C145" s="20" t="s">
        <v>582</v>
      </c>
      <c r="D145" s="150">
        <v>2250000</v>
      </c>
      <c r="E145" s="20" t="s">
        <v>532</v>
      </c>
      <c r="F145" s="20" t="s">
        <v>533</v>
      </c>
      <c r="G145" s="8" t="str">
        <f t="shared" si="2"/>
        <v>CRAYTON QUNTRELL</v>
      </c>
    </row>
    <row r="146" spans="1:7" x14ac:dyDescent="0.25">
      <c r="A146" s="8">
        <v>42785.661307870374</v>
      </c>
      <c r="B146" s="20" t="s">
        <v>371</v>
      </c>
      <c r="C146" s="20" t="s">
        <v>583</v>
      </c>
      <c r="D146" s="150">
        <v>920000</v>
      </c>
      <c r="E146" s="20" t="s">
        <v>539</v>
      </c>
      <c r="F146" s="20" t="s">
        <v>202</v>
      </c>
      <c r="G146" s="8" t="str">
        <f t="shared" si="2"/>
        <v>DAVIS MICHAEL</v>
      </c>
    </row>
    <row r="147" spans="1:7" x14ac:dyDescent="0.25">
      <c r="A147" s="8">
        <v>42785.663738425923</v>
      </c>
      <c r="B147" s="20" t="s">
        <v>269</v>
      </c>
      <c r="C147" s="20" t="s">
        <v>435</v>
      </c>
      <c r="D147" s="150">
        <v>2530000</v>
      </c>
      <c r="E147" s="20" t="s">
        <v>575</v>
      </c>
      <c r="F147" s="20" t="s">
        <v>576</v>
      </c>
      <c r="G147" s="8" t="str">
        <f t="shared" si="2"/>
        <v>LALONDE GREGORY</v>
      </c>
    </row>
    <row r="148" spans="1:7" x14ac:dyDescent="0.25">
      <c r="A148" s="8">
        <v>42785.666122685187</v>
      </c>
      <c r="B148" s="20" t="s">
        <v>263</v>
      </c>
      <c r="C148" s="20" t="s">
        <v>584</v>
      </c>
      <c r="D148" s="150">
        <v>2470000</v>
      </c>
      <c r="E148" s="20" t="s">
        <v>520</v>
      </c>
      <c r="F148" s="20" t="s">
        <v>521</v>
      </c>
      <c r="G148" s="8" t="str">
        <f t="shared" si="2"/>
        <v>ROMERO CHAD</v>
      </c>
    </row>
    <row r="149" spans="1:7" x14ac:dyDescent="0.25">
      <c r="A149" s="8">
        <v>42785.67695601852</v>
      </c>
      <c r="B149" s="20" t="s">
        <v>277</v>
      </c>
      <c r="C149" s="20" t="s">
        <v>585</v>
      </c>
      <c r="D149" s="150">
        <v>2030000</v>
      </c>
      <c r="E149" s="20" t="s">
        <v>372</v>
      </c>
      <c r="F149" s="20" t="s">
        <v>292</v>
      </c>
      <c r="G149" s="8" t="str">
        <f t="shared" si="2"/>
        <v>KILLION DAVID</v>
      </c>
    </row>
    <row r="150" spans="1:7" x14ac:dyDescent="0.25">
      <c r="A150" s="8">
        <v>42785.677465277775</v>
      </c>
      <c r="B150" s="20" t="s">
        <v>232</v>
      </c>
      <c r="C150" s="20" t="s">
        <v>586</v>
      </c>
      <c r="D150" s="150">
        <v>1540000</v>
      </c>
      <c r="E150" s="20" t="s">
        <v>323</v>
      </c>
      <c r="F150" s="20" t="s">
        <v>324</v>
      </c>
      <c r="G150" s="8" t="str">
        <f t="shared" si="2"/>
        <v>HELVIE ADAM</v>
      </c>
    </row>
    <row r="151" spans="1:7" x14ac:dyDescent="0.25">
      <c r="A151" s="8">
        <v>42785.680023148147</v>
      </c>
      <c r="B151" s="20" t="s">
        <v>272</v>
      </c>
      <c r="C151" s="20" t="s">
        <v>587</v>
      </c>
      <c r="D151" s="150">
        <v>2480000</v>
      </c>
      <c r="E151" s="20" t="s">
        <v>377</v>
      </c>
      <c r="F151" s="20" t="s">
        <v>216</v>
      </c>
      <c r="G151" s="8" t="str">
        <f t="shared" si="2"/>
        <v>WHITED DUSTIN</v>
      </c>
    </row>
    <row r="152" spans="1:7" x14ac:dyDescent="0.25">
      <c r="A152" s="8">
        <v>42785.686157407406</v>
      </c>
      <c r="B152" s="20" t="s">
        <v>367</v>
      </c>
      <c r="C152" s="20" t="s">
        <v>434</v>
      </c>
      <c r="D152" s="150">
        <v>880000</v>
      </c>
      <c r="E152" s="20" t="s">
        <v>529</v>
      </c>
      <c r="F152" s="20" t="s">
        <v>202</v>
      </c>
      <c r="G152" s="8" t="str">
        <f t="shared" si="2"/>
        <v>STEWART MICHAEL</v>
      </c>
    </row>
    <row r="153" spans="1:7" x14ac:dyDescent="0.25">
      <c r="A153" s="8">
        <v>42785.68917824074</v>
      </c>
      <c r="B153" s="20" t="s">
        <v>255</v>
      </c>
      <c r="C153" s="20" t="s">
        <v>588</v>
      </c>
      <c r="D153" s="150">
        <v>2250000</v>
      </c>
      <c r="E153" s="20" t="s">
        <v>532</v>
      </c>
      <c r="F153" s="20" t="s">
        <v>533</v>
      </c>
      <c r="G153" s="8" t="str">
        <f t="shared" si="2"/>
        <v>CRAYTON QUNTRELL</v>
      </c>
    </row>
    <row r="154" spans="1:7" x14ac:dyDescent="0.25">
      <c r="A154" s="8">
        <v>42785.692604166667</v>
      </c>
      <c r="B154" s="20" t="s">
        <v>285</v>
      </c>
      <c r="C154" s="20" t="s">
        <v>589</v>
      </c>
      <c r="D154" s="150">
        <v>1540000</v>
      </c>
      <c r="E154" s="20" t="s">
        <v>323</v>
      </c>
      <c r="F154" s="20" t="s">
        <v>324</v>
      </c>
      <c r="G154" s="8" t="str">
        <f t="shared" si="2"/>
        <v>HELVIE ADAM</v>
      </c>
    </row>
    <row r="155" spans="1:7" x14ac:dyDescent="0.25">
      <c r="A155" s="8">
        <v>42785.696145833332</v>
      </c>
      <c r="B155" s="20" t="s">
        <v>366</v>
      </c>
      <c r="C155" s="20" t="s">
        <v>590</v>
      </c>
      <c r="D155" s="150">
        <v>920000</v>
      </c>
      <c r="E155" s="20" t="s">
        <v>539</v>
      </c>
      <c r="F155" s="20" t="s">
        <v>202</v>
      </c>
      <c r="G155" s="8" t="str">
        <f t="shared" si="2"/>
        <v>DAVIS MICHAEL</v>
      </c>
    </row>
    <row r="156" spans="1:7" x14ac:dyDescent="0.25">
      <c r="A156" s="8">
        <v>42785.703321759262</v>
      </c>
      <c r="B156" s="20" t="s">
        <v>274</v>
      </c>
      <c r="C156" s="20" t="s">
        <v>591</v>
      </c>
      <c r="D156" s="150">
        <v>1300000</v>
      </c>
      <c r="E156" s="20" t="s">
        <v>536</v>
      </c>
      <c r="F156" s="20" t="s">
        <v>537</v>
      </c>
      <c r="G156" s="8" t="str">
        <f t="shared" si="2"/>
        <v>LEVIN SCOTT</v>
      </c>
    </row>
    <row r="157" spans="1:7" x14ac:dyDescent="0.25">
      <c r="A157" s="8">
        <v>42785.704062500001</v>
      </c>
      <c r="B157" s="20" t="s">
        <v>225</v>
      </c>
      <c r="C157" s="20" t="s">
        <v>592</v>
      </c>
      <c r="D157" s="150">
        <v>2470000</v>
      </c>
      <c r="E157" s="20" t="s">
        <v>520</v>
      </c>
      <c r="F157" s="20" t="s">
        <v>521</v>
      </c>
      <c r="G157" s="8" t="str">
        <f t="shared" si="2"/>
        <v>ROMERO CHAD</v>
      </c>
    </row>
    <row r="158" spans="1:7" x14ac:dyDescent="0.25">
      <c r="A158" s="8">
        <v>42785.710034722222</v>
      </c>
      <c r="B158" s="20" t="s">
        <v>249</v>
      </c>
      <c r="C158" s="20" t="s">
        <v>593</v>
      </c>
      <c r="D158" s="150">
        <v>2030000</v>
      </c>
      <c r="E158" s="20" t="s">
        <v>372</v>
      </c>
      <c r="F158" s="20" t="s">
        <v>292</v>
      </c>
      <c r="G158" s="8" t="str">
        <f t="shared" si="2"/>
        <v>KILLION DAVID</v>
      </c>
    </row>
    <row r="159" spans="1:7" x14ac:dyDescent="0.25">
      <c r="A159" s="8">
        <v>42785.716041666667</v>
      </c>
      <c r="B159" s="20" t="s">
        <v>271</v>
      </c>
      <c r="C159" s="20" t="s">
        <v>594</v>
      </c>
      <c r="D159" s="150">
        <v>2600000</v>
      </c>
      <c r="E159" s="20" t="s">
        <v>595</v>
      </c>
      <c r="F159" s="20" t="s">
        <v>292</v>
      </c>
      <c r="G159" s="8" t="str">
        <f t="shared" si="2"/>
        <v>DAVIDSON DAVID</v>
      </c>
    </row>
    <row r="160" spans="1:7" x14ac:dyDescent="0.25">
      <c r="A160" s="8">
        <v>42785.720243055555</v>
      </c>
      <c r="B160" s="20" t="s">
        <v>232</v>
      </c>
      <c r="C160" s="20" t="s">
        <v>596</v>
      </c>
      <c r="D160" s="150">
        <v>1540000</v>
      </c>
      <c r="E160" s="20" t="s">
        <v>323</v>
      </c>
      <c r="F160" s="20" t="s">
        <v>324</v>
      </c>
      <c r="G160" s="8" t="str">
        <f t="shared" si="2"/>
        <v>HELVIE ADAM</v>
      </c>
    </row>
    <row r="161" spans="1:7" x14ac:dyDescent="0.25">
      <c r="A161" s="8">
        <v>42785.725937499999</v>
      </c>
      <c r="B161" s="20" t="s">
        <v>365</v>
      </c>
      <c r="C161" s="20" t="s">
        <v>597</v>
      </c>
      <c r="D161" s="150">
        <v>880000</v>
      </c>
      <c r="E161" s="20" t="s">
        <v>529</v>
      </c>
      <c r="F161" s="20" t="s">
        <v>202</v>
      </c>
      <c r="G161" s="8" t="str">
        <f t="shared" si="2"/>
        <v>STEWART MICHAEL</v>
      </c>
    </row>
    <row r="162" spans="1:7" x14ac:dyDescent="0.25">
      <c r="A162" s="8">
        <v>42785.725949074076</v>
      </c>
      <c r="B162" s="20" t="s">
        <v>254</v>
      </c>
      <c r="C162" s="20" t="s">
        <v>598</v>
      </c>
      <c r="D162" s="150">
        <v>2250000</v>
      </c>
      <c r="E162" s="20" t="s">
        <v>532</v>
      </c>
      <c r="F162" s="20" t="s">
        <v>533</v>
      </c>
      <c r="G162" s="8" t="str">
        <f t="shared" si="2"/>
        <v>CRAYTON QUNTRELL</v>
      </c>
    </row>
    <row r="163" spans="1:7" x14ac:dyDescent="0.25">
      <c r="A163" s="8">
        <v>42785.729432870372</v>
      </c>
      <c r="B163" s="20" t="s">
        <v>254</v>
      </c>
      <c r="C163" s="20" t="s">
        <v>598</v>
      </c>
      <c r="D163" s="150">
        <v>2610000</v>
      </c>
      <c r="E163" s="20" t="s">
        <v>450</v>
      </c>
      <c r="F163" s="20" t="s">
        <v>451</v>
      </c>
      <c r="G163" s="8" t="str">
        <f t="shared" si="2"/>
        <v>MAGEE KENYA</v>
      </c>
    </row>
    <row r="164" spans="1:7" x14ac:dyDescent="0.25">
      <c r="A164" s="8">
        <v>42785.734074074076</v>
      </c>
      <c r="B164" s="20" t="s">
        <v>376</v>
      </c>
      <c r="C164" s="20" t="s">
        <v>599</v>
      </c>
      <c r="D164" s="150">
        <v>2630000</v>
      </c>
      <c r="E164" s="20" t="s">
        <v>600</v>
      </c>
      <c r="F164" s="20" t="s">
        <v>601</v>
      </c>
      <c r="G164" s="8" t="str">
        <f t="shared" si="2"/>
        <v>SAFIEF AEIMEN</v>
      </c>
    </row>
    <row r="165" spans="1:7" x14ac:dyDescent="0.25">
      <c r="A165" s="8">
        <v>42785.734525462962</v>
      </c>
      <c r="B165" s="20" t="s">
        <v>285</v>
      </c>
      <c r="C165" s="20" t="s">
        <v>602</v>
      </c>
      <c r="D165" s="150">
        <v>1540000</v>
      </c>
      <c r="E165" s="20" t="s">
        <v>323</v>
      </c>
      <c r="F165" s="20" t="s">
        <v>324</v>
      </c>
      <c r="G165" s="8" t="str">
        <f t="shared" si="2"/>
        <v>HELVIE ADAM</v>
      </c>
    </row>
    <row r="166" spans="1:7" x14ac:dyDescent="0.25">
      <c r="A166" s="8">
        <v>42785.735173611109</v>
      </c>
      <c r="B166" s="20" t="s">
        <v>371</v>
      </c>
      <c r="C166" s="20" t="s">
        <v>603</v>
      </c>
      <c r="D166" s="150">
        <v>920000</v>
      </c>
      <c r="E166" s="20" t="s">
        <v>539</v>
      </c>
      <c r="F166" s="20" t="s">
        <v>202</v>
      </c>
      <c r="G166" s="8" t="str">
        <f t="shared" si="2"/>
        <v>DAVIS MICHAEL</v>
      </c>
    </row>
    <row r="167" spans="1:7" x14ac:dyDescent="0.25">
      <c r="A167" s="8">
        <v>42785.735277777778</v>
      </c>
      <c r="B167" s="20" t="s">
        <v>218</v>
      </c>
      <c r="C167" s="20" t="s">
        <v>604</v>
      </c>
      <c r="D167" s="150">
        <v>2230000</v>
      </c>
      <c r="E167" s="20" t="s">
        <v>373</v>
      </c>
      <c r="F167" s="20" t="s">
        <v>202</v>
      </c>
      <c r="G167" s="8" t="str">
        <f t="shared" si="2"/>
        <v>SMITH MICHAEL</v>
      </c>
    </row>
    <row r="168" spans="1:7" x14ac:dyDescent="0.25">
      <c r="A168" s="8">
        <v>42785.742013888892</v>
      </c>
      <c r="B168" s="20" t="s">
        <v>269</v>
      </c>
      <c r="C168" s="20" t="s">
        <v>605</v>
      </c>
      <c r="D168" s="150">
        <v>1300000</v>
      </c>
      <c r="E168" s="20" t="s">
        <v>536</v>
      </c>
      <c r="F168" s="20" t="s">
        <v>537</v>
      </c>
      <c r="G168" s="8" t="str">
        <f t="shared" si="2"/>
        <v>LEVIN SCOTT</v>
      </c>
    </row>
    <row r="169" spans="1:7" x14ac:dyDescent="0.25">
      <c r="A169" s="8">
        <v>42785.746782407405</v>
      </c>
      <c r="B169" s="20" t="s">
        <v>209</v>
      </c>
      <c r="C169" s="20" t="s">
        <v>606</v>
      </c>
      <c r="D169" s="150">
        <v>2670000</v>
      </c>
      <c r="E169" s="20" t="s">
        <v>244</v>
      </c>
      <c r="F169" s="20" t="s">
        <v>245</v>
      </c>
      <c r="G169" s="8" t="str">
        <f t="shared" si="2"/>
        <v>COMELLA JUSTIN</v>
      </c>
    </row>
    <row r="170" spans="1:7" x14ac:dyDescent="0.25">
      <c r="A170" s="8">
        <v>42785.748298611114</v>
      </c>
      <c r="B170" s="20" t="s">
        <v>263</v>
      </c>
      <c r="C170" s="20" t="s">
        <v>607</v>
      </c>
      <c r="D170" s="150">
        <v>2470000</v>
      </c>
      <c r="E170" s="20" t="s">
        <v>520</v>
      </c>
      <c r="F170" s="20" t="s">
        <v>521</v>
      </c>
      <c r="G170" s="8" t="str">
        <f t="shared" si="2"/>
        <v>ROMERO CHAD</v>
      </c>
    </row>
    <row r="171" spans="1:7" x14ac:dyDescent="0.25">
      <c r="A171" s="8">
        <v>42785.752002314817</v>
      </c>
      <c r="B171" s="20" t="s">
        <v>272</v>
      </c>
      <c r="C171" s="20" t="s">
        <v>608</v>
      </c>
      <c r="D171" s="150">
        <v>2600000</v>
      </c>
      <c r="E171" s="20" t="s">
        <v>595</v>
      </c>
      <c r="F171" s="20" t="s">
        <v>292</v>
      </c>
      <c r="G171" s="8" t="str">
        <f t="shared" si="2"/>
        <v>DAVIDSON DAVID</v>
      </c>
    </row>
    <row r="172" spans="1:7" x14ac:dyDescent="0.25">
      <c r="A172" s="8">
        <v>42785.752233796295</v>
      </c>
      <c r="B172" s="20" t="s">
        <v>277</v>
      </c>
      <c r="C172" s="20" t="s">
        <v>609</v>
      </c>
      <c r="D172" s="150">
        <v>2030000</v>
      </c>
      <c r="E172" s="20" t="s">
        <v>372</v>
      </c>
      <c r="F172" s="20" t="s">
        <v>292</v>
      </c>
      <c r="G172" s="8" t="str">
        <f t="shared" si="2"/>
        <v>KILLION DAVID</v>
      </c>
    </row>
    <row r="173" spans="1:7" x14ac:dyDescent="0.25">
      <c r="A173" s="8">
        <v>42785.753819444442</v>
      </c>
      <c r="B173" s="20" t="s">
        <v>235</v>
      </c>
      <c r="C173" s="20" t="s">
        <v>610</v>
      </c>
      <c r="D173" s="150">
        <v>2230000</v>
      </c>
      <c r="E173" s="20" t="s">
        <v>373</v>
      </c>
      <c r="F173" s="20" t="s">
        <v>202</v>
      </c>
      <c r="G173" s="8" t="str">
        <f t="shared" si="2"/>
        <v>SMITH MICHAEL</v>
      </c>
    </row>
    <row r="174" spans="1:7" x14ac:dyDescent="0.25">
      <c r="A174" s="8">
        <v>42785.762361111112</v>
      </c>
      <c r="B174" s="20" t="s">
        <v>232</v>
      </c>
      <c r="C174" s="20" t="s">
        <v>611</v>
      </c>
      <c r="D174" s="150">
        <v>1540000</v>
      </c>
      <c r="E174" s="20" t="s">
        <v>323</v>
      </c>
      <c r="F174" s="20" t="s">
        <v>324</v>
      </c>
      <c r="G174" s="8" t="str">
        <f t="shared" si="2"/>
        <v>HELVIE ADAM</v>
      </c>
    </row>
    <row r="175" spans="1:7" x14ac:dyDescent="0.25">
      <c r="A175" s="8">
        <v>42785.763622685183</v>
      </c>
      <c r="B175" s="20" t="s">
        <v>255</v>
      </c>
      <c r="C175" s="20" t="s">
        <v>612</v>
      </c>
      <c r="D175" s="150">
        <v>2610000</v>
      </c>
      <c r="E175" s="20" t="s">
        <v>450</v>
      </c>
      <c r="F175" s="20" t="s">
        <v>451</v>
      </c>
      <c r="G175" s="8" t="str">
        <f t="shared" si="2"/>
        <v>MAGEE KENYA</v>
      </c>
    </row>
    <row r="176" spans="1:7" x14ac:dyDescent="0.25">
      <c r="A176" s="8">
        <v>42785.768125000002</v>
      </c>
      <c r="B176" s="20" t="s">
        <v>367</v>
      </c>
      <c r="C176" s="20" t="s">
        <v>613</v>
      </c>
      <c r="D176" s="150">
        <v>880000</v>
      </c>
      <c r="E176" s="20" t="s">
        <v>529</v>
      </c>
      <c r="F176" s="20" t="s">
        <v>202</v>
      </c>
      <c r="G176" s="8" t="str">
        <f t="shared" si="2"/>
        <v>STEWART MICHAEL</v>
      </c>
    </row>
    <row r="177" spans="1:7" x14ac:dyDescent="0.25">
      <c r="A177" s="8">
        <v>42785.77107638889</v>
      </c>
      <c r="B177" s="20" t="s">
        <v>366</v>
      </c>
      <c r="C177" s="20" t="s">
        <v>436</v>
      </c>
      <c r="D177" s="150">
        <v>2000000</v>
      </c>
      <c r="E177" s="20" t="s">
        <v>453</v>
      </c>
      <c r="F177" s="20" t="s">
        <v>199</v>
      </c>
      <c r="G177" s="8" t="str">
        <f t="shared" si="2"/>
        <v>STAMBAUGH JAMES</v>
      </c>
    </row>
    <row r="178" spans="1:7" x14ac:dyDescent="0.25">
      <c r="A178" s="8">
        <v>42785.771307870367</v>
      </c>
      <c r="B178" s="20" t="s">
        <v>459</v>
      </c>
      <c r="C178" s="20" t="s">
        <v>614</v>
      </c>
      <c r="D178" s="150">
        <v>2630000</v>
      </c>
      <c r="E178" s="20" t="s">
        <v>600</v>
      </c>
      <c r="F178" s="20" t="s">
        <v>601</v>
      </c>
      <c r="G178" s="8" t="str">
        <f t="shared" si="2"/>
        <v>SAFIEF AEIMEN</v>
      </c>
    </row>
    <row r="179" spans="1:7" x14ac:dyDescent="0.25">
      <c r="A179" s="8">
        <v>42785.77579861111</v>
      </c>
      <c r="B179" s="20" t="s">
        <v>285</v>
      </c>
      <c r="C179" s="20" t="s">
        <v>615</v>
      </c>
      <c r="D179" s="150">
        <v>1540000</v>
      </c>
      <c r="E179" s="20" t="s">
        <v>323</v>
      </c>
      <c r="F179" s="20" t="s">
        <v>324</v>
      </c>
      <c r="G179" s="8" t="str">
        <f t="shared" si="2"/>
        <v>HELVIE ADAM</v>
      </c>
    </row>
    <row r="180" spans="1:7" x14ac:dyDescent="0.25">
      <c r="A180" s="8">
        <v>42785.775879629633</v>
      </c>
      <c r="B180" s="20" t="s">
        <v>274</v>
      </c>
      <c r="C180" s="20" t="s">
        <v>616</v>
      </c>
      <c r="D180" s="150">
        <v>1300000</v>
      </c>
      <c r="E180" s="20" t="s">
        <v>536</v>
      </c>
      <c r="F180" s="20" t="s">
        <v>537</v>
      </c>
      <c r="G180" s="8" t="str">
        <f t="shared" si="2"/>
        <v>LEVIN SCOTT</v>
      </c>
    </row>
    <row r="181" spans="1:7" x14ac:dyDescent="0.25">
      <c r="A181" s="8">
        <v>42785.785891203705</v>
      </c>
      <c r="B181" s="20" t="s">
        <v>249</v>
      </c>
      <c r="C181" s="20" t="s">
        <v>617</v>
      </c>
      <c r="D181" s="150">
        <v>2030000</v>
      </c>
      <c r="E181" s="20" t="s">
        <v>372</v>
      </c>
      <c r="F181" s="20" t="s">
        <v>292</v>
      </c>
      <c r="G181" s="8" t="str">
        <f t="shared" si="2"/>
        <v>KILLION DAVID</v>
      </c>
    </row>
    <row r="182" spans="1:7" x14ac:dyDescent="0.25">
      <c r="A182" s="8">
        <v>42785.788981481484</v>
      </c>
      <c r="B182" s="20" t="s">
        <v>271</v>
      </c>
      <c r="C182" s="20" t="s">
        <v>618</v>
      </c>
      <c r="D182" s="150">
        <v>2600000</v>
      </c>
      <c r="E182" s="20" t="s">
        <v>595</v>
      </c>
      <c r="F182" s="20" t="s">
        <v>292</v>
      </c>
      <c r="G182" s="8" t="str">
        <f t="shared" si="2"/>
        <v>DAVIDSON DAVID</v>
      </c>
    </row>
    <row r="183" spans="1:7" x14ac:dyDescent="0.25">
      <c r="A183" s="8">
        <v>42785.793912037036</v>
      </c>
      <c r="B183" s="20" t="s">
        <v>213</v>
      </c>
      <c r="C183" s="20" t="s">
        <v>619</v>
      </c>
      <c r="D183" s="150">
        <v>2230000</v>
      </c>
      <c r="E183" s="20" t="s">
        <v>373</v>
      </c>
      <c r="F183" s="20" t="s">
        <v>202</v>
      </c>
      <c r="G183" s="8" t="str">
        <f t="shared" si="2"/>
        <v>SMITH MICHAEL</v>
      </c>
    </row>
    <row r="184" spans="1:7" x14ac:dyDescent="0.25">
      <c r="A184" s="8">
        <v>42785.801493055558</v>
      </c>
      <c r="B184" s="20" t="s">
        <v>371</v>
      </c>
      <c r="C184" s="20" t="s">
        <v>620</v>
      </c>
      <c r="D184" s="150">
        <v>2000000</v>
      </c>
      <c r="E184" s="20" t="s">
        <v>453</v>
      </c>
      <c r="F184" s="20" t="s">
        <v>199</v>
      </c>
      <c r="G184" s="8" t="str">
        <f t="shared" si="2"/>
        <v>STAMBAUGH JAMES</v>
      </c>
    </row>
    <row r="185" spans="1:7" x14ac:dyDescent="0.25">
      <c r="A185" s="8">
        <v>42785.802847222221</v>
      </c>
      <c r="B185" s="20" t="s">
        <v>254</v>
      </c>
      <c r="C185" s="20" t="s">
        <v>621</v>
      </c>
      <c r="D185" s="150">
        <v>2250000</v>
      </c>
      <c r="E185" s="20" t="s">
        <v>532</v>
      </c>
      <c r="F185" s="20" t="s">
        <v>533</v>
      </c>
      <c r="G185" s="8" t="str">
        <f t="shared" si="2"/>
        <v>CRAYTON QUNTRELL</v>
      </c>
    </row>
    <row r="186" spans="1:7" x14ac:dyDescent="0.25">
      <c r="A186" s="8">
        <v>42785.803055555552</v>
      </c>
      <c r="B186" s="20" t="s">
        <v>622</v>
      </c>
      <c r="C186" s="20" t="s">
        <v>623</v>
      </c>
      <c r="D186" s="150">
        <v>2710000</v>
      </c>
      <c r="E186" s="20" t="s">
        <v>624</v>
      </c>
      <c r="F186" s="20" t="s">
        <v>625</v>
      </c>
      <c r="G186" s="8" t="str">
        <f t="shared" si="2"/>
        <v>SIMMONS SHYHESHA</v>
      </c>
    </row>
    <row r="187" spans="1:7" x14ac:dyDescent="0.25">
      <c r="A187" s="8">
        <v>42785.804652777777</v>
      </c>
      <c r="B187" s="20" t="s">
        <v>232</v>
      </c>
      <c r="C187" s="20" t="s">
        <v>437</v>
      </c>
      <c r="D187" s="150">
        <v>1540000</v>
      </c>
      <c r="E187" s="20" t="s">
        <v>323</v>
      </c>
      <c r="F187" s="20" t="s">
        <v>324</v>
      </c>
      <c r="G187" s="8" t="str">
        <f t="shared" si="2"/>
        <v>HELVIE ADAM</v>
      </c>
    </row>
    <row r="188" spans="1:7" x14ac:dyDescent="0.25">
      <c r="A188" s="8">
        <v>42785.812534722223</v>
      </c>
      <c r="B188" s="20" t="s">
        <v>376</v>
      </c>
      <c r="C188" s="20" t="s">
        <v>626</v>
      </c>
      <c r="D188" s="150">
        <v>2670000</v>
      </c>
      <c r="E188" s="20" t="s">
        <v>244</v>
      </c>
      <c r="F188" s="20" t="s">
        <v>245</v>
      </c>
      <c r="G188" s="8" t="str">
        <f t="shared" si="2"/>
        <v>COMELLA JUSTIN</v>
      </c>
    </row>
    <row r="189" spans="1:7" x14ac:dyDescent="0.25">
      <c r="A189" s="8">
        <v>42785.816736111112</v>
      </c>
      <c r="B189" s="20" t="s">
        <v>438</v>
      </c>
      <c r="C189" s="20" t="s">
        <v>439</v>
      </c>
      <c r="D189" s="150">
        <v>2730000</v>
      </c>
      <c r="E189" s="20" t="s">
        <v>627</v>
      </c>
      <c r="F189" s="20" t="s">
        <v>628</v>
      </c>
      <c r="G189" s="8" t="str">
        <f t="shared" si="2"/>
        <v>YANG JAN</v>
      </c>
    </row>
    <row r="190" spans="1:7" x14ac:dyDescent="0.25">
      <c r="A190" s="8">
        <v>42785.817800925928</v>
      </c>
      <c r="B190" s="20" t="s">
        <v>277</v>
      </c>
      <c r="C190" s="20" t="s">
        <v>629</v>
      </c>
      <c r="D190" s="150">
        <v>2030000</v>
      </c>
      <c r="E190" s="20" t="s">
        <v>372</v>
      </c>
      <c r="F190" s="20" t="s">
        <v>292</v>
      </c>
      <c r="G190" s="8" t="str">
        <f t="shared" si="2"/>
        <v>KILLION DAVID</v>
      </c>
    </row>
    <row r="191" spans="1:7" x14ac:dyDescent="0.25">
      <c r="A191" s="8">
        <v>42785.818136574075</v>
      </c>
      <c r="B191" s="20" t="s">
        <v>285</v>
      </c>
      <c r="C191" s="20" t="s">
        <v>630</v>
      </c>
      <c r="D191" s="150">
        <v>1540000</v>
      </c>
      <c r="E191" s="20" t="s">
        <v>323</v>
      </c>
      <c r="F191" s="20" t="s">
        <v>324</v>
      </c>
      <c r="G191" s="8" t="str">
        <f t="shared" si="2"/>
        <v>HELVIE ADAM</v>
      </c>
    </row>
    <row r="192" spans="1:7" x14ac:dyDescent="0.25">
      <c r="A192" s="8">
        <v>42785.824780092589</v>
      </c>
      <c r="B192" s="20" t="s">
        <v>272</v>
      </c>
      <c r="C192" s="20" t="s">
        <v>631</v>
      </c>
      <c r="D192" s="150">
        <v>2600000</v>
      </c>
      <c r="E192" s="20" t="s">
        <v>595</v>
      </c>
      <c r="F192" s="20" t="s">
        <v>292</v>
      </c>
      <c r="G192" s="8" t="str">
        <f t="shared" si="2"/>
        <v>DAVIDSON DAVID</v>
      </c>
    </row>
    <row r="193" spans="1:7" x14ac:dyDescent="0.25">
      <c r="A193" s="8">
        <v>42785.828761574077</v>
      </c>
      <c r="B193" s="20" t="s">
        <v>235</v>
      </c>
      <c r="C193" s="20" t="s">
        <v>632</v>
      </c>
      <c r="D193" s="150">
        <v>2230000</v>
      </c>
      <c r="E193" s="20" t="s">
        <v>373</v>
      </c>
      <c r="F193" s="20" t="s">
        <v>202</v>
      </c>
      <c r="G193" s="8" t="str">
        <f t="shared" si="2"/>
        <v>SMITH MICHAEL</v>
      </c>
    </row>
    <row r="194" spans="1:7" x14ac:dyDescent="0.25">
      <c r="A194" s="8">
        <v>42785.83934027778</v>
      </c>
      <c r="B194" s="20" t="s">
        <v>366</v>
      </c>
      <c r="C194" s="20" t="s">
        <v>633</v>
      </c>
      <c r="D194" s="150">
        <v>2000000</v>
      </c>
      <c r="E194" s="20" t="s">
        <v>453</v>
      </c>
      <c r="F194" s="20" t="s">
        <v>199</v>
      </c>
      <c r="G194" s="8" t="str">
        <f t="shared" si="2"/>
        <v>STAMBAUGH JAMES</v>
      </c>
    </row>
    <row r="195" spans="1:7" x14ac:dyDescent="0.25">
      <c r="A195" s="8">
        <v>42785.841643518521</v>
      </c>
      <c r="B195" s="20" t="s">
        <v>622</v>
      </c>
      <c r="C195" s="20" t="s">
        <v>623</v>
      </c>
      <c r="D195" s="150">
        <v>2710000</v>
      </c>
      <c r="E195" s="20" t="s">
        <v>624</v>
      </c>
      <c r="F195" s="20" t="s">
        <v>625</v>
      </c>
      <c r="G195" s="8" t="str">
        <f t="shared" ref="G195:G258" si="3">E195&amp;" "&amp;F195</f>
        <v>SIMMONS SHYHESHA</v>
      </c>
    </row>
    <row r="196" spans="1:7" x14ac:dyDescent="0.25">
      <c r="A196" s="8">
        <v>42785.845405092594</v>
      </c>
      <c r="B196" s="20" t="s">
        <v>232</v>
      </c>
      <c r="C196" s="20" t="s">
        <v>634</v>
      </c>
      <c r="D196" s="150">
        <v>1540000</v>
      </c>
      <c r="E196" s="20" t="s">
        <v>323</v>
      </c>
      <c r="F196" s="20" t="s">
        <v>324</v>
      </c>
      <c r="G196" s="8" t="str">
        <f t="shared" si="3"/>
        <v>HELVIE ADAM</v>
      </c>
    </row>
    <row r="197" spans="1:7" x14ac:dyDescent="0.25">
      <c r="A197" s="8">
        <v>42785.847326388888</v>
      </c>
      <c r="B197" s="20" t="s">
        <v>459</v>
      </c>
      <c r="C197" s="20" t="s">
        <v>635</v>
      </c>
      <c r="D197" s="150">
        <v>2670000</v>
      </c>
      <c r="E197" s="20" t="s">
        <v>244</v>
      </c>
      <c r="F197" s="20" t="s">
        <v>245</v>
      </c>
      <c r="G197" s="8" t="str">
        <f t="shared" si="3"/>
        <v>COMELLA JUSTIN</v>
      </c>
    </row>
    <row r="198" spans="1:7" x14ac:dyDescent="0.25">
      <c r="A198" s="8">
        <v>42785.858576388891</v>
      </c>
      <c r="B198" s="20" t="s">
        <v>285</v>
      </c>
      <c r="C198" s="20" t="s">
        <v>636</v>
      </c>
      <c r="D198" s="150">
        <v>1540000</v>
      </c>
      <c r="E198" s="20" t="s">
        <v>323</v>
      </c>
      <c r="F198" s="20" t="s">
        <v>324</v>
      </c>
      <c r="G198" s="8" t="str">
        <f t="shared" si="3"/>
        <v>HELVIE ADAM</v>
      </c>
    </row>
    <row r="199" spans="1:7" x14ac:dyDescent="0.25">
      <c r="A199" s="8">
        <v>42785.86346064815</v>
      </c>
      <c r="B199" s="20" t="s">
        <v>213</v>
      </c>
      <c r="C199" s="20" t="s">
        <v>637</v>
      </c>
      <c r="D199" s="150">
        <v>2230000</v>
      </c>
      <c r="E199" s="20" t="s">
        <v>373</v>
      </c>
      <c r="F199" s="20" t="s">
        <v>202</v>
      </c>
      <c r="G199" s="8" t="str">
        <f t="shared" si="3"/>
        <v>SMITH MICHAEL</v>
      </c>
    </row>
    <row r="200" spans="1:7" x14ac:dyDescent="0.25">
      <c r="A200" s="8">
        <v>42785.867372685185</v>
      </c>
      <c r="B200" s="20" t="s">
        <v>438</v>
      </c>
      <c r="C200" s="20" t="s">
        <v>439</v>
      </c>
      <c r="D200" s="150">
        <v>2730000</v>
      </c>
      <c r="E200" s="20" t="s">
        <v>627</v>
      </c>
      <c r="F200" s="20" t="s">
        <v>628</v>
      </c>
      <c r="G200" s="8" t="str">
        <f t="shared" si="3"/>
        <v>YANG JAN</v>
      </c>
    </row>
    <row r="201" spans="1:7" x14ac:dyDescent="0.25">
      <c r="A201" s="8">
        <v>42785.868611111109</v>
      </c>
      <c r="B201" s="20" t="s">
        <v>271</v>
      </c>
      <c r="C201" s="20" t="s">
        <v>638</v>
      </c>
      <c r="D201" s="150">
        <v>2600000</v>
      </c>
      <c r="E201" s="20" t="s">
        <v>595</v>
      </c>
      <c r="F201" s="20" t="s">
        <v>292</v>
      </c>
      <c r="G201" s="8" t="str">
        <f t="shared" si="3"/>
        <v>DAVIDSON DAVID</v>
      </c>
    </row>
    <row r="202" spans="1:7" x14ac:dyDescent="0.25">
      <c r="A202" s="26">
        <v>42785.880798611113</v>
      </c>
      <c r="B202" s="20" t="s">
        <v>376</v>
      </c>
      <c r="C202" s="20" t="s">
        <v>639</v>
      </c>
      <c r="D202" s="150">
        <v>2630000</v>
      </c>
      <c r="E202" s="20" t="s">
        <v>600</v>
      </c>
      <c r="F202" s="20" t="s">
        <v>601</v>
      </c>
      <c r="G202" s="8" t="str">
        <f t="shared" si="3"/>
        <v>SAFIEF AEIMEN</v>
      </c>
    </row>
    <row r="203" spans="1:7" x14ac:dyDescent="0.25">
      <c r="A203" s="8">
        <v>42785.884988425925</v>
      </c>
      <c r="B203" s="20" t="s">
        <v>371</v>
      </c>
      <c r="C203" s="20" t="s">
        <v>640</v>
      </c>
      <c r="D203" s="150">
        <v>2000000</v>
      </c>
      <c r="E203" s="20" t="s">
        <v>453</v>
      </c>
      <c r="F203" s="20" t="s">
        <v>199</v>
      </c>
      <c r="G203" s="8" t="str">
        <f t="shared" si="3"/>
        <v>STAMBAUGH JAMES</v>
      </c>
    </row>
    <row r="204" spans="1:7" x14ac:dyDescent="0.25">
      <c r="A204" s="8">
        <v>42785.886180555557</v>
      </c>
      <c r="B204" s="20" t="s">
        <v>232</v>
      </c>
      <c r="C204" s="20" t="s">
        <v>641</v>
      </c>
      <c r="D204" s="150">
        <v>1540000</v>
      </c>
      <c r="E204" s="20" t="s">
        <v>323</v>
      </c>
      <c r="F204" s="20" t="s">
        <v>324</v>
      </c>
      <c r="G204" s="8" t="str">
        <f t="shared" si="3"/>
        <v>HELVIE ADAM</v>
      </c>
    </row>
    <row r="205" spans="1:7" x14ac:dyDescent="0.25">
      <c r="A205" s="8">
        <v>42785.889594907407</v>
      </c>
      <c r="B205" s="20" t="s">
        <v>622</v>
      </c>
      <c r="C205" s="20" t="s">
        <v>439</v>
      </c>
      <c r="D205" s="150">
        <v>2730000</v>
      </c>
      <c r="E205" s="20" t="s">
        <v>627</v>
      </c>
      <c r="F205" s="20" t="s">
        <v>628</v>
      </c>
      <c r="G205" s="8" t="str">
        <f t="shared" si="3"/>
        <v>YANG JAN</v>
      </c>
    </row>
    <row r="206" spans="1:7" x14ac:dyDescent="0.25">
      <c r="A206" s="8">
        <v>42785.890277777777</v>
      </c>
      <c r="B206" s="20" t="s">
        <v>622</v>
      </c>
      <c r="C206" s="20" t="s">
        <v>439</v>
      </c>
      <c r="D206" s="150">
        <v>2730000</v>
      </c>
      <c r="E206" s="20" t="s">
        <v>627</v>
      </c>
      <c r="F206" s="20" t="s">
        <v>628</v>
      </c>
      <c r="G206" s="8" t="str">
        <f t="shared" si="3"/>
        <v>YANG JAN</v>
      </c>
    </row>
    <row r="207" spans="1:7" x14ac:dyDescent="0.25">
      <c r="A207" s="8">
        <v>42785.900266203702</v>
      </c>
      <c r="B207" s="20" t="s">
        <v>285</v>
      </c>
      <c r="C207" s="20" t="s">
        <v>642</v>
      </c>
      <c r="D207" s="150">
        <v>1540000</v>
      </c>
      <c r="E207" s="20" t="s">
        <v>323</v>
      </c>
      <c r="F207" s="20" t="s">
        <v>324</v>
      </c>
      <c r="G207" s="8" t="str">
        <f t="shared" si="3"/>
        <v>HELVIE ADAM</v>
      </c>
    </row>
    <row r="208" spans="1:7" x14ac:dyDescent="0.25">
      <c r="A208" s="8">
        <v>42785.900625000002</v>
      </c>
      <c r="B208" s="20" t="s">
        <v>213</v>
      </c>
      <c r="C208" s="20" t="s">
        <v>637</v>
      </c>
      <c r="D208" s="150">
        <v>2230000</v>
      </c>
      <c r="E208" s="20" t="s">
        <v>373</v>
      </c>
      <c r="F208" s="20" t="s">
        <v>202</v>
      </c>
      <c r="G208" s="8" t="str">
        <f t="shared" si="3"/>
        <v>SMITH MICHAEL</v>
      </c>
    </row>
    <row r="209" spans="1:7" x14ac:dyDescent="0.25">
      <c r="A209" s="8">
        <v>42785.907511574071</v>
      </c>
      <c r="B209" s="20" t="s">
        <v>272</v>
      </c>
      <c r="C209" s="20" t="s">
        <v>643</v>
      </c>
      <c r="D209" s="150">
        <v>2600000</v>
      </c>
      <c r="E209" s="20" t="s">
        <v>595</v>
      </c>
      <c r="F209" s="20" t="s">
        <v>292</v>
      </c>
      <c r="G209" s="8" t="str">
        <f t="shared" si="3"/>
        <v>DAVIDSON DAVID</v>
      </c>
    </row>
    <row r="210" spans="1:7" x14ac:dyDescent="0.25">
      <c r="A210" s="8">
        <v>42785.909004629626</v>
      </c>
      <c r="B210" s="20" t="s">
        <v>235</v>
      </c>
      <c r="C210" s="20" t="s">
        <v>440</v>
      </c>
      <c r="D210" s="150">
        <v>2230000</v>
      </c>
      <c r="E210" s="20" t="s">
        <v>373</v>
      </c>
      <c r="F210" s="20" t="s">
        <v>202</v>
      </c>
      <c r="G210" s="8" t="str">
        <f t="shared" si="3"/>
        <v>SMITH MICHAEL</v>
      </c>
    </row>
    <row r="211" spans="1:7" x14ac:dyDescent="0.25">
      <c r="A211" s="8">
        <v>42785.911678240744</v>
      </c>
      <c r="B211" s="20" t="s">
        <v>438</v>
      </c>
      <c r="C211" s="20" t="s">
        <v>439</v>
      </c>
      <c r="D211" s="150">
        <v>2730000</v>
      </c>
      <c r="E211" s="20" t="s">
        <v>627</v>
      </c>
      <c r="F211" s="20" t="s">
        <v>628</v>
      </c>
      <c r="G211" s="8" t="str">
        <f t="shared" si="3"/>
        <v>YANG JAN</v>
      </c>
    </row>
    <row r="212" spans="1:7" x14ac:dyDescent="0.25">
      <c r="A212" s="8">
        <v>42785.91238425926</v>
      </c>
      <c r="B212" s="20" t="s">
        <v>438</v>
      </c>
      <c r="C212" s="20" t="s">
        <v>439</v>
      </c>
      <c r="D212" s="150">
        <v>2730000</v>
      </c>
      <c r="E212" s="20" t="s">
        <v>627</v>
      </c>
      <c r="F212" s="20" t="s">
        <v>628</v>
      </c>
      <c r="G212" s="8" t="str">
        <f t="shared" si="3"/>
        <v>YANG JAN</v>
      </c>
    </row>
    <row r="213" spans="1:7" x14ac:dyDescent="0.25">
      <c r="A213" s="8">
        <v>42785.922719907408</v>
      </c>
      <c r="B213" s="20" t="s">
        <v>366</v>
      </c>
      <c r="C213" s="20" t="s">
        <v>441</v>
      </c>
      <c r="D213" s="150">
        <v>2000000</v>
      </c>
      <c r="E213" s="20" t="s">
        <v>453</v>
      </c>
      <c r="F213" s="20" t="s">
        <v>199</v>
      </c>
      <c r="G213" s="8" t="str">
        <f t="shared" si="3"/>
        <v>STAMBAUGH JAMES</v>
      </c>
    </row>
    <row r="214" spans="1:7" x14ac:dyDescent="0.25">
      <c r="A214" s="8">
        <v>42785.92627314815</v>
      </c>
      <c r="B214" s="20" t="s">
        <v>459</v>
      </c>
      <c r="C214" s="20" t="s">
        <v>644</v>
      </c>
      <c r="D214" s="150">
        <v>2630000</v>
      </c>
      <c r="E214" s="20" t="s">
        <v>600</v>
      </c>
      <c r="F214" s="20" t="s">
        <v>601</v>
      </c>
      <c r="G214" s="8" t="str">
        <f t="shared" si="3"/>
        <v>SAFIEF AEIMEN</v>
      </c>
    </row>
    <row r="215" spans="1:7" x14ac:dyDescent="0.25">
      <c r="A215" s="8">
        <v>42785.928171296298</v>
      </c>
      <c r="B215" s="20" t="s">
        <v>232</v>
      </c>
      <c r="C215" s="20" t="s">
        <v>645</v>
      </c>
      <c r="D215" s="150">
        <v>1540000</v>
      </c>
      <c r="E215" s="20" t="s">
        <v>323</v>
      </c>
      <c r="F215" s="20" t="s">
        <v>324</v>
      </c>
      <c r="G215" s="8" t="str">
        <f t="shared" si="3"/>
        <v>HELVIE ADAM</v>
      </c>
    </row>
    <row r="216" spans="1:7" x14ac:dyDescent="0.25">
      <c r="A216" s="8">
        <v>42785.938125000001</v>
      </c>
      <c r="B216" s="20" t="s">
        <v>622</v>
      </c>
      <c r="C216" s="20" t="s">
        <v>623</v>
      </c>
      <c r="D216" s="150">
        <v>2710000</v>
      </c>
      <c r="E216" s="20" t="s">
        <v>624</v>
      </c>
      <c r="F216" s="20" t="s">
        <v>625</v>
      </c>
      <c r="G216" s="8" t="str">
        <f t="shared" si="3"/>
        <v>SIMMONS SHYHESHA</v>
      </c>
    </row>
    <row r="217" spans="1:7" x14ac:dyDescent="0.25">
      <c r="A217" s="8">
        <v>42785.94153935185</v>
      </c>
      <c r="B217" s="20" t="s">
        <v>285</v>
      </c>
      <c r="C217" s="20" t="s">
        <v>646</v>
      </c>
      <c r="D217" s="150">
        <v>1540000</v>
      </c>
      <c r="E217" s="20" t="s">
        <v>323</v>
      </c>
      <c r="F217" s="20" t="s">
        <v>324</v>
      </c>
      <c r="G217" s="8" t="str">
        <f t="shared" si="3"/>
        <v>HELVIE ADAM</v>
      </c>
    </row>
    <row r="218" spans="1:7" x14ac:dyDescent="0.25">
      <c r="A218" s="8">
        <v>42785.946620370371</v>
      </c>
      <c r="B218" s="20" t="s">
        <v>213</v>
      </c>
      <c r="C218" s="20" t="s">
        <v>647</v>
      </c>
      <c r="D218" s="150">
        <v>2230000</v>
      </c>
      <c r="E218" s="20" t="s">
        <v>373</v>
      </c>
      <c r="F218" s="20" t="s">
        <v>202</v>
      </c>
      <c r="G218" s="8" t="str">
        <f t="shared" si="3"/>
        <v>SMITH MICHAEL</v>
      </c>
    </row>
    <row r="219" spans="1:7" x14ac:dyDescent="0.25">
      <c r="A219" s="8">
        <v>42785.953634259262</v>
      </c>
      <c r="B219" s="20" t="s">
        <v>271</v>
      </c>
      <c r="C219" s="20" t="s">
        <v>648</v>
      </c>
      <c r="D219" s="150">
        <v>2600000</v>
      </c>
      <c r="E219" s="20" t="s">
        <v>595</v>
      </c>
      <c r="F219" s="20" t="s">
        <v>292</v>
      </c>
      <c r="G219" s="8" t="str">
        <f t="shared" si="3"/>
        <v>DAVIDSON DAVID</v>
      </c>
    </row>
    <row r="220" spans="1:7" x14ac:dyDescent="0.25">
      <c r="A220" s="8">
        <v>42785.963680555556</v>
      </c>
      <c r="B220" s="20" t="s">
        <v>438</v>
      </c>
      <c r="C220" s="20" t="s">
        <v>439</v>
      </c>
      <c r="D220" s="150">
        <v>2730000</v>
      </c>
      <c r="E220" s="20" t="s">
        <v>627</v>
      </c>
      <c r="F220" s="20" t="s">
        <v>628</v>
      </c>
      <c r="G220" s="8" t="str">
        <f t="shared" si="3"/>
        <v>YANG JAN</v>
      </c>
    </row>
    <row r="221" spans="1:7" x14ac:dyDescent="0.25">
      <c r="A221" s="8">
        <v>42785.964837962965</v>
      </c>
      <c r="B221" s="20" t="s">
        <v>376</v>
      </c>
      <c r="C221" s="20" t="s">
        <v>649</v>
      </c>
      <c r="D221" s="150">
        <v>2630000</v>
      </c>
      <c r="E221" s="20" t="s">
        <v>600</v>
      </c>
      <c r="F221" s="20" t="s">
        <v>601</v>
      </c>
      <c r="G221" s="8" t="str">
        <f t="shared" si="3"/>
        <v>SAFIEF AEIMEN</v>
      </c>
    </row>
    <row r="222" spans="1:7" x14ac:dyDescent="0.25">
      <c r="A222" s="8">
        <v>42785.970196759263</v>
      </c>
      <c r="B222" s="20" t="s">
        <v>371</v>
      </c>
      <c r="C222" s="20" t="s">
        <v>650</v>
      </c>
      <c r="D222" s="150">
        <v>2000000</v>
      </c>
      <c r="E222" s="20" t="s">
        <v>453</v>
      </c>
      <c r="F222" s="20" t="s">
        <v>199</v>
      </c>
      <c r="G222" s="8" t="str">
        <f t="shared" si="3"/>
        <v>STAMBAUGH JAMES</v>
      </c>
    </row>
    <row r="223" spans="1:7" x14ac:dyDescent="0.25">
      <c r="A223" s="8">
        <v>42785.983124999999</v>
      </c>
      <c r="B223" s="20" t="s">
        <v>622</v>
      </c>
      <c r="C223" s="20" t="s">
        <v>623</v>
      </c>
      <c r="D223" s="150">
        <v>2710000</v>
      </c>
      <c r="E223" s="20" t="s">
        <v>624</v>
      </c>
      <c r="F223" s="20" t="s">
        <v>625</v>
      </c>
      <c r="G223" s="8" t="str">
        <f t="shared" si="3"/>
        <v>SIMMONS SHYHESHA</v>
      </c>
    </row>
    <row r="224" spans="1:7" x14ac:dyDescent="0.25">
      <c r="A224" s="8">
        <v>42785.985289351855</v>
      </c>
      <c r="B224" t="s">
        <v>235</v>
      </c>
      <c r="C224" t="s">
        <v>651</v>
      </c>
      <c r="D224" s="150">
        <v>2230000</v>
      </c>
      <c r="E224" t="s">
        <v>373</v>
      </c>
      <c r="F224" s="20" t="s">
        <v>202</v>
      </c>
      <c r="G224" s="8" t="str">
        <f t="shared" si="3"/>
        <v>SMITH MICHAEL</v>
      </c>
    </row>
    <row r="225" spans="1:7" x14ac:dyDescent="0.25">
      <c r="A225" s="8">
        <v>42785.990798611114</v>
      </c>
      <c r="B225" t="s">
        <v>272</v>
      </c>
      <c r="C225" t="s">
        <v>652</v>
      </c>
      <c r="D225" s="150">
        <v>2600000</v>
      </c>
      <c r="E225" t="s">
        <v>595</v>
      </c>
      <c r="F225" s="20" t="s">
        <v>292</v>
      </c>
      <c r="G225" s="8" t="str">
        <f t="shared" si="3"/>
        <v>DAVIDSON DAVID</v>
      </c>
    </row>
    <row r="226" spans="1:7" x14ac:dyDescent="0.25">
      <c r="A226" s="8">
        <v>42786.004571759258</v>
      </c>
      <c r="B226" t="s">
        <v>438</v>
      </c>
      <c r="C226" t="s">
        <v>439</v>
      </c>
      <c r="D226" s="150">
        <v>2730000</v>
      </c>
      <c r="E226" t="s">
        <v>627</v>
      </c>
      <c r="F226" s="20" t="s">
        <v>628</v>
      </c>
      <c r="G226" s="8" t="str">
        <f t="shared" si="3"/>
        <v>YANG JAN</v>
      </c>
    </row>
    <row r="227" spans="1:7" x14ac:dyDescent="0.25">
      <c r="A227" s="8">
        <v>42786.007210648146</v>
      </c>
      <c r="B227" t="s">
        <v>459</v>
      </c>
      <c r="C227" t="s">
        <v>653</v>
      </c>
      <c r="D227" s="150">
        <v>2630000</v>
      </c>
      <c r="E227" t="s">
        <v>600</v>
      </c>
      <c r="F227" s="20" t="s">
        <v>601</v>
      </c>
      <c r="G227" s="8" t="str">
        <f t="shared" si="3"/>
        <v>SAFIEF AEIMEN</v>
      </c>
    </row>
    <row r="228" spans="1:7" x14ac:dyDescent="0.25">
      <c r="A228" s="8">
        <v>42786.007465277777</v>
      </c>
      <c r="B228" t="s">
        <v>366</v>
      </c>
      <c r="C228" t="s">
        <v>654</v>
      </c>
      <c r="D228" s="150">
        <v>2000000</v>
      </c>
      <c r="E228" t="s">
        <v>453</v>
      </c>
      <c r="F228" s="20" t="s">
        <v>199</v>
      </c>
      <c r="G228" s="8" t="str">
        <f t="shared" si="3"/>
        <v>STAMBAUGH JAMES</v>
      </c>
    </row>
    <row r="229" spans="1:7" x14ac:dyDescent="0.25">
      <c r="A229" s="8">
        <v>42786.024097222224</v>
      </c>
      <c r="B229" t="s">
        <v>622</v>
      </c>
      <c r="C229" t="s">
        <v>623</v>
      </c>
      <c r="D229" s="150">
        <v>2710000</v>
      </c>
      <c r="E229" t="s">
        <v>624</v>
      </c>
      <c r="F229" s="20" t="s">
        <v>625</v>
      </c>
      <c r="G229" s="8" t="str">
        <f t="shared" si="3"/>
        <v>SIMMONS SHYHESHA</v>
      </c>
    </row>
    <row r="230" spans="1:7" x14ac:dyDescent="0.25">
      <c r="A230" s="8">
        <v>42786.029351851852</v>
      </c>
      <c r="B230" t="s">
        <v>271</v>
      </c>
      <c r="C230" t="s">
        <v>655</v>
      </c>
      <c r="D230" s="150">
        <v>2600000</v>
      </c>
      <c r="E230" t="s">
        <v>595</v>
      </c>
      <c r="F230" s="20" t="s">
        <v>292</v>
      </c>
      <c r="G230" s="8" t="str">
        <f t="shared" si="3"/>
        <v>DAVIDSON DAVID</v>
      </c>
    </row>
    <row r="231" spans="1:7" x14ac:dyDescent="0.25">
      <c r="A231" s="8">
        <v>42786.032071759262</v>
      </c>
      <c r="B231" t="s">
        <v>213</v>
      </c>
      <c r="C231" t="s">
        <v>656</v>
      </c>
      <c r="D231" s="150">
        <v>2230000</v>
      </c>
      <c r="E231" t="s">
        <v>373</v>
      </c>
      <c r="F231" s="20" t="s">
        <v>202</v>
      </c>
      <c r="G231" s="8" t="str">
        <f t="shared" si="3"/>
        <v>SMITH MICHAEL</v>
      </c>
    </row>
    <row r="232" spans="1:7" x14ac:dyDescent="0.25">
      <c r="A232" s="8">
        <v>42786.047789351855</v>
      </c>
      <c r="B232" t="s">
        <v>371</v>
      </c>
      <c r="C232" t="s">
        <v>442</v>
      </c>
      <c r="D232" s="150">
        <v>2000000</v>
      </c>
      <c r="E232" t="s">
        <v>453</v>
      </c>
      <c r="F232" s="20" t="s">
        <v>199</v>
      </c>
      <c r="G232" s="8" t="str">
        <f t="shared" si="3"/>
        <v>STAMBAUGH JAMES</v>
      </c>
    </row>
    <row r="233" spans="1:7" x14ac:dyDescent="0.25">
      <c r="A233" s="8">
        <v>42786.050127314818</v>
      </c>
      <c r="B233" t="s">
        <v>376</v>
      </c>
      <c r="C233" t="s">
        <v>657</v>
      </c>
      <c r="D233" s="150">
        <v>2630000</v>
      </c>
      <c r="E233" t="s">
        <v>600</v>
      </c>
      <c r="F233" s="20" t="s">
        <v>601</v>
      </c>
      <c r="G233" s="8" t="str">
        <f t="shared" si="3"/>
        <v>SAFIEF AEIMEN</v>
      </c>
    </row>
    <row r="234" spans="1:7" x14ac:dyDescent="0.25">
      <c r="A234" s="8">
        <v>42786.067870370367</v>
      </c>
      <c r="B234" t="s">
        <v>235</v>
      </c>
      <c r="C234" t="s">
        <v>658</v>
      </c>
      <c r="D234" s="150">
        <v>2230000</v>
      </c>
      <c r="E234" t="s">
        <v>373</v>
      </c>
      <c r="F234" s="20" t="s">
        <v>202</v>
      </c>
      <c r="G234" s="8" t="str">
        <f t="shared" si="3"/>
        <v>SMITH MICHAEL</v>
      </c>
    </row>
    <row r="235" spans="1:7" x14ac:dyDescent="0.25">
      <c r="A235" s="8">
        <v>42786.088229166664</v>
      </c>
      <c r="B235" t="s">
        <v>366</v>
      </c>
      <c r="C235" t="s">
        <v>659</v>
      </c>
      <c r="D235" s="150">
        <v>2000000</v>
      </c>
      <c r="E235" t="s">
        <v>453</v>
      </c>
      <c r="F235" s="20" t="s">
        <v>199</v>
      </c>
      <c r="G235" s="8" t="str">
        <f t="shared" si="3"/>
        <v>STAMBAUGH JAMES</v>
      </c>
    </row>
    <row r="236" spans="1:7" x14ac:dyDescent="0.25">
      <c r="A236" s="8">
        <v>42783.001770833333</v>
      </c>
      <c r="B236" t="s">
        <v>254</v>
      </c>
      <c r="C236" t="s">
        <v>378</v>
      </c>
      <c r="D236" s="150">
        <v>2270000</v>
      </c>
      <c r="E236" t="s">
        <v>233</v>
      </c>
      <c r="F236" s="20" t="s">
        <v>234</v>
      </c>
      <c r="G236" s="8" t="str">
        <f t="shared" si="3"/>
        <v>BROWN JACOB</v>
      </c>
    </row>
    <row r="237" spans="1:7" x14ac:dyDescent="0.25">
      <c r="A237" s="8">
        <v>42783.006655092591</v>
      </c>
      <c r="B237" t="s">
        <v>192</v>
      </c>
      <c r="C237" t="s">
        <v>379</v>
      </c>
      <c r="D237" s="150">
        <v>2220000</v>
      </c>
      <c r="E237" t="s">
        <v>215</v>
      </c>
      <c r="F237" s="20" t="s">
        <v>216</v>
      </c>
      <c r="G237" s="8" t="str">
        <f t="shared" si="3"/>
        <v>HILLS DUSTIN</v>
      </c>
    </row>
    <row r="238" spans="1:7" x14ac:dyDescent="0.25">
      <c r="A238" s="8">
        <v>42783.010775462964</v>
      </c>
      <c r="B238" t="s">
        <v>225</v>
      </c>
      <c r="C238" t="s">
        <v>380</v>
      </c>
      <c r="D238" s="150">
        <v>2540000</v>
      </c>
      <c r="E238" t="s">
        <v>222</v>
      </c>
      <c r="F238" s="20" t="s">
        <v>223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235</v>
      </c>
      <c r="C239" t="s">
        <v>381</v>
      </c>
      <c r="D239" s="150">
        <v>1800000</v>
      </c>
      <c r="E239" t="s">
        <v>256</v>
      </c>
      <c r="F239" s="20" t="s">
        <v>257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255</v>
      </c>
      <c r="C240" t="s">
        <v>382</v>
      </c>
      <c r="D240" s="150">
        <v>2270000</v>
      </c>
      <c r="E240" t="s">
        <v>233</v>
      </c>
      <c r="F240" s="20" t="s">
        <v>234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288</v>
      </c>
      <c r="C241" t="s">
        <v>383</v>
      </c>
      <c r="D241" s="150">
        <v>2220000</v>
      </c>
      <c r="E241" t="s">
        <v>215</v>
      </c>
      <c r="F241" s="20" t="s">
        <v>216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263</v>
      </c>
      <c r="C242" t="s">
        <v>384</v>
      </c>
      <c r="D242" s="150">
        <v>2540000</v>
      </c>
      <c r="E242" t="s">
        <v>222</v>
      </c>
      <c r="F242" s="20" t="s">
        <v>223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254</v>
      </c>
      <c r="C243" t="s">
        <v>385</v>
      </c>
      <c r="D243" s="150">
        <v>2270000</v>
      </c>
      <c r="E243" t="s">
        <v>233</v>
      </c>
      <c r="F243" s="20" t="s">
        <v>234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274</v>
      </c>
      <c r="C244" t="s">
        <v>386</v>
      </c>
      <c r="D244" s="150">
        <v>2670000</v>
      </c>
      <c r="E244" t="s">
        <v>244</v>
      </c>
      <c r="F244" s="20" t="s">
        <v>245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387</v>
      </c>
      <c r="D245" s="150">
        <v>2220000</v>
      </c>
      <c r="E245" t="s">
        <v>215</v>
      </c>
      <c r="F245" s="20" t="s">
        <v>216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287</v>
      </c>
      <c r="C246" t="s">
        <v>327</v>
      </c>
      <c r="D246" s="150">
        <v>2220000</v>
      </c>
      <c r="E246" t="s">
        <v>215</v>
      </c>
      <c r="F246" s="20" t="s">
        <v>216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288</v>
      </c>
      <c r="C247" t="s">
        <v>328</v>
      </c>
      <c r="D247" s="150">
        <v>1800000</v>
      </c>
      <c r="E247" t="s">
        <v>256</v>
      </c>
      <c r="F247" s="20" t="s">
        <v>257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274</v>
      </c>
      <c r="C248" t="s">
        <v>329</v>
      </c>
      <c r="D248" s="150">
        <v>2270000</v>
      </c>
      <c r="E248" t="s">
        <v>233</v>
      </c>
      <c r="F248" s="20" t="s">
        <v>234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277</v>
      </c>
      <c r="C249" t="s">
        <v>330</v>
      </c>
      <c r="D249" s="150">
        <v>2540000</v>
      </c>
      <c r="E249" t="s">
        <v>222</v>
      </c>
      <c r="F249" s="20" t="s">
        <v>223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331</v>
      </c>
      <c r="D250" s="150">
        <v>1800000</v>
      </c>
      <c r="E250" t="s">
        <v>256</v>
      </c>
      <c r="F250" s="20" t="s">
        <v>257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242</v>
      </c>
      <c r="C251" t="s">
        <v>332</v>
      </c>
      <c r="D251" s="150">
        <v>1740000</v>
      </c>
      <c r="E251" t="s">
        <v>229</v>
      </c>
      <c r="F251" s="20" t="s">
        <v>230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288</v>
      </c>
      <c r="C252" t="s">
        <v>333</v>
      </c>
      <c r="D252" s="150">
        <v>1800000</v>
      </c>
      <c r="E252" t="s">
        <v>256</v>
      </c>
      <c r="F252" s="20" t="s">
        <v>257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269</v>
      </c>
      <c r="C253" t="s">
        <v>334</v>
      </c>
      <c r="D253" s="150">
        <v>2270000</v>
      </c>
      <c r="E253" t="s">
        <v>233</v>
      </c>
      <c r="F253" s="20" t="s">
        <v>234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286</v>
      </c>
      <c r="C254" t="s">
        <v>335</v>
      </c>
      <c r="D254" s="150">
        <v>970000</v>
      </c>
      <c r="E254" t="s">
        <v>336</v>
      </c>
      <c r="F254" s="20" t="s">
        <v>337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246</v>
      </c>
      <c r="C255" t="s">
        <v>338</v>
      </c>
      <c r="D255" s="150">
        <v>1740000</v>
      </c>
      <c r="E255" t="s">
        <v>229</v>
      </c>
      <c r="F255" s="20" t="s">
        <v>230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249</v>
      </c>
      <c r="C256" t="s">
        <v>317</v>
      </c>
      <c r="D256" s="150">
        <v>2540000</v>
      </c>
      <c r="E256" t="s">
        <v>222</v>
      </c>
      <c r="F256" s="20" t="s">
        <v>223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274</v>
      </c>
      <c r="C257" t="s">
        <v>339</v>
      </c>
      <c r="D257" s="150">
        <v>2270000</v>
      </c>
      <c r="E257" t="s">
        <v>233</v>
      </c>
      <c r="F257" s="20" t="s">
        <v>234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287</v>
      </c>
      <c r="C258" t="s">
        <v>340</v>
      </c>
      <c r="D258" s="150">
        <v>970000</v>
      </c>
      <c r="E258" t="s">
        <v>336</v>
      </c>
      <c r="F258" s="20" t="s">
        <v>337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242</v>
      </c>
      <c r="C259" t="s">
        <v>318</v>
      </c>
      <c r="D259" s="150">
        <v>1740000</v>
      </c>
      <c r="E259" t="s">
        <v>229</v>
      </c>
      <c r="F259" s="20" t="s">
        <v>230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277</v>
      </c>
      <c r="C260" t="s">
        <v>341</v>
      </c>
      <c r="D260" s="150">
        <v>2540000</v>
      </c>
      <c r="E260" t="s">
        <v>222</v>
      </c>
      <c r="F260" s="20" t="s">
        <v>223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269</v>
      </c>
      <c r="C261" t="s">
        <v>342</v>
      </c>
      <c r="D261" s="150">
        <v>2270000</v>
      </c>
      <c r="E261" t="s">
        <v>233</v>
      </c>
      <c r="F261" s="20" t="s">
        <v>234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286</v>
      </c>
      <c r="C262" t="s">
        <v>343</v>
      </c>
      <c r="D262" s="150">
        <v>970000</v>
      </c>
      <c r="E262" t="s">
        <v>336</v>
      </c>
      <c r="F262" s="20" t="s">
        <v>337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246</v>
      </c>
      <c r="C263" t="s">
        <v>344</v>
      </c>
      <c r="D263" s="150">
        <v>1740000</v>
      </c>
      <c r="E263" t="s">
        <v>229</v>
      </c>
      <c r="F263" s="20" t="s">
        <v>230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249</v>
      </c>
      <c r="C264" t="s">
        <v>345</v>
      </c>
      <c r="D264" s="150">
        <v>2540000</v>
      </c>
      <c r="E264" t="s">
        <v>222</v>
      </c>
      <c r="F264" s="20" t="s">
        <v>223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274</v>
      </c>
      <c r="C265" t="s">
        <v>346</v>
      </c>
      <c r="D265" s="150">
        <v>2270000</v>
      </c>
      <c r="E265" t="s">
        <v>233</v>
      </c>
      <c r="F265" s="20" t="s">
        <v>234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218</v>
      </c>
      <c r="C266" t="s">
        <v>239</v>
      </c>
      <c r="D266" s="150">
        <v>2540000</v>
      </c>
      <c r="E266" t="s">
        <v>222</v>
      </c>
      <c r="F266" s="20" t="s">
        <v>223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235</v>
      </c>
      <c r="C267" t="s">
        <v>241</v>
      </c>
      <c r="D267" s="150">
        <v>2450000</v>
      </c>
      <c r="E267" t="s">
        <v>237</v>
      </c>
      <c r="F267" s="20" t="s">
        <v>238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232</v>
      </c>
      <c r="C268" t="s">
        <v>247</v>
      </c>
      <c r="D268" s="150">
        <v>2270000</v>
      </c>
      <c r="E268" t="s">
        <v>233</v>
      </c>
      <c r="F268" s="20" t="s">
        <v>234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217</v>
      </c>
      <c r="C269" t="s">
        <v>240</v>
      </c>
      <c r="D269" s="150">
        <v>2540000</v>
      </c>
      <c r="E269" t="s">
        <v>222</v>
      </c>
      <c r="F269" s="20" t="s">
        <v>223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221</v>
      </c>
      <c r="C270" t="s">
        <v>248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246</v>
      </c>
      <c r="C271" t="s">
        <v>243</v>
      </c>
      <c r="D271" s="150">
        <v>2670000</v>
      </c>
      <c r="E271" t="s">
        <v>244</v>
      </c>
      <c r="F271" s="20" t="s">
        <v>245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213</v>
      </c>
      <c r="C272" t="s">
        <v>236</v>
      </c>
      <c r="D272" s="150">
        <v>2450000</v>
      </c>
      <c r="E272" t="s">
        <v>237</v>
      </c>
      <c r="F272" s="20" t="s">
        <v>238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218</v>
      </c>
      <c r="C273" t="s">
        <v>239</v>
      </c>
      <c r="D273" s="150">
        <v>2540000</v>
      </c>
      <c r="E273" t="s">
        <v>222</v>
      </c>
      <c r="F273" s="20" t="s">
        <v>223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660</v>
      </c>
      <c r="K1" s="166" t="s">
        <v>163</v>
      </c>
      <c r="L1" s="166" t="s">
        <v>161</v>
      </c>
      <c r="M1" s="166" t="s">
        <v>156</v>
      </c>
      <c r="N1" s="166" t="s">
        <v>166</v>
      </c>
      <c r="O1" s="166" t="s">
        <v>160</v>
      </c>
      <c r="P1" s="166" t="s">
        <v>167</v>
      </c>
      <c r="Q1" s="166" t="s">
        <v>164</v>
      </c>
      <c r="R1"/>
    </row>
    <row r="2" spans="1:18" x14ac:dyDescent="0.25">
      <c r="A2" s="167">
        <v>41.59</v>
      </c>
      <c r="B2" s="167">
        <v>0.63</v>
      </c>
      <c r="C2" s="167">
        <v>24.77</v>
      </c>
      <c r="D2" s="8">
        <v>42785</v>
      </c>
      <c r="E2" s="167">
        <v>0.47</v>
      </c>
      <c r="F2" s="167" t="s">
        <v>250</v>
      </c>
      <c r="G2" s="167">
        <v>281.8</v>
      </c>
      <c r="H2" s="167">
        <v>0</v>
      </c>
      <c r="I2" s="167">
        <v>0</v>
      </c>
      <c r="J2" s="167"/>
      <c r="K2" s="167">
        <v>1003.81</v>
      </c>
      <c r="L2" s="167" t="s">
        <v>661</v>
      </c>
      <c r="M2" s="167">
        <v>43.57</v>
      </c>
      <c r="N2" s="167">
        <v>1487487600</v>
      </c>
      <c r="O2" s="167">
        <v>10</v>
      </c>
      <c r="P2" s="167">
        <v>224</v>
      </c>
      <c r="Q2" s="167">
        <v>3.83</v>
      </c>
      <c r="R2"/>
    </row>
    <row r="3" spans="1:18" x14ac:dyDescent="0.25">
      <c r="A3" s="167">
        <v>42.21</v>
      </c>
      <c r="B3" s="167">
        <v>0.51</v>
      </c>
      <c r="C3" s="167">
        <v>25.11</v>
      </c>
      <c r="D3" s="8">
        <v>42785.041666666664</v>
      </c>
      <c r="E3" s="167">
        <v>0.5</v>
      </c>
      <c r="F3" s="167" t="s">
        <v>250</v>
      </c>
      <c r="G3" s="167">
        <v>283.98</v>
      </c>
      <c r="H3" s="167">
        <v>0</v>
      </c>
      <c r="I3" s="167">
        <v>0</v>
      </c>
      <c r="J3" s="167"/>
      <c r="K3" s="167">
        <v>1004.15</v>
      </c>
      <c r="L3" s="167" t="s">
        <v>252</v>
      </c>
      <c r="M3" s="167">
        <v>42.21</v>
      </c>
      <c r="N3" s="167">
        <v>1487491200</v>
      </c>
      <c r="O3" s="167">
        <v>3.9</v>
      </c>
      <c r="P3" s="167">
        <v>236</v>
      </c>
      <c r="Q3" s="167">
        <v>1.93</v>
      </c>
      <c r="R3"/>
    </row>
    <row r="4" spans="1:18" x14ac:dyDescent="0.25">
      <c r="A4" s="167">
        <v>40.68</v>
      </c>
      <c r="B4" s="167">
        <v>0.41</v>
      </c>
      <c r="C4" s="167">
        <v>25.32</v>
      </c>
      <c r="D4" s="8">
        <v>42785.083333333336</v>
      </c>
      <c r="E4" s="167">
        <v>0.54</v>
      </c>
      <c r="F4" s="167" t="s">
        <v>250</v>
      </c>
      <c r="G4" s="167">
        <v>286.16000000000003</v>
      </c>
      <c r="H4" s="167">
        <v>0</v>
      </c>
      <c r="I4" s="167">
        <v>0</v>
      </c>
      <c r="J4" s="167"/>
      <c r="K4" s="167">
        <v>1004.5</v>
      </c>
      <c r="L4" s="167" t="s">
        <v>252</v>
      </c>
      <c r="M4" s="167">
        <v>40.68</v>
      </c>
      <c r="N4" s="167">
        <v>1487494800</v>
      </c>
      <c r="O4" s="167">
        <v>10</v>
      </c>
      <c r="P4" s="167">
        <v>235</v>
      </c>
      <c r="Q4" s="167">
        <v>1.93</v>
      </c>
      <c r="R4"/>
    </row>
    <row r="5" spans="1:18" x14ac:dyDescent="0.25">
      <c r="A5" s="167">
        <v>39.21</v>
      </c>
      <c r="B5" s="167">
        <v>0.41</v>
      </c>
      <c r="C5" s="167">
        <v>23.97</v>
      </c>
      <c r="D5" s="8">
        <v>42785.125</v>
      </c>
      <c r="E5" s="167">
        <v>0.54</v>
      </c>
      <c r="F5" s="167" t="s">
        <v>250</v>
      </c>
      <c r="G5" s="167">
        <v>287.39999999999998</v>
      </c>
      <c r="H5" s="167">
        <v>0</v>
      </c>
      <c r="I5" s="167">
        <v>0</v>
      </c>
      <c r="J5" s="167"/>
      <c r="K5" s="167">
        <v>1004.51</v>
      </c>
      <c r="L5" s="167" t="s">
        <v>252</v>
      </c>
      <c r="M5" s="167">
        <v>39.21</v>
      </c>
      <c r="N5" s="167">
        <v>1487498400</v>
      </c>
      <c r="O5" s="167">
        <v>10</v>
      </c>
      <c r="P5" s="167">
        <v>221</v>
      </c>
      <c r="Q5" s="167">
        <v>1.55</v>
      </c>
      <c r="R5"/>
    </row>
    <row r="6" spans="1:18" x14ac:dyDescent="0.25">
      <c r="A6" s="167">
        <v>39.35</v>
      </c>
      <c r="B6" s="167">
        <v>0.51</v>
      </c>
      <c r="C6" s="167">
        <v>24.29</v>
      </c>
      <c r="D6" s="8">
        <v>42785.166666666664</v>
      </c>
      <c r="E6" s="167">
        <v>0.54</v>
      </c>
      <c r="F6" s="167" t="s">
        <v>250</v>
      </c>
      <c r="G6" s="167">
        <v>288.24</v>
      </c>
      <c r="H6" s="167">
        <v>0</v>
      </c>
      <c r="I6" s="167">
        <v>0</v>
      </c>
      <c r="J6" s="167"/>
      <c r="K6" s="167">
        <v>1004.52</v>
      </c>
      <c r="L6" s="167" t="s">
        <v>252</v>
      </c>
      <c r="M6" s="167">
        <v>39.35</v>
      </c>
      <c r="N6" s="167">
        <v>1487502000</v>
      </c>
      <c r="O6" s="167">
        <v>3.63</v>
      </c>
      <c r="P6" s="167">
        <v>244</v>
      </c>
      <c r="Q6" s="167">
        <v>1.92</v>
      </c>
      <c r="R6"/>
    </row>
    <row r="7" spans="1:18" x14ac:dyDescent="0.25">
      <c r="A7" s="167">
        <v>38.83</v>
      </c>
      <c r="B7" s="167">
        <v>0.46</v>
      </c>
      <c r="C7" s="167">
        <v>23.61</v>
      </c>
      <c r="D7" s="8">
        <v>42785.208333333336</v>
      </c>
      <c r="E7" s="167">
        <v>0.54</v>
      </c>
      <c r="F7" s="167" t="s">
        <v>250</v>
      </c>
      <c r="G7" s="167">
        <v>289.13</v>
      </c>
      <c r="H7" s="167">
        <v>0</v>
      </c>
      <c r="I7" s="167">
        <v>0</v>
      </c>
      <c r="J7" s="167"/>
      <c r="K7" s="167">
        <v>1004.62</v>
      </c>
      <c r="L7" s="167" t="s">
        <v>252</v>
      </c>
      <c r="M7" s="167">
        <v>38.83</v>
      </c>
      <c r="N7" s="167">
        <v>1487505600</v>
      </c>
      <c r="O7" s="167">
        <v>4.83</v>
      </c>
      <c r="P7" s="167">
        <v>277</v>
      </c>
      <c r="Q7" s="167">
        <v>1.21</v>
      </c>
      <c r="R7"/>
    </row>
    <row r="8" spans="1:18" x14ac:dyDescent="0.25">
      <c r="A8" s="167">
        <v>36.92</v>
      </c>
      <c r="B8" s="167">
        <v>0.4</v>
      </c>
      <c r="C8" s="167">
        <v>22.63</v>
      </c>
      <c r="D8" s="8">
        <v>42785.25</v>
      </c>
      <c r="E8" s="167">
        <v>0.56000000000000005</v>
      </c>
      <c r="F8" s="167" t="s">
        <v>250</v>
      </c>
      <c r="G8" s="167">
        <v>289.83999999999997</v>
      </c>
      <c r="H8" s="167">
        <v>0</v>
      </c>
      <c r="I8" s="167">
        <v>0</v>
      </c>
      <c r="J8" s="167"/>
      <c r="K8" s="167">
        <v>1004.9</v>
      </c>
      <c r="L8" s="167" t="s">
        <v>252</v>
      </c>
      <c r="M8" s="167">
        <v>36.92</v>
      </c>
      <c r="N8" s="167">
        <v>1487509200</v>
      </c>
      <c r="O8" s="167">
        <v>4.88</v>
      </c>
      <c r="P8" s="167">
        <v>281</v>
      </c>
      <c r="Q8" s="167">
        <v>1.62</v>
      </c>
      <c r="R8"/>
    </row>
    <row r="9" spans="1:18" x14ac:dyDescent="0.25">
      <c r="A9" s="167">
        <v>39.549999999999997</v>
      </c>
      <c r="B9" s="167">
        <v>0.28000000000000003</v>
      </c>
      <c r="C9" s="167">
        <v>25.19</v>
      </c>
      <c r="D9" s="8">
        <v>42785.291666666664</v>
      </c>
      <c r="E9" s="167">
        <v>0.56000000000000005</v>
      </c>
      <c r="F9" s="167" t="s">
        <v>251</v>
      </c>
      <c r="G9" s="167">
        <v>290.61</v>
      </c>
      <c r="H9" s="167">
        <v>0</v>
      </c>
      <c r="I9" s="167">
        <v>0</v>
      </c>
      <c r="J9" s="167"/>
      <c r="K9" s="167">
        <v>1005.44</v>
      </c>
      <c r="L9" s="167" t="s">
        <v>252</v>
      </c>
      <c r="M9" s="167">
        <v>39.549999999999997</v>
      </c>
      <c r="N9" s="167">
        <v>1487512800</v>
      </c>
      <c r="O9" s="167">
        <v>3.9</v>
      </c>
      <c r="P9" s="167">
        <v>267</v>
      </c>
      <c r="Q9" s="167">
        <v>1.4</v>
      </c>
      <c r="R9"/>
    </row>
    <row r="10" spans="1:18" x14ac:dyDescent="0.25">
      <c r="A10" s="167">
        <v>40.549999999999997</v>
      </c>
      <c r="B10" s="167">
        <v>0.21</v>
      </c>
      <c r="C10" s="167">
        <v>26.71</v>
      </c>
      <c r="D10" s="8">
        <v>42785.333333333336</v>
      </c>
      <c r="E10" s="167">
        <v>0.56999999999999995</v>
      </c>
      <c r="F10" s="167" t="s">
        <v>348</v>
      </c>
      <c r="G10" s="167">
        <v>292.56</v>
      </c>
      <c r="H10" s="167">
        <v>0</v>
      </c>
      <c r="I10" s="167">
        <v>0</v>
      </c>
      <c r="J10" s="167"/>
      <c r="K10" s="167">
        <v>1005.52</v>
      </c>
      <c r="L10" s="167" t="s">
        <v>347</v>
      </c>
      <c r="M10" s="167">
        <v>40.549999999999997</v>
      </c>
      <c r="N10" s="167">
        <v>1487516400</v>
      </c>
      <c r="O10" s="167">
        <v>10</v>
      </c>
      <c r="P10" s="167">
        <v>266</v>
      </c>
      <c r="Q10" s="167">
        <v>1.25</v>
      </c>
      <c r="R10"/>
    </row>
    <row r="11" spans="1:18" x14ac:dyDescent="0.25">
      <c r="A11" s="167">
        <v>42.76</v>
      </c>
      <c r="B11" s="167">
        <v>0.33</v>
      </c>
      <c r="C11" s="167">
        <v>27</v>
      </c>
      <c r="D11" s="8">
        <v>42785.375</v>
      </c>
      <c r="E11" s="167">
        <v>0.53</v>
      </c>
      <c r="F11" s="167" t="s">
        <v>251</v>
      </c>
      <c r="G11" s="167">
        <v>296.92</v>
      </c>
      <c r="H11" s="167">
        <v>0</v>
      </c>
      <c r="I11" s="167">
        <v>0</v>
      </c>
      <c r="J11" s="167"/>
      <c r="K11" s="167">
        <v>1004.34</v>
      </c>
      <c r="L11" s="167" t="s">
        <v>252</v>
      </c>
      <c r="M11" s="167">
        <v>42.76</v>
      </c>
      <c r="N11" s="167">
        <v>1487520000</v>
      </c>
      <c r="O11" s="167">
        <v>3.06</v>
      </c>
      <c r="P11" s="167">
        <v>292</v>
      </c>
      <c r="Q11" s="167">
        <v>0.44</v>
      </c>
      <c r="R11"/>
    </row>
    <row r="12" spans="1:18" x14ac:dyDescent="0.25">
      <c r="A12" s="167">
        <v>48.51</v>
      </c>
      <c r="B12" s="167">
        <v>0.55000000000000004</v>
      </c>
      <c r="C12" s="167">
        <v>26.37</v>
      </c>
      <c r="D12" s="8">
        <v>42785.416666666664</v>
      </c>
      <c r="E12" s="167">
        <v>0.42</v>
      </c>
      <c r="F12" s="167" t="s">
        <v>251</v>
      </c>
      <c r="G12" s="167">
        <v>302.47000000000003</v>
      </c>
      <c r="H12" s="167">
        <v>0</v>
      </c>
      <c r="I12" s="167">
        <v>0</v>
      </c>
      <c r="J12" s="167"/>
      <c r="K12" s="167">
        <v>1002.64</v>
      </c>
      <c r="L12" s="167" t="s">
        <v>252</v>
      </c>
      <c r="M12" s="167">
        <v>48.51</v>
      </c>
      <c r="N12" s="167">
        <v>1487523600</v>
      </c>
      <c r="O12" s="167">
        <v>3.03</v>
      </c>
      <c r="P12" s="167">
        <v>326</v>
      </c>
      <c r="Q12" s="167">
        <v>1.06</v>
      </c>
      <c r="R12"/>
    </row>
    <row r="13" spans="1:18" x14ac:dyDescent="0.25">
      <c r="A13" s="167">
        <v>55.11</v>
      </c>
      <c r="B13" s="167">
        <v>0.71</v>
      </c>
      <c r="C13" s="167">
        <v>27.68</v>
      </c>
      <c r="D13" s="8">
        <v>42785.458333333336</v>
      </c>
      <c r="E13" s="167">
        <v>0.35</v>
      </c>
      <c r="F13" s="167" t="s">
        <v>251</v>
      </c>
      <c r="G13" s="167">
        <v>306.70999999999998</v>
      </c>
      <c r="H13" s="167">
        <v>0</v>
      </c>
      <c r="I13" s="167">
        <v>0</v>
      </c>
      <c r="J13" s="167"/>
      <c r="K13" s="167">
        <v>1001.22</v>
      </c>
      <c r="L13" s="167" t="s">
        <v>661</v>
      </c>
      <c r="M13" s="167">
        <v>55.11</v>
      </c>
      <c r="N13" s="167">
        <v>1487527200</v>
      </c>
      <c r="O13" s="167">
        <v>3.03</v>
      </c>
      <c r="P13" s="167">
        <v>2</v>
      </c>
      <c r="Q13" s="167">
        <v>2.11</v>
      </c>
      <c r="R13"/>
    </row>
    <row r="14" spans="1:18" x14ac:dyDescent="0.25">
      <c r="A14" s="167">
        <v>56.69</v>
      </c>
      <c r="B14" s="167">
        <v>0.67</v>
      </c>
      <c r="C14" s="167">
        <v>27.49</v>
      </c>
      <c r="D14" s="8">
        <v>42785.5</v>
      </c>
      <c r="E14" s="167">
        <v>0.32</v>
      </c>
      <c r="F14" s="167" t="s">
        <v>251</v>
      </c>
      <c r="G14" s="167">
        <v>307.93</v>
      </c>
      <c r="H14" s="167">
        <v>0</v>
      </c>
      <c r="I14" s="167">
        <v>0</v>
      </c>
      <c r="J14" s="167"/>
      <c r="K14" s="167">
        <v>1000.08</v>
      </c>
      <c r="L14" s="167" t="s">
        <v>661</v>
      </c>
      <c r="M14" s="167">
        <v>56.69</v>
      </c>
      <c r="N14" s="167">
        <v>1487530800</v>
      </c>
      <c r="O14" s="167">
        <v>3.04</v>
      </c>
      <c r="P14" s="167">
        <v>12</v>
      </c>
      <c r="Q14" s="167">
        <v>2.74</v>
      </c>
      <c r="R14"/>
    </row>
    <row r="15" spans="1:18" x14ac:dyDescent="0.25">
      <c r="A15" s="167">
        <v>61.16</v>
      </c>
      <c r="B15" s="167">
        <v>0.56000000000000005</v>
      </c>
      <c r="C15" s="167">
        <v>27.58</v>
      </c>
      <c r="D15" s="8">
        <v>42785.541666666664</v>
      </c>
      <c r="E15" s="167">
        <v>0.28000000000000003</v>
      </c>
      <c r="F15" s="167" t="s">
        <v>251</v>
      </c>
      <c r="G15" s="167">
        <v>307.83999999999997</v>
      </c>
      <c r="H15" s="167">
        <v>0</v>
      </c>
      <c r="I15" s="167">
        <v>0</v>
      </c>
      <c r="J15" s="167"/>
      <c r="K15" s="167">
        <v>998.66</v>
      </c>
      <c r="L15" s="167" t="s">
        <v>252</v>
      </c>
      <c r="M15" s="167">
        <v>61.16</v>
      </c>
      <c r="N15" s="167">
        <v>1487534400</v>
      </c>
      <c r="O15" s="167">
        <v>3.03</v>
      </c>
      <c r="P15" s="167">
        <v>31</v>
      </c>
      <c r="Q15" s="167">
        <v>2.27</v>
      </c>
      <c r="R15"/>
    </row>
    <row r="16" spans="1:18" x14ac:dyDescent="0.25">
      <c r="A16" s="167">
        <v>62.63</v>
      </c>
      <c r="B16" s="167">
        <v>0.5</v>
      </c>
      <c r="C16" s="167">
        <v>27.4</v>
      </c>
      <c r="D16" s="8">
        <v>42785.583333333336</v>
      </c>
      <c r="E16" s="167">
        <v>0.26</v>
      </c>
      <c r="F16" s="167" t="s">
        <v>251</v>
      </c>
      <c r="G16" s="167">
        <v>309.13</v>
      </c>
      <c r="H16" s="167">
        <v>0</v>
      </c>
      <c r="I16" s="167">
        <v>0</v>
      </c>
      <c r="J16" s="167"/>
      <c r="K16" s="167">
        <v>997.76</v>
      </c>
      <c r="L16" s="167" t="s">
        <v>252</v>
      </c>
      <c r="M16" s="167">
        <v>62.63</v>
      </c>
      <c r="N16" s="167">
        <v>1487538000</v>
      </c>
      <c r="O16" s="167">
        <v>3.03</v>
      </c>
      <c r="P16" s="167">
        <v>96</v>
      </c>
      <c r="Q16" s="167">
        <v>1.5</v>
      </c>
      <c r="R16"/>
    </row>
    <row r="17" spans="1:18" x14ac:dyDescent="0.25">
      <c r="A17" s="167">
        <v>61.43</v>
      </c>
      <c r="B17" s="167">
        <v>0.55000000000000004</v>
      </c>
      <c r="C17" s="167">
        <v>27.54</v>
      </c>
      <c r="D17" s="8">
        <v>42785.625</v>
      </c>
      <c r="E17" s="167">
        <v>0.27</v>
      </c>
      <c r="F17" s="167" t="s">
        <v>251</v>
      </c>
      <c r="G17" s="167">
        <v>314.02</v>
      </c>
      <c r="H17" s="167">
        <v>0</v>
      </c>
      <c r="I17" s="167">
        <v>0</v>
      </c>
      <c r="J17" s="167"/>
      <c r="K17" s="167">
        <v>997.56</v>
      </c>
      <c r="L17" s="167" t="s">
        <v>252</v>
      </c>
      <c r="M17" s="167">
        <v>61.43</v>
      </c>
      <c r="N17" s="167">
        <v>1487541600</v>
      </c>
      <c r="O17" s="167">
        <v>3.22</v>
      </c>
      <c r="P17" s="167">
        <v>132</v>
      </c>
      <c r="Q17" s="167">
        <v>2.19</v>
      </c>
      <c r="R17"/>
    </row>
    <row r="18" spans="1:18" x14ac:dyDescent="0.25">
      <c r="A18" s="167">
        <v>59.75</v>
      </c>
      <c r="B18" s="167">
        <v>0.64</v>
      </c>
      <c r="C18" s="167">
        <v>28.41</v>
      </c>
      <c r="D18" s="8">
        <v>42785.666666666664</v>
      </c>
      <c r="E18" s="167">
        <v>0.3</v>
      </c>
      <c r="F18" s="167" t="s">
        <v>251</v>
      </c>
      <c r="G18" s="167">
        <v>320.29000000000002</v>
      </c>
      <c r="H18" s="167">
        <v>4.1999999999999997E-3</v>
      </c>
      <c r="I18" s="167">
        <v>0.16</v>
      </c>
      <c r="J18" s="167" t="s">
        <v>662</v>
      </c>
      <c r="K18" s="167">
        <v>997.92</v>
      </c>
      <c r="L18" s="167" t="s">
        <v>661</v>
      </c>
      <c r="M18" s="167">
        <v>59.75</v>
      </c>
      <c r="N18" s="167">
        <v>1487545200</v>
      </c>
      <c r="O18" s="167">
        <v>10</v>
      </c>
      <c r="P18" s="167">
        <v>177</v>
      </c>
      <c r="Q18" s="167">
        <v>7.17</v>
      </c>
      <c r="R18"/>
    </row>
    <row r="19" spans="1:18" x14ac:dyDescent="0.25">
      <c r="A19" s="167">
        <v>58.1</v>
      </c>
      <c r="B19" s="167">
        <v>0.71</v>
      </c>
      <c r="C19" s="167">
        <v>29.03</v>
      </c>
      <c r="D19" s="8">
        <v>42785.708333333336</v>
      </c>
      <c r="E19" s="167">
        <v>0.33</v>
      </c>
      <c r="F19" s="167" t="s">
        <v>251</v>
      </c>
      <c r="G19" s="167">
        <v>323.95</v>
      </c>
      <c r="H19" s="167">
        <v>1.5E-3</v>
      </c>
      <c r="I19" s="167">
        <v>0.03</v>
      </c>
      <c r="J19" s="167" t="s">
        <v>662</v>
      </c>
      <c r="K19" s="167">
        <v>998.71</v>
      </c>
      <c r="L19" s="167" t="s">
        <v>661</v>
      </c>
      <c r="M19" s="167">
        <v>58.1</v>
      </c>
      <c r="N19" s="167">
        <v>1487548800</v>
      </c>
      <c r="O19" s="167">
        <v>5.92</v>
      </c>
      <c r="P19" s="167">
        <v>191</v>
      </c>
      <c r="Q19" s="167">
        <v>1.35</v>
      </c>
      <c r="R19"/>
    </row>
    <row r="20" spans="1:18" x14ac:dyDescent="0.25">
      <c r="A20" s="167">
        <v>55.58</v>
      </c>
      <c r="B20" s="167">
        <v>0.72</v>
      </c>
      <c r="C20" s="167">
        <v>29.82</v>
      </c>
      <c r="D20" s="8">
        <v>42785.75</v>
      </c>
      <c r="E20" s="167">
        <v>0.37</v>
      </c>
      <c r="F20" s="167" t="s">
        <v>250</v>
      </c>
      <c r="G20" s="167">
        <v>322.73</v>
      </c>
      <c r="H20" s="167">
        <v>4.7999999999999996E-3</v>
      </c>
      <c r="I20" s="167">
        <v>0.2</v>
      </c>
      <c r="J20" s="167" t="s">
        <v>662</v>
      </c>
      <c r="K20" s="167">
        <v>999.98</v>
      </c>
      <c r="L20" s="167" t="s">
        <v>661</v>
      </c>
      <c r="M20" s="167">
        <v>55.58</v>
      </c>
      <c r="N20" s="167">
        <v>1487552400</v>
      </c>
      <c r="O20" s="167">
        <v>6.76</v>
      </c>
      <c r="P20" s="167">
        <v>334</v>
      </c>
      <c r="Q20" s="167">
        <v>1.89</v>
      </c>
      <c r="R20"/>
    </row>
    <row r="21" spans="1:18" x14ac:dyDescent="0.25">
      <c r="A21" s="167">
        <v>53.46</v>
      </c>
      <c r="B21" s="167">
        <v>0.55000000000000004</v>
      </c>
      <c r="C21" s="167">
        <v>29.65</v>
      </c>
      <c r="D21" s="8">
        <v>42785.791666666664</v>
      </c>
      <c r="E21" s="167">
        <v>0.4</v>
      </c>
      <c r="F21" s="167" t="s">
        <v>662</v>
      </c>
      <c r="G21" s="167">
        <v>318.89999999999998</v>
      </c>
      <c r="H21" s="167">
        <v>1.2200000000000001E-2</v>
      </c>
      <c r="I21" s="167">
        <v>0.53</v>
      </c>
      <c r="J21" s="167" t="s">
        <v>662</v>
      </c>
      <c r="K21" s="167">
        <v>1001.65</v>
      </c>
      <c r="L21" s="167" t="s">
        <v>663</v>
      </c>
      <c r="M21" s="167">
        <v>53.46</v>
      </c>
      <c r="N21" s="167">
        <v>1487556000</v>
      </c>
      <c r="O21" s="167">
        <v>7.51</v>
      </c>
      <c r="P21" s="167">
        <v>343</v>
      </c>
      <c r="Q21" s="167">
        <v>4.5</v>
      </c>
      <c r="R21"/>
    </row>
    <row r="22" spans="1:18" x14ac:dyDescent="0.25">
      <c r="A22" s="167">
        <v>51.04</v>
      </c>
      <c r="B22" s="167">
        <v>0.46</v>
      </c>
      <c r="C22" s="167">
        <v>32.24</v>
      </c>
      <c r="D22" s="8">
        <v>42785.833333333336</v>
      </c>
      <c r="E22" s="167">
        <v>0.48</v>
      </c>
      <c r="F22" s="167" t="s">
        <v>662</v>
      </c>
      <c r="G22" s="167">
        <v>315.32</v>
      </c>
      <c r="H22" s="167">
        <v>1.0500000000000001E-2</v>
      </c>
      <c r="I22" s="167">
        <v>0.51</v>
      </c>
      <c r="J22" s="167" t="s">
        <v>662</v>
      </c>
      <c r="K22" s="167">
        <v>1003.21</v>
      </c>
      <c r="L22" s="167" t="s">
        <v>663</v>
      </c>
      <c r="M22" s="167">
        <v>51.04</v>
      </c>
      <c r="N22" s="167">
        <v>1487559600</v>
      </c>
      <c r="O22" s="167">
        <v>6.33</v>
      </c>
      <c r="P22" s="167">
        <v>332</v>
      </c>
      <c r="Q22" s="167">
        <v>5.73</v>
      </c>
      <c r="R22"/>
    </row>
    <row r="23" spans="1:18" x14ac:dyDescent="0.25">
      <c r="A23" s="167">
        <v>50.08</v>
      </c>
      <c r="B23" s="167">
        <v>0.65</v>
      </c>
      <c r="C23" s="167">
        <v>34.32</v>
      </c>
      <c r="D23" s="8">
        <v>42785.875</v>
      </c>
      <c r="E23" s="167">
        <v>0.55000000000000004</v>
      </c>
      <c r="F23" s="167" t="s">
        <v>662</v>
      </c>
      <c r="G23" s="167">
        <v>313.17</v>
      </c>
      <c r="H23" s="167">
        <v>1.11E-2</v>
      </c>
      <c r="I23" s="167">
        <v>0.52</v>
      </c>
      <c r="J23" s="167" t="s">
        <v>662</v>
      </c>
      <c r="K23" s="167">
        <v>1004.42</v>
      </c>
      <c r="L23" s="167" t="s">
        <v>663</v>
      </c>
      <c r="M23" s="167">
        <v>50.08</v>
      </c>
      <c r="N23" s="167">
        <v>1487563200</v>
      </c>
      <c r="O23" s="167">
        <v>5.45</v>
      </c>
      <c r="P23" s="167">
        <v>316</v>
      </c>
      <c r="Q23" s="167">
        <v>5.31</v>
      </c>
      <c r="R23"/>
    </row>
    <row r="24" spans="1:18" x14ac:dyDescent="0.25">
      <c r="A24" s="167">
        <v>47.38</v>
      </c>
      <c r="B24" s="167">
        <v>0.84</v>
      </c>
      <c r="C24" s="167">
        <v>34.49</v>
      </c>
      <c r="D24" s="8">
        <v>42785.916666666664</v>
      </c>
      <c r="E24" s="167">
        <v>0.57999999999999996</v>
      </c>
      <c r="F24" s="167" t="s">
        <v>662</v>
      </c>
      <c r="G24" s="167">
        <v>311.27999999999997</v>
      </c>
      <c r="H24" s="167">
        <v>7.7999999999999996E-3</v>
      </c>
      <c r="I24" s="167">
        <v>0.39</v>
      </c>
      <c r="J24" s="167" t="s">
        <v>662</v>
      </c>
      <c r="K24" s="167">
        <v>1005.61</v>
      </c>
      <c r="L24" s="167" t="s">
        <v>664</v>
      </c>
      <c r="M24" s="167">
        <v>48.71</v>
      </c>
      <c r="N24" s="167">
        <v>1487566800</v>
      </c>
      <c r="O24" s="167">
        <v>5.35</v>
      </c>
      <c r="P24" s="167">
        <v>309</v>
      </c>
      <c r="Q24" s="167">
        <v>3.99</v>
      </c>
      <c r="R24"/>
    </row>
    <row r="25" spans="1:18" x14ac:dyDescent="0.25">
      <c r="A25" s="167">
        <v>46.48</v>
      </c>
      <c r="B25" s="167">
        <v>0.93</v>
      </c>
      <c r="C25" s="167">
        <v>32.590000000000003</v>
      </c>
      <c r="D25" s="8">
        <v>42785.958333333336</v>
      </c>
      <c r="E25" s="167">
        <v>0.56000000000000005</v>
      </c>
      <c r="F25" s="167" t="s">
        <v>250</v>
      </c>
      <c r="G25" s="167">
        <v>309.04000000000002</v>
      </c>
      <c r="H25" s="167">
        <v>1.5E-3</v>
      </c>
      <c r="I25" s="167">
        <v>0.03</v>
      </c>
      <c r="J25" s="167" t="s">
        <v>662</v>
      </c>
      <c r="K25" s="167">
        <v>1007.01</v>
      </c>
      <c r="L25" s="167" t="s">
        <v>661</v>
      </c>
      <c r="M25" s="167">
        <v>47.45</v>
      </c>
      <c r="N25" s="167">
        <v>1487570400</v>
      </c>
      <c r="O25" s="167">
        <v>5.59</v>
      </c>
      <c r="P25" s="167">
        <v>309</v>
      </c>
      <c r="Q25" s="167">
        <v>3.33</v>
      </c>
      <c r="R25"/>
    </row>
    <row r="26" spans="1:18" x14ac:dyDescent="0.25">
      <c r="A26" s="167">
        <v>45.47</v>
      </c>
      <c r="B26" s="167">
        <v>0.9</v>
      </c>
      <c r="C26" s="167">
        <v>28.85</v>
      </c>
      <c r="D26" s="8">
        <v>42786</v>
      </c>
      <c r="E26" s="167">
        <v>0.5</v>
      </c>
      <c r="F26" s="167" t="s">
        <v>250</v>
      </c>
      <c r="G26" s="167">
        <v>305.86</v>
      </c>
      <c r="H26" s="167">
        <v>3.3999999999999998E-3</v>
      </c>
      <c r="I26" s="167">
        <v>0.12</v>
      </c>
      <c r="J26" s="167" t="s">
        <v>662</v>
      </c>
      <c r="K26" s="167">
        <v>1008.69</v>
      </c>
      <c r="L26" s="167" t="s">
        <v>661</v>
      </c>
      <c r="M26" s="167">
        <v>46.69</v>
      </c>
      <c r="N26" s="167">
        <v>1487574000</v>
      </c>
      <c r="O26" s="167">
        <v>5.75</v>
      </c>
      <c r="P26" s="167">
        <v>309</v>
      </c>
      <c r="Q26" s="167">
        <v>3.49</v>
      </c>
      <c r="R26"/>
    </row>
    <row r="27" spans="1:18" x14ac:dyDescent="0.25">
      <c r="A27" s="167">
        <v>43.04</v>
      </c>
      <c r="B27" s="167">
        <v>0.81</v>
      </c>
      <c r="C27" s="167">
        <v>28.8</v>
      </c>
      <c r="D27" s="8">
        <v>42786.041666666664</v>
      </c>
      <c r="E27" s="167">
        <v>0.52</v>
      </c>
      <c r="F27" s="167" t="s">
        <v>250</v>
      </c>
      <c r="G27" s="167">
        <v>302.69</v>
      </c>
      <c r="H27" s="167">
        <v>8.0000000000000004E-4</v>
      </c>
      <c r="I27" s="167">
        <v>0.01</v>
      </c>
      <c r="J27" s="167" t="s">
        <v>662</v>
      </c>
      <c r="K27" s="167">
        <v>1010.22</v>
      </c>
      <c r="L27" s="167" t="s">
        <v>661</v>
      </c>
      <c r="M27" s="167">
        <v>45.49</v>
      </c>
      <c r="N27" s="167">
        <v>1487577600</v>
      </c>
      <c r="O27" s="167">
        <v>10</v>
      </c>
      <c r="P27" s="167">
        <v>296</v>
      </c>
      <c r="Q27" s="167">
        <v>4.83</v>
      </c>
      <c r="R27"/>
    </row>
    <row r="28" spans="1:18" x14ac:dyDescent="0.25">
      <c r="A28" s="167">
        <v>37.86</v>
      </c>
      <c r="B28" s="167">
        <v>0.84</v>
      </c>
      <c r="C28" s="167">
        <v>24.57</v>
      </c>
      <c r="D28" s="8">
        <v>42786.083333333336</v>
      </c>
      <c r="E28" s="167">
        <v>0.53</v>
      </c>
      <c r="F28" s="167" t="s">
        <v>250</v>
      </c>
      <c r="G28" s="167">
        <v>299.52</v>
      </c>
      <c r="H28" s="167">
        <v>0</v>
      </c>
      <c r="I28" s="167">
        <v>0</v>
      </c>
      <c r="J28" s="167"/>
      <c r="K28" s="167">
        <v>1011.39</v>
      </c>
      <c r="L28" s="167" t="s">
        <v>661</v>
      </c>
      <c r="M28" s="167">
        <v>40.51</v>
      </c>
      <c r="N28" s="167">
        <v>1487581200</v>
      </c>
      <c r="O28" s="167">
        <v>9.9700000000000006</v>
      </c>
      <c r="P28" s="167">
        <v>285</v>
      </c>
      <c r="Q28" s="167">
        <v>4.05</v>
      </c>
      <c r="R28"/>
    </row>
    <row r="29" spans="1:18" x14ac:dyDescent="0.25">
      <c r="A29" s="167">
        <v>35.53</v>
      </c>
      <c r="B29" s="167">
        <v>0.8</v>
      </c>
      <c r="C29" s="167">
        <v>23.02</v>
      </c>
      <c r="D29" s="8">
        <v>42786.125</v>
      </c>
      <c r="E29" s="167">
        <v>0.53</v>
      </c>
      <c r="F29" s="167" t="s">
        <v>250</v>
      </c>
      <c r="G29" s="167">
        <v>297.75</v>
      </c>
      <c r="H29" s="167">
        <v>0</v>
      </c>
      <c r="I29" s="167">
        <v>0</v>
      </c>
      <c r="J29" s="167"/>
      <c r="K29" s="167">
        <v>1012.63</v>
      </c>
      <c r="L29" s="167" t="s">
        <v>661</v>
      </c>
      <c r="M29" s="167">
        <v>38.71</v>
      </c>
      <c r="N29" s="167">
        <v>1487584800</v>
      </c>
      <c r="O29" s="167">
        <v>9.9499999999999993</v>
      </c>
      <c r="P29" s="167">
        <v>282</v>
      </c>
      <c r="Q29" s="167">
        <v>4.32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42785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819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820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821</v>
      </c>
      <c r="J20" s="152" t="s">
        <v>87</v>
      </c>
      <c r="M20" s="152" t="s">
        <v>850</v>
      </c>
    </row>
    <row r="21" spans="3:13" x14ac:dyDescent="0.25">
      <c r="C21" t="s">
        <v>822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823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824</v>
      </c>
      <c r="J23" s="162" t="s">
        <v>95</v>
      </c>
      <c r="M23" s="152" t="str">
        <f>"-07"</f>
        <v>-07</v>
      </c>
    </row>
    <row r="24" spans="3:13" x14ac:dyDescent="0.25">
      <c r="C24" t="s">
        <v>825</v>
      </c>
      <c r="J24" s="152" t="s">
        <v>108</v>
      </c>
      <c r="M24" s="152" t="s">
        <v>110</v>
      </c>
    </row>
    <row r="25" spans="3:13" x14ac:dyDescent="0.25">
      <c r="C25" t="s">
        <v>826</v>
      </c>
      <c r="J25" s="152" t="s">
        <v>150</v>
      </c>
      <c r="M25" s="152" t="b">
        <v>1</v>
      </c>
    </row>
    <row r="26" spans="3:13" x14ac:dyDescent="0.25">
      <c r="C26" t="s">
        <v>827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C:\Users\stu\Documents\GitHub\eaglep3-reporting\EC\2017-02-19-refined-times.txt</v>
      </c>
    </row>
    <row r="27" spans="3:13" x14ac:dyDescent="0.25">
      <c r="C27" t="s">
        <v>828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C:\Users\stu\Documents\GitHub\eaglep3-reporting\EC\2017-02-19-Enforcements.txt</v>
      </c>
    </row>
    <row r="28" spans="3:13" x14ac:dyDescent="0.25">
      <c r="C28" t="s">
        <v>829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C:\Users\stu\Documents\GitHub\eaglep3-reporting\EC\2017-02-19-Runs-refined.txt</v>
      </c>
    </row>
    <row r="29" spans="3:13" x14ac:dyDescent="0.25">
      <c r="C29" t="s">
        <v>830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C:\Users\stu\Documents\GitHub\eaglep3-reporting\EC\2017-02-19-Trips.txt</v>
      </c>
    </row>
    <row r="30" spans="3:13" x14ac:dyDescent="0.25">
      <c r="C30" t="s">
        <v>831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C:\Users\stu\Documents\GitHub\eaglep3-reporting\EC\2017-02-19-Weather.txt</v>
      </c>
    </row>
    <row r="31" spans="3:13" x14ac:dyDescent="0.25">
      <c r="C31" t="s">
        <v>832</v>
      </c>
      <c r="J31" s="152" t="s">
        <v>211</v>
      </c>
      <c r="M31" s="152" t="s">
        <v>212</v>
      </c>
    </row>
    <row r="32" spans="3:13" x14ac:dyDescent="0.25">
      <c r="C32" t="s">
        <v>833</v>
      </c>
    </row>
    <row r="33" spans="3:3" x14ac:dyDescent="0.25">
      <c r="C33" t="s">
        <v>834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3"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855</v>
      </c>
      <c r="B1" t="str">
        <f t="shared" ref="B1:B30" si="0">MID(A1,6,23)</f>
        <v>2017/02/19 14:27:20.496</v>
      </c>
      <c r="C1" t="e">
        <f>ABS(B1-#REF!)</f>
        <v>#REF!</v>
      </c>
    </row>
    <row r="2" spans="1:3" x14ac:dyDescent="0.25">
      <c r="A2" t="s">
        <v>856</v>
      </c>
      <c r="B2" s="20" t="str">
        <f t="shared" si="0"/>
        <v>2017/02/19 14:27:21.106</v>
      </c>
      <c r="C2">
        <f>ABS(B2-B1)</f>
        <v>7.0601890911348164E-6</v>
      </c>
    </row>
    <row r="3" spans="1:3" x14ac:dyDescent="0.25">
      <c r="A3" t="s">
        <v>857</v>
      </c>
      <c r="B3" s="20" t="str">
        <f t="shared" si="0"/>
        <v>2017/02/19 14:27:21.395</v>
      </c>
      <c r="C3" s="20">
        <f t="shared" ref="C3:C30" si="1">ABS(B3-B2)</f>
        <v>3.3449032343924046E-6</v>
      </c>
    </row>
    <row r="4" spans="1:3" x14ac:dyDescent="0.25">
      <c r="A4" t="s">
        <v>858</v>
      </c>
      <c r="B4" s="20" t="str">
        <f t="shared" si="0"/>
        <v>2017/02/19 14:32:22.128</v>
      </c>
      <c r="C4" s="20">
        <f t="shared" si="1"/>
        <v>3.4807060219463892E-3</v>
      </c>
    </row>
    <row r="5" spans="1:3" x14ac:dyDescent="0.25">
      <c r="A5" t="s">
        <v>859</v>
      </c>
      <c r="B5" s="20" t="str">
        <f t="shared" si="0"/>
        <v>2017/02/19 14:32:22.201</v>
      </c>
      <c r="C5" s="20">
        <f t="shared" si="1"/>
        <v>8.4490602603182197E-7</v>
      </c>
    </row>
    <row r="6" spans="1:3" x14ac:dyDescent="0.25">
      <c r="A6" t="s">
        <v>860</v>
      </c>
      <c r="B6" s="20" t="str">
        <f t="shared" si="0"/>
        <v>2017/02/19 14:56:53.331</v>
      </c>
      <c r="C6" s="20">
        <f t="shared" si="1"/>
        <v>1.7026967594574671E-2</v>
      </c>
    </row>
    <row r="7" spans="1:3" x14ac:dyDescent="0.25">
      <c r="A7" t="s">
        <v>861</v>
      </c>
      <c r="B7" s="20" t="str">
        <f t="shared" si="0"/>
        <v>2017/02/19 14:56:53.859</v>
      </c>
      <c r="C7" s="20">
        <f t="shared" si="1"/>
        <v>6.1111059039831161E-6</v>
      </c>
    </row>
    <row r="8" spans="1:3" x14ac:dyDescent="0.25">
      <c r="A8" t="s">
        <v>862</v>
      </c>
      <c r="B8" s="20" t="str">
        <f t="shared" si="0"/>
        <v>2017/02/19 14:56:54.074</v>
      </c>
      <c r="C8" s="20">
        <f t="shared" si="1"/>
        <v>2.4884284357540309E-6</v>
      </c>
    </row>
    <row r="9" spans="1:3" x14ac:dyDescent="0.25">
      <c r="A9" t="s">
        <v>863</v>
      </c>
      <c r="B9" s="20" t="str">
        <f t="shared" si="0"/>
        <v>2017/02/19 16:26:48.189</v>
      </c>
      <c r="C9" s="20">
        <f t="shared" si="1"/>
        <v>6.2431886573904194E-2</v>
      </c>
    </row>
    <row r="10" spans="1:3" x14ac:dyDescent="0.25">
      <c r="A10" t="s">
        <v>864</v>
      </c>
      <c r="B10" s="20" t="str">
        <f t="shared" si="0"/>
        <v>2017/02/19 16:26:49.102</v>
      </c>
      <c r="C10" s="20">
        <f t="shared" si="1"/>
        <v>1.0567127901595086E-5</v>
      </c>
    </row>
    <row r="11" spans="1:3" x14ac:dyDescent="0.25">
      <c r="A11" t="s">
        <v>865</v>
      </c>
      <c r="B11" s="20" t="str">
        <f t="shared" si="0"/>
        <v>2017/02/19 16:26:49.129</v>
      </c>
      <c r="C11" s="20">
        <f t="shared" si="1"/>
        <v>3.1250237952917814E-7</v>
      </c>
    </row>
    <row r="12" spans="1:3" x14ac:dyDescent="0.25">
      <c r="A12" t="s">
        <v>866</v>
      </c>
      <c r="B12" s="20" t="str">
        <f t="shared" si="0"/>
        <v>2017/02/19 16:52:41.256</v>
      </c>
      <c r="C12" s="20">
        <f t="shared" si="1"/>
        <v>1.7964432867302094E-2</v>
      </c>
    </row>
    <row r="13" spans="1:3" x14ac:dyDescent="0.25">
      <c r="A13" t="s">
        <v>867</v>
      </c>
      <c r="B13" s="20" t="str">
        <f t="shared" si="0"/>
        <v>2017/02/19 16:52:41.266</v>
      </c>
      <c r="C13" s="20">
        <f t="shared" si="1"/>
        <v>1.1574593372642994E-7</v>
      </c>
    </row>
    <row r="14" spans="1:3" x14ac:dyDescent="0.25">
      <c r="A14" t="s">
        <v>868</v>
      </c>
      <c r="B14" s="20" t="str">
        <f t="shared" si="0"/>
        <v>2017/02/19 16:52:42.170</v>
      </c>
      <c r="C14" s="20">
        <f t="shared" si="1"/>
        <v>1.0462958016432822E-5</v>
      </c>
    </row>
    <row r="15" spans="1:3" x14ac:dyDescent="0.25">
      <c r="A15" t="s">
        <v>869</v>
      </c>
      <c r="B15" s="20" t="str">
        <f t="shared" si="0"/>
        <v>2017/02/19 18:02:01.096</v>
      </c>
      <c r="C15" s="20">
        <f t="shared" si="1"/>
        <v>4.813571759586921E-2</v>
      </c>
    </row>
    <row r="16" spans="1:3" x14ac:dyDescent="0.25">
      <c r="A16" t="s">
        <v>870</v>
      </c>
      <c r="B16" s="20" t="str">
        <f t="shared" si="0"/>
        <v>2017/02/19 18:02:01.402</v>
      </c>
      <c r="C16" s="20">
        <f t="shared" si="1"/>
        <v>3.5416669561527669E-6</v>
      </c>
    </row>
    <row r="17" spans="1:3" x14ac:dyDescent="0.25">
      <c r="A17" t="s">
        <v>871</v>
      </c>
      <c r="B17" s="20" t="str">
        <f t="shared" si="0"/>
        <v>2017/02/19 18:12:09.108</v>
      </c>
      <c r="C17" s="20">
        <f t="shared" si="1"/>
        <v>7.0336342614609748E-3</v>
      </c>
    </row>
    <row r="18" spans="1:3" x14ac:dyDescent="0.25">
      <c r="A18" t="s">
        <v>872</v>
      </c>
      <c r="B18" s="20" t="str">
        <f t="shared" si="0"/>
        <v>2017/02/19 18:12:09.407</v>
      </c>
      <c r="C18" s="20">
        <f t="shared" si="1"/>
        <v>3.4606418921612203E-6</v>
      </c>
    </row>
    <row r="19" spans="1:3" x14ac:dyDescent="0.25">
      <c r="A19" t="s">
        <v>873</v>
      </c>
      <c r="B19" s="20" t="str">
        <f t="shared" si="0"/>
        <v>2017/02/19 18:12:09.480</v>
      </c>
      <c r="C19" s="20">
        <f t="shared" si="1"/>
        <v>8.4491330198943615E-7</v>
      </c>
    </row>
    <row r="20" spans="1:3" x14ac:dyDescent="0.25">
      <c r="A20" t="s">
        <v>874</v>
      </c>
      <c r="B20" s="20" t="str">
        <f t="shared" si="0"/>
        <v>2017/02/19 18:28:55.130</v>
      </c>
      <c r="C20" s="20">
        <f t="shared" si="1"/>
        <v>1.1639467593340669E-2</v>
      </c>
    </row>
    <row r="21" spans="1:3" x14ac:dyDescent="0.25">
      <c r="A21" t="s">
        <v>875</v>
      </c>
      <c r="B21" s="20" t="str">
        <f t="shared" si="0"/>
        <v>2017/02/19 18:28:55.144</v>
      </c>
      <c r="C21" s="20">
        <f t="shared" si="1"/>
        <v>1.6203557606786489E-7</v>
      </c>
    </row>
    <row r="22" spans="1:3" x14ac:dyDescent="0.25">
      <c r="A22" t="s">
        <v>876</v>
      </c>
      <c r="B22" s="20" t="str">
        <f t="shared" si="0"/>
        <v>2017/02/19 18:28:55.197</v>
      </c>
      <c r="C22" s="20">
        <f t="shared" si="1"/>
        <v>6.1342143453657627E-7</v>
      </c>
    </row>
    <row r="23" spans="1:3" x14ac:dyDescent="0.25">
      <c r="A23" t="s">
        <v>877</v>
      </c>
      <c r="B23" s="20" t="str">
        <f t="shared" si="0"/>
        <v>2017/02/19 18:42:49.765</v>
      </c>
      <c r="C23" s="20">
        <f t="shared" si="1"/>
        <v>9.6593518537702039E-3</v>
      </c>
    </row>
    <row r="24" spans="1:3" x14ac:dyDescent="0.25">
      <c r="A24" t="s">
        <v>878</v>
      </c>
      <c r="B24" s="20" t="str">
        <f t="shared" si="0"/>
        <v>2017/02/19 18:42:49.871</v>
      </c>
      <c r="C24" s="20">
        <f t="shared" si="1"/>
        <v>1.2268501450307667E-6</v>
      </c>
    </row>
    <row r="25" spans="1:3" x14ac:dyDescent="0.25">
      <c r="A25" t="s">
        <v>879</v>
      </c>
      <c r="B25" s="20" t="str">
        <f t="shared" si="0"/>
        <v>2017/02/19 18:42:50.510</v>
      </c>
      <c r="C25" s="20">
        <f t="shared" si="1"/>
        <v>7.395836291834712E-6</v>
      </c>
    </row>
    <row r="26" spans="1:3" x14ac:dyDescent="0.25">
      <c r="A26" t="s">
        <v>880</v>
      </c>
      <c r="B26" s="20" t="str">
        <f t="shared" si="0"/>
        <v>2017/02/19 18:56:01.498</v>
      </c>
      <c r="C26" s="20">
        <f t="shared" si="1"/>
        <v>9.1549537028186023E-3</v>
      </c>
    </row>
    <row r="27" spans="1:3" x14ac:dyDescent="0.25">
      <c r="A27" t="s">
        <v>881</v>
      </c>
      <c r="B27" s="20" t="str">
        <f t="shared" si="0"/>
        <v>2017/02/19 18:56:01.526</v>
      </c>
      <c r="C27" s="20">
        <f t="shared" si="1"/>
        <v>3.2407115213572979E-7</v>
      </c>
    </row>
    <row r="28" spans="1:3" x14ac:dyDescent="0.25">
      <c r="A28" t="s">
        <v>882</v>
      </c>
      <c r="B28" s="20" t="str">
        <f t="shared" si="0"/>
        <v>2017/02/19 19:02:19.493</v>
      </c>
      <c r="C28" s="20">
        <f t="shared" si="1"/>
        <v>4.3746180599555373E-3</v>
      </c>
    </row>
    <row r="29" spans="1:3" x14ac:dyDescent="0.25">
      <c r="A29" t="s">
        <v>883</v>
      </c>
      <c r="B29" s="20" t="str">
        <f t="shared" si="0"/>
        <v>2017/02/19 19:02:19.543</v>
      </c>
      <c r="C29" s="20">
        <f t="shared" si="1"/>
        <v>5.7870056480169296E-7</v>
      </c>
    </row>
    <row r="30" spans="1:3" x14ac:dyDescent="0.25">
      <c r="A30" t="s">
        <v>884</v>
      </c>
      <c r="B30" s="20" t="str">
        <f t="shared" si="0"/>
        <v>2017/02/19 20:25:32.383</v>
      </c>
      <c r="C30" s="20">
        <f t="shared" si="1"/>
        <v>5.7787500001722947E-2</v>
      </c>
    </row>
    <row r="31" spans="1:3" x14ac:dyDescent="0.25">
      <c r="A31" t="s">
        <v>885</v>
      </c>
      <c r="B31" s="20" t="str">
        <f t="shared" ref="B31:B32" si="2">MID(A31,6,23)</f>
        <v>2017/02/19 20:25:32.467</v>
      </c>
      <c r="C31" s="20">
        <f t="shared" ref="C31:C32" si="3">ABS(B31-B30)</f>
        <v>9.7222073236480355E-7</v>
      </c>
    </row>
    <row r="32" spans="1:3" x14ac:dyDescent="0.25">
      <c r="A32" t="s">
        <v>886</v>
      </c>
      <c r="B32" s="20" t="str">
        <f t="shared" si="2"/>
        <v>2017/02/19 21:21:51.499</v>
      </c>
      <c r="C32" s="20">
        <f t="shared" si="3"/>
        <v>3.9109166667913087E-2</v>
      </c>
    </row>
    <row r="33" spans="1:3" x14ac:dyDescent="0.25">
      <c r="A33" t="s">
        <v>887</v>
      </c>
      <c r="B33" s="20" t="str">
        <f t="shared" ref="B33:B49" si="4">MID(A33,6,23)</f>
        <v>2017/02/19 21:21:51.759</v>
      </c>
      <c r="C33" s="20">
        <f t="shared" ref="C33:C49" si="5">ABS(B33-B32)</f>
        <v>3.0092633096501231E-6</v>
      </c>
    </row>
    <row r="34" spans="1:3" x14ac:dyDescent="0.25">
      <c r="A34" t="s">
        <v>888</v>
      </c>
      <c r="B34" s="20" t="str">
        <f t="shared" si="4"/>
        <v>2017/02/19 21:21:51.852</v>
      </c>
      <c r="C34" s="20">
        <f t="shared" si="5"/>
        <v>1.0763833415694535E-6</v>
      </c>
    </row>
    <row r="35" spans="1:3" x14ac:dyDescent="0.25">
      <c r="A35" t="s">
        <v>889</v>
      </c>
      <c r="B35" s="20" t="str">
        <f t="shared" si="4"/>
        <v>2017/02/19 21:54:11.170</v>
      </c>
      <c r="C35" s="20">
        <f t="shared" si="5"/>
        <v>2.2445810187491588E-2</v>
      </c>
    </row>
    <row r="36" spans="1:3" x14ac:dyDescent="0.25">
      <c r="A36" t="s">
        <v>890</v>
      </c>
      <c r="B36" s="20" t="str">
        <f t="shared" si="4"/>
        <v>2017/02/19 21:54:11.237</v>
      </c>
      <c r="C36" s="20">
        <f t="shared" si="5"/>
        <v>7.7546428656205535E-7</v>
      </c>
    </row>
    <row r="37" spans="1:3" x14ac:dyDescent="0.25">
      <c r="A37" t="s">
        <v>891</v>
      </c>
      <c r="B37" s="20" t="str">
        <f t="shared" si="4"/>
        <v>2017/02/19 22:06:39.090</v>
      </c>
      <c r="C37" s="20">
        <f t="shared" si="5"/>
        <v>8.6557060203631409E-3</v>
      </c>
    </row>
    <row r="38" spans="1:3" x14ac:dyDescent="0.25">
      <c r="A38" t="s">
        <v>892</v>
      </c>
      <c r="B38" s="20" t="str">
        <f t="shared" si="4"/>
        <v>2017/02/19 22:06:39.401</v>
      </c>
      <c r="C38" s="20">
        <f t="shared" si="5"/>
        <v>3.5995326470583677E-6</v>
      </c>
    </row>
    <row r="39" spans="1:3" x14ac:dyDescent="0.25">
      <c r="A39" t="s">
        <v>893</v>
      </c>
      <c r="B39" s="20" t="str">
        <f t="shared" si="4"/>
        <v>2017/02/19 22:06:39.900</v>
      </c>
      <c r="C39" s="20">
        <f t="shared" si="5"/>
        <v>5.7754659792408347E-6</v>
      </c>
    </row>
    <row r="40" spans="1:3" x14ac:dyDescent="0.25">
      <c r="A40" t="s">
        <v>894</v>
      </c>
      <c r="B40" s="20" t="str">
        <f t="shared" si="4"/>
        <v>2017/02/19 22:19:31.398</v>
      </c>
      <c r="C40" s="20">
        <f t="shared" si="5"/>
        <v>8.9293749988428317E-3</v>
      </c>
    </row>
    <row r="41" spans="1:3" x14ac:dyDescent="0.25">
      <c r="A41" t="s">
        <v>895</v>
      </c>
      <c r="B41" s="20" t="str">
        <f t="shared" si="4"/>
        <v>2017/02/19 22:19:31.412</v>
      </c>
      <c r="C41" s="20">
        <f t="shared" si="5"/>
        <v>1.6203557606786489E-7</v>
      </c>
    </row>
    <row r="42" spans="1:3" x14ac:dyDescent="0.25">
      <c r="A42" t="s">
        <v>896</v>
      </c>
      <c r="B42" s="20" t="str">
        <f t="shared" si="4"/>
        <v>2017/02/19 22:19:31.494</v>
      </c>
      <c r="C42" s="20">
        <f t="shared" si="5"/>
        <v>9.4907591119408607E-7</v>
      </c>
    </row>
    <row r="43" spans="1:3" x14ac:dyDescent="0.25">
      <c r="A43" t="s">
        <v>897</v>
      </c>
      <c r="B43" s="20" t="str">
        <f t="shared" si="4"/>
        <v>2017/02/19 22:19:31.508</v>
      </c>
      <c r="C43" s="20">
        <f t="shared" si="5"/>
        <v>1.6203557606786489E-7</v>
      </c>
    </row>
    <row r="44" spans="1:3" x14ac:dyDescent="0.25">
      <c r="A44" t="s">
        <v>898</v>
      </c>
      <c r="B44" s="20" t="str">
        <f t="shared" si="4"/>
        <v>2017/02/19 23:39:44.189</v>
      </c>
      <c r="C44" s="20">
        <f t="shared" si="5"/>
        <v>5.5702326390019152E-2</v>
      </c>
    </row>
    <row r="45" spans="1:3" x14ac:dyDescent="0.25">
      <c r="A45" t="s">
        <v>899</v>
      </c>
      <c r="B45" s="20" t="str">
        <f t="shared" si="4"/>
        <v>2017/02/19 23:39:44.244</v>
      </c>
      <c r="C45" s="20">
        <f t="shared" si="5"/>
        <v>6.3657353166490793E-7</v>
      </c>
    </row>
    <row r="46" spans="1:3" x14ac:dyDescent="0.25">
      <c r="A46" t="s">
        <v>900</v>
      </c>
      <c r="B46" s="20" t="str">
        <f t="shared" si="4"/>
        <v>2017/02/19 23:39:44.267</v>
      </c>
      <c r="C46" s="20">
        <f t="shared" si="5"/>
        <v>2.66205461230129E-7</v>
      </c>
    </row>
    <row r="47" spans="1:3" x14ac:dyDescent="0.25">
      <c r="A47" t="s">
        <v>901</v>
      </c>
      <c r="B47" s="20" t="str">
        <f t="shared" si="4"/>
        <v>2017/02/19 23:41:47.412</v>
      </c>
      <c r="C47" s="20">
        <f t="shared" si="5"/>
        <v>1.4252893524826504E-3</v>
      </c>
    </row>
    <row r="48" spans="1:3" x14ac:dyDescent="0.25">
      <c r="A48" t="s">
        <v>902</v>
      </c>
      <c r="B48" s="20" t="str">
        <f t="shared" si="4"/>
        <v>2017/02/19 23:41:47.904</v>
      </c>
      <c r="C48" s="20">
        <f t="shared" si="5"/>
        <v>5.6944409152492881E-6</v>
      </c>
    </row>
    <row r="49" spans="1:3" x14ac:dyDescent="0.25">
      <c r="A49" t="s">
        <v>903</v>
      </c>
      <c r="B49" s="20" t="str">
        <f t="shared" si="4"/>
        <v>2017/02/19 23:41:48.098</v>
      </c>
      <c r="C49" s="20">
        <f t="shared" si="5"/>
        <v>2.2453677956946194E-6</v>
      </c>
    </row>
    <row r="50" spans="1:3" x14ac:dyDescent="0.25">
      <c r="A50" t="s">
        <v>904</v>
      </c>
      <c r="B50" s="20" t="str">
        <f t="shared" ref="B50:B54" si="6">MID(A50,6,23)</f>
        <v>2017/02/20 02:06:38.629</v>
      </c>
      <c r="C50" s="20">
        <f t="shared" ref="C50:C54" si="7">ABS(B50-B49)</f>
        <v>0.10058484954060987</v>
      </c>
    </row>
    <row r="51" spans="1:3" x14ac:dyDescent="0.25">
      <c r="A51" t="s">
        <v>905</v>
      </c>
      <c r="B51" s="20" t="str">
        <f t="shared" si="6"/>
        <v>2017/02/20 02:06:38.825</v>
      </c>
      <c r="C51" s="20">
        <f t="shared" si="7"/>
        <v>2.2685198928229511E-6</v>
      </c>
    </row>
    <row r="52" spans="1:3" x14ac:dyDescent="0.25">
      <c r="A52" t="s">
        <v>906</v>
      </c>
      <c r="B52" s="20" t="str">
        <f t="shared" si="6"/>
        <v>2017/02/20 02:35:43.006</v>
      </c>
      <c r="C52" s="20">
        <f t="shared" si="7"/>
        <v>2.0187280089885462E-2</v>
      </c>
    </row>
    <row r="53" spans="1:3" x14ac:dyDescent="0.25">
      <c r="A53" t="s">
        <v>907</v>
      </c>
      <c r="B53" s="20" t="str">
        <f t="shared" si="6"/>
        <v>2017/02/20 02:35:43.063</v>
      </c>
      <c r="C53" s="20">
        <f t="shared" si="7"/>
        <v>6.5972562879323959E-7</v>
      </c>
    </row>
    <row r="54" spans="1:3" x14ac:dyDescent="0.25">
      <c r="A54" t="s">
        <v>908</v>
      </c>
      <c r="B54" s="20" t="str">
        <f t="shared" si="6"/>
        <v>2017/02/20 02:35:43.082</v>
      </c>
      <c r="C54" s="20">
        <f t="shared" si="7"/>
        <v>2.1990854293107986E-7</v>
      </c>
    </row>
    <row r="55" spans="1:3" x14ac:dyDescent="0.25">
      <c r="A55" t="s">
        <v>909</v>
      </c>
      <c r="B55" s="20" t="str">
        <f t="shared" ref="B55:B62" si="8">MID(A55,6,23)</f>
        <v>2017/02/20 05:24:39.938</v>
      </c>
      <c r="C55" s="20">
        <f t="shared" ref="C55:C62" si="9">ABS(B55-B54)</f>
        <v>0.11732472221774515</v>
      </c>
    </row>
    <row r="56" spans="1:3" x14ac:dyDescent="0.25">
      <c r="A56" t="s">
        <v>910</v>
      </c>
      <c r="B56" s="20" t="str">
        <f t="shared" si="8"/>
        <v>2017/02/20 05:24:40.215</v>
      </c>
      <c r="C56" s="20">
        <f t="shared" si="9"/>
        <v>3.2060197554528713E-6</v>
      </c>
    </row>
    <row r="57" spans="1:3" x14ac:dyDescent="0.25">
      <c r="A57" t="s">
        <v>911</v>
      </c>
      <c r="B57" s="20" t="str">
        <f t="shared" si="8"/>
        <v>2017/02/20 05:24:41.491</v>
      </c>
      <c r="C57" s="20">
        <f t="shared" si="9"/>
        <v>1.4768520486541092E-5</v>
      </c>
    </row>
    <row r="58" spans="1:3" x14ac:dyDescent="0.25">
      <c r="A58" t="s">
        <v>912</v>
      </c>
      <c r="B58" s="20" t="str">
        <f t="shared" si="8"/>
        <v>2017/02/20 05:36:48.717</v>
      </c>
      <c r="C58" s="20">
        <f t="shared" si="9"/>
        <v>8.4169675901648588E-3</v>
      </c>
    </row>
    <row r="59" spans="1:3" x14ac:dyDescent="0.25">
      <c r="A59" t="s">
        <v>913</v>
      </c>
      <c r="B59" s="20" t="str">
        <f t="shared" si="8"/>
        <v>2017/02/20 05:36:48.834</v>
      </c>
      <c r="C59" s="20">
        <f t="shared" si="9"/>
        <v>1.3541648513637483E-6</v>
      </c>
    </row>
    <row r="60" spans="1:3" x14ac:dyDescent="0.25">
      <c r="A60" t="s">
        <v>914</v>
      </c>
      <c r="B60" s="20" t="str">
        <f t="shared" si="8"/>
        <v>2017/02/20 05:36:49.646</v>
      </c>
      <c r="C60" s="20">
        <f t="shared" si="9"/>
        <v>9.3981507234275341E-6</v>
      </c>
    </row>
    <row r="61" spans="1:3" x14ac:dyDescent="0.25">
      <c r="A61" t="s">
        <v>915</v>
      </c>
      <c r="B61" s="20" t="str">
        <f t="shared" si="8"/>
        <v>2017/02/20 08:34:10.201</v>
      </c>
      <c r="C61" s="20">
        <f t="shared" si="9"/>
        <v>0.12315457176009659</v>
      </c>
    </row>
    <row r="62" spans="1:3" x14ac:dyDescent="0.25">
      <c r="A62" t="s">
        <v>916</v>
      </c>
      <c r="B62" s="20" t="str">
        <f t="shared" si="8"/>
        <v>2017/02/20 08:34:10.305</v>
      </c>
      <c r="C62" s="20">
        <f t="shared" si="9"/>
        <v>1.2037053238600492E-6</v>
      </c>
    </row>
    <row r="63" spans="1:3" x14ac:dyDescent="0.25">
      <c r="A63" t="s">
        <v>917</v>
      </c>
      <c r="B63" s="20" t="str">
        <f t="shared" ref="B63" si="10">MID(A63,6,23)</f>
        <v>2017/02/20 08:34:11.914</v>
      </c>
      <c r="C63" s="20">
        <f t="shared" ref="C63" si="11">ABS(B63-B62)</f>
        <v>1.8622682546265423E-5</v>
      </c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2017-02-21T19:07:43Z</dcterms:modified>
</cp:coreProperties>
</file>