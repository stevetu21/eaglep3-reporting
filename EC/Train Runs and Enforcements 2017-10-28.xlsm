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Runs'!$A$12:$AG$422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62" i="1" l="1"/>
  <c r="X159" i="1"/>
  <c r="K158" i="1"/>
  <c r="L158" i="1"/>
  <c r="M158" i="1"/>
  <c r="N158" i="1" s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06" i="1"/>
  <c r="K105" i="1"/>
  <c r="L105" i="1"/>
  <c r="M105" i="1"/>
  <c r="N105" i="1" s="1"/>
  <c r="V105" i="1"/>
  <c r="AA105" i="1"/>
  <c r="AB105" i="1"/>
  <c r="AC105" i="1"/>
  <c r="AD105" i="1"/>
  <c r="T105" i="1" s="1"/>
  <c r="AE105" i="1"/>
  <c r="AF105" i="1"/>
  <c r="AH105" i="1"/>
  <c r="AM105" i="1"/>
  <c r="AN105" i="1"/>
  <c r="AO105" i="1"/>
  <c r="P76" i="1"/>
  <c r="X36" i="1"/>
  <c r="X37" i="1"/>
  <c r="X38" i="1"/>
  <c r="X39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R11" i="3" s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P17" i="1" s="1"/>
  <c r="V17" i="1"/>
  <c r="S9" i="3" s="1"/>
  <c r="Y17" i="1"/>
  <c r="Z17" i="1"/>
  <c r="AB17" i="1"/>
  <c r="AC17" i="1"/>
  <c r="AD17" i="1"/>
  <c r="T17" i="1" s="1"/>
  <c r="AE17" i="1"/>
  <c r="R9" i="3" s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/>
  <c r="V30" i="1"/>
  <c r="Y30" i="1"/>
  <c r="AA30" i="1" s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S20" i="3" s="1"/>
  <c r="Y37" i="1"/>
  <c r="Z37" i="1"/>
  <c r="AB37" i="1"/>
  <c r="AC37" i="1"/>
  <c r="AD37" i="1"/>
  <c r="AE37" i="1"/>
  <c r="R19" i="3" s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M39" i="1"/>
  <c r="N39" i="1"/>
  <c r="V39" i="1"/>
  <c r="Y39" i="1"/>
  <c r="Z39" i="1"/>
  <c r="AA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/>
  <c r="V61" i="1"/>
  <c r="S18" i="3" s="1"/>
  <c r="Y61" i="1"/>
  <c r="Z61" i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/>
  <c r="V72" i="1"/>
  <c r="Y72" i="1"/>
  <c r="AA72" i="1" s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AO75" i="1"/>
  <c r="K76" i="1"/>
  <c r="L76" i="1"/>
  <c r="M76" i="1"/>
  <c r="V76" i="1"/>
  <c r="AA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/>
  <c r="V80" i="1"/>
  <c r="Y80" i="1"/>
  <c r="Z80" i="1"/>
  <c r="AA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AM82" i="1"/>
  <c r="AN82" i="1"/>
  <c r="AO82" i="1"/>
  <c r="K203" i="1"/>
  <c r="L203" i="1"/>
  <c r="M203" i="1"/>
  <c r="N203" i="1" s="1"/>
  <c r="V203" i="1"/>
  <c r="S30" i="3" s="1"/>
  <c r="Y203" i="1"/>
  <c r="Z203" i="1"/>
  <c r="AA203" i="1" s="1"/>
  <c r="AB203" i="1"/>
  <c r="AC203" i="1"/>
  <c r="AD203" i="1"/>
  <c r="AE203" i="1"/>
  <c r="R30" i="3" s="1"/>
  <c r="AF203" i="1"/>
  <c r="AH83" i="1"/>
  <c r="AM83" i="1"/>
  <c r="AN83" i="1"/>
  <c r="AO8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84" i="1"/>
  <c r="AM84" i="1"/>
  <c r="AN84" i="1"/>
  <c r="AO84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5" i="1"/>
  <c r="AM85" i="1"/>
  <c r="AN85" i="1"/>
  <c r="AO85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6" i="1"/>
  <c r="AM86" i="1"/>
  <c r="AN86" i="1"/>
  <c r="AO86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7" i="1"/>
  <c r="AM87" i="1"/>
  <c r="AN87" i="1"/>
  <c r="AO87" i="1"/>
  <c r="K86" i="1"/>
  <c r="L86" i="1"/>
  <c r="M86" i="1"/>
  <c r="N86" i="1"/>
  <c r="V86" i="1"/>
  <c r="S8" i="3" s="1"/>
  <c r="Y86" i="1"/>
  <c r="Z86" i="1"/>
  <c r="AB86" i="1"/>
  <c r="AC86" i="1"/>
  <c r="AD86" i="1"/>
  <c r="AE86" i="1"/>
  <c r="R8" i="3" s="1"/>
  <c r="AF86" i="1"/>
  <c r="AH88" i="1"/>
  <c r="AM88" i="1"/>
  <c r="AN88" i="1"/>
  <c r="AO88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9" i="1"/>
  <c r="AM89" i="1"/>
  <c r="AN89" i="1"/>
  <c r="AO89" i="1"/>
  <c r="K88" i="1"/>
  <c r="L88" i="1"/>
  <c r="M88" i="1"/>
  <c r="N88" i="1"/>
  <c r="V88" i="1"/>
  <c r="Y88" i="1"/>
  <c r="AA88" i="1" s="1"/>
  <c r="Z88" i="1"/>
  <c r="AB88" i="1"/>
  <c r="AC88" i="1"/>
  <c r="AD88" i="1"/>
  <c r="AE88" i="1"/>
  <c r="AF88" i="1"/>
  <c r="AH90" i="1"/>
  <c r="AM90" i="1"/>
  <c r="AN90" i="1"/>
  <c r="AO90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91" i="1"/>
  <c r="AM91" i="1"/>
  <c r="AN91" i="1"/>
  <c r="AO91" i="1"/>
  <c r="K90" i="1"/>
  <c r="L90" i="1"/>
  <c r="M90" i="1"/>
  <c r="N90" i="1" s="1"/>
  <c r="V90" i="1"/>
  <c r="Y90" i="1"/>
  <c r="Z90" i="1"/>
  <c r="AA90" i="1" s="1"/>
  <c r="AB90" i="1"/>
  <c r="AC90" i="1"/>
  <c r="AD90" i="1"/>
  <c r="AE90" i="1"/>
  <c r="AF90" i="1"/>
  <c r="AH92" i="1"/>
  <c r="AM92" i="1"/>
  <c r="AN92" i="1"/>
  <c r="AO92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3" i="1"/>
  <c r="AM93" i="1"/>
  <c r="AN93" i="1"/>
  <c r="AO93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4" i="1"/>
  <c r="AM94" i="1"/>
  <c r="AN94" i="1"/>
  <c r="AO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5" i="1"/>
  <c r="AM95" i="1"/>
  <c r="AN95" i="1"/>
  <c r="AO95" i="1"/>
  <c r="K160" i="1"/>
  <c r="L160" i="1"/>
  <c r="M160" i="1"/>
  <c r="N160" i="1" s="1"/>
  <c r="V160" i="1"/>
  <c r="Y160" i="1"/>
  <c r="Z160" i="1"/>
  <c r="AA160" i="1" s="1"/>
  <c r="AB160" i="1"/>
  <c r="AC160" i="1"/>
  <c r="AD160" i="1"/>
  <c r="AE160" i="1"/>
  <c r="AF160" i="1"/>
  <c r="AH96" i="1"/>
  <c r="AM96" i="1"/>
  <c r="AN96" i="1"/>
  <c r="AO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7" i="1"/>
  <c r="AM97" i="1"/>
  <c r="AN97" i="1"/>
  <c r="AO97" i="1"/>
  <c r="K162" i="1"/>
  <c r="L162" i="1"/>
  <c r="M162" i="1"/>
  <c r="V162" i="1"/>
  <c r="Y162" i="1"/>
  <c r="Z162" i="1"/>
  <c r="AB162" i="1"/>
  <c r="AC162" i="1"/>
  <c r="AD162" i="1"/>
  <c r="AE162" i="1"/>
  <c r="R24" i="3" s="1"/>
  <c r="AF162" i="1"/>
  <c r="AH98" i="1"/>
  <c r="AM98" i="1"/>
  <c r="AN98" i="1"/>
  <c r="AO98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99" i="1"/>
  <c r="AM99" i="1"/>
  <c r="AN99" i="1"/>
  <c r="AO99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100" i="1"/>
  <c r="AM100" i="1"/>
  <c r="AN100" i="1"/>
  <c r="AO10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AO101" i="1"/>
  <c r="K166" i="1"/>
  <c r="L166" i="1"/>
  <c r="M166" i="1"/>
  <c r="N166" i="1"/>
  <c r="V166" i="1"/>
  <c r="Y166" i="1"/>
  <c r="Z166" i="1"/>
  <c r="AB166" i="1"/>
  <c r="AC166" i="1"/>
  <c r="AD166" i="1"/>
  <c r="X166" i="1" s="1"/>
  <c r="AE166" i="1"/>
  <c r="AF166" i="1"/>
  <c r="AH102" i="1"/>
  <c r="AM102" i="1"/>
  <c r="AN102" i="1"/>
  <c r="AO102" i="1"/>
  <c r="K167" i="1"/>
  <c r="L167" i="1"/>
  <c r="M167" i="1"/>
  <c r="N167" i="1"/>
  <c r="V167" i="1"/>
  <c r="Y167" i="1"/>
  <c r="AA167" i="1" s="1"/>
  <c r="Z167" i="1"/>
  <c r="AB167" i="1"/>
  <c r="AC167" i="1"/>
  <c r="AD167" i="1"/>
  <c r="T167" i="1" s="1"/>
  <c r="AE167" i="1"/>
  <c r="AF167" i="1"/>
  <c r="AH103" i="1"/>
  <c r="AM103" i="1"/>
  <c r="AN103" i="1"/>
  <c r="AO103" i="1"/>
  <c r="K168" i="1"/>
  <c r="L168" i="1"/>
  <c r="M168" i="1"/>
  <c r="N168" i="1" s="1"/>
  <c r="V168" i="1"/>
  <c r="S23" i="3" s="1"/>
  <c r="Y168" i="1"/>
  <c r="Z168" i="1"/>
  <c r="AB168" i="1"/>
  <c r="AC168" i="1"/>
  <c r="AD168" i="1"/>
  <c r="T168" i="1" s="1"/>
  <c r="AE168" i="1"/>
  <c r="AF168" i="1"/>
  <c r="AH104" i="1"/>
  <c r="AM104" i="1"/>
  <c r="AN104" i="1"/>
  <c r="AO104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6" i="1"/>
  <c r="AM106" i="1"/>
  <c r="AN106" i="1"/>
  <c r="AO10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7" i="1"/>
  <c r="AM107" i="1"/>
  <c r="AN107" i="1"/>
  <c r="AO10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8" i="1"/>
  <c r="AM108" i="1"/>
  <c r="AN108" i="1"/>
  <c r="AO108" i="1"/>
  <c r="K171" i="1"/>
  <c r="L171" i="1"/>
  <c r="M171" i="1"/>
  <c r="N171" i="1" s="1"/>
  <c r="V171" i="1"/>
  <c r="Y171" i="1"/>
  <c r="Z171" i="1"/>
  <c r="AA171" i="1" s="1"/>
  <c r="AB171" i="1"/>
  <c r="AC171" i="1"/>
  <c r="AD171" i="1"/>
  <c r="T171" i="1" s="1"/>
  <c r="AE171" i="1"/>
  <c r="AF171" i="1"/>
  <c r="AH109" i="1"/>
  <c r="AM109" i="1"/>
  <c r="AN109" i="1"/>
  <c r="AO10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10" i="1"/>
  <c r="AM110" i="1"/>
  <c r="AN110" i="1"/>
  <c r="AO11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1" i="1"/>
  <c r="AM111" i="1"/>
  <c r="AN111" i="1"/>
  <c r="AO11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R26" i="3" s="1"/>
  <c r="AF174" i="1"/>
  <c r="AH112" i="1"/>
  <c r="AM112" i="1"/>
  <c r="AN112" i="1"/>
  <c r="AO112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113" i="1"/>
  <c r="AM113" i="1"/>
  <c r="AN113" i="1"/>
  <c r="AO11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4" i="1"/>
  <c r="AM114" i="1"/>
  <c r="AN114" i="1"/>
  <c r="AO114" i="1"/>
  <c r="K177" i="1"/>
  <c r="L177" i="1"/>
  <c r="M177" i="1"/>
  <c r="N177" i="1"/>
  <c r="V177" i="1"/>
  <c r="S25" i="3" s="1"/>
  <c r="Y177" i="1"/>
  <c r="AA177" i="1" s="1"/>
  <c r="Z177" i="1"/>
  <c r="AB177" i="1"/>
  <c r="AC177" i="1"/>
  <c r="AD177" i="1"/>
  <c r="AE177" i="1"/>
  <c r="AF177" i="1"/>
  <c r="AH115" i="1"/>
  <c r="AM115" i="1"/>
  <c r="AN115" i="1"/>
  <c r="AO115" i="1"/>
  <c r="K178" i="1"/>
  <c r="L178" i="1"/>
  <c r="M178" i="1"/>
  <c r="N178" i="1" s="1"/>
  <c r="V178" i="1"/>
  <c r="Y178" i="1"/>
  <c r="Z178" i="1"/>
  <c r="AA178" i="1" s="1"/>
  <c r="AB178" i="1"/>
  <c r="AC178" i="1"/>
  <c r="AD178" i="1"/>
  <c r="AE178" i="1"/>
  <c r="AF178" i="1"/>
  <c r="AH116" i="1"/>
  <c r="AM116" i="1"/>
  <c r="AN116" i="1"/>
  <c r="AO116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17" i="1"/>
  <c r="AM117" i="1"/>
  <c r="AN117" i="1"/>
  <c r="AO11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8" i="1"/>
  <c r="AM118" i="1"/>
  <c r="AN118" i="1"/>
  <c r="AO118" i="1"/>
  <c r="K180" i="1"/>
  <c r="L180" i="1"/>
  <c r="M180" i="1"/>
  <c r="N180" i="1" s="1"/>
  <c r="V180" i="1"/>
  <c r="Y180" i="1"/>
  <c r="AA180" i="1" s="1"/>
  <c r="Z180" i="1"/>
  <c r="AB180" i="1"/>
  <c r="AC180" i="1"/>
  <c r="AD180" i="1"/>
  <c r="AE180" i="1"/>
  <c r="AF180" i="1"/>
  <c r="AH119" i="1"/>
  <c r="AM119" i="1"/>
  <c r="AN119" i="1"/>
  <c r="AO119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20" i="1"/>
  <c r="AM120" i="1"/>
  <c r="AN120" i="1"/>
  <c r="AO12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1" i="1"/>
  <c r="AM121" i="1"/>
  <c r="AN121" i="1"/>
  <c r="AO121" i="1"/>
  <c r="K183" i="1"/>
  <c r="L183" i="1"/>
  <c r="M183" i="1"/>
  <c r="N183" i="1" s="1"/>
  <c r="V183" i="1"/>
  <c r="Y183" i="1"/>
  <c r="Z183" i="1"/>
  <c r="AA183" i="1" s="1"/>
  <c r="AB183" i="1"/>
  <c r="AC183" i="1"/>
  <c r="AD183" i="1"/>
  <c r="AE183" i="1"/>
  <c r="AF183" i="1"/>
  <c r="AH122" i="1"/>
  <c r="AM122" i="1"/>
  <c r="AN122" i="1"/>
  <c r="AO122" i="1"/>
  <c r="K184" i="1"/>
  <c r="L184" i="1"/>
  <c r="M184" i="1"/>
  <c r="N184" i="1" s="1"/>
  <c r="V184" i="1"/>
  <c r="Y184" i="1"/>
  <c r="AA184" i="1" s="1"/>
  <c r="Z184" i="1"/>
  <c r="AB184" i="1"/>
  <c r="AC184" i="1"/>
  <c r="AD184" i="1"/>
  <c r="AE184" i="1"/>
  <c r="AF184" i="1"/>
  <c r="AH123" i="1"/>
  <c r="AM123" i="1"/>
  <c r="AN123" i="1"/>
  <c r="AO12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4" i="1"/>
  <c r="AM124" i="1"/>
  <c r="AN124" i="1"/>
  <c r="AO12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5" i="1"/>
  <c r="AM125" i="1"/>
  <c r="AN125" i="1"/>
  <c r="AO12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6" i="1"/>
  <c r="AM126" i="1"/>
  <c r="AN126" i="1"/>
  <c r="AO12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AN127" i="1"/>
  <c r="AO127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8" i="1"/>
  <c r="AM128" i="1"/>
  <c r="AN128" i="1"/>
  <c r="AO128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129" i="1"/>
  <c r="AM129" i="1"/>
  <c r="AN129" i="1"/>
  <c r="AO12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30" i="1"/>
  <c r="AM130" i="1"/>
  <c r="AN130" i="1"/>
  <c r="AO13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31" i="1"/>
  <c r="AM131" i="1"/>
  <c r="AN131" i="1"/>
  <c r="AO13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2" i="1"/>
  <c r="AM132" i="1"/>
  <c r="AN132" i="1"/>
  <c r="AO132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133" i="1"/>
  <c r="AM133" i="1"/>
  <c r="AN133" i="1"/>
  <c r="AO13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34" i="1"/>
  <c r="AM134" i="1"/>
  <c r="AN134" i="1"/>
  <c r="AO134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5" i="1"/>
  <c r="AM135" i="1"/>
  <c r="AN135" i="1"/>
  <c r="AO135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6" i="1"/>
  <c r="AM136" i="1"/>
  <c r="AN136" i="1"/>
  <c r="AO136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37" i="1"/>
  <c r="AM137" i="1"/>
  <c r="AN137" i="1"/>
  <c r="AO137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8" i="1"/>
  <c r="AM138" i="1"/>
  <c r="AN138" i="1"/>
  <c r="AO138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9" i="1"/>
  <c r="AM139" i="1"/>
  <c r="AN139" i="1"/>
  <c r="AO139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40" i="1"/>
  <c r="AM140" i="1"/>
  <c r="AN140" i="1"/>
  <c r="AO140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41" i="1"/>
  <c r="AM141" i="1"/>
  <c r="AN141" i="1"/>
  <c r="AO141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42" i="1"/>
  <c r="AM142" i="1"/>
  <c r="AN142" i="1"/>
  <c r="AO142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43" i="1"/>
  <c r="AM143" i="1"/>
  <c r="AN143" i="1"/>
  <c r="AO143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44" i="1"/>
  <c r="AM144" i="1"/>
  <c r="AN144" i="1"/>
  <c r="AO144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45" i="1"/>
  <c r="AM145" i="1"/>
  <c r="AN145" i="1"/>
  <c r="AO14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6" i="1"/>
  <c r="AM146" i="1"/>
  <c r="AN146" i="1"/>
  <c r="AO14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7" i="1"/>
  <c r="AM147" i="1"/>
  <c r="AN147" i="1"/>
  <c r="AO14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8" i="1"/>
  <c r="AM148" i="1"/>
  <c r="AN148" i="1"/>
  <c r="AO14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49" i="1"/>
  <c r="AM149" i="1"/>
  <c r="AN149" i="1"/>
  <c r="AO14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0" i="1"/>
  <c r="AM150" i="1"/>
  <c r="AN150" i="1"/>
  <c r="AO15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51" i="1"/>
  <c r="AM151" i="1"/>
  <c r="AN151" i="1"/>
  <c r="AO15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2" i="1"/>
  <c r="AM152" i="1"/>
  <c r="AN152" i="1"/>
  <c r="AO15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4" i="1"/>
  <c r="AM154" i="1"/>
  <c r="AN154" i="1"/>
  <c r="AO15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5" i="1"/>
  <c r="AM155" i="1"/>
  <c r="AN155" i="1"/>
  <c r="AO15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56" i="1"/>
  <c r="AM156" i="1"/>
  <c r="AN156" i="1"/>
  <c r="AO15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7" i="1"/>
  <c r="AM157" i="1"/>
  <c r="AN157" i="1"/>
  <c r="AO15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59" i="1"/>
  <c r="AM159" i="1"/>
  <c r="AN159" i="1"/>
  <c r="AO159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60" i="1"/>
  <c r="AM160" i="1"/>
  <c r="AN160" i="1"/>
  <c r="AO160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61" i="1"/>
  <c r="AM161" i="1"/>
  <c r="AN161" i="1"/>
  <c r="AO161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62" i="1"/>
  <c r="AM162" i="1"/>
  <c r="AN162" i="1"/>
  <c r="AO162" i="1"/>
  <c r="K122" i="1"/>
  <c r="L122" i="1"/>
  <c r="M122" i="1"/>
  <c r="N122" i="1"/>
  <c r="V122" i="1"/>
  <c r="Y122" i="1"/>
  <c r="Z122" i="1"/>
  <c r="AB122" i="1"/>
  <c r="AC122" i="1"/>
  <c r="AD122" i="1"/>
  <c r="AE122" i="1"/>
  <c r="AF122" i="1"/>
  <c r="AH163" i="1"/>
  <c r="AM163" i="1"/>
  <c r="AN163" i="1"/>
  <c r="AO163" i="1"/>
  <c r="K123" i="1"/>
  <c r="L123" i="1"/>
  <c r="M123" i="1"/>
  <c r="N123" i="1" s="1"/>
  <c r="V123" i="1"/>
  <c r="S7" i="3" s="1"/>
  <c r="Y123" i="1"/>
  <c r="Z123" i="1"/>
  <c r="AB123" i="1"/>
  <c r="AC123" i="1"/>
  <c r="AD123" i="1"/>
  <c r="AE123" i="1"/>
  <c r="R7" i="3" s="1"/>
  <c r="AF123" i="1"/>
  <c r="AH164" i="1"/>
  <c r="AM164" i="1"/>
  <c r="AN164" i="1"/>
  <c r="AO164" i="1"/>
  <c r="K124" i="1"/>
  <c r="L124" i="1"/>
  <c r="M124" i="1"/>
  <c r="N124" i="1" s="1"/>
  <c r="V124" i="1"/>
  <c r="S22" i="3" s="1"/>
  <c r="Y124" i="1"/>
  <c r="Z124" i="1"/>
  <c r="AB124" i="1"/>
  <c r="AC124" i="1"/>
  <c r="AD124" i="1"/>
  <c r="AE124" i="1"/>
  <c r="AF124" i="1"/>
  <c r="AH165" i="1"/>
  <c r="AM165" i="1"/>
  <c r="AN165" i="1"/>
  <c r="AO165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6" i="1"/>
  <c r="AM166" i="1"/>
  <c r="AN166" i="1"/>
  <c r="AO166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7" i="1"/>
  <c r="AM167" i="1"/>
  <c r="AN167" i="1"/>
  <c r="AO167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68" i="1"/>
  <c r="AM168" i="1"/>
  <c r="AN168" i="1"/>
  <c r="AO168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9" i="1"/>
  <c r="AM169" i="1"/>
  <c r="AN169" i="1"/>
  <c r="AO169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70" i="1"/>
  <c r="AM170" i="1"/>
  <c r="AN170" i="1"/>
  <c r="AO170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71" i="1"/>
  <c r="AM171" i="1"/>
  <c r="AN171" i="1"/>
  <c r="AO171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2" i="1"/>
  <c r="AM172" i="1"/>
  <c r="AN172" i="1"/>
  <c r="AO172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73" i="1"/>
  <c r="AM173" i="1"/>
  <c r="AN173" i="1"/>
  <c r="AO173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4" i="1"/>
  <c r="AM174" i="1"/>
  <c r="AN174" i="1"/>
  <c r="AO174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75" i="1"/>
  <c r="AM175" i="1"/>
  <c r="AN175" i="1"/>
  <c r="AO175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6" i="1"/>
  <c r="AM176" i="1"/>
  <c r="AN176" i="1"/>
  <c r="AO176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7" i="1"/>
  <c r="AM177" i="1"/>
  <c r="AN177" i="1"/>
  <c r="AO177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78" i="1"/>
  <c r="AM178" i="1"/>
  <c r="AN178" i="1"/>
  <c r="AO178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9" i="1"/>
  <c r="AM179" i="1"/>
  <c r="AN179" i="1"/>
  <c r="AO179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80" i="1"/>
  <c r="AM180" i="1"/>
  <c r="AN180" i="1"/>
  <c r="AO180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81" i="1"/>
  <c r="AM181" i="1"/>
  <c r="AN181" i="1"/>
  <c r="AO181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82" i="1"/>
  <c r="AM182" i="1"/>
  <c r="AN182" i="1"/>
  <c r="AO182" i="1"/>
  <c r="K142" i="1"/>
  <c r="L142" i="1"/>
  <c r="M142" i="1"/>
  <c r="N142" i="1"/>
  <c r="V142" i="1"/>
  <c r="Y142" i="1"/>
  <c r="Z142" i="1"/>
  <c r="AB142" i="1"/>
  <c r="AC142" i="1"/>
  <c r="AD142" i="1"/>
  <c r="AE142" i="1"/>
  <c r="AF142" i="1"/>
  <c r="AH183" i="1"/>
  <c r="AM183" i="1"/>
  <c r="AN183" i="1"/>
  <c r="AO183" i="1"/>
  <c r="K143" i="1"/>
  <c r="L143" i="1"/>
  <c r="M143" i="1"/>
  <c r="N143" i="1"/>
  <c r="V143" i="1"/>
  <c r="S10" i="3" s="1"/>
  <c r="Y143" i="1"/>
  <c r="Z143" i="1"/>
  <c r="AA143" i="1"/>
  <c r="AB143" i="1"/>
  <c r="AC143" i="1"/>
  <c r="AD143" i="1"/>
  <c r="AE143" i="1"/>
  <c r="R10" i="3" s="1"/>
  <c r="AF143" i="1"/>
  <c r="AH184" i="1"/>
  <c r="AM184" i="1"/>
  <c r="AN184" i="1"/>
  <c r="AO184" i="1"/>
  <c r="K144" i="1"/>
  <c r="L144" i="1"/>
  <c r="M144" i="1"/>
  <c r="N144" i="1" s="1"/>
  <c r="V144" i="1"/>
  <c r="S16" i="3" s="1"/>
  <c r="Y144" i="1"/>
  <c r="Z144" i="1"/>
  <c r="AB144" i="1"/>
  <c r="AC144" i="1"/>
  <c r="AD144" i="1"/>
  <c r="AE144" i="1"/>
  <c r="AF144" i="1"/>
  <c r="AH185" i="1"/>
  <c r="AM185" i="1"/>
  <c r="AN185" i="1"/>
  <c r="AO185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86" i="1"/>
  <c r="AM186" i="1"/>
  <c r="AN186" i="1"/>
  <c r="AO186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7" i="1"/>
  <c r="AM187" i="1"/>
  <c r="AN187" i="1"/>
  <c r="AO187" i="1"/>
  <c r="K147" i="1"/>
  <c r="L147" i="1"/>
  <c r="M147" i="1"/>
  <c r="N147" i="1" s="1"/>
  <c r="V147" i="1"/>
  <c r="S14" i="3" s="1"/>
  <c r="Y147" i="1"/>
  <c r="Z147" i="1"/>
  <c r="AA147" i="1" s="1"/>
  <c r="AB147" i="1"/>
  <c r="AC147" i="1"/>
  <c r="AD147" i="1"/>
  <c r="AE147" i="1"/>
  <c r="R14" i="3" s="1"/>
  <c r="AF147" i="1"/>
  <c r="AH188" i="1"/>
  <c r="AM188" i="1"/>
  <c r="AN188" i="1"/>
  <c r="AO188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89" i="1"/>
  <c r="AM189" i="1"/>
  <c r="AN189" i="1"/>
  <c r="AO189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90" i="1"/>
  <c r="AM190" i="1"/>
  <c r="AN190" i="1"/>
  <c r="AO190" i="1"/>
  <c r="K150" i="1"/>
  <c r="L150" i="1"/>
  <c r="M150" i="1"/>
  <c r="N150" i="1"/>
  <c r="V150" i="1"/>
  <c r="Y150" i="1"/>
  <c r="Z150" i="1"/>
  <c r="AB150" i="1"/>
  <c r="AC150" i="1"/>
  <c r="AD150" i="1"/>
  <c r="AE150" i="1"/>
  <c r="AF150" i="1"/>
  <c r="AH191" i="1"/>
  <c r="AM191" i="1"/>
  <c r="AN191" i="1"/>
  <c r="AO191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92" i="1"/>
  <c r="AM192" i="1"/>
  <c r="AN192" i="1"/>
  <c r="AO192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93" i="1"/>
  <c r="AM193" i="1"/>
  <c r="AN193" i="1"/>
  <c r="AO193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4" i="1"/>
  <c r="AM194" i="1"/>
  <c r="AN194" i="1"/>
  <c r="AO194" i="1"/>
  <c r="K154" i="1"/>
  <c r="L154" i="1"/>
  <c r="M154" i="1"/>
  <c r="N154" i="1"/>
  <c r="V154" i="1"/>
  <c r="Y154" i="1"/>
  <c r="Z154" i="1"/>
  <c r="AB154" i="1"/>
  <c r="AC154" i="1"/>
  <c r="AD154" i="1"/>
  <c r="AE154" i="1"/>
  <c r="AF154" i="1"/>
  <c r="AH195" i="1"/>
  <c r="AM195" i="1"/>
  <c r="AN195" i="1"/>
  <c r="AO195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96" i="1"/>
  <c r="AM196" i="1"/>
  <c r="AN196" i="1"/>
  <c r="AO196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7" i="1"/>
  <c r="AM197" i="1"/>
  <c r="AN197" i="1"/>
  <c r="AO197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98" i="1"/>
  <c r="AM198" i="1"/>
  <c r="AN198" i="1"/>
  <c r="AO198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9" i="1"/>
  <c r="AM199" i="1"/>
  <c r="AN199" i="1"/>
  <c r="AO199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00" i="1"/>
  <c r="AM200" i="1"/>
  <c r="AN200" i="1"/>
  <c r="AO20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1" i="1"/>
  <c r="AM201" i="1"/>
  <c r="AN201" i="1"/>
  <c r="AO201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02" i="1"/>
  <c r="AM202" i="1"/>
  <c r="AN202" i="1"/>
  <c r="AO202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03" i="1"/>
  <c r="AM203" i="1"/>
  <c r="AN203" i="1"/>
  <c r="AO203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4" i="1"/>
  <c r="AM204" i="1"/>
  <c r="AN204" i="1"/>
  <c r="AO204" i="1"/>
  <c r="K201" i="1"/>
  <c r="L201" i="1"/>
  <c r="M201" i="1"/>
  <c r="N201" i="1" s="1"/>
  <c r="V201" i="1"/>
  <c r="S31" i="3" s="1"/>
  <c r="Y201" i="1"/>
  <c r="Z201" i="1"/>
  <c r="AB201" i="1"/>
  <c r="AC201" i="1"/>
  <c r="AD201" i="1"/>
  <c r="T201" i="1" s="1"/>
  <c r="AE201" i="1"/>
  <c r="R31" i="3" s="1"/>
  <c r="AF201" i="1"/>
  <c r="AH205" i="1"/>
  <c r="AM205" i="1"/>
  <c r="AN205" i="1"/>
  <c r="AO205" i="1"/>
  <c r="K202" i="1"/>
  <c r="L202" i="1"/>
  <c r="M202" i="1"/>
  <c r="N202" i="1" s="1"/>
  <c r="V202" i="1"/>
  <c r="S28" i="3" s="1"/>
  <c r="Y202" i="1"/>
  <c r="Z202" i="1"/>
  <c r="AA202" i="1" s="1"/>
  <c r="AB202" i="1"/>
  <c r="AC202" i="1"/>
  <c r="AD202" i="1"/>
  <c r="T202" i="1" s="1"/>
  <c r="AE202" i="1"/>
  <c r="R28" i="3" s="1"/>
  <c r="AF202" i="1"/>
  <c r="AH206" i="1"/>
  <c r="AM206" i="1"/>
  <c r="AN206" i="1"/>
  <c r="AO206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7" i="1"/>
  <c r="AM207" i="1"/>
  <c r="AN207" i="1"/>
  <c r="AO207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 s="1"/>
  <c r="V218" i="1"/>
  <c r="S33" i="3" s="1"/>
  <c r="Y218" i="1"/>
  <c r="Z218" i="1"/>
  <c r="AA218" i="1" s="1"/>
  <c r="AB218" i="1"/>
  <c r="AC218" i="1"/>
  <c r="AD218" i="1"/>
  <c r="T218" i="1" s="1"/>
  <c r="AE218" i="1"/>
  <c r="R33" i="3" s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 s="1"/>
  <c r="V224" i="1"/>
  <c r="S32" i="3" s="1"/>
  <c r="Y224" i="1"/>
  <c r="Z224" i="1"/>
  <c r="AA224" i="1" s="1"/>
  <c r="AB224" i="1"/>
  <c r="AC224" i="1"/>
  <c r="AD224" i="1"/>
  <c r="T224" i="1" s="1"/>
  <c r="AE224" i="1"/>
  <c r="R32" i="3" s="1"/>
  <c r="AF224" i="1"/>
  <c r="AH224" i="1"/>
  <c r="AM224" i="1"/>
  <c r="AN224" i="1"/>
  <c r="AO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26" i="1"/>
  <c r="AM226" i="1"/>
  <c r="AN226" i="1"/>
  <c r="AO226" i="1"/>
  <c r="K227" i="1"/>
  <c r="L227" i="1"/>
  <c r="M227" i="1"/>
  <c r="N227" i="1" s="1"/>
  <c r="V227" i="1"/>
  <c r="Y227" i="1"/>
  <c r="Z227" i="1"/>
  <c r="AA227" i="1" s="1"/>
  <c r="AB227" i="1"/>
  <c r="AC227" i="1"/>
  <c r="AD227" i="1"/>
  <c r="T227" i="1" s="1"/>
  <c r="AE227" i="1"/>
  <c r="AF227" i="1"/>
  <c r="AH227" i="1"/>
  <c r="AM227" i="1"/>
  <c r="AN227" i="1"/>
  <c r="AO227" i="1"/>
  <c r="K228" i="1"/>
  <c r="L228" i="1"/>
  <c r="M228" i="1"/>
  <c r="N228" i="1"/>
  <c r="V228" i="1"/>
  <c r="Y228" i="1"/>
  <c r="Z228" i="1"/>
  <c r="AB228" i="1"/>
  <c r="AC228" i="1"/>
  <c r="AD228" i="1"/>
  <c r="T228" i="1" s="1"/>
  <c r="AE228" i="1"/>
  <c r="AF228" i="1"/>
  <c r="AH228" i="1"/>
  <c r="AM228" i="1"/>
  <c r="AN228" i="1"/>
  <c r="AO228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29" i="1"/>
  <c r="AM229" i="1"/>
  <c r="AN229" i="1"/>
  <c r="AO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AM230" i="1"/>
  <c r="AN230" i="1"/>
  <c r="AO230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231" i="1"/>
  <c r="AM231" i="1"/>
  <c r="AN231" i="1"/>
  <c r="AO231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232" i="1"/>
  <c r="AM232" i="1"/>
  <c r="AN232" i="1"/>
  <c r="AO232" i="1"/>
  <c r="M9" i="3"/>
  <c r="U9" i="3"/>
  <c r="T9" i="3" s="1"/>
  <c r="V9" i="3"/>
  <c r="X9" i="3"/>
  <c r="M11" i="3"/>
  <c r="S11" i="3"/>
  <c r="U11" i="3"/>
  <c r="V11" i="3"/>
  <c r="X11" i="3"/>
  <c r="M31" i="3"/>
  <c r="U31" i="3"/>
  <c r="AC31" i="3" s="1"/>
  <c r="V31" i="3"/>
  <c r="X31" i="3"/>
  <c r="M13" i="3"/>
  <c r="R13" i="3"/>
  <c r="S13" i="3"/>
  <c r="U13" i="3"/>
  <c r="AC13" i="3" s="1"/>
  <c r="V13" i="3"/>
  <c r="X13" i="3"/>
  <c r="M27" i="3"/>
  <c r="U27" i="3"/>
  <c r="T27" i="3" s="1"/>
  <c r="V27" i="3"/>
  <c r="X27" i="3"/>
  <c r="M28" i="3"/>
  <c r="U28" i="3"/>
  <c r="AC28" i="3" s="1"/>
  <c r="V28" i="3"/>
  <c r="X28" i="3"/>
  <c r="M24" i="3"/>
  <c r="S24" i="3"/>
  <c r="U24" i="3"/>
  <c r="AC24" i="3" s="1"/>
  <c r="V24" i="3"/>
  <c r="X24" i="3"/>
  <c r="M19" i="3"/>
  <c r="U19" i="3"/>
  <c r="AC19" i="3" s="1"/>
  <c r="V19" i="3"/>
  <c r="X19" i="3"/>
  <c r="M20" i="3"/>
  <c r="U20" i="3"/>
  <c r="T20" i="3" s="1"/>
  <c r="V20" i="3"/>
  <c r="X20" i="3"/>
  <c r="M21" i="3"/>
  <c r="U21" i="3"/>
  <c r="AC21" i="3" s="1"/>
  <c r="V21" i="3"/>
  <c r="X21" i="3"/>
  <c r="M23" i="3"/>
  <c r="R23" i="3"/>
  <c r="U23" i="3"/>
  <c r="AC23" i="3" s="1"/>
  <c r="V23" i="3"/>
  <c r="X23" i="3"/>
  <c r="M17" i="3"/>
  <c r="R17" i="3"/>
  <c r="U17" i="3"/>
  <c r="AC17" i="3" s="1"/>
  <c r="V17" i="3"/>
  <c r="X17" i="3"/>
  <c r="M18" i="3"/>
  <c r="R18" i="3"/>
  <c r="U18" i="3"/>
  <c r="T18" i="3" s="1"/>
  <c r="V18" i="3"/>
  <c r="X18" i="3"/>
  <c r="M30" i="3"/>
  <c r="U30" i="3"/>
  <c r="V30" i="3"/>
  <c r="X30" i="3"/>
  <c r="M26" i="3"/>
  <c r="S26" i="3"/>
  <c r="U26" i="3"/>
  <c r="AC26" i="3" s="1"/>
  <c r="V26" i="3"/>
  <c r="X26" i="3"/>
  <c r="M8" i="3"/>
  <c r="U8" i="3"/>
  <c r="AD8" i="3" s="1"/>
  <c r="V8" i="3"/>
  <c r="X8" i="3"/>
  <c r="M12" i="3"/>
  <c r="R12" i="3"/>
  <c r="U12" i="3"/>
  <c r="T12" i="3" s="1"/>
  <c r="V12" i="3"/>
  <c r="X12" i="3"/>
  <c r="AD24" i="3"/>
  <c r="M25" i="3"/>
  <c r="R25" i="3"/>
  <c r="U25" i="3"/>
  <c r="AD25" i="3" s="1"/>
  <c r="V25" i="3"/>
  <c r="X25" i="3"/>
  <c r="M15" i="3"/>
  <c r="R15" i="3"/>
  <c r="S15" i="3"/>
  <c r="U15" i="3"/>
  <c r="AC15" i="3" s="1"/>
  <c r="V15" i="3"/>
  <c r="X15" i="3"/>
  <c r="M7" i="3"/>
  <c r="U7" i="3"/>
  <c r="T7" i="3" s="1"/>
  <c r="V7" i="3"/>
  <c r="X7" i="3"/>
  <c r="M22" i="3"/>
  <c r="R22" i="3"/>
  <c r="U22" i="3"/>
  <c r="T22" i="3" s="1"/>
  <c r="V22" i="3"/>
  <c r="X22" i="3"/>
  <c r="M10" i="3"/>
  <c r="U10" i="3"/>
  <c r="AC10" i="3" s="1"/>
  <c r="V10" i="3"/>
  <c r="X10" i="3"/>
  <c r="M16" i="3"/>
  <c r="R16" i="3"/>
  <c r="U16" i="3"/>
  <c r="AC16" i="3" s="1"/>
  <c r="V16" i="3"/>
  <c r="X16" i="3"/>
  <c r="M32" i="3"/>
  <c r="U32" i="3"/>
  <c r="AD32" i="3" s="1"/>
  <c r="V32" i="3"/>
  <c r="X32" i="3"/>
  <c r="M14" i="3"/>
  <c r="U14" i="3"/>
  <c r="T14" i="3" s="1"/>
  <c r="V14" i="3"/>
  <c r="X14" i="3"/>
  <c r="M33" i="3"/>
  <c r="U33" i="3"/>
  <c r="AD33" i="3" s="1"/>
  <c r="V33" i="3"/>
  <c r="X33" i="3"/>
  <c r="M34" i="3"/>
  <c r="R34" i="3"/>
  <c r="S34" i="3"/>
  <c r="U34" i="3"/>
  <c r="AC34" i="3" s="1"/>
  <c r="V34" i="3"/>
  <c r="X34" i="3"/>
  <c r="AG158" i="1"/>
  <c r="AG105" i="1"/>
  <c r="AG16" i="1"/>
  <c r="AG20" i="1"/>
  <c r="AG24" i="1"/>
  <c r="AG28" i="1"/>
  <c r="AG32" i="1"/>
  <c r="AG36" i="1"/>
  <c r="AG39" i="1"/>
  <c r="AG43" i="1"/>
  <c r="AG47" i="1"/>
  <c r="AG51" i="1"/>
  <c r="AG55" i="1"/>
  <c r="AG59" i="1"/>
  <c r="AG63" i="1"/>
  <c r="AG67" i="1"/>
  <c r="AG71" i="1"/>
  <c r="AG75" i="1"/>
  <c r="AG79" i="1"/>
  <c r="AG203" i="1"/>
  <c r="AG85" i="1"/>
  <c r="AG89" i="1"/>
  <c r="AG159" i="1"/>
  <c r="AG163" i="1"/>
  <c r="AG167" i="1"/>
  <c r="AG170" i="1"/>
  <c r="AG177" i="1"/>
  <c r="AG184" i="1"/>
  <c r="AG188" i="1"/>
  <c r="AG191" i="1"/>
  <c r="AG96" i="1"/>
  <c r="AG100" i="1"/>
  <c r="AG206" i="1"/>
  <c r="AG107" i="1"/>
  <c r="AG111" i="1"/>
  <c r="AG115" i="1"/>
  <c r="AG119" i="1"/>
  <c r="AG123" i="1"/>
  <c r="AG127" i="1"/>
  <c r="AG131" i="1"/>
  <c r="AG135" i="1"/>
  <c r="AG139" i="1"/>
  <c r="AG143" i="1"/>
  <c r="AG147" i="1"/>
  <c r="AG151" i="1"/>
  <c r="AG155" i="1"/>
  <c r="AG178" i="1"/>
  <c r="AG173" i="1"/>
  <c r="AG200" i="1"/>
  <c r="AG212" i="1"/>
  <c r="AG220" i="1"/>
  <c r="AG228" i="1"/>
  <c r="AG197" i="1"/>
  <c r="AG209" i="1"/>
  <c r="AG217" i="1"/>
  <c r="AG225" i="1"/>
  <c r="AG40" i="1"/>
  <c r="AG68" i="1"/>
  <c r="AG76" i="1"/>
  <c r="AG204" i="1"/>
  <c r="AG90" i="1"/>
  <c r="AG164" i="1"/>
  <c r="AG171" i="1"/>
  <c r="AG185" i="1"/>
  <c r="AG192" i="1"/>
  <c r="AG101" i="1"/>
  <c r="AG108" i="1"/>
  <c r="AG116" i="1"/>
  <c r="AG124" i="1"/>
  <c r="AG132" i="1"/>
  <c r="AG140" i="1"/>
  <c r="AG148" i="1"/>
  <c r="AG156" i="1"/>
  <c r="AG157" i="1"/>
  <c r="AG214" i="1"/>
  <c r="AG230" i="1"/>
  <c r="AG211" i="1"/>
  <c r="AG227" i="1"/>
  <c r="AG14" i="1"/>
  <c r="AG18" i="1"/>
  <c r="AG22" i="1"/>
  <c r="AG26" i="1"/>
  <c r="AG30" i="1"/>
  <c r="AG34" i="1"/>
  <c r="AG37" i="1"/>
  <c r="AG41" i="1"/>
  <c r="AG45" i="1"/>
  <c r="AG49" i="1"/>
  <c r="AG53" i="1"/>
  <c r="AG61" i="1"/>
  <c r="AG65" i="1"/>
  <c r="AG69" i="1"/>
  <c r="AG73" i="1"/>
  <c r="AG81" i="1"/>
  <c r="AG83" i="1"/>
  <c r="AG91" i="1"/>
  <c r="AG15" i="1"/>
  <c r="AG19" i="1"/>
  <c r="AG23" i="1"/>
  <c r="AG27" i="1"/>
  <c r="AG31" i="1"/>
  <c r="AG35" i="1"/>
  <c r="AG38" i="1"/>
  <c r="AG42" i="1"/>
  <c r="AG46" i="1"/>
  <c r="AG50" i="1"/>
  <c r="AG54" i="1"/>
  <c r="AG58" i="1"/>
  <c r="AG62" i="1"/>
  <c r="AG66" i="1"/>
  <c r="AG70" i="1"/>
  <c r="AG74" i="1"/>
  <c r="AG78" i="1"/>
  <c r="AG82" i="1"/>
  <c r="AG84" i="1"/>
  <c r="AG88" i="1"/>
  <c r="AG92" i="1"/>
  <c r="AG162" i="1"/>
  <c r="AG166" i="1"/>
  <c r="AG169" i="1"/>
  <c r="AG174" i="1"/>
  <c r="AG182" i="1"/>
  <c r="AG187" i="1"/>
  <c r="AG190" i="1"/>
  <c r="AG194" i="1"/>
  <c r="AG99" i="1"/>
  <c r="AG205" i="1"/>
  <c r="AG106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76" i="1"/>
  <c r="AG183" i="1"/>
  <c r="AG198" i="1"/>
  <c r="AG210" i="1"/>
  <c r="AG218" i="1"/>
  <c r="AG226" i="1"/>
  <c r="AG195" i="1"/>
  <c r="AG207" i="1"/>
  <c r="AG215" i="1"/>
  <c r="AG223" i="1"/>
  <c r="AG231" i="1"/>
  <c r="AG17" i="1"/>
  <c r="AG21" i="1"/>
  <c r="AG25" i="1"/>
  <c r="AG29" i="1"/>
  <c r="AG33" i="1"/>
  <c r="AG44" i="1"/>
  <c r="AG48" i="1"/>
  <c r="AG52" i="1"/>
  <c r="AG56" i="1"/>
  <c r="AG60" i="1"/>
  <c r="AG64" i="1"/>
  <c r="AG72" i="1"/>
  <c r="AG80" i="1"/>
  <c r="AG86" i="1"/>
  <c r="AG160" i="1"/>
  <c r="AG168" i="1"/>
  <c r="AG94" i="1"/>
  <c r="AG95" i="1"/>
  <c r="AG97" i="1"/>
  <c r="AG103" i="1"/>
  <c r="AG112" i="1"/>
  <c r="AG120" i="1"/>
  <c r="AG128" i="1"/>
  <c r="AG136" i="1"/>
  <c r="AG144" i="1"/>
  <c r="AG152" i="1"/>
  <c r="AG179" i="1"/>
  <c r="AG202" i="1"/>
  <c r="AG222" i="1"/>
  <c r="AG199" i="1"/>
  <c r="AG219" i="1"/>
  <c r="AG57" i="1"/>
  <c r="AG77" i="1"/>
  <c r="AG87" i="1"/>
  <c r="AG161" i="1"/>
  <c r="AG180" i="1"/>
  <c r="AG98" i="1"/>
  <c r="AG129" i="1"/>
  <c r="AG224" i="1"/>
  <c r="AG104" i="1"/>
  <c r="AG137" i="1"/>
  <c r="AG208" i="1"/>
  <c r="AG165" i="1"/>
  <c r="AG186" i="1"/>
  <c r="AG102" i="1"/>
  <c r="AG117" i="1"/>
  <c r="AG133" i="1"/>
  <c r="AG149" i="1"/>
  <c r="AG196" i="1"/>
  <c r="AG232" i="1"/>
  <c r="AG229" i="1"/>
  <c r="AG93" i="1"/>
  <c r="AG121" i="1"/>
  <c r="AG201" i="1"/>
  <c r="AG172" i="1"/>
  <c r="AG193" i="1"/>
  <c r="AG109" i="1"/>
  <c r="AG125" i="1"/>
  <c r="AG141" i="1"/>
  <c r="AG175" i="1"/>
  <c r="AG216" i="1"/>
  <c r="AG213" i="1"/>
  <c r="AG113" i="1"/>
  <c r="AG145" i="1"/>
  <c r="AG181" i="1"/>
  <c r="AG221" i="1"/>
  <c r="AG189" i="1"/>
  <c r="AG153" i="1"/>
  <c r="W30" i="3"/>
  <c r="W16" i="3"/>
  <c r="W23" i="3"/>
  <c r="W8" i="3"/>
  <c r="W17" i="3"/>
  <c r="W22" i="3"/>
  <c r="W21" i="3"/>
  <c r="W24" i="3"/>
  <c r="W19" i="3"/>
  <c r="W20" i="3"/>
  <c r="W11" i="3"/>
  <c r="W25" i="3"/>
  <c r="W7" i="3"/>
  <c r="W26" i="3"/>
  <c r="W14" i="3"/>
  <c r="W32" i="3"/>
  <c r="W9" i="3"/>
  <c r="W28" i="3"/>
  <c r="W10" i="3"/>
  <c r="W31" i="3"/>
  <c r="W15" i="3"/>
  <c r="W13" i="3"/>
  <c r="W18" i="3"/>
  <c r="W27" i="3"/>
  <c r="W33" i="3"/>
  <c r="W34" i="3"/>
  <c r="W12" i="3"/>
  <c r="AI158" i="1" l="1"/>
  <c r="U158" i="1"/>
  <c r="S158" i="1" s="1"/>
  <c r="W158" i="1"/>
  <c r="X158" i="1"/>
  <c r="AD20" i="3"/>
  <c r="S19" i="3"/>
  <c r="AD9" i="3"/>
  <c r="S21" i="3"/>
  <c r="AD28" i="3"/>
  <c r="AI105" i="1"/>
  <c r="U105" i="1"/>
  <c r="S105" i="1" s="1"/>
  <c r="W105" i="1"/>
  <c r="X105" i="1"/>
  <c r="AE31" i="3"/>
  <c r="S17" i="3"/>
  <c r="S27" i="3"/>
  <c r="R20" i="3"/>
  <c r="AD31" i="3"/>
  <c r="AC27" i="3"/>
  <c r="X169" i="1"/>
  <c r="X93" i="1"/>
  <c r="AE23" i="3"/>
  <c r="R21" i="3"/>
  <c r="AA228" i="1"/>
  <c r="AA142" i="1"/>
  <c r="AA122" i="1"/>
  <c r="AD27" i="3"/>
  <c r="AC12" i="3"/>
  <c r="S12" i="3"/>
  <c r="AD23" i="3"/>
  <c r="AC18" i="3"/>
  <c r="AD19" i="3"/>
  <c r="T17" i="3"/>
  <c r="AE11" i="3"/>
  <c r="AA230" i="1"/>
  <c r="AA213" i="1"/>
  <c r="AA209" i="1"/>
  <c r="AA201" i="1"/>
  <c r="AA197" i="1"/>
  <c r="AA151" i="1"/>
  <c r="W151" i="1" s="1"/>
  <c r="AA150" i="1"/>
  <c r="AA139" i="1"/>
  <c r="AA135" i="1"/>
  <c r="AA134" i="1"/>
  <c r="AA124" i="1"/>
  <c r="AA119" i="1"/>
  <c r="AA115" i="1"/>
  <c r="AA111" i="1"/>
  <c r="W111" i="1" s="1"/>
  <c r="AA107" i="1"/>
  <c r="AA206" i="1"/>
  <c r="AA100" i="1"/>
  <c r="AA96" i="1"/>
  <c r="W96" i="1" s="1"/>
  <c r="AA191" i="1"/>
  <c r="AA172" i="1"/>
  <c r="AA86" i="1"/>
  <c r="AA204" i="1"/>
  <c r="W204" i="1" s="1"/>
  <c r="AA77" i="1"/>
  <c r="AA67" i="1"/>
  <c r="AA66" i="1"/>
  <c r="X65" i="1"/>
  <c r="AA62" i="1"/>
  <c r="AA61" i="1"/>
  <c r="X59" i="1"/>
  <c r="AA54" i="1"/>
  <c r="AA50" i="1"/>
  <c r="AA49" i="1"/>
  <c r="AA43" i="1"/>
  <c r="AA36" i="1"/>
  <c r="X63" i="1"/>
  <c r="AA57" i="1"/>
  <c r="AA32" i="1"/>
  <c r="AC14" i="3"/>
  <c r="T19" i="3"/>
  <c r="AA232" i="1"/>
  <c r="AA132" i="1"/>
  <c r="AA126" i="1"/>
  <c r="W126" i="1" s="1"/>
  <c r="X172" i="1"/>
  <c r="AA170" i="1"/>
  <c r="AA162" i="1"/>
  <c r="AA74" i="1"/>
  <c r="AC32" i="3"/>
  <c r="T32" i="3"/>
  <c r="AD21" i="3"/>
  <c r="AE19" i="3"/>
  <c r="AA154" i="1"/>
  <c r="AA174" i="1"/>
  <c r="AA82" i="1"/>
  <c r="X58" i="1"/>
  <c r="AA47" i="1"/>
  <c r="AA41" i="1"/>
  <c r="AA34" i="1"/>
  <c r="AA221" i="1"/>
  <c r="AA156" i="1"/>
  <c r="AA153" i="1"/>
  <c r="AA149" i="1"/>
  <c r="AA146" i="1"/>
  <c r="AA136" i="1"/>
  <c r="AA123" i="1"/>
  <c r="AA121" i="1"/>
  <c r="AA112" i="1"/>
  <c r="AA108" i="1"/>
  <c r="AA103" i="1"/>
  <c r="AA101" i="1"/>
  <c r="AA97" i="1"/>
  <c r="AA192" i="1"/>
  <c r="AA95" i="1"/>
  <c r="AA188" i="1"/>
  <c r="AA179" i="1"/>
  <c r="AA176" i="1"/>
  <c r="X165" i="1"/>
  <c r="AA87" i="1"/>
  <c r="AA85" i="1"/>
  <c r="AA84" i="1"/>
  <c r="AA73" i="1"/>
  <c r="AA71" i="1"/>
  <c r="AA70" i="1"/>
  <c r="AA63" i="1"/>
  <c r="X62" i="1"/>
  <c r="T58" i="1"/>
  <c r="X55" i="1"/>
  <c r="AA53" i="1"/>
  <c r="AA40" i="1"/>
  <c r="AA38" i="1"/>
  <c r="AA37" i="1"/>
  <c r="W37" i="1" s="1"/>
  <c r="AA24" i="1"/>
  <c r="AA20" i="1"/>
  <c r="AA16" i="1"/>
  <c r="AA42" i="1"/>
  <c r="AA29" i="1"/>
  <c r="AA25" i="1"/>
  <c r="AA21" i="1"/>
  <c r="AA17" i="1"/>
  <c r="AA229" i="1"/>
  <c r="AA225" i="1"/>
  <c r="AA217" i="1"/>
  <c r="AA144" i="1"/>
  <c r="AA141" i="1"/>
  <c r="AA138" i="1"/>
  <c r="AA128" i="1"/>
  <c r="AA114" i="1"/>
  <c r="AA110" i="1"/>
  <c r="AA106" i="1"/>
  <c r="AA205" i="1"/>
  <c r="AA99" i="1"/>
  <c r="AA194" i="1"/>
  <c r="AA190" i="1"/>
  <c r="AA186" i="1"/>
  <c r="X171" i="1"/>
  <c r="AA169" i="1"/>
  <c r="AA93" i="1"/>
  <c r="AA168" i="1"/>
  <c r="AA166" i="1"/>
  <c r="AA165" i="1"/>
  <c r="AA161" i="1"/>
  <c r="AA159" i="1"/>
  <c r="AA92" i="1"/>
  <c r="AA81" i="1"/>
  <c r="AA79" i="1"/>
  <c r="AA78" i="1"/>
  <c r="AA65" i="1"/>
  <c r="W65" i="1" s="1"/>
  <c r="AA60" i="1"/>
  <c r="AA59" i="1"/>
  <c r="AA58" i="1"/>
  <c r="AA56" i="1"/>
  <c r="AA55" i="1"/>
  <c r="AA48" i="1"/>
  <c r="AA46" i="1"/>
  <c r="AA45" i="1"/>
  <c r="AA33" i="1"/>
  <c r="AA31" i="1"/>
  <c r="AA131" i="1"/>
  <c r="AA129" i="1"/>
  <c r="AA27" i="1"/>
  <c r="AA23" i="1"/>
  <c r="AA19" i="1"/>
  <c r="AA15" i="1"/>
  <c r="X155" i="1"/>
  <c r="AA133" i="1"/>
  <c r="AA125" i="1"/>
  <c r="AA185" i="1"/>
  <c r="AA94" i="1"/>
  <c r="X168" i="1"/>
  <c r="X167" i="1"/>
  <c r="T166" i="1"/>
  <c r="U166" i="1" s="1"/>
  <c r="S166" i="1" s="1"/>
  <c r="T65" i="1"/>
  <c r="T61" i="1"/>
  <c r="X57" i="1"/>
  <c r="T56" i="1"/>
  <c r="T93" i="1"/>
  <c r="T63" i="1"/>
  <c r="T59" i="1"/>
  <c r="AA187" i="1"/>
  <c r="AA182" i="1"/>
  <c r="X173" i="1"/>
  <c r="AA173" i="1"/>
  <c r="X170" i="1"/>
  <c r="T169" i="1"/>
  <c r="X64" i="1"/>
  <c r="X54" i="1"/>
  <c r="X60" i="1"/>
  <c r="AI231" i="1"/>
  <c r="U231" i="1"/>
  <c r="S231" i="1" s="1"/>
  <c r="AI229" i="1"/>
  <c r="U229" i="1"/>
  <c r="S229" i="1" s="1"/>
  <c r="AI227" i="1"/>
  <c r="U227" i="1"/>
  <c r="S227" i="1" s="1"/>
  <c r="AI225" i="1"/>
  <c r="U225" i="1"/>
  <c r="S225" i="1" s="1"/>
  <c r="AI223" i="1"/>
  <c r="U223" i="1"/>
  <c r="S223" i="1" s="1"/>
  <c r="AI221" i="1"/>
  <c r="U221" i="1"/>
  <c r="S221" i="1" s="1"/>
  <c r="AI219" i="1"/>
  <c r="U219" i="1"/>
  <c r="S219" i="1" s="1"/>
  <c r="AI217" i="1"/>
  <c r="U217" i="1"/>
  <c r="S217" i="1" s="1"/>
  <c r="AI215" i="1"/>
  <c r="U215" i="1"/>
  <c r="S215" i="1" s="1"/>
  <c r="AI213" i="1"/>
  <c r="U213" i="1"/>
  <c r="S213" i="1" s="1"/>
  <c r="AI211" i="1"/>
  <c r="U211" i="1"/>
  <c r="S211" i="1" s="1"/>
  <c r="U209" i="1"/>
  <c r="S209" i="1" s="1"/>
  <c r="AI209" i="1"/>
  <c r="AI207" i="1"/>
  <c r="U207" i="1"/>
  <c r="S207" i="1" s="1"/>
  <c r="U201" i="1"/>
  <c r="S201" i="1" s="1"/>
  <c r="AI205" i="1"/>
  <c r="AI203" i="1"/>
  <c r="U199" i="1"/>
  <c r="S199" i="1" s="1"/>
  <c r="U197" i="1"/>
  <c r="S197" i="1" s="1"/>
  <c r="AI201" i="1"/>
  <c r="AI199" i="1"/>
  <c r="U195" i="1"/>
  <c r="S195" i="1" s="1"/>
  <c r="U232" i="1"/>
  <c r="S232" i="1" s="1"/>
  <c r="AI232" i="1"/>
  <c r="U230" i="1"/>
  <c r="S230" i="1" s="1"/>
  <c r="AI230" i="1"/>
  <c r="U228" i="1"/>
  <c r="S228" i="1" s="1"/>
  <c r="AI228" i="1"/>
  <c r="U226" i="1"/>
  <c r="S226" i="1" s="1"/>
  <c r="AI226" i="1"/>
  <c r="U224" i="1"/>
  <c r="S224" i="1" s="1"/>
  <c r="AI224" i="1"/>
  <c r="U222" i="1"/>
  <c r="S222" i="1" s="1"/>
  <c r="AI222" i="1"/>
  <c r="U220" i="1"/>
  <c r="S220" i="1" s="1"/>
  <c r="AI220" i="1"/>
  <c r="U218" i="1"/>
  <c r="S218" i="1" s="1"/>
  <c r="AI218" i="1"/>
  <c r="U216" i="1"/>
  <c r="S216" i="1" s="1"/>
  <c r="AI216" i="1"/>
  <c r="U214" i="1"/>
  <c r="S214" i="1" s="1"/>
  <c r="AI214" i="1"/>
  <c r="U212" i="1"/>
  <c r="S212" i="1" s="1"/>
  <c r="AI212" i="1"/>
  <c r="U210" i="1"/>
  <c r="S210" i="1" s="1"/>
  <c r="AI210" i="1"/>
  <c r="U208" i="1"/>
  <c r="S208" i="1" s="1"/>
  <c r="AI208" i="1"/>
  <c r="U202" i="1"/>
  <c r="S202" i="1" s="1"/>
  <c r="AI206" i="1"/>
  <c r="U200" i="1"/>
  <c r="S200" i="1" s="1"/>
  <c r="AI204" i="1"/>
  <c r="U198" i="1"/>
  <c r="S198" i="1" s="1"/>
  <c r="AI202" i="1"/>
  <c r="U196" i="1"/>
  <c r="S196" i="1" s="1"/>
  <c r="AI200" i="1"/>
  <c r="U157" i="1"/>
  <c r="S157" i="1" s="1"/>
  <c r="AI198" i="1"/>
  <c r="U173" i="1"/>
  <c r="S173" i="1" s="1"/>
  <c r="AI111" i="1"/>
  <c r="AI122" i="1"/>
  <c r="AI120" i="1"/>
  <c r="AI118" i="1"/>
  <c r="AI116" i="1"/>
  <c r="AI114" i="1"/>
  <c r="W175" i="1"/>
  <c r="U175" i="1"/>
  <c r="S175" i="1" s="1"/>
  <c r="AI113" i="1"/>
  <c r="U156" i="1"/>
  <c r="S156" i="1" s="1"/>
  <c r="AI197" i="1"/>
  <c r="U155" i="1"/>
  <c r="S155" i="1" s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W121" i="1"/>
  <c r="AI162" i="1"/>
  <c r="W120" i="1"/>
  <c r="AI161" i="1"/>
  <c r="W119" i="1"/>
  <c r="AI160" i="1"/>
  <c r="W118" i="1"/>
  <c r="AI159" i="1"/>
  <c r="W117" i="1"/>
  <c r="AI157" i="1"/>
  <c r="W116" i="1"/>
  <c r="AI156" i="1"/>
  <c r="W115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U96" i="1"/>
  <c r="S96" i="1" s="1"/>
  <c r="AI135" i="1"/>
  <c r="U194" i="1"/>
  <c r="S194" i="1" s="1"/>
  <c r="AI134" i="1"/>
  <c r="U193" i="1"/>
  <c r="S193" i="1" s="1"/>
  <c r="AI133" i="1"/>
  <c r="U192" i="1"/>
  <c r="S192" i="1" s="1"/>
  <c r="AI132" i="1"/>
  <c r="U191" i="1"/>
  <c r="S191" i="1" s="1"/>
  <c r="AI131" i="1"/>
  <c r="U190" i="1"/>
  <c r="S190" i="1" s="1"/>
  <c r="AI130" i="1"/>
  <c r="U189" i="1"/>
  <c r="S189" i="1" s="1"/>
  <c r="AI129" i="1"/>
  <c r="U95" i="1"/>
  <c r="S95" i="1"/>
  <c r="AI128" i="1"/>
  <c r="U188" i="1"/>
  <c r="S188" i="1" s="1"/>
  <c r="AI127" i="1"/>
  <c r="U187" i="1"/>
  <c r="S187" i="1" s="1"/>
  <c r="AI126" i="1"/>
  <c r="U186" i="1"/>
  <c r="S186" i="1" s="1"/>
  <c r="AI125" i="1"/>
  <c r="U185" i="1"/>
  <c r="S185" i="1" s="1"/>
  <c r="AI124" i="1"/>
  <c r="AI123" i="1"/>
  <c r="AI121" i="1"/>
  <c r="AI119" i="1"/>
  <c r="AI117" i="1"/>
  <c r="AI115" i="1"/>
  <c r="U174" i="1"/>
  <c r="S174" i="1" s="1"/>
  <c r="AI112" i="1"/>
  <c r="U172" i="1"/>
  <c r="S172" i="1" s="1"/>
  <c r="AI110" i="1"/>
  <c r="U171" i="1"/>
  <c r="S171" i="1" s="1"/>
  <c r="AI109" i="1"/>
  <c r="U170" i="1"/>
  <c r="S170" i="1" s="1"/>
  <c r="AI108" i="1"/>
  <c r="U169" i="1"/>
  <c r="AI107" i="1"/>
  <c r="S169" i="1"/>
  <c r="W169" i="1"/>
  <c r="U93" i="1"/>
  <c r="S93" i="1"/>
  <c r="AI106" i="1"/>
  <c r="U168" i="1"/>
  <c r="S168" i="1" s="1"/>
  <c r="AI104" i="1"/>
  <c r="U167" i="1"/>
  <c r="S167" i="1" s="1"/>
  <c r="AI103" i="1"/>
  <c r="AI102" i="1"/>
  <c r="W166" i="1"/>
  <c r="U165" i="1"/>
  <c r="S165" i="1" s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U72" i="1"/>
  <c r="S72" i="1" s="1"/>
  <c r="AI72" i="1"/>
  <c r="U71" i="1"/>
  <c r="S71" i="1" s="1"/>
  <c r="AI71" i="1"/>
  <c r="AI70" i="1"/>
  <c r="U70" i="1"/>
  <c r="S70" i="1" s="1"/>
  <c r="AI69" i="1"/>
  <c r="U69" i="1"/>
  <c r="S69" i="1" s="1"/>
  <c r="AI68" i="1"/>
  <c r="U68" i="1"/>
  <c r="S68" i="1" s="1"/>
  <c r="AI67" i="1"/>
  <c r="U67" i="1"/>
  <c r="S67" i="1" s="1"/>
  <c r="AI66" i="1"/>
  <c r="U66" i="1"/>
  <c r="S66" i="1" s="1"/>
  <c r="U65" i="1"/>
  <c r="S65" i="1" s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W56" i="1"/>
  <c r="U55" i="1"/>
  <c r="S55" i="1" s="1"/>
  <c r="AI55" i="1"/>
  <c r="U54" i="1"/>
  <c r="S54" i="1" s="1"/>
  <c r="AI54" i="1"/>
  <c r="W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W30" i="1"/>
  <c r="AI29" i="1"/>
  <c r="W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30" i="1"/>
  <c r="W226" i="1"/>
  <c r="W222" i="1"/>
  <c r="W229" i="1"/>
  <c r="W225" i="1"/>
  <c r="W221" i="1"/>
  <c r="W217" i="1"/>
  <c r="W153" i="1"/>
  <c r="W149" i="1"/>
  <c r="W145" i="1"/>
  <c r="W141" i="1"/>
  <c r="W137" i="1"/>
  <c r="W133" i="1"/>
  <c r="W129" i="1"/>
  <c r="W125" i="1"/>
  <c r="W231" i="1"/>
  <c r="W232" i="1"/>
  <c r="W228" i="1"/>
  <c r="W224" i="1"/>
  <c r="W220" i="1"/>
  <c r="W216" i="1"/>
  <c r="W152" i="1"/>
  <c r="W148" i="1"/>
  <c r="W144" i="1"/>
  <c r="W140" i="1"/>
  <c r="W136" i="1"/>
  <c r="W132" i="1"/>
  <c r="W128" i="1"/>
  <c r="W124" i="1"/>
  <c r="W227" i="1"/>
  <c r="W223" i="1"/>
  <c r="W219" i="1"/>
  <c r="W215" i="1"/>
  <c r="W214" i="1"/>
  <c r="W213" i="1"/>
  <c r="W212" i="1"/>
  <c r="W211" i="1"/>
  <c r="W210" i="1"/>
  <c r="W209" i="1"/>
  <c r="W208" i="1"/>
  <c r="W207" i="1"/>
  <c r="W202" i="1"/>
  <c r="W201" i="1"/>
  <c r="W200" i="1"/>
  <c r="W199" i="1"/>
  <c r="W198" i="1"/>
  <c r="W197" i="1"/>
  <c r="W196" i="1"/>
  <c r="W195" i="1"/>
  <c r="W157" i="1"/>
  <c r="W156" i="1"/>
  <c r="W155" i="1"/>
  <c r="W147" i="1"/>
  <c r="W143" i="1"/>
  <c r="W139" i="1"/>
  <c r="W135" i="1"/>
  <c r="W131" i="1"/>
  <c r="W127" i="1"/>
  <c r="W123" i="1"/>
  <c r="W218" i="1"/>
  <c r="W154" i="1"/>
  <c r="W150" i="1"/>
  <c r="W146" i="1"/>
  <c r="W142" i="1"/>
  <c r="W138" i="1"/>
  <c r="W134" i="1"/>
  <c r="W130" i="1"/>
  <c r="W122" i="1"/>
  <c r="R27" i="3"/>
  <c r="X156" i="1"/>
  <c r="X232" i="1"/>
  <c r="X231" i="1"/>
  <c r="X230" i="1"/>
  <c r="X229" i="1"/>
  <c r="X228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X215" i="1"/>
  <c r="X214" i="1"/>
  <c r="X213" i="1"/>
  <c r="X212" i="1"/>
  <c r="X211" i="1"/>
  <c r="X210" i="1"/>
  <c r="X209" i="1"/>
  <c r="X208" i="1"/>
  <c r="X207" i="1"/>
  <c r="X202" i="1"/>
  <c r="X201" i="1"/>
  <c r="X200" i="1"/>
  <c r="X199" i="1"/>
  <c r="X198" i="1"/>
  <c r="X197" i="1"/>
  <c r="X196" i="1"/>
  <c r="X195" i="1"/>
  <c r="X157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T111" i="1"/>
  <c r="U111" i="1" s="1"/>
  <c r="S111" i="1" s="1"/>
  <c r="X111" i="1"/>
  <c r="T110" i="1"/>
  <c r="U110" i="1" s="1"/>
  <c r="S110" i="1" s="1"/>
  <c r="X110" i="1"/>
  <c r="T109" i="1"/>
  <c r="U109" i="1" s="1"/>
  <c r="S109" i="1" s="1"/>
  <c r="X109" i="1"/>
  <c r="T108" i="1"/>
  <c r="U108" i="1" s="1"/>
  <c r="S108" i="1" s="1"/>
  <c r="X108" i="1"/>
  <c r="T107" i="1"/>
  <c r="U107" i="1" s="1"/>
  <c r="S107" i="1" s="1"/>
  <c r="X107" i="1"/>
  <c r="T106" i="1"/>
  <c r="U106" i="1" s="1"/>
  <c r="S106" i="1" s="1"/>
  <c r="T104" i="1"/>
  <c r="U104" i="1" s="1"/>
  <c r="S104" i="1" s="1"/>
  <c r="X104" i="1"/>
  <c r="T103" i="1"/>
  <c r="U103" i="1" s="1"/>
  <c r="S103" i="1" s="1"/>
  <c r="X103" i="1"/>
  <c r="T206" i="1"/>
  <c r="U206" i="1" s="1"/>
  <c r="S206" i="1" s="1"/>
  <c r="X206" i="1"/>
  <c r="T205" i="1"/>
  <c r="U205" i="1" s="1"/>
  <c r="S205" i="1" s="1"/>
  <c r="X205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W185" i="1"/>
  <c r="W181" i="1"/>
  <c r="W94" i="1"/>
  <c r="W93" i="1"/>
  <c r="W186" i="1"/>
  <c r="W183" i="1"/>
  <c r="W180" i="1"/>
  <c r="W171" i="1"/>
  <c r="W167" i="1"/>
  <c r="W187" i="1"/>
  <c r="W182" i="1"/>
  <c r="W178" i="1"/>
  <c r="W176" i="1"/>
  <c r="W173" i="1"/>
  <c r="W172" i="1"/>
  <c r="W165" i="1"/>
  <c r="W114" i="1"/>
  <c r="W113" i="1"/>
  <c r="W112" i="1"/>
  <c r="W110" i="1"/>
  <c r="W109" i="1"/>
  <c r="W108" i="1"/>
  <c r="W107" i="1"/>
  <c r="W106" i="1"/>
  <c r="W104" i="1"/>
  <c r="W103" i="1"/>
  <c r="W206" i="1"/>
  <c r="W205" i="1"/>
  <c r="W102" i="1"/>
  <c r="W101" i="1"/>
  <c r="W100" i="1"/>
  <c r="W99" i="1"/>
  <c r="W98" i="1"/>
  <c r="W97" i="1"/>
  <c r="W194" i="1"/>
  <c r="W193" i="1"/>
  <c r="W192" i="1"/>
  <c r="W191" i="1"/>
  <c r="W190" i="1"/>
  <c r="W189" i="1"/>
  <c r="W95" i="1"/>
  <c r="W188" i="1"/>
  <c r="W184" i="1"/>
  <c r="W179" i="1"/>
  <c r="W177" i="1"/>
  <c r="W174" i="1"/>
  <c r="W170" i="1"/>
  <c r="W168" i="1"/>
  <c r="X96" i="1"/>
  <c r="X194" i="1"/>
  <c r="X193" i="1"/>
  <c r="X192" i="1"/>
  <c r="X191" i="1"/>
  <c r="X190" i="1"/>
  <c r="X189" i="1"/>
  <c r="X95" i="1"/>
  <c r="X188" i="1"/>
  <c r="X187" i="1"/>
  <c r="X186" i="1"/>
  <c r="X185" i="1"/>
  <c r="T183" i="1"/>
  <c r="U183" i="1" s="1"/>
  <c r="S183" i="1" s="1"/>
  <c r="X183" i="1"/>
  <c r="T181" i="1"/>
  <c r="U181" i="1" s="1"/>
  <c r="S181" i="1" s="1"/>
  <c r="X181" i="1"/>
  <c r="T179" i="1"/>
  <c r="U179" i="1" s="1"/>
  <c r="S179" i="1" s="1"/>
  <c r="X179" i="1"/>
  <c r="T178" i="1"/>
  <c r="U178" i="1" s="1"/>
  <c r="S178" i="1" s="1"/>
  <c r="X178" i="1"/>
  <c r="T176" i="1"/>
  <c r="U176" i="1" s="1"/>
  <c r="S176" i="1" s="1"/>
  <c r="X176" i="1"/>
  <c r="W161" i="1"/>
  <c r="W91" i="1"/>
  <c r="W87" i="1"/>
  <c r="W83" i="1"/>
  <c r="W81" i="1"/>
  <c r="W77" i="1"/>
  <c r="W73" i="1"/>
  <c r="W164" i="1"/>
  <c r="W160" i="1"/>
  <c r="W90" i="1"/>
  <c r="W86" i="1"/>
  <c r="W80" i="1"/>
  <c r="W76" i="1"/>
  <c r="W72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94" i="1"/>
  <c r="U94" i="1" s="1"/>
  <c r="S94" i="1" s="1"/>
  <c r="X94" i="1"/>
  <c r="T177" i="1"/>
  <c r="U177" i="1" s="1"/>
  <c r="S177" i="1" s="1"/>
  <c r="X177" i="1"/>
  <c r="W163" i="1"/>
  <c r="W159" i="1"/>
  <c r="W89" i="1"/>
  <c r="W85" i="1"/>
  <c r="W203" i="1"/>
  <c r="W79" i="1"/>
  <c r="W75" i="1"/>
  <c r="W162" i="1"/>
  <c r="W92" i="1"/>
  <c r="W88" i="1"/>
  <c r="W84" i="1"/>
  <c r="W82" i="1"/>
  <c r="W78" i="1"/>
  <c r="W74" i="1"/>
  <c r="W69" i="1"/>
  <c r="W63" i="1"/>
  <c r="W59" i="1"/>
  <c r="X175" i="1"/>
  <c r="X174" i="1"/>
  <c r="W68" i="1"/>
  <c r="W57" i="1"/>
  <c r="W71" i="1"/>
  <c r="W67" i="1"/>
  <c r="W60" i="1"/>
  <c r="W5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161" i="1"/>
  <c r="U161" i="1" s="1"/>
  <c r="S161" i="1" s="1"/>
  <c r="X161" i="1"/>
  <c r="T160" i="1"/>
  <c r="U160" i="1" s="1"/>
  <c r="S160" i="1" s="1"/>
  <c r="X160" i="1"/>
  <c r="T159" i="1"/>
  <c r="U159" i="1" s="1"/>
  <c r="S159" i="1" s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204" i="1"/>
  <c r="U204" i="1" s="1"/>
  <c r="S204" i="1" s="1"/>
  <c r="X204" i="1"/>
  <c r="T203" i="1"/>
  <c r="U203" i="1" s="1"/>
  <c r="S203" i="1" s="1"/>
  <c r="X20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X77" i="1"/>
  <c r="T76" i="1"/>
  <c r="U76" i="1" s="1"/>
  <c r="S76" i="1" s="1"/>
  <c r="X76" i="1"/>
  <c r="T75" i="1"/>
  <c r="U75" i="1" s="1"/>
  <c r="S75" i="1" s="1"/>
  <c r="X75" i="1"/>
  <c r="T74" i="1"/>
  <c r="U74" i="1" s="1"/>
  <c r="S74" i="1" s="1"/>
  <c r="X74" i="1"/>
  <c r="T73" i="1"/>
  <c r="U73" i="1" s="1"/>
  <c r="S73" i="1" s="1"/>
  <c r="X73" i="1"/>
  <c r="W70" i="1"/>
  <c r="W66" i="1"/>
  <c r="W62" i="1"/>
  <c r="W61" i="1"/>
  <c r="W58" i="1"/>
  <c r="T64" i="1"/>
  <c r="U64" i="1" s="1"/>
  <c r="S64" i="1" s="1"/>
  <c r="W52" i="1"/>
  <c r="W48" i="1"/>
  <c r="W44" i="1"/>
  <c r="W40" i="1"/>
  <c r="W33" i="1"/>
  <c r="X72" i="1"/>
  <c r="X71" i="1"/>
  <c r="X70" i="1"/>
  <c r="X69" i="1"/>
  <c r="X68" i="1"/>
  <c r="X67" i="1"/>
  <c r="X66" i="1"/>
  <c r="T62" i="1"/>
  <c r="U62" i="1" s="1"/>
  <c r="S62" i="1" s="1"/>
  <c r="W51" i="1"/>
  <c r="W47" i="1"/>
  <c r="W43" i="1"/>
  <c r="W39" i="1"/>
  <c r="W36" i="1"/>
  <c r="W32" i="1"/>
  <c r="W50" i="1"/>
  <c r="W46" i="1"/>
  <c r="W42" i="1"/>
  <c r="W38" i="1"/>
  <c r="W35" i="1"/>
  <c r="W31" i="1"/>
  <c r="W64" i="1"/>
  <c r="W53" i="1"/>
  <c r="W49" i="1"/>
  <c r="W45" i="1"/>
  <c r="W41" i="1"/>
  <c r="W34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T38" i="1"/>
  <c r="U38" i="1" s="1"/>
  <c r="S38" i="1" s="1"/>
  <c r="T37" i="1"/>
  <c r="U37" i="1" s="1"/>
  <c r="S37" i="1" s="1"/>
  <c r="T36" i="1"/>
  <c r="U36" i="1" s="1"/>
  <c r="S36" i="1" s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AC8" i="3"/>
  <c r="T8" i="3"/>
  <c r="AC30" i="3"/>
  <c r="AE15" i="3"/>
  <c r="AD11" i="3"/>
  <c r="T13" i="3"/>
  <c r="AC11" i="3"/>
  <c r="AD17" i="3"/>
  <c r="AD13" i="3"/>
  <c r="AD16" i="3"/>
  <c r="AD15" i="3"/>
  <c r="AD12" i="3"/>
  <c r="AC33" i="3"/>
  <c r="AC22" i="3"/>
  <c r="AE27" i="3"/>
  <c r="AC20" i="3"/>
  <c r="AC9" i="3"/>
  <c r="AC7" i="3"/>
  <c r="AC25" i="3"/>
  <c r="Y20" i="3"/>
  <c r="Y27" i="3"/>
  <c r="Y9" i="3"/>
  <c r="Y22" i="3"/>
  <c r="Y12" i="3"/>
  <c r="Y18" i="3"/>
  <c r="Y32" i="3"/>
  <c r="Y17" i="3"/>
  <c r="Y19" i="3"/>
  <c r="Y13" i="3"/>
  <c r="Y14" i="3"/>
  <c r="Y8" i="3"/>
  <c r="Y34" i="3"/>
  <c r="Y15" i="3"/>
  <c r="Y26" i="3"/>
  <c r="Y23" i="3"/>
  <c r="Y24" i="3"/>
  <c r="Y31" i="3"/>
  <c r="Y7" i="3"/>
  <c r="Y16" i="3"/>
  <c r="Y33" i="3"/>
  <c r="Y10" i="3"/>
  <c r="Y25" i="3"/>
  <c r="Y30" i="3"/>
  <c r="Y21" i="3"/>
  <c r="Y28" i="3"/>
  <c r="Y11" i="3"/>
  <c r="AE26" i="3"/>
  <c r="AE22" i="3"/>
  <c r="T26" i="3"/>
  <c r="AE18" i="3"/>
  <c r="T23" i="3"/>
  <c r="AE14" i="3"/>
  <c r="T24" i="3"/>
  <c r="AE10" i="3"/>
  <c r="T31" i="3"/>
  <c r="AE30" i="3"/>
  <c r="T16" i="3"/>
  <c r="AD34" i="3"/>
  <c r="T10" i="3"/>
  <c r="AD26" i="3"/>
  <c r="AE25" i="3"/>
  <c r="T25" i="3"/>
  <c r="AD22" i="3"/>
  <c r="AE21" i="3"/>
  <c r="T30" i="3"/>
  <c r="AD18" i="3"/>
  <c r="AE17" i="3"/>
  <c r="T21" i="3"/>
  <c r="AD14" i="3"/>
  <c r="AE13" i="3"/>
  <c r="T28" i="3"/>
  <c r="AD10" i="3"/>
  <c r="AE9" i="3"/>
  <c r="T11" i="3"/>
  <c r="AE34" i="3"/>
  <c r="T34" i="3"/>
  <c r="T15" i="3"/>
  <c r="AE33" i="3"/>
  <c r="T33" i="3"/>
  <c r="AD30" i="3"/>
  <c r="AE32" i="3"/>
  <c r="AE28" i="3"/>
  <c r="AE24" i="3"/>
  <c r="AE20" i="3"/>
  <c r="AE16" i="3"/>
  <c r="AE12" i="3"/>
  <c r="AE8" i="3"/>
  <c r="S29" i="3"/>
  <c r="R29" i="3"/>
  <c r="M29" i="3"/>
  <c r="U29" i="3"/>
  <c r="T29" i="3" s="1"/>
  <c r="V29" i="3"/>
  <c r="X29" i="3"/>
  <c r="W29" i="3"/>
  <c r="AE29" i="3" l="1"/>
  <c r="AD29" i="3"/>
  <c r="AC29" i="3"/>
  <c r="Y29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N34" i="3" s="1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N9" i="3" s="1"/>
  <c r="G19" i="4"/>
  <c r="N11" i="3" s="1"/>
  <c r="G20" i="4"/>
  <c r="G21" i="4"/>
  <c r="G22" i="4"/>
  <c r="G23" i="4"/>
  <c r="G24" i="4"/>
  <c r="N31" i="3" s="1"/>
  <c r="G25" i="4"/>
  <c r="N13" i="3" s="1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L25" i="1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N24" i="3" s="1"/>
  <c r="G57" i="4"/>
  <c r="G58" i="4"/>
  <c r="G59" i="4"/>
  <c r="G60" i="4"/>
  <c r="N30" i="3" s="1"/>
  <c r="G61" i="4"/>
  <c r="G62" i="4"/>
  <c r="G63" i="4"/>
  <c r="G64" i="4"/>
  <c r="G65" i="4"/>
  <c r="L39" i="1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L53" i="1" s="1"/>
  <c r="G88" i="4"/>
  <c r="G89" i="4"/>
  <c r="G90" i="4"/>
  <c r="N23" i="3" s="1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L67" i="1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N26" i="3" s="1"/>
  <c r="G124" i="4"/>
  <c r="G125" i="4"/>
  <c r="G126" i="4"/>
  <c r="G127" i="4"/>
  <c r="G128" i="4"/>
  <c r="G129" i="4"/>
  <c r="G130" i="4"/>
  <c r="N29" i="3" s="1"/>
  <c r="G131" i="4"/>
  <c r="G132" i="4"/>
  <c r="G133" i="4"/>
  <c r="G134" i="4"/>
  <c r="G135" i="4"/>
  <c r="G136" i="4"/>
  <c r="G137" i="4"/>
  <c r="G138" i="4"/>
  <c r="N25" i="3" s="1"/>
  <c r="G139" i="4"/>
  <c r="G140" i="4"/>
  <c r="G141" i="4"/>
  <c r="G142" i="4"/>
  <c r="G143" i="4"/>
  <c r="G144" i="4"/>
  <c r="G145" i="4"/>
  <c r="G146" i="4"/>
  <c r="N15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7" i="3" s="1"/>
  <c r="G170" i="4"/>
  <c r="G171" i="4"/>
  <c r="G172" i="4"/>
  <c r="G173" i="4"/>
  <c r="G174" i="4"/>
  <c r="G175" i="4"/>
  <c r="G176" i="4"/>
  <c r="G177" i="4"/>
  <c r="G178" i="4"/>
  <c r="G179" i="4"/>
  <c r="N22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N32" i="3" s="1"/>
  <c r="G192" i="4"/>
  <c r="G193" i="4"/>
  <c r="G194" i="4"/>
  <c r="G195" i="4"/>
  <c r="G196" i="4"/>
  <c r="G197" i="4"/>
  <c r="G198" i="4"/>
  <c r="N33" i="3" s="1"/>
  <c r="G199" i="4"/>
  <c r="G200" i="4"/>
  <c r="G201" i="4"/>
  <c r="G202" i="4"/>
  <c r="G203" i="4"/>
  <c r="G204" i="4"/>
  <c r="G205" i="4"/>
  <c r="G206" i="4"/>
  <c r="N10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16" i="3" s="1"/>
  <c r="G220" i="4"/>
  <c r="N14" i="3" s="1"/>
  <c r="G221" i="4"/>
  <c r="G222" i="4"/>
  <c r="G223" i="4"/>
  <c r="G2" i="4"/>
  <c r="N8" i="3" l="1"/>
  <c r="N12" i="3"/>
  <c r="N18" i="3"/>
  <c r="N17" i="3"/>
  <c r="N27" i="3"/>
  <c r="N28" i="3"/>
  <c r="N21" i="3"/>
  <c r="N19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<sst xmlns="http://schemas.openxmlformats.org/spreadsheetml/2006/main" count="2796" uniqueCount="1115">
  <si>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</si>
  <si>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</si>
  <si>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</si>
  <si>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</si>
  <si>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</si>
  <si>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</si>
  <si>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</si>
  <si>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</si>
  <si>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</si>
  <si>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</si>
  <si>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</si>
  <si>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</si>
  <si>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</si>
  <si>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</si>
  <si>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</si>
  <si>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</si>
  <si>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</si>
  <si>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</si>
  <si>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</si>
  <si>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</si>
  <si>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</si>
  <si>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</si>
  <si>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</si>
  <si>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</si>
  <si>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</si>
  <si>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</si>
  <si>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</si>
  <si>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</si>
  <si>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</si>
  <si>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</si>
  <si>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</si>
  <si>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</si>
  <si>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</si>
  <si>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</si>
  <si>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</si>
  <si>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</si>
  <si>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</si>
  <si>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</si>
  <si>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</si>
  <si>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</si>
  <si>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</si>
  <si>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</si>
  <si>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</si>
  <si>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</si>
  <si>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</si>
  <si>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</si>
  <si>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</si>
  <si>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</si>
  <si>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</si>
  <si>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</si>
  <si>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</si>
  <si>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</si>
  <si>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</si>
  <si>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</si>
  <si>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</si>
  <si>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</si>
  <si>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</si>
  <si>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</si>
  <si>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</si>
  <si>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</si>
  <si>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</si>
  <si>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</si>
  <si>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</si>
  <si>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</si>
  <si>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</si>
  <si>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</si>
  <si>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</si>
  <si>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</si>
  <si>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</si>
  <si>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</si>
  <si>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</si>
  <si>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</si>
  <si>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</si>
  <si>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</si>
  <si>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</si>
  <si>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</si>
  <si>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</si>
  <si>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</si>
  <si>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</si>
  <si>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</si>
  <si>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</si>
  <si>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</si>
  <si>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</si>
  <si>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</si>
  <si>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</si>
  <si>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</si>
  <si>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</si>
  <si>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</si>
  <si>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</si>
  <si>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</si>
  <si>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</si>
  <si>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</si>
  <si>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</si>
  <si>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</si>
  <si>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</si>
  <si>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</si>
  <si>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</si>
  <si>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</si>
  <si>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</si>
  <si>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</si>
  <si>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</si>
  <si>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</si>
  <si>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</si>
  <si>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</si>
  <si>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</si>
  <si>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</si>
  <si>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</si>
  <si>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</si>
  <si>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</si>
  <si>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</si>
  <si>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</si>
  <si>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</si>
  <si>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</si>
  <si>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</si>
  <si>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</si>
  <si>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</si>
  <si>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</si>
  <si>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</si>
  <si>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</si>
  <si>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</si>
  <si>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</si>
  <si>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</si>
  <si>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</si>
  <si>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</si>
  <si>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</si>
  <si>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</si>
  <si>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</si>
  <si>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</si>
  <si>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</si>
  <si>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</si>
  <si>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</si>
  <si>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</si>
  <si>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</si>
  <si>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</si>
  <si>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</si>
  <si>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</si>
  <si>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</si>
  <si>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</si>
  <si>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</si>
  <si>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</si>
  <si>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</si>
  <si>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</si>
  <si>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</si>
  <si>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</si>
  <si>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</si>
  <si>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</si>
  <si>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</si>
  <si>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</si>
  <si>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</si>
  <si>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</si>
  <si>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</si>
  <si>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</si>
  <si>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</si>
  <si>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</si>
  <si>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</si>
  <si>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</si>
  <si>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</si>
  <si>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</si>
  <si>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</si>
  <si>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</si>
  <si>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</si>
  <si>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</si>
  <si>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</si>
  <si>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</si>
  <si>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</si>
  <si>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</si>
  <si>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</si>
  <si>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</si>
  <si>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</si>
  <si>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</si>
  <si>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</si>
  <si>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</si>
  <si>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</si>
  <si>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</si>
  <si>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</si>
  <si>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</si>
  <si>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</si>
  <si>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</si>
  <si>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</si>
  <si>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</si>
  <si>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</si>
  <si>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</si>
  <si>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</si>
  <si>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</si>
  <si>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</si>
  <si>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</si>
  <si>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</si>
  <si>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</si>
  <si>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</si>
  <si>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</si>
  <si>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</si>
  <si>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</si>
  <si>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</si>
  <si>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</si>
  <si>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</si>
  <si>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</si>
  <si>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</si>
  <si>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</si>
  <si>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</si>
  <si>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</si>
  <si>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</si>
  <si>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</si>
  <si>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</si>
  <si>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</si>
  <si>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</si>
  <si>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</si>
  <si>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</si>
  <si>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</si>
  <si>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</si>
  <si>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</si>
  <si>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</si>
  <si>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</si>
  <si>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</si>
  <si>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</si>
  <si>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</si>
  <si>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</si>
  <si>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</si>
  <si>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</si>
  <si>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</si>
  <si>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</si>
  <si>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</si>
  <si>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</si>
  <si>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</si>
  <si>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</si>
  <si>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</si>
  <si>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</si>
  <si>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</si>
  <si>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</si>
  <si>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</si>
  <si>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</si>
  <si>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</si>
  <si>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</si>
  <si>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</si>
  <si>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</si>
  <si>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</si>
  <si>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</si>
  <si>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</si>
  <si>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</si>
  <si>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</si>
  <si>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</si>
  <si>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</si>
  <si>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</si>
  <si>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</si>
  <si>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</si>
  <si>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</si>
  <si>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</si>
  <si>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</si>
  <si>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</si>
  <si>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</si>
  <si>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</si>
  <si>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</si>
  <si>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</si>
  <si>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</si>
  <si>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</si>
  <si>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</si>
  <si>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</si>
  <si>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</si>
  <si>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</si>
  <si>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</si>
  <si>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</si>
  <si>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</si>
  <si>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</si>
  <si>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</si>
  <si>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</si>
  <si>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</si>
  <si>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</si>
  <si>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</si>
  <si>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</si>
  <si>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</si>
  <si>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</si>
  <si>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</si>
  <si>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</si>
  <si>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</si>
  <si>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</si>
  <si>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</si>
  <si>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</si>
  <si>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</si>
  <si>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</si>
  <si>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</si>
  <si>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</si>
  <si>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</si>
  <si>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</si>
  <si>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</si>
  <si>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</si>
  <si>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</si>
  <si>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</si>
  <si>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</si>
  <si>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</si>
  <si>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</si>
  <si>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</si>
  <si>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</si>
  <si>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</si>
  <si>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</si>
  <si>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</si>
  <si>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</si>
  <si>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</si>
  <si>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</si>
  <si>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</si>
  <si>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</si>
  <si>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</si>
  <si>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</si>
  <si>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</si>
  <si>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</si>
  <si>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</si>
  <si>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</si>
  <si>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</si>
  <si>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</si>
  <si>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</si>
  <si>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</si>
  <si>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</si>
  <si>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</si>
  <si>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</si>
  <si>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</si>
  <si>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</si>
  <si>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</si>
  <si>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</si>
  <si>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</si>
  <si>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</si>
  <si>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</si>
  <si>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</si>
  <si>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</si>
  <si>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</si>
  <si>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</si>
  <si>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</si>
  <si>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</si>
  <si>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</si>
  <si>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</si>
  <si>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</si>
  <si>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</si>
  <si>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</si>
  <si>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</si>
  <si>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</si>
  <si>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</si>
  <si>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</si>
  <si>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</si>
  <si>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</si>
  <si>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</si>
  <si>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</si>
  <si>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</si>
  <si>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</si>
  <si>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</si>
  <si>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</si>
  <si>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</si>
  <si>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</si>
  <si>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</si>
  <si>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</si>
  <si>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</si>
  <si>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</si>
  <si>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</si>
  <si>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</si>
  <si>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</si>
  <si>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</si>
  <si>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204:145</t>
  </si>
  <si>
    <t>Early Arrival</t>
  </si>
  <si>
    <t>LOZA</t>
  </si>
  <si>
    <t>FIDEL</t>
  </si>
  <si>
    <t>204:158</t>
  </si>
  <si>
    <t>204:139</t>
  </si>
  <si>
    <t>204:154</t>
  </si>
  <si>
    <t>204:447</t>
  </si>
  <si>
    <t>YORK</t>
  </si>
  <si>
    <t>EDGAR</t>
  </si>
  <si>
    <t>Y</t>
  </si>
  <si>
    <t>Sat - Sun = 36 Trips</t>
  </si>
  <si>
    <t>"Summary View"</t>
  </si>
  <si>
    <t>ANDERS</t>
  </si>
  <si>
    <t>STEVEN</t>
  </si>
  <si>
    <t>rtdc.l.rtdc.4055:itc</t>
  </si>
  <si>
    <t>MICHAEL</t>
  </si>
  <si>
    <t>clear-night</t>
  </si>
  <si>
    <t>Clear</t>
  </si>
  <si>
    <t>rtdc.l.rtdc.4066:itc</t>
  </si>
  <si>
    <t>rtdc.l.rtdc.4065:itc</t>
  </si>
  <si>
    <t>MCREYNOLDS</t>
  </si>
  <si>
    <t>KYLE</t>
  </si>
  <si>
    <t>%REDMINEAPIKEY%</t>
  </si>
  <si>
    <t>204:442</t>
  </si>
  <si>
    <t>300:23346</t>
  </si>
  <si>
    <t>SIGNAL</t>
  </si>
  <si>
    <t>Signal based authority (5)</t>
  </si>
  <si>
    <t>204:440</t>
  </si>
  <si>
    <t>Wi-MAX data drop</t>
  </si>
  <si>
    <t>rtdc.l.rtdc.4008:itc</t>
  </si>
  <si>
    <t>204:233297</t>
  </si>
  <si>
    <t>rtdc.l.rtdc.4060:itc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</si>
  <si>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</si>
  <si>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</si>
  <si>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</si>
  <si>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</si>
  <si>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</si>
  <si>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</si>
  <si>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</si>
  <si>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BIRKHOLZ</t>
  </si>
  <si>
    <t>NADINE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</si>
  <si>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</si>
  <si>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</si>
  <si>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</si>
  <si>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</si>
  <si>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</si>
  <si>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</si>
  <si>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rtdc.l.rtdc.4043:itc</t>
  </si>
  <si>
    <t>rtdc.l.rtdc.4044:itc</t>
  </si>
  <si>
    <t>DAVIS</t>
  </si>
  <si>
    <t>rtdc.l.rtdc.4006:itc</t>
  </si>
  <si>
    <t>BERLING</t>
  </si>
  <si>
    <t>GARY</t>
  </si>
  <si>
    <t>HOLCOMB</t>
  </si>
  <si>
    <t>KAMDEN</t>
  </si>
  <si>
    <t>ZEWDU</t>
  </si>
  <si>
    <t>DEREJE</t>
  </si>
  <si>
    <t>204:484</t>
  </si>
  <si>
    <t>rtdc.l.rtdc.4058:itc</t>
  </si>
  <si>
    <t>rtdc.l.rtdc.4024:itc</t>
  </si>
  <si>
    <t>rtdc.l.rtdc.4023:itc</t>
  </si>
  <si>
    <t>rtdc.l.rtdc.4057:itc</t>
  </si>
  <si>
    <t>216-19</t>
  </si>
  <si>
    <t>226-19</t>
  </si>
  <si>
    <t>rtdc.l.rtdc.4016:itc</t>
  </si>
  <si>
    <t>rtdc.l.rtdc.4014:itc</t>
  </si>
  <si>
    <t>DAVID</t>
  </si>
  <si>
    <t>rtdc.l.rtdc.4032:itc</t>
  </si>
  <si>
    <t>75-19</t>
  </si>
  <si>
    <t>NICHOLSON</t>
  </si>
  <si>
    <t>WESLEY</t>
  </si>
  <si>
    <t>ELBAUM</t>
  </si>
  <si>
    <t>MIKE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</si>
  <si>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</si>
  <si>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</si>
  <si>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</si>
  <si>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</si>
  <si>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</si>
  <si>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</si>
  <si>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</si>
  <si>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</si>
  <si>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</si>
  <si>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</si>
  <si>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</si>
  <si>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</si>
  <si>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</si>
  <si>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</si>
  <si>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</si>
  <si>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</si>
  <si>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</si>
  <si>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</si>
  <si>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</si>
  <si>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</si>
  <si>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</si>
  <si>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</si>
  <si>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</si>
  <si>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</si>
  <si>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</si>
  <si>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</si>
  <si>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</si>
  <si>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</si>
  <si>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</si>
  <si>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</si>
  <si>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</si>
  <si>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</si>
  <si>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</si>
  <si>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</si>
  <si>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</si>
  <si>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</si>
  <si>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</si>
  <si>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</si>
  <si>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</si>
  <si>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</si>
  <si>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</si>
  <si>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</si>
  <si>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</si>
  <si>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</si>
  <si>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</si>
  <si>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</si>
  <si>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</si>
  <si>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</si>
  <si>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</si>
  <si>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</si>
  <si>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</si>
  <si>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</si>
  <si>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rtdc.l.rtdc.4050:itc</t>
  </si>
  <si>
    <t>204:233289</t>
  </si>
  <si>
    <t>rtdc.l.rtdc.4049:itc</t>
  </si>
  <si>
    <t>204:233268</t>
  </si>
  <si>
    <t>204:160</t>
  </si>
  <si>
    <t>204:232977</t>
  </si>
  <si>
    <t>Poor GPS at DUS</t>
  </si>
  <si>
    <t>rtdc.l.rtdc.4036:itc</t>
  </si>
  <si>
    <t>rtdc.l.rtdc.4035:itc</t>
  </si>
  <si>
    <t>FORTUNATO</t>
  </si>
  <si>
    <t>FRANK</t>
  </si>
  <si>
    <t>MOSES</t>
  </si>
  <si>
    <t>BRADLEY</t>
  </si>
  <si>
    <t>BRUDER</t>
  </si>
  <si>
    <t>RICHARD</t>
  </si>
  <si>
    <t>204:233299</t>
  </si>
  <si>
    <t>204:233288</t>
  </si>
  <si>
    <t>204:232973</t>
  </si>
  <si>
    <t>204:233285</t>
  </si>
  <si>
    <t>204:232982</t>
  </si>
  <si>
    <t>204:444</t>
  </si>
  <si>
    <t>204:232879</t>
  </si>
  <si>
    <t>204:546</t>
  </si>
  <si>
    <t>204:233170</t>
  </si>
  <si>
    <t>204:232987</t>
  </si>
  <si>
    <t>300:58651</t>
  </si>
  <si>
    <t>WENDY</t>
  </si>
  <si>
    <t>rtdc.l.rtdc.4034:itc</t>
  </si>
  <si>
    <t>242-25</t>
  </si>
  <si>
    <t>244-25</t>
  </si>
  <si>
    <t>307-25</t>
  </si>
  <si>
    <t>309-25</t>
  </si>
  <si>
    <t>311-25</t>
  </si>
  <si>
    <t>300-26</t>
  </si>
  <si>
    <t>precipType</t>
  </si>
  <si>
    <t>rain</t>
  </si>
  <si>
    <t>204:232971</t>
  </si>
  <si>
    <t>204:232873</t>
  </si>
  <si>
    <t>204:238</t>
  </si>
  <si>
    <t>204:233291</t>
  </si>
  <si>
    <t>204:482</t>
  </si>
  <si>
    <t>204:232938</t>
  </si>
  <si>
    <t>204:562</t>
  </si>
  <si>
    <t>204:233304</t>
  </si>
  <si>
    <t>204:232902</t>
  </si>
  <si>
    <t>204:211</t>
  </si>
  <si>
    <t>204:232877</t>
  </si>
  <si>
    <t>204:236</t>
  </si>
  <si>
    <t>204:519</t>
  </si>
  <si>
    <t>204:232881</t>
  </si>
  <si>
    <t>204:232875</t>
  </si>
  <si>
    <t>204:529</t>
  </si>
  <si>
    <t>300:58971</t>
  </si>
  <si>
    <t>204:983</t>
  </si>
  <si>
    <t>204:675</t>
  </si>
  <si>
    <t>204:680</t>
  </si>
  <si>
    <t>rtdc.l.rtdc.4041:itc</t>
  </si>
  <si>
    <t>rtdc.l.rtdc.4053:itc</t>
  </si>
  <si>
    <t>rtdc.l.rtdc.4033:itc</t>
  </si>
  <si>
    <t>rtdc.l.rtdc.4042:itc</t>
  </si>
  <si>
    <t>MAELZER</t>
  </si>
  <si>
    <t>KURT</t>
  </si>
  <si>
    <t>WILLIAMS</t>
  </si>
  <si>
    <t>DONTE</t>
  </si>
  <si>
    <t>rtdc.l.rtdc.4054:itc</t>
  </si>
  <si>
    <t>CASSIDY</t>
  </si>
  <si>
    <t>BRANDON</t>
  </si>
  <si>
    <t>BADERTSCHER</t>
  </si>
  <si>
    <t>DIANE</t>
  </si>
  <si>
    <t>partly-cloudy-day</t>
  </si>
  <si>
    <t>Mostly Cloudy</t>
  </si>
  <si>
    <t>partly-cloudy-night</t>
  </si>
  <si>
    <t>cloudy</t>
  </si>
  <si>
    <t>Overcast</t>
  </si>
  <si>
    <t>Partly Cloudy</t>
  </si>
  <si>
    <t>204:156</t>
  </si>
  <si>
    <t>204:233264</t>
  </si>
  <si>
    <t>204:232946</t>
  </si>
  <si>
    <t>204:469</t>
  </si>
  <si>
    <t>204:232998</t>
  </si>
  <si>
    <t>204:232972</t>
  </si>
  <si>
    <t>204:232978</t>
  </si>
  <si>
    <t>204:161</t>
  </si>
  <si>
    <t>204:509</t>
  </si>
  <si>
    <t>204:451</t>
  </si>
  <si>
    <t>204:233189</t>
  </si>
  <si>
    <t>204:232900</t>
  </si>
  <si>
    <t>204:123</t>
  </si>
  <si>
    <t>204:233186</t>
  </si>
  <si>
    <t>204:232894</t>
  </si>
  <si>
    <t>204:233215</t>
  </si>
  <si>
    <t>204:232896</t>
  </si>
  <si>
    <t>204:232872</t>
  </si>
  <si>
    <t>204:233192</t>
  </si>
  <si>
    <t>204:174</t>
  </si>
  <si>
    <t>204:249</t>
  </si>
  <si>
    <t>204:650</t>
  </si>
  <si>
    <t>204:233223</t>
  </si>
  <si>
    <t>204:232904</t>
  </si>
  <si>
    <t>204:200</t>
  </si>
  <si>
    <t>204:477</t>
  </si>
  <si>
    <t>204:232968</t>
  </si>
  <si>
    <t>204:262</t>
  </si>
  <si>
    <t>204:232969</t>
  </si>
  <si>
    <t>204:220</t>
  </si>
  <si>
    <t>204:234</t>
  </si>
  <si>
    <t>204:205</t>
  </si>
  <si>
    <t>204:520</t>
  </si>
  <si>
    <t>204:227</t>
  </si>
  <si>
    <t>204:189</t>
  </si>
  <si>
    <t>204:233230</t>
  </si>
  <si>
    <t>204:511</t>
  </si>
  <si>
    <t>204:551</t>
  </si>
  <si>
    <t>204:254</t>
  </si>
  <si>
    <t>204:231</t>
  </si>
  <si>
    <t>204:232909</t>
  </si>
  <si>
    <t>204:233259</t>
  </si>
  <si>
    <t>204:515</t>
  </si>
  <si>
    <t>204:540</t>
  </si>
  <si>
    <t>204:573</t>
  </si>
  <si>
    <t>204:535</t>
  </si>
  <si>
    <t>300:23310</t>
  </si>
  <si>
    <t>204:571</t>
  </si>
  <si>
    <t>204:568</t>
  </si>
  <si>
    <t>204:1158</t>
  </si>
  <si>
    <t>204:692</t>
  </si>
  <si>
    <t>300:58990</t>
  </si>
  <si>
    <t>204:670</t>
  </si>
  <si>
    <t>300:58623</t>
  </si>
  <si>
    <t>300:58980</t>
  </si>
  <si>
    <t>300:58668</t>
  </si>
  <si>
    <t>300:58958</t>
  </si>
  <si>
    <t>204:708</t>
  </si>
  <si>
    <t>300:58988</t>
  </si>
  <si>
    <t>300:58685</t>
  </si>
  <si>
    <t>300:59009</t>
  </si>
  <si>
    <t>304-28</t>
  </si>
  <si>
    <t>105-28</t>
  </si>
  <si>
    <t>102-28</t>
  </si>
  <si>
    <t>rtdc.l.rtdc.4031:itc</t>
  </si>
  <si>
    <t>310-28</t>
  </si>
  <si>
    <t>TEMPORARY SPEED RESTRICTION</t>
  </si>
  <si>
    <t>111-28</t>
  </si>
  <si>
    <t>312-28</t>
  </si>
  <si>
    <t>1803-28</t>
  </si>
  <si>
    <t>126-28</t>
  </si>
  <si>
    <t>1809-28</t>
  </si>
  <si>
    <t>rtdc.l.rtdc.4003:itc</t>
  </si>
  <si>
    <t>150-28</t>
  </si>
  <si>
    <t>1701-28</t>
  </si>
  <si>
    <t>1815-28</t>
  </si>
  <si>
    <t>rtdc.l.rtdc.4063:itc</t>
  </si>
  <si>
    <t>174-28</t>
  </si>
  <si>
    <t>1818-28</t>
  </si>
  <si>
    <t>188-28</t>
  </si>
  <si>
    <t>211-28</t>
  </si>
  <si>
    <t>212-28</t>
  </si>
  <si>
    <t>231-28</t>
  </si>
  <si>
    <t>232-28</t>
  </si>
  <si>
    <t>rtdc.l.rtdc.4047:itc</t>
  </si>
  <si>
    <t>78-28</t>
  </si>
  <si>
    <t>rtdc.l.rtdc.4004:itc</t>
  </si>
  <si>
    <t>235-28</t>
  </si>
  <si>
    <t>rtdc.l.rtdc.4064:itc</t>
  </si>
  <si>
    <t>74-28</t>
  </si>
  <si>
    <t>58-28</t>
  </si>
  <si>
    <t>242-27</t>
  </si>
  <si>
    <t>244-27</t>
  </si>
  <si>
    <t>307-27</t>
  </si>
  <si>
    <t>246-27</t>
  </si>
  <si>
    <t>309-27</t>
  </si>
  <si>
    <t>311-27</t>
  </si>
  <si>
    <t>313-27</t>
  </si>
  <si>
    <t>300-28</t>
  </si>
  <si>
    <t>THOMPSON</t>
  </si>
  <si>
    <t>LESTER</t>
  </si>
  <si>
    <t>101-28</t>
  </si>
  <si>
    <t>51-28</t>
  </si>
  <si>
    <t>302-28</t>
  </si>
  <si>
    <t>52-28</t>
  </si>
  <si>
    <t>103-28</t>
  </si>
  <si>
    <t>rtdc.l.rtdc.4061:itc</t>
  </si>
  <si>
    <t>308-28</t>
  </si>
  <si>
    <t>BARRON</t>
  </si>
  <si>
    <t>PERLA</t>
  </si>
  <si>
    <t>306-28</t>
  </si>
  <si>
    <t>PAGE</t>
  </si>
  <si>
    <t>MARCUS</t>
  </si>
  <si>
    <t>104-28</t>
  </si>
  <si>
    <t>107-28</t>
  </si>
  <si>
    <t>rtdc.l.rtdc.4062:itc</t>
  </si>
  <si>
    <t>109-28</t>
  </si>
  <si>
    <t>LALONDE</t>
  </si>
  <si>
    <t>GREGORY</t>
  </si>
  <si>
    <t>53-28</t>
  </si>
  <si>
    <t>113-28</t>
  </si>
  <si>
    <t>MACDONALD</t>
  </si>
  <si>
    <t>THOMAS</t>
  </si>
  <si>
    <t>1901-28</t>
  </si>
  <si>
    <t>LAMAR</t>
  </si>
  <si>
    <t>NEKESHA</t>
  </si>
  <si>
    <t>108-28</t>
  </si>
  <si>
    <t>115-28</t>
  </si>
  <si>
    <t>110-28</t>
  </si>
  <si>
    <t>117-28</t>
  </si>
  <si>
    <t>1800-28</t>
  </si>
  <si>
    <t>rtdc.l.rtdc.4012:itc</t>
  </si>
  <si>
    <t>119-28</t>
  </si>
  <si>
    <t>DE LA ROSA</t>
  </si>
  <si>
    <t>ALEX</t>
  </si>
  <si>
    <t>50-28</t>
  </si>
  <si>
    <t>HUFFSMITH</t>
  </si>
  <si>
    <t>MONTY</t>
  </si>
  <si>
    <t>112-28</t>
  </si>
  <si>
    <t>1801-28</t>
  </si>
  <si>
    <t>114-28</t>
  </si>
  <si>
    <t>121-28</t>
  </si>
  <si>
    <t>116-28</t>
  </si>
  <si>
    <t>1802-28</t>
  </si>
  <si>
    <t>123-28</t>
  </si>
  <si>
    <t>118-28</t>
  </si>
  <si>
    <t>55-28</t>
  </si>
  <si>
    <t>LANGERAK</t>
  </si>
  <si>
    <t>WILLIAM</t>
  </si>
  <si>
    <t>rtdc.l.rtdc.4011:itc</t>
  </si>
  <si>
    <t>120-28</t>
  </si>
  <si>
    <t>125-28</t>
  </si>
  <si>
    <t>127-28</t>
  </si>
  <si>
    <t>122-28</t>
  </si>
  <si>
    <t>129-28</t>
  </si>
  <si>
    <t>124-28</t>
  </si>
  <si>
    <t>ROMERO</t>
  </si>
  <si>
    <t>CHAD</t>
  </si>
  <si>
    <t>131-28</t>
  </si>
  <si>
    <t>1804-28</t>
  </si>
  <si>
    <t>133-28</t>
  </si>
  <si>
    <t>128-28</t>
  </si>
  <si>
    <t>72-28</t>
  </si>
  <si>
    <t>BIRENBAUM</t>
  </si>
  <si>
    <t>135-28</t>
  </si>
  <si>
    <t>130-28</t>
  </si>
  <si>
    <t>1805-28</t>
  </si>
  <si>
    <t>137-28</t>
  </si>
  <si>
    <t>132-28</t>
  </si>
  <si>
    <t>139-28</t>
  </si>
  <si>
    <t>1806-28</t>
  </si>
  <si>
    <t>134-28</t>
  </si>
  <si>
    <t>141-28</t>
  </si>
  <si>
    <t>136-28</t>
  </si>
  <si>
    <t>73-28</t>
  </si>
  <si>
    <t>143-28</t>
  </si>
  <si>
    <t>138-28</t>
  </si>
  <si>
    <t>1807-28</t>
  </si>
  <si>
    <t>145-28</t>
  </si>
  <si>
    <t>140-28</t>
  </si>
  <si>
    <t>1808-28</t>
  </si>
  <si>
    <t>147-28</t>
  </si>
  <si>
    <t>149-28</t>
  </si>
  <si>
    <t>142-28</t>
  </si>
  <si>
    <t>144-28</t>
  </si>
  <si>
    <t>151-28</t>
  </si>
  <si>
    <t>146-28</t>
  </si>
  <si>
    <t>153-28</t>
  </si>
  <si>
    <t>148-28</t>
  </si>
  <si>
    <t>1810-28</t>
  </si>
  <si>
    <t>155-28</t>
  </si>
  <si>
    <t>157-28</t>
  </si>
  <si>
    <t>152-28</t>
  </si>
  <si>
    <t>159-28</t>
  </si>
  <si>
    <t>1811-28</t>
  </si>
  <si>
    <t>154-28</t>
  </si>
  <si>
    <t>161-28</t>
  </si>
  <si>
    <t>163-28</t>
  </si>
  <si>
    <t>SAFIEF</t>
  </si>
  <si>
    <t>AEIMEN</t>
  </si>
  <si>
    <t>156-28</t>
  </si>
  <si>
    <t>1812-28</t>
  </si>
  <si>
    <t>158-28</t>
  </si>
  <si>
    <t>165-28</t>
  </si>
  <si>
    <t>GUZMAN</t>
  </si>
  <si>
    <t>DANNY</t>
  </si>
  <si>
    <t>160-28</t>
  </si>
  <si>
    <t>167-28</t>
  </si>
  <si>
    <t>1813-28</t>
  </si>
  <si>
    <t>162-28</t>
  </si>
  <si>
    <t>169-28</t>
  </si>
  <si>
    <t>164-28</t>
  </si>
  <si>
    <t>171-28</t>
  </si>
  <si>
    <t>166-28</t>
  </si>
  <si>
    <t>1814-28</t>
  </si>
  <si>
    <t>173-28</t>
  </si>
  <si>
    <t>168-28</t>
  </si>
  <si>
    <t>175-28</t>
  </si>
  <si>
    <t>170-28</t>
  </si>
  <si>
    <t>177-28</t>
  </si>
  <si>
    <t>172-28</t>
  </si>
  <si>
    <t>179-28</t>
  </si>
  <si>
    <t>1816-28</t>
  </si>
  <si>
    <t>181-28</t>
  </si>
  <si>
    <t>176-28</t>
  </si>
  <si>
    <t>183-28</t>
  </si>
  <si>
    <t>178-28</t>
  </si>
  <si>
    <t>1817-28</t>
  </si>
  <si>
    <t>SMITH</t>
  </si>
  <si>
    <t>180-28</t>
  </si>
  <si>
    <t>185-28</t>
  </si>
  <si>
    <t>187-28</t>
  </si>
  <si>
    <t>182-28</t>
  </si>
  <si>
    <t>189-28</t>
  </si>
  <si>
    <t>184-28</t>
  </si>
  <si>
    <t>191-28</t>
  </si>
  <si>
    <t>1819-28</t>
  </si>
  <si>
    <t>GONZALEZ</t>
  </si>
  <si>
    <t>ARMANDO</t>
  </si>
  <si>
    <t>186-28</t>
  </si>
  <si>
    <t>193-28</t>
  </si>
  <si>
    <t>195-28</t>
  </si>
  <si>
    <t>1820-28</t>
  </si>
  <si>
    <t>190-28</t>
  </si>
  <si>
    <t>197-28</t>
  </si>
  <si>
    <t>192-28</t>
  </si>
  <si>
    <t>194-28</t>
  </si>
  <si>
    <t>199-28</t>
  </si>
  <si>
    <t>1821-28</t>
  </si>
  <si>
    <t>75-28</t>
  </si>
  <si>
    <t>201-28</t>
  </si>
  <si>
    <t>196-28</t>
  </si>
  <si>
    <t>203-28</t>
  </si>
  <si>
    <t>1822-28</t>
  </si>
  <si>
    <t>198-28</t>
  </si>
  <si>
    <t>205-28</t>
  </si>
  <si>
    <t>207-28</t>
  </si>
  <si>
    <t>200-28</t>
  </si>
  <si>
    <t>1823-28</t>
  </si>
  <si>
    <t>202-28</t>
  </si>
  <si>
    <t>209-28</t>
  </si>
  <si>
    <t>77-28</t>
  </si>
  <si>
    <t>204-28</t>
  </si>
  <si>
    <t>1824-28</t>
  </si>
  <si>
    <t>206-28</t>
  </si>
  <si>
    <t>76-28</t>
  </si>
  <si>
    <t>GUNTHIER</t>
  </si>
  <si>
    <t>ERIC</t>
  </si>
  <si>
    <t>213-28</t>
  </si>
  <si>
    <t>208-28</t>
  </si>
  <si>
    <t>215-28</t>
  </si>
  <si>
    <t>1825-28</t>
  </si>
  <si>
    <t>210-28</t>
  </si>
  <si>
    <t>217-28</t>
  </si>
  <si>
    <t>219-28</t>
  </si>
  <si>
    <t>1826-28</t>
  </si>
  <si>
    <t>214-28</t>
  </si>
  <si>
    <t>301-28</t>
  </si>
  <si>
    <t>216-28</t>
  </si>
  <si>
    <t>218-28</t>
  </si>
  <si>
    <t>221-28</t>
  </si>
  <si>
    <t>RESPASS</t>
  </si>
  <si>
    <t>AARON</t>
  </si>
  <si>
    <t>1827-28</t>
  </si>
  <si>
    <t>220-28</t>
  </si>
  <si>
    <t>1828-28</t>
  </si>
  <si>
    <t>223-28</t>
  </si>
  <si>
    <t>WEST</t>
  </si>
  <si>
    <t>BRYAN</t>
  </si>
  <si>
    <t>225-28</t>
  </si>
  <si>
    <t>222-28</t>
  </si>
  <si>
    <t>1829-28</t>
  </si>
  <si>
    <t>rtdc.l.rtdc.4048:itc</t>
  </si>
  <si>
    <t>79-28</t>
  </si>
  <si>
    <t>224-28</t>
  </si>
  <si>
    <t>227-28</t>
  </si>
  <si>
    <t>rtdc.l.rtdc.4056:itc</t>
  </si>
  <si>
    <t>1830-28</t>
  </si>
  <si>
    <t>226-28</t>
  </si>
  <si>
    <t>229-28</t>
  </si>
  <si>
    <t>1831-28</t>
  </si>
  <si>
    <t>228-28</t>
  </si>
  <si>
    <t>1832-28</t>
  </si>
  <si>
    <t>80-28</t>
  </si>
  <si>
    <t>233-28</t>
  </si>
  <si>
    <t>230-28</t>
  </si>
  <si>
    <t>1833-28</t>
  </si>
  <si>
    <t>1834-28</t>
  </si>
  <si>
    <t>234-28</t>
  </si>
  <si>
    <t>237-28</t>
  </si>
  <si>
    <t>1835-28</t>
  </si>
  <si>
    <t>239-28</t>
  </si>
  <si>
    <t>57-28</t>
  </si>
  <si>
    <t>236-28</t>
  </si>
  <si>
    <t>1902-28</t>
  </si>
  <si>
    <t>241-28</t>
  </si>
  <si>
    <t>238-28</t>
  </si>
  <si>
    <t>240-28</t>
  </si>
  <si>
    <t>243-28</t>
  </si>
  <si>
    <t>242-28</t>
  </si>
  <si>
    <t>245-28</t>
  </si>
  <si>
    <t>307-28</t>
  </si>
  <si>
    <t>244-28</t>
  </si>
  <si>
    <t>309-28</t>
  </si>
  <si>
    <t>246-28</t>
  </si>
  <si>
    <t>311-28</t>
  </si>
  <si>
    <t>313-28</t>
  </si>
  <si>
    <t>204:774</t>
  </si>
  <si>
    <t>204:232975</t>
  </si>
  <si>
    <t>204:183</t>
  </si>
  <si>
    <t>204:128268</t>
  </si>
  <si>
    <t>204:480</t>
  </si>
  <si>
    <t>204:233307</t>
  </si>
  <si>
    <t>204:467</t>
  </si>
  <si>
    <t>204:2964</t>
  </si>
  <si>
    <t>204:233284</t>
  </si>
  <si>
    <t>204:1018</t>
  </si>
  <si>
    <t>204:462</t>
  </si>
  <si>
    <t>204:233303</t>
  </si>
  <si>
    <t>204:232980</t>
  </si>
  <si>
    <t>204:163</t>
  </si>
  <si>
    <t>204:549</t>
  </si>
  <si>
    <t>204:233247</t>
  </si>
  <si>
    <t>204:232940</t>
  </si>
  <si>
    <t>204:229</t>
  </si>
  <si>
    <t>204:233216</t>
  </si>
  <si>
    <t>204:232911</t>
  </si>
  <si>
    <t>204:240</t>
  </si>
  <si>
    <t>204:232964</t>
  </si>
  <si>
    <t>204:455</t>
  </si>
  <si>
    <t>204:418</t>
  </si>
  <si>
    <t>204:233226</t>
  </si>
  <si>
    <t>204:498</t>
  </si>
  <si>
    <t>204:233315</t>
  </si>
  <si>
    <t>204:555</t>
  </si>
  <si>
    <t>204:233293</t>
  </si>
  <si>
    <t>204:233281</t>
  </si>
  <si>
    <t>204:232</t>
  </si>
  <si>
    <t>204:233278</t>
  </si>
  <si>
    <t>204:232936</t>
  </si>
  <si>
    <t>204:232959</t>
  </si>
  <si>
    <t>204:713</t>
  </si>
  <si>
    <t>204:233229</t>
  </si>
  <si>
    <t>204:233301</t>
  </si>
  <si>
    <t>204:232967</t>
  </si>
  <si>
    <t>204:233302</t>
  </si>
  <si>
    <t>204:475</t>
  </si>
  <si>
    <t>204:232966</t>
  </si>
  <si>
    <t>204:233003</t>
  </si>
  <si>
    <t>204:437</t>
  </si>
  <si>
    <t>204:233257</t>
  </si>
  <si>
    <t>204:232934</t>
  </si>
  <si>
    <t>204:203</t>
  </si>
  <si>
    <t>204:233245</t>
  </si>
  <si>
    <t>204:232925</t>
  </si>
  <si>
    <t>204:233221</t>
  </si>
  <si>
    <t>204:216</t>
  </si>
  <si>
    <t>204:575</t>
  </si>
  <si>
    <t>204:233282</t>
  </si>
  <si>
    <t>204:247</t>
  </si>
  <si>
    <t>204:233261</t>
  </si>
  <si>
    <t>204:232947</t>
  </si>
  <si>
    <t>204:338</t>
  </si>
  <si>
    <t>300:29748</t>
  </si>
  <si>
    <t>300:110328</t>
  </si>
  <si>
    <t>300:112266</t>
  </si>
  <si>
    <t>300:28778</t>
  </si>
  <si>
    <t>204:233209</t>
  </si>
  <si>
    <t>204:232890</t>
  </si>
  <si>
    <t>204:528</t>
  </si>
  <si>
    <t>204:233236</t>
  </si>
  <si>
    <t>204:214</t>
  </si>
  <si>
    <t>204:233225</t>
  </si>
  <si>
    <t>204:233211</t>
  </si>
  <si>
    <t>204:256</t>
  </si>
  <si>
    <t>300:58662</t>
  </si>
  <si>
    <t>204:678</t>
  </si>
  <si>
    <t>204:967</t>
  </si>
  <si>
    <t>204:691</t>
  </si>
  <si>
    <t>204:986</t>
  </si>
  <si>
    <t>204:1847</t>
  </si>
  <si>
    <t>300:58670</t>
  </si>
  <si>
    <t>204:951</t>
  </si>
  <si>
    <t>204:705</t>
  </si>
  <si>
    <t>204:1002</t>
  </si>
  <si>
    <t>300:58960</t>
  </si>
  <si>
    <t>300:58656</t>
  </si>
  <si>
    <t>204:685</t>
  </si>
  <si>
    <t>204:978</t>
  </si>
  <si>
    <t>300:58963</t>
  </si>
  <si>
    <t>204:513</t>
  </si>
  <si>
    <t>204:233234</t>
  </si>
  <si>
    <t>204:701</t>
  </si>
  <si>
    <t>300:58673</t>
  </si>
  <si>
    <t>204:939</t>
  </si>
  <si>
    <t>300:58999</t>
  </si>
  <si>
    <t>300:58688</t>
  </si>
  <si>
    <t>204:687</t>
  </si>
  <si>
    <t>204:976</t>
  </si>
  <si>
    <t>300:58952</t>
  </si>
  <si>
    <t>300:58628</t>
  </si>
  <si>
    <t>204:696</t>
  </si>
  <si>
    <t>300:58926</t>
  </si>
  <si>
    <t>300:58606</t>
  </si>
  <si>
    <t>204:971</t>
  </si>
  <si>
    <t>300:58929</t>
  </si>
  <si>
    <t>204:232930</t>
  </si>
  <si>
    <t>204:671</t>
  </si>
  <si>
    <t>300:58922</t>
  </si>
  <si>
    <t>300:58608</t>
  </si>
  <si>
    <t>204:657</t>
  </si>
  <si>
    <t>300:58912</t>
  </si>
  <si>
    <t>300:58592</t>
  </si>
  <si>
    <t>204:698</t>
  </si>
  <si>
    <t>204:981</t>
  </si>
  <si>
    <t>300:58653</t>
  </si>
  <si>
    <t>204:997</t>
  </si>
  <si>
    <t>204:635</t>
  </si>
  <si>
    <t>204:233255</t>
  </si>
  <si>
    <t>300:58647</t>
  </si>
  <si>
    <t>204:666</t>
  </si>
  <si>
    <t>204:965</t>
  </si>
  <si>
    <t>300:58931</t>
  </si>
  <si>
    <t>300:58609</t>
  </si>
  <si>
    <t>204:682</t>
  </si>
  <si>
    <t>300:58698</t>
  </si>
  <si>
    <t>204:979</t>
  </si>
  <si>
    <t>204:526</t>
  </si>
  <si>
    <t>204:232908</t>
  </si>
  <si>
    <t>204:233205</t>
  </si>
  <si>
    <t>204:232884</t>
  </si>
  <si>
    <t>300:29733</t>
  </si>
  <si>
    <t>300:58994</t>
  </si>
  <si>
    <t>300:58677</t>
  </si>
  <si>
    <t>300:28782</t>
  </si>
  <si>
    <t>204:233224</t>
  </si>
  <si>
    <t>204:233217</t>
  </si>
  <si>
    <t>204:322</t>
  </si>
  <si>
    <t>204:233174</t>
  </si>
  <si>
    <t>204:232851</t>
  </si>
  <si>
    <t>204:280</t>
  </si>
  <si>
    <t>204:232885</t>
  </si>
  <si>
    <t>204:559</t>
  </si>
  <si>
    <t>204:232915</t>
  </si>
  <si>
    <t>204:617</t>
  </si>
  <si>
    <t>204:890</t>
  </si>
  <si>
    <t>204:553</t>
  </si>
  <si>
    <t>204:232906</t>
  </si>
  <si>
    <t>204:601</t>
  </si>
  <si>
    <t>204:232863</t>
  </si>
  <si>
    <t>204:1766</t>
  </si>
  <si>
    <t>204:233321</t>
  </si>
  <si>
    <t>204:232994</t>
  </si>
  <si>
    <t>204:269</t>
  </si>
  <si>
    <t>204:232867</t>
  </si>
  <si>
    <t>204:327</t>
  </si>
  <si>
    <t>204:223</t>
  </si>
  <si>
    <t>204:557</t>
  </si>
  <si>
    <t>204:233286</t>
  </si>
  <si>
    <t>204:628</t>
  </si>
  <si>
    <t>204:342</t>
  </si>
  <si>
    <t>204:232986</t>
  </si>
  <si>
    <t>204:260</t>
  </si>
  <si>
    <t>204:233195</t>
  </si>
  <si>
    <t>204:344</t>
  </si>
  <si>
    <t>204:258</t>
  </si>
  <si>
    <t>204:233208</t>
  </si>
  <si>
    <t>204:570</t>
  </si>
  <si>
    <t>204:233312</t>
  </si>
  <si>
    <t>204:232993</t>
  </si>
  <si>
    <t>204:265</t>
  </si>
  <si>
    <t>204:648</t>
  </si>
  <si>
    <t>300:19716</t>
  </si>
  <si>
    <t>204:132</t>
  </si>
  <si>
    <t>300:22259</t>
  </si>
  <si>
    <t>204:4539</t>
  </si>
  <si>
    <t>300:23464</t>
  </si>
  <si>
    <t>300:23724</t>
  </si>
  <si>
    <t>300:23299</t>
  </si>
  <si>
    <t>300:25440</t>
  </si>
  <si>
    <t>300:23606</t>
  </si>
  <si>
    <t>204:4502</t>
  </si>
  <si>
    <t>300:23474</t>
  </si>
  <si>
    <t>204:1162</t>
  </si>
  <si>
    <t>204:460</t>
  </si>
  <si>
    <t>204:3540</t>
  </si>
  <si>
    <t>204:1498</t>
  </si>
  <si>
    <t>204:3495</t>
  </si>
  <si>
    <t>204:3214</t>
  </si>
  <si>
    <t>204:3215</t>
  </si>
  <si>
    <t>204:1477</t>
  </si>
  <si>
    <t>204:4125</t>
  </si>
  <si>
    <t>204:3205</t>
  </si>
  <si>
    <t>204:1148</t>
  </si>
  <si>
    <t>204:3542</t>
  </si>
  <si>
    <t>204:107641</t>
  </si>
  <si>
    <t>204:128277</t>
  </si>
  <si>
    <t>300:23413</t>
  </si>
  <si>
    <t>204:1183</t>
  </si>
  <si>
    <t>204:107831</t>
  </si>
  <si>
    <t>204:108089</t>
  </si>
  <si>
    <t>204:1484</t>
  </si>
  <si>
    <t>204:107376</t>
  </si>
  <si>
    <t>204:1471</t>
  </si>
  <si>
    <t>300:23285</t>
  </si>
  <si>
    <t>204:898</t>
  </si>
  <si>
    <t>204:1207</t>
  </si>
  <si>
    <t>300:5546</t>
  </si>
  <si>
    <t>204:1145</t>
  </si>
  <si>
    <t>300:23297</t>
  </si>
  <si>
    <t>300:23582</t>
  </si>
  <si>
    <t>204:232970</t>
  </si>
  <si>
    <t>204:189848</t>
  </si>
  <si>
    <t>204:232996</t>
  </si>
  <si>
    <t>204:189941</t>
  </si>
  <si>
    <t>204:190239</t>
  </si>
  <si>
    <t>204:190296</t>
  </si>
  <si>
    <t>204:190154</t>
  </si>
  <si>
    <t>start /low /b %USERPROFILE%\Documents\GitHub\eaglep3\Utilities\DownloadLogsFromS3.py --loco 4044 --day 2017-10-28</t>
  </si>
  <si>
    <t>start /low /b %USERPROFILE%\Documents\GitHub\eaglep3\Utilities\DownloadLogsFromS3.py --loco 4010 --day 2017-10-28</t>
  </si>
  <si>
    <t>start /low /b %USERPROFILE%\Documents\GitHub\eaglep3\Utilities\DownloadLogsFromS3.py --loco 4054 --day 2017-10-28</t>
  </si>
  <si>
    <t>start /low /b %USERPROFILE%\Documents\GitHub\eaglep3\Utilities\DownloadLogsFromS3.py --loco 4032 --day 2017-10-28</t>
  </si>
  <si>
    <t>start /low /b %USERPROFILE%\Documents\GitHub\eaglep3\Utilities\DownloadLogsFromS3.py --loco 4063 --day 2017-10-28</t>
  </si>
  <si>
    <t>start /low /b %USERPROFILE%\Documents\GitHub\eaglep3\Utilities\DownloadLogsFromS3.py --loco 4024 --day 2017-10-29</t>
  </si>
  <si>
    <t>start /low /b %USERPROFILE%\Documents\GitHub\eaglep3\Utilities\DownloadLogsFromS3.py --loco 4059 --day 2017-10-28</t>
  </si>
  <si>
    <t>start /low /b %USERPROFILE%\Documents\GitHub\eaglep3\Utilities\DownloadLogsFromS3.py --loco 4060 --day 2017-10-28</t>
  </si>
  <si>
    <t>start /low /b %USERPROFILE%\Documents\GitHub\eaglep3\Utilities\DownloadLogsFromS3.py --loco 4004 --day 2017-10-29</t>
  </si>
  <si>
    <t>start /low /b %USERPROFILE%\Documents\GitHub\eaglep3\Utilities\DownloadLogsFromS3.py --loco 4023 --day 2017-10-29</t>
  </si>
  <si>
    <t>start /low /b %USERPROFILE%\Documents\GitHub\eaglep3\Utilities\DownloadLogsFromS3.py --loco 4003 --day 2017-10-28</t>
  </si>
  <si>
    <t>start /low /b %USERPROFILE%\Documents\GitHub\eaglep3\Utilities\DownloadLogsFromS3.py --loco 4041 --day 2017-10-28</t>
  </si>
  <si>
    <t>start /low /b %USERPROFILE%\Documents\GitHub\eaglep3\Utilities\DownloadLogsFromS3.py --loco 4031 --day 2017-10-29</t>
  </si>
  <si>
    <t>start /low /b %USERPROFILE%\Documents\GitHub\eaglep3\Utilities\DownloadLogsFromS3.py --loco 4053 --day 2017-10-28</t>
  </si>
  <si>
    <t>Master controller issue</t>
  </si>
  <si>
    <t>Cancelled</t>
  </si>
  <si>
    <t>Delayed by door issues</t>
  </si>
  <si>
    <t>Cascade delay from 110</t>
  </si>
  <si>
    <t>Onboard in-route failure</t>
  </si>
  <si>
    <t>Went active too close to signal</t>
  </si>
  <si>
    <t>Early Arrival, no unhealthy banner found</t>
  </si>
  <si>
    <t>Observed brief Wi-MAX data drop</t>
  </si>
  <si>
    <t>Notch was @ position 4</t>
  </si>
  <si>
    <t>Unhealthy at Chambers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</si>
</sst>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27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43036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43036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145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COUNTIFS($N$13:$N$9470,"&gt;0",$AG$13:$AG$9470,I1)</f>
        <v>143</v>
      </c>
      <c r="K5" s="39"/>
      <c r="L5" s="172"/>
      <c r="M5" s="40">
        <f>AVERAGEIFS($N$13:$N$9470,$AG$13:$AG$9470,I1)</f>
        <v>38.030536130609619</v>
      </c>
      <c r="N5" s="38">
        <f t="array" ref="N5">MIN(IF($AG$13:$AG$9470=I1,IF(ISNUMBER($N$13:$N$9470),IF($N$13:$N$9470&gt;0,$N$13:$N$9470))))</f>
        <v>34.499999997206032</v>
      </c>
      <c r="O5" s="3">
        <f t="array" ref="O5">MAX(IF($AG$13:$AG$9470=I1,IF(ISNUMBER($N$13:$N$9470),IF($N$13:$N$9470&gt;0,$N$13:$N$9470))))</f>
        <v>56.916666665347293</v>
      </c>
      <c r="P5" s="2"/>
      <c r="R5" s="163" t="s">
        <v>17</v>
      </c>
      <c r="S5" s="207">
        <f>COUNTIFS($N$13:$N$9470,"&gt;0",$AG$13:$AG$9470,R1)</f>
        <v>35</v>
      </c>
      <c r="T5" s="172"/>
      <c r="U5" s="195"/>
      <c r="V5" s="211">
        <f>AVERAGEIFS($N$13:$N$9470,$AG$13:$AG$9470,R1)</f>
        <v>14.600000000592056</v>
      </c>
      <c r="W5" s="212">
        <f t="array" ref="W5">MIN(IF($AG$13:$AG$9470=R1,IF(ISNUMBER($N$13:$N$9470),IF($N$13:$N$9470&gt;0,$N$13:$N$9470))))</f>
        <v>12.716666663764045</v>
      </c>
      <c r="X5" s="200">
        <f t="array" ref="X5">MAX(IF($AG$13:$AG$9470=R1,IF(ISNUMBER($N$13:$N$9470),IF($N$13:$N$9470&gt;0,$N$13:$N$9470))))</f>
        <v>24.566666667815298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COUNT($O$13:$O$228)</f>
        <v>0</v>
      </c>
      <c r="K6" s="39"/>
      <c r="L6" s="172"/>
      <c r="M6" s="40">
        <f>IFERROR(AVERAGE($O$13:$O$228),0)</f>
        <v>0</v>
      </c>
      <c r="N6" s="38">
        <f>MIN($O$13:$O$228)</f>
        <v>0</v>
      </c>
      <c r="O6" s="3">
        <f>MAX($O$13:$O$228)</f>
        <v>0</v>
      </c>
      <c r="P6" s="2"/>
      <c r="R6" s="164" t="s">
        <v>43</v>
      </c>
      <c r="S6" s="207">
        <f>COUNT($O$13:$O$228)</f>
        <v>0</v>
      </c>
      <c r="T6" s="172"/>
      <c r="U6" s="195"/>
      <c r="V6" s="211">
        <f>IFERROR(AVERAGE($O$13:$O$228),0)</f>
        <v>0</v>
      </c>
      <c r="W6" s="212">
        <f>MIN($O$13:$O$228)</f>
        <v>0</v>
      </c>
      <c r="X6" s="200">
        <f>MAX($O$13:$O$228)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COUNTIFS($P$13:$P$9470,"&gt;0",$AG$13:$AG$9470,I1)</f>
        <v>2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COUNTIFS($P$13:$P$9470,"&gt;0",$AG$13:$AG$9470,R1)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38.030536130609619</v>
      </c>
      <c r="N8" s="38">
        <f>N5</f>
        <v>34.499999997206032</v>
      </c>
      <c r="O8" s="3">
        <f>O5</f>
        <v>56.916666665347293</v>
      </c>
      <c r="P8" s="2"/>
      <c r="R8" s="163" t="s">
        <v>16</v>
      </c>
      <c r="S8" s="207">
        <f>S5</f>
        <v>35</v>
      </c>
      <c r="T8" s="172"/>
      <c r="U8" s="195"/>
      <c r="V8" s="211">
        <f>V5</f>
        <v>14.600000000592056</v>
      </c>
      <c r="W8" s="212">
        <f>W5</f>
        <v>12.716666663764045</v>
      </c>
      <c r="X8" s="200">
        <f>X5</f>
        <v>24.566666667815298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0.98620689655172411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0.97222222222222221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- 2017-10-28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AVERAGE(S13:S116)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364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654</v>
      </c>
      <c r="B13" s="7">
        <v>4060</v>
      </c>
      <c r="C13" s="21" t="s">
        <v>194</v>
      </c>
      <c r="D13" s="21" t="s">
        <v>880</v>
      </c>
      <c r="E13" s="13">
        <v>43036.128530092596</v>
      </c>
      <c r="F13" s="13">
        <v>43036.135636574072</v>
      </c>
      <c r="G13" s="7">
        <v>68</v>
      </c>
      <c r="H13" s="21" t="s">
        <v>517</v>
      </c>
      <c r="I13" s="13">
        <v>43036.160509259258</v>
      </c>
      <c r="J13" s="7">
        <v>0</v>
      </c>
      <c r="K13" s="89" t="str">
        <f t="shared" ref="K13:K76" si="0">IF(ISEVEN(B13),(B13-1)&amp;"/"&amp;B13,B13&amp;"/"&amp;(B13+1))</f>
        <v>4059/4060</v>
      </c>
      <c r="L13" s="185" t="str">
        <f>VLOOKUP(A13,'Trips&amp;Operators'!$C$1:$G$99911,5,FALSE)</f>
        <v>THOMPSON LESTER</v>
      </c>
      <c r="M13" s="6">
        <f t="shared" ref="M13:M76" si="1">I13-F13</f>
        <v>2.4872685185982846E-2</v>
      </c>
      <c r="N13" s="7">
        <f>24*60*SUM($M13:$M13)</f>
        <v>35.816666667815298</v>
      </c>
      <c r="O13" s="7"/>
      <c r="P13" s="7"/>
      <c r="Q13" s="22"/>
      <c r="R13" s="167"/>
      <c r="S13" s="221">
        <f t="shared" ref="S13:S44" si="2">1/IF(AG13="EC",12,1)*SUM(U13:U13)</f>
        <v>1</v>
      </c>
      <c r="T13" s="174" t="str">
        <f t="shared" ref="T13:T76" si="3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-28T02:05:05-0600',mode:absolute,to:'2017-10-28T04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4" t="str">
        <f>IF(AA13&lt;VLOOKUP(AG13,Variables!$AC$3:$AD$8,2,FALSE),"Y","N")</f>
        <v>N</v>
      </c>
      <c r="X13" s="204" t="e">
        <f t="shared" ref="X13:X35" si="5">VALUE(LEFT(AD13,4))-VALUE(LEFT(AD12,4))</f>
        <v>#VALUE!</v>
      </c>
      <c r="Y13" s="204">
        <f t="shared" ref="Y13:Y44" si="6">RIGHT(D13,LEN(D13)-4)/10000</f>
        <v>7.7399999999999997E-2</v>
      </c>
      <c r="Z13" s="204">
        <f t="shared" ref="Z13:Z44" si="7">RIGHT(H13,LEN(H13)-4)/10000</f>
        <v>23.3291</v>
      </c>
      <c r="AA13" s="204">
        <f t="shared" ref="AA13:AA76" si="8">ABS(Z13-Y13)</f>
        <v>23.2517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"%USERPROFILE%\AppData\Local\Temp\OnboardLogs"\RTDC4060\2017-10-28 --exclude "*" --recursive --include "*20171028*" &amp; "%USERPROFILE%\Documents\GitHub\mrs-test-scripts\Headless Mode &amp; Sideloading\WalkAndUnGZ.bat" "%USERPROFILE%\AppData\Local\Temp\OnboardLogs"\RTDC4060\2017-10-28 &amp; 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/stypes="app*4060*20171028*"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4060 --swversion DE.1.0.9.0 --startMP 204:774 --initTime 2017-10-28T03:05:05 --startdatetime 2017-10-28T03:15:19 --delay 68 --endMP 204:233291 --enddatetime 2017-10-28T03:51:08 --enforcementcount 0 &gt;&gt;%USERPROFILE%\Documents\GitHub\eaglep3-reporting\EC\2017-10-28-refined-times.txt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{"issue":{"subject":"","project_id":79,"tracker_id":40,"status_id":1,"priority_id":2,"assigned_to_id":338,"start_date":"2017-10-28","description":"","custom_fields":[{"id":1,"name":"Subdivision","value":"EC"},{"id":4,"name":"Milepost","value":"23.3291"},{"id":17,"name":"Train ID","value":"101-28"},{"id":16,"name":"Locomotive ID","value":"4060"},{"id":130,"name":"Impact","value":""},{"id":150,"name":"Time of Event (Mountain Time)","value":"03:51:08"},{"id":151,"name":"Denver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4060 --day 2017-10-28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09:51:08"},{"id":29,"name":"Sharepoint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7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-28T02:05:05-0600',mode:absolute,to:'2017-10-28T04:51:08-0600'))&amp;_a=(columns:!('Message%20ID',Summary),filters:!(),index:'emp_*',interval:auto,query:(query_string:(analyze_wildcard:!t,query:'%22rtdc.l.rtdc.4060%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616</v>
      </c>
      <c r="B14" s="7">
        <v>4059</v>
      </c>
      <c r="C14" s="21" t="s">
        <v>194</v>
      </c>
      <c r="D14" s="21" t="s">
        <v>483</v>
      </c>
      <c r="E14" s="13">
        <v>43036.172523148147</v>
      </c>
      <c r="F14" s="13">
        <v>43036.175254629627</v>
      </c>
      <c r="G14" s="7">
        <v>67</v>
      </c>
      <c r="H14" s="21" t="s">
        <v>352</v>
      </c>
      <c r="I14" s="13">
        <v>43036.203865740739</v>
      </c>
      <c r="J14" s="7">
        <v>0</v>
      </c>
      <c r="K14" s="89" t="str">
        <f t="shared" si="0"/>
        <v>4059/4060</v>
      </c>
      <c r="L14" s="185" t="str">
        <f>VLOOKUP(A14,'Trips&amp;Operators'!$C$1:$G$99911,5,FALSE)</f>
        <v>THOMPSON LESTER</v>
      </c>
      <c r="M14" s="6">
        <f t="shared" si="1"/>
        <v>2.8611111112695653E-2</v>
      </c>
      <c r="N14" s="7">
        <f>24*60*SUM($M14:$M14)</f>
        <v>41.20000000228174</v>
      </c>
      <c r="O14" s="7"/>
      <c r="P14" s="7"/>
      <c r="Q14" s="22"/>
      <c r="R14" s="174"/>
      <c r="S14" s="221">
        <f t="shared" si="2"/>
        <v>1</v>
      </c>
      <c r="T14" s="174" t="str">
        <f t="shared" si="3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4"/>
        <v>https://d0f6bd738d7f1b3e5a7ca70fe4ff75f0.us-east-1.aws.found.io/app/kibana#/discover/Steve-Slow-Train-Analysis-(2080s-and-2083s)?_g=(refreshInterval:(display:Off,pause:!f,section:0,value:0),time:(from:'2017-10-28T03:08:26-0600',mode:absolute,to:'2017-10-28T05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" s="204" t="str">
        <f>IF(AA14&lt;VLOOKUP(AG14,Variables!$AC$3:$AD$8,2,FALSE),"Y","N")</f>
        <v>N</v>
      </c>
      <c r="X14" s="204">
        <f t="shared" si="5"/>
        <v>1</v>
      </c>
      <c r="Y14" s="204">
        <f t="shared" si="6"/>
        <v>23.297699999999999</v>
      </c>
      <c r="Z14" s="204">
        <f t="shared" si="7"/>
        <v>1.4500000000000001E-2</v>
      </c>
      <c r="AA14" s="204">
        <f t="shared" si="8"/>
        <v>23.283199999999997</v>
      </c>
      <c r="AB14" s="54" t="str">
        <f>VLOOKUP(A14,Enforcements!$C$7:$K$11,8,0)</f>
        <v>Speed (6)</v>
      </c>
      <c r="AC14" s="51" t="str">
        <f>VLOOKUP(A14,Enforcements!$C$7:$E$11,3,0)</f>
        <v>PERMANENT SPEED RESTRICTION</v>
      </c>
      <c r="AD14" s="179">
        <f t="shared" si="9"/>
        <v>102</v>
      </c>
      <c r="AE14" s="77" t="str">
        <f t="shared" si="10"/>
        <v>aws s3 cp s3://rtdc.mdm.uploadarchive.raw/RTDC4059/ "%USERPROFILE%\AppData\Local\Temp\OnboardLogs"\RTDC4059\2017-10-28 --exclude "*" --recursive --include "*20171028*" &amp; "%USERPROFILE%\Documents\GitHub\mrs-test-scripts\Headless Mode &amp; Sideloading\WalkAndUnGZ.bat" "%USERPROFILE%\AppData\Local\Temp\OnboardLogs"\RTDC4059\2017-10-28 &amp; 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</v>
      </c>
      <c r="AF14" s="74" t="str">
        <f t="shared" si="11"/>
        <v>"C:\Program Files (x86)\AstroGrep\AstroGrep.exe" /e /r /s /spath="%USERPROFILE%\AppData\Local\Temp\OnboardLogs" /stypes="app*4059*20171028*" /stext=" 10:.+((SYSTEM_STATE.+slice.+state.+changed )|(ment ac)|(multiple cpu faults)|(system.+state.+changed )|(\[timeout)|(PRM\|1\|D)|(kpr)|(kdp)|(train st.+moving)|(\|lc)|(penalty))"</v>
      </c>
      <c r="AG14" s="182" t="str">
        <f t="shared" si="12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4059 --swversion DE.1.0.9.0 --startMP 204:232977 --initTime 2017-10-28T04:08:26 --startdatetime 2017-10-28T04:12:22 --delay 67 --endMP 204:145 --enddatetime 2017-10-28T04:53:34 --enforcementcount 0 &gt;&gt;%USERPROFILE%\Documents\GitHub\eaglep3-reporting\EC\2017-10-28-refined-times.txt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{"issue":{"subject":"","project_id":79,"tracker_id":40,"status_id":1,"priority_id":2,"assigned_to_id":338,"start_date":"2017-10-28","description":"","custom_fields":[{"id":1,"name":"Subdivision","value":"EC"},{"id":4,"name":"Milepost","value":"0.0145"},{"id":17,"name":"Train ID","value":"102-28"},{"id":16,"name":"Locomotive ID","value":"4059"},{"id":130,"name":"Impact","value":""},{"id":150,"name":"Time of Event (Mountain Time)","value":"04:53:34"},{"id":151,"name":"Denver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4059 --day 2017-10-28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10:53:34"},{"id":29,"name":"Sharepoint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-28T03:08:26-0600',mode:absolute,to:'2017-10-28T05:53:34-0600'))&amp;_a=(columns:!('Message%20ID',Summary),filters:!(),index:'emp_*',interval:auto,query:(query_string:(analyze_wildcard:!t,query:'%22rtdc.l.rtdc.4059%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658</v>
      </c>
      <c r="B15" s="7">
        <v>4024</v>
      </c>
      <c r="C15" s="21" t="s">
        <v>194</v>
      </c>
      <c r="D15" s="21" t="s">
        <v>380</v>
      </c>
      <c r="E15" s="13">
        <v>43036.147766203707</v>
      </c>
      <c r="F15" s="13">
        <v>43036.156435185185</v>
      </c>
      <c r="G15" s="7">
        <v>65</v>
      </c>
      <c r="H15" s="21" t="s">
        <v>493</v>
      </c>
      <c r="I15" s="13">
        <v>43036.180648148147</v>
      </c>
      <c r="J15" s="7">
        <v>0</v>
      </c>
      <c r="K15" s="89" t="str">
        <f t="shared" si="0"/>
        <v>4023/4024</v>
      </c>
      <c r="L15" s="185" t="str">
        <f>VLOOKUP(A15,'Trips&amp;Operators'!$C$1:$G$99911,5,FALSE)</f>
        <v>MAELZER KURT</v>
      </c>
      <c r="M15" s="6">
        <f t="shared" si="1"/>
        <v>2.421296296233777E-2</v>
      </c>
      <c r="N15" s="7">
        <f>24*60*SUM($M15:$M15)</f>
        <v>34.866666665766388</v>
      </c>
      <c r="O15" s="7"/>
      <c r="P15" s="7"/>
      <c r="Q15" s="22"/>
      <c r="R15" s="174"/>
      <c r="S15" s="221">
        <f t="shared" si="2"/>
        <v>1</v>
      </c>
      <c r="T15" s="174" t="str">
        <f t="shared" si="3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4"/>
        <v>https://d0f6bd738d7f1b3e5a7ca70fe4ff75f0.us-east-1.aws.found.io/app/kibana#/discover/Steve-Slow-Train-Analysis-(2080s-and-2083s)?_g=(refreshInterval:(display:Off,pause:!f,section:0,value:0),time:(from:'2017-10-28T02:32:47-0600',mode:absolute,to:'2017-10-28T05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" s="204" t="str">
        <f>IF(AA15&lt;VLOOKUP(AG15,Variables!$AC$3:$AD$8,2,FALSE),"Y","N")</f>
        <v>N</v>
      </c>
      <c r="X15" s="204">
        <f t="shared" si="5"/>
        <v>1</v>
      </c>
      <c r="Y15" s="204">
        <f t="shared" si="6"/>
        <v>4.3999999999999997E-2</v>
      </c>
      <c r="Z15" s="204">
        <f t="shared" si="7"/>
        <v>23.329899999999999</v>
      </c>
      <c r="AA15" s="204">
        <f t="shared" si="8"/>
        <v>23.285899999999998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9"/>
        <v>103</v>
      </c>
      <c r="AE15" s="77" t="str">
        <f t="shared" si="10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15" s="74" t="str">
        <f t="shared" si="11"/>
        <v>"C:\Program Files (x86)\AstroGrep\AstroGrep.exe" /e /r /s /spath="%USERPROFILE%\AppData\Local\Temp\OnboardLogs" /stypes="app*4024*20171028*" /stext=" 10:.+((SYSTEM_STATE.+slice.+state.+changed )|(ment ac)|(multiple cpu faults)|(system.+state.+changed )|(\[timeout)|(PRM\|1\|D)|(kpr)|(kdp)|(train st.+moving)|(\|lc)|(penalty))"</v>
      </c>
      <c r="AG15" s="182" t="str">
        <f t="shared" si="12"/>
        <v>EC</v>
      </c>
      <c r="AH15" s="78" t="str">
        <f t="shared" si="18"/>
        <v>"%USERPROFILE%\Documents\GitHub\eaglep3\Utilities\RefineRTDCRunTimes.py" --tripid 103-28 --locoid 4024 --swversion DE.1.0.9.0 --startMP 204:440 --initTime 2017-10-28T03:32:47 --startdatetime 2017-10-28T03:45:16 --delay 65 --endMP 204:233299 --enddatetime 2017-10-28T04:20:08 --enforcementcount 0 &gt;&gt;%USERPROFILE%\Documents\GitHub\eaglep3-reporting\EC\2017-10-28-refined-times.txt</v>
      </c>
      <c r="AI15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{"issue":{"subject":"","project_id":79,"tracker_id":40,"status_id":1,"priority_id":2,"assigned_to_id":338,"start_date":"2017-10-28","description":"","custom_fields":[{"id":1,"name":"Subdivision","value":"EC"},{"id":4,"name":"Milepost","value":"23.3299"},{"id":17,"name":"Train ID","value":"103-28"},{"id":16,"name":"Locomotive ID","value":"4024"},{"id":130,"name":"Impact","value":""},{"id":150,"name":"Time of Event (Mountain Time)","value":"04:20:08"},{"id":151,"name":"Denver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4024 --day 2017-10-28</v>
      </c>
      <c r="AN15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10:20:08"},{"id":29,"name":"Sharepoint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2"/>
        <v>https://d0f6bd738d7f1b3e5a7ca70fe4ff75f0.us-east-1.aws.found.io/app/kibana#/discover/Steve-Slow-Train-Analysis-(2080s-and-2083s)?_g=(refreshInterval:(display:Off,pause:!f,section:0,value:0),time:(from:'2017-10-28T02:32:47-0600',mode:absolute,to:'2017-10-28T05:20:08-0600'))&amp;_a=(columns:!('Message%20ID',Summary),filters:!(),index:'emp_*',interval:auto,query:(query_string:(analyze_wildcard:!t,query:'%22rtdc.l.rtdc.4024%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666</v>
      </c>
      <c r="B16" s="7">
        <v>4023</v>
      </c>
      <c r="C16" s="21" t="s">
        <v>194</v>
      </c>
      <c r="D16" s="21" t="s">
        <v>881</v>
      </c>
      <c r="E16" s="13">
        <v>43036.186203703706</v>
      </c>
      <c r="F16" s="13">
        <v>43036.196018518516</v>
      </c>
      <c r="G16" s="7">
        <v>50</v>
      </c>
      <c r="H16" s="21" t="s">
        <v>882</v>
      </c>
      <c r="I16" s="13">
        <v>43036.226550925923</v>
      </c>
      <c r="J16" s="7">
        <v>0</v>
      </c>
      <c r="K16" s="89" t="str">
        <f t="shared" si="0"/>
        <v>4023/4024</v>
      </c>
      <c r="L16" s="185" t="str">
        <f>VLOOKUP(A16,'Trips&amp;Operators'!$C$1:$G$99911,5,FALSE)</f>
        <v>MAELZER KURT</v>
      </c>
      <c r="M16" s="6">
        <f t="shared" si="1"/>
        <v>3.0532407407008577E-2</v>
      </c>
      <c r="N16" s="7">
        <f>24*60*SUM($M16:$M16)</f>
        <v>43.966666666092351</v>
      </c>
      <c r="O16" s="7"/>
      <c r="P16" s="7"/>
      <c r="Q16" s="22"/>
      <c r="R16" s="174"/>
      <c r="S16" s="221">
        <f t="shared" si="2"/>
        <v>1</v>
      </c>
      <c r="T16" s="174" t="str">
        <f t="shared" si="3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4"/>
        <v>https://d0f6bd738d7f1b3e5a7ca70fe4ff75f0.us-east-1.aws.found.io/app/kibana#/discover/Steve-Slow-Train-Analysis-(2080s-and-2083s)?_g=(refreshInterval:(display:Off,pause:!f,section:0,value:0),time:(from:'2017-10-28T03:28:08-0600',mode:absolute,to:'2017-10-28T06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204" t="str">
        <f>IF(AA16&lt;VLOOKUP(AG16,Variables!$AC$3:$AD$8,2,FALSE),"Y","N")</f>
        <v>N</v>
      </c>
      <c r="X16" s="204">
        <f t="shared" si="5"/>
        <v>1</v>
      </c>
      <c r="Y16" s="204">
        <f t="shared" si="6"/>
        <v>23.297499999999999</v>
      </c>
      <c r="Z16" s="204">
        <f t="shared" si="7"/>
        <v>1.83E-2</v>
      </c>
      <c r="AA16" s="204">
        <f t="shared" si="8"/>
        <v>23.279199999999999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9"/>
        <v>104</v>
      </c>
      <c r="AE16" s="77" t="str">
        <f t="shared" si="10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16" s="74" t="str">
        <f t="shared" si="11"/>
        <v>"C:\Program Files (x86)\AstroGrep\AstroGrep.exe" /e /r /s /spath="%USERPROFILE%\AppData\Local\Temp\OnboardLogs" /stypes="app*4023*20171028*" /stext=" 11:.+((SYSTEM_STATE.+slice.+state.+changed )|(ment ac)|(multiple cpu faults)|(system.+state.+changed )|(\[timeout)|(PRM\|1\|D)|(kpr)|(kdp)|(train st.+moving)|(\|lc)|(penalty))"</v>
      </c>
      <c r="AG16" s="182" t="str">
        <f t="shared" si="12"/>
        <v>EC</v>
      </c>
      <c r="AH16" s="78" t="str">
        <f t="shared" si="18"/>
        <v>"%USERPROFILE%\Documents\GitHub\eaglep3\Utilities\RefineRTDCRunTimes.py" --tripid 104-28 --locoid 4023 --swversion DE.1.0.9.0 --startMP 204:232975 --initTime 2017-10-28T04:28:08 --startdatetime 2017-10-28T04:42:16 --delay 50 --endMP 204:183 --enddatetime 2017-10-28T05:26:14 --enforcementcount 0 &gt;&gt;%USERPROFILE%\Documents\GitHub\eaglep3-reporting\EC\2017-10-28-refined-times.txt</v>
      </c>
      <c r="AI16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{"issue":{"subject":"","project_id":79,"tracker_id":40,"status_id":1,"priority_id":2,"assigned_to_id":338,"start_date":"2017-10-28","description":"","custom_fields":[{"id":1,"name":"Subdivision","value":"EC"},{"id":4,"name":"Milepost","value":"0.0183"},{"id":17,"name":"Train ID","value":"104-28"},{"id":16,"name":"Locomotive ID","value":"4023"},{"id":130,"name":"Impact","value":""},{"id":150,"name":"Time of Event (Mountain Time)","value":"05:26:14"},{"id":151,"name":"Denver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4023 --day 2017-10-28</v>
      </c>
      <c r="AN16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2"/>
        <v>https://d0f6bd738d7f1b3e5a7ca70fe4ff75f0.us-east-1.aws.found.io/app/kibana#/discover/Steve-Slow-Train-Analysis-(2080s-and-2083s)?_g=(refreshInterval:(display:Off,pause:!f,section:0,value:0),time:(from:'2017-10-28T03:28:08-0600',mode:absolute,to:'2017-10-28T06:26:14-0600'))&amp;_a=(columns:!('Message%20ID',Summary),filters:!(),index:'emp_*',interval:auto,query:(query_string:(analyze_wildcard:!t,query:'%22rtdc.l.rtdc.4023%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615</v>
      </c>
      <c r="B17" s="7">
        <v>4044</v>
      </c>
      <c r="C17" s="21" t="s">
        <v>194</v>
      </c>
      <c r="D17" s="21" t="s">
        <v>562</v>
      </c>
      <c r="E17" s="13">
        <v>43036.171631944446</v>
      </c>
      <c r="F17" s="13">
        <v>43036.177256944444</v>
      </c>
      <c r="G17" s="7">
        <v>99</v>
      </c>
      <c r="H17" s="21" t="s">
        <v>883</v>
      </c>
      <c r="I17" s="13">
        <v>43036.195706018516</v>
      </c>
      <c r="J17" s="7">
        <v>0</v>
      </c>
      <c r="K17" s="89" t="str">
        <f t="shared" si="0"/>
        <v>4043/4044</v>
      </c>
      <c r="L17" s="185" t="str">
        <f>VLOOKUP(A17,'Trips&amp;Operators'!$C$1:$G$99911,5,FALSE)</f>
        <v>DAVIS WENDY</v>
      </c>
      <c r="M17" s="6">
        <f t="shared" si="1"/>
        <v>1.844907407212304E-2</v>
      </c>
      <c r="N17" s="7"/>
      <c r="O17" s="7"/>
      <c r="P17" s="7">
        <f>24*60*SUM($M17:$M17)</f>
        <v>26.566666663857177</v>
      </c>
      <c r="Q17" s="22"/>
      <c r="R17" s="174" t="s">
        <v>1105</v>
      </c>
      <c r="S17" s="221">
        <f t="shared" si="2"/>
        <v>1</v>
      </c>
      <c r="T17" s="174" t="str">
        <f t="shared" si="3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4"/>
        <v>https://d0f6bd738d7f1b3e5a7ca70fe4ff75f0.us-east-1.aws.found.io/app/kibana#/discover/Steve-Slow-Train-Analysis-(2080s-and-2083s)?_g=(refreshInterval:(display:Off,pause:!f,section:0,value:0),time:(from:'2017-10-28T03:07:09-0600',mode:absolute,to:'2017-10-28T05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204" t="str">
        <f>IF(AA17&lt;VLOOKUP(AG17,Variables!$AC$3:$AD$8,2,FALSE),"Y","N")</f>
        <v>Y</v>
      </c>
      <c r="X17" s="204">
        <f t="shared" si="5"/>
        <v>1</v>
      </c>
      <c r="Y17" s="204">
        <f t="shared" si="6"/>
        <v>4.5100000000000001E-2</v>
      </c>
      <c r="Z17" s="204">
        <f t="shared" si="7"/>
        <v>12.8268</v>
      </c>
      <c r="AA17" s="204">
        <f t="shared" si="8"/>
        <v>12.781700000000001</v>
      </c>
      <c r="AB17" s="54" t="str">
        <f>VLOOKUP(A17,Enforcements!$C$7:$K$11,8,0)</f>
        <v>Bulletin (2)</v>
      </c>
      <c r="AC17" s="51" t="str">
        <f>VLOOKUP(A17,Enforcements!$C$7:$E$11,3,0)</f>
        <v>GRADE CROSSING</v>
      </c>
      <c r="AD17" s="179">
        <f t="shared" si="9"/>
        <v>105</v>
      </c>
      <c r="AE17" s="77" t="str">
        <f t="shared" si="10"/>
        <v>aws s3 cp s3://rtdc.mdm.uploadarchive.raw/RTDC4044/ "%USERPROFILE%\AppData\Local\Temp\OnboardLogs"\RTDC4044\2017-10-28 --exclude "*" --recursive --include "*20171028*" &amp; "%USERPROFILE%\Documents\GitHub\mrs-test-scripts\Headless Mode &amp; Sideloading\WalkAndUnGZ.bat" "%USERPROFILE%\AppData\Local\Temp\OnboardLogs"\RTDC4044\2017-10-28 &amp; aws s3 cp s3://rtdc.mdm.uploadarchive.raw/RTDC4044/ "%USERPROFILE%\AppData\Local\Temp\OnboardLogs"\RTDC4044\2017-10-29 --exclude "*" --recursive --include "*20171029*" &amp; "%USERPROFILE%\Documents\GitHub\mrs-test-scripts\Headless Mode &amp; Sideloading\WalkAndUnGZ.bat" "%USERPROFILE%\AppData\Local\Temp\OnboardLogs"\RTDC4044\2017-10-29</v>
      </c>
      <c r="AF17" s="74" t="str">
        <f t="shared" si="11"/>
        <v>"C:\Program Files (x86)\AstroGrep\AstroGrep.exe" /e /r /s /spath="%USERPROFILE%\AppData\Local\Temp\OnboardLogs" /stypes="app*4044*20171028*" /stext=" 10:.+((SYSTEM_STATE.+slice.+state.+changed )|(ment ac)|(multiple cpu faults)|(system.+state.+changed )|(\[timeout)|(PRM\|1\|D)|(kpr)|(kdp)|(train st.+moving)|(\|lc)|(penalty))"</v>
      </c>
      <c r="AG17" s="182" t="str">
        <f t="shared" si="12"/>
        <v>EC</v>
      </c>
      <c r="AH17" s="78" t="str">
        <f t="shared" si="18"/>
        <v>"%USERPROFILE%\Documents\GitHub\eaglep3\Utilities\RefineRTDCRunTimes.py" --tripid 105-28 --locoid 4044 --swversion DE.1.0.9.0 --startMP 204:451 --initTime 2017-10-28T04:07:09 --startdatetime 2017-10-28T04:15:15 --delay 99 --endMP 204:128268 --enddatetime 2017-10-28T04:41:49 --enforcementcount 0 &gt;&gt;%USERPROFILE%\Documents\GitHub\eaglep3-reporting\EC\2017-10-28-refined-times.txt</v>
      </c>
      <c r="AI17" s="96" t="str">
        <f t="shared" si="19"/>
        <v>echo {"issue":{"subject":"Master controller issue","project_id":79,"tracker_id":40,"status_id":1,"priority_id":2,"assigned_to_id":338,"start_date":"2017-10-28","description":"","custom_fields":[{"id":1,"name":"Subdivision","value":"EC"},{"id":4,"name":"Milepost","value":"12.8268"},{"id":17,"name":"Train ID","value":"105-28"},{"id":16,"name":"Locomotive ID","value":"4044"},{"id":130,"name":"Impact","value":""},{"id":150,"name":"Time of Event (Mountain Time)","value":"04:41:49"},{"id":151,"name":"Denver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4044 --day 2017-10-28</v>
      </c>
      <c r="AN17" s="151" t="str">
        <f t="shared" si="21"/>
        <v>echo {"issue":{"subject":"Master controller issue","project_id":30,"tracker_id":4,"status_id":1,"priority_id":1,"assigned_to_id":10,"start_date":"2017-10-28","description":"","custom_fields":[{"id":30,"name":"Category","value":"Issue"},{"id":3,"name":"Functional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10:41:49"},{"id":29,"name":"Sharepoint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2"/>
        <v>https://d0f6bd738d7f1b3e5a7ca70fe4ff75f0.us-east-1.aws.found.io/app/kibana#/discover/Steve-Slow-Train-Analysis-(2080s-and-2083s)?_g=(refreshInterval:(display:Off,pause:!f,section:0,value:0),time:(from:'2017-10-28T03:07:09-0600',mode:absolute,to:'2017-10-28T05:41:49-0600'))&amp;_a=(columns:!('Message%20ID',Summary),filters:!(),index:'emp_*',interval:auto,query:(query_string:(analyze_wildcard:!t,query:'%22rtdc.l.rtdc.4044%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667</v>
      </c>
      <c r="B18" s="7">
        <v>4004</v>
      </c>
      <c r="C18" s="21" t="s">
        <v>194</v>
      </c>
      <c r="D18" s="21" t="s">
        <v>884</v>
      </c>
      <c r="E18" s="13">
        <v>43036.186249999999</v>
      </c>
      <c r="F18" s="13">
        <v>43036.188171296293</v>
      </c>
      <c r="G18" s="7">
        <v>58</v>
      </c>
      <c r="H18" s="21" t="s">
        <v>885</v>
      </c>
      <c r="I18" s="13">
        <v>43036.22146990741</v>
      </c>
      <c r="J18" s="7">
        <v>0</v>
      </c>
      <c r="K18" s="89" t="str">
        <f t="shared" si="0"/>
        <v>4003/4004</v>
      </c>
      <c r="L18" s="185" t="str">
        <f>VLOOKUP(A18,'Trips&amp;Operators'!$C$1:$G$99911,5,FALSE)</f>
        <v>PAGE MARCUS</v>
      </c>
      <c r="M18" s="6">
        <f t="shared" si="1"/>
        <v>3.3298611117061228E-2</v>
      </c>
      <c r="N18" s="7">
        <f t="shared" ref="N18:N49" si="23">24*60*SUM($M18:$M18)</f>
        <v>47.950000008568168</v>
      </c>
      <c r="O18" s="7"/>
      <c r="P18" s="7"/>
      <c r="Q18" s="22"/>
      <c r="R18" s="174"/>
      <c r="S18" s="221">
        <f t="shared" si="2"/>
        <v>1</v>
      </c>
      <c r="T18" s="174" t="str">
        <f t="shared" si="3"/>
        <v>NorthBound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4"/>
        <v>https://d0f6bd738d7f1b3e5a7ca70fe4ff75f0.us-east-1.aws.found.io/app/kibana#/discover/Steve-Slow-Train-Analysis-(2080s-and-2083s)?_g=(refreshInterval:(display:Off,pause:!f,section:0,value:0),time:(from:'2017-10-28T03:28:12-0600',mode:absolute,to:'2017-10-28T06:18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" s="204" t="str">
        <f>IF(AA18&lt;VLOOKUP(AG18,Variables!$AC$3:$AD$8,2,FALSE),"Y","N")</f>
        <v>N</v>
      </c>
      <c r="X18" s="204">
        <f t="shared" si="5"/>
        <v>2</v>
      </c>
      <c r="Y18" s="204">
        <f t="shared" si="6"/>
        <v>4.8000000000000001E-2</v>
      </c>
      <c r="Z18" s="204">
        <f t="shared" si="7"/>
        <v>23.3307</v>
      </c>
      <c r="AA18" s="204">
        <f t="shared" si="8"/>
        <v>23.282700000000002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9"/>
        <v>107</v>
      </c>
      <c r="AE18" s="77" t="str">
        <f t="shared" si="10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18" s="74" t="str">
        <f t="shared" si="11"/>
        <v>"C:\Program Files (x86)\AstroGrep\AstroGrep.exe" /e /r /s /spath="%USERPROFILE%\AppData\Local\Temp\OnboardLogs" /stypes="app*4004*20171028*" /stext=" 11:.+((SYSTEM_STATE.+slice.+state.+changed )|(ment ac)|(multiple cpu faults)|(system.+state.+changed )|(\[timeout)|(PRM\|1\|D)|(kpr)|(kdp)|(train st.+moving)|(\|lc)|(penalty))"</v>
      </c>
      <c r="AG18" s="182" t="str">
        <f t="shared" si="12"/>
        <v>EC</v>
      </c>
      <c r="AH18" s="78" t="str">
        <f t="shared" si="18"/>
        <v>"%USERPROFILE%\Documents\GitHub\eaglep3\Utilities\RefineRTDCRunTimes.py" --tripid 107-28 --locoid 4004 --swversion DE.1.0.9.0 --startMP 204:480 --initTime 2017-10-28T04:28:12 --startdatetime 2017-10-28T04:30:58 --delay 58 --endMP 204:233307 --enddatetime 2017-10-28T05:18:55 --enforcementcount 0 &gt;&gt;%USERPROFILE%\Documents\GitHub\eaglep3-reporting\EC\2017-10-28-refined-times.txt</v>
      </c>
      <c r="AI18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{"issue":{"subject":"","project_id":79,"tracker_id":40,"status_id":1,"priority_id":2,"assigned_to_id":338,"start_date":"2017-10-28","description":"","custom_fields":[{"id":1,"name":"Subdivision","value":"EC"},{"id":4,"name":"Milepost","value":"23.3307"},{"id":17,"name":"Train ID","value":"107-28"},{"id":16,"name":"Locomotive ID","value":"4004"},{"id":130,"name":"Impact","value":""},{"id":150,"name":"Time of Event (Mountain Time)","value":"05:18:55"},{"id":151,"name":"Denver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4004 --day 2017-10-28</v>
      </c>
      <c r="AN18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11:18:55"},{"id":29,"name":"Sharepoint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2"/>
        <v>https://d0f6bd738d7f1b3e5a7ca70fe4ff75f0.us-east-1.aws.found.io/app/kibana#/discover/Steve-Slow-Train-Analysis-(2080s-and-2083s)?_g=(refreshInterval:(display:Off,pause:!f,section:0,value:0),time:(from:'2017-10-28T03:28:12-0600',mode:absolute,to:'2017-10-28T06:18:55-0600'))&amp;_a=(columns:!('Message%20ID',Summary),filters:!(),index:'emp_*',interval:auto,query:(query_string:(analyze_wildcard:!t,query:'%22rtdc.l.rtdc.4004%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679</v>
      </c>
      <c r="B19" s="7">
        <v>4003</v>
      </c>
      <c r="C19" s="21" t="s">
        <v>194</v>
      </c>
      <c r="D19" s="21" t="s">
        <v>559</v>
      </c>
      <c r="E19" s="13">
        <v>43036.225277777776</v>
      </c>
      <c r="F19" s="13">
        <v>43036.227256944447</v>
      </c>
      <c r="G19" s="7">
        <v>56</v>
      </c>
      <c r="H19" s="21" t="s">
        <v>358</v>
      </c>
      <c r="I19" s="13">
        <v>43036.255358796298</v>
      </c>
      <c r="J19" s="7">
        <v>0</v>
      </c>
      <c r="K19" s="89" t="str">
        <f t="shared" si="0"/>
        <v>4003/4004</v>
      </c>
      <c r="L19" s="185" t="str">
        <f>VLOOKUP(A19,'Trips&amp;Operators'!$C$1:$G$99911,5,FALSE)</f>
        <v>PAGE MARCUS</v>
      </c>
      <c r="M19" s="6">
        <f t="shared" si="1"/>
        <v>2.810185185080627E-2</v>
      </c>
      <c r="N19" s="7">
        <f t="shared" si="23"/>
        <v>40.466666665161029</v>
      </c>
      <c r="O19" s="7"/>
      <c r="P19" s="7"/>
      <c r="Q19" s="22"/>
      <c r="R19" s="174"/>
      <c r="S19" s="221">
        <f t="shared" si="2"/>
        <v>1</v>
      </c>
      <c r="T19" s="174" t="str">
        <f t="shared" si="3"/>
        <v>Southbound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4"/>
        <v>https://d0f6bd738d7f1b3e5a7ca70fe4ff75f0.us-east-1.aws.found.io/app/kibana#/discover/Steve-Slow-Train-Analysis-(2080s-and-2083s)?_g=(refreshInterval:(display:Off,pause:!f,section:0,value:0),time:(from:'2017-10-28T04:24:24-0600',mode:absolute,to:'2017-10-28T07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" s="204" t="str">
        <f>IF(AA19&lt;VLOOKUP(AG19,Variables!$AC$3:$AD$8,2,FALSE),"Y","N")</f>
        <v>N</v>
      </c>
      <c r="X19" s="204">
        <f t="shared" si="5"/>
        <v>1</v>
      </c>
      <c r="Y19" s="204">
        <f t="shared" si="6"/>
        <v>23.297799999999999</v>
      </c>
      <c r="Z19" s="204">
        <f t="shared" si="7"/>
        <v>1.54E-2</v>
      </c>
      <c r="AA19" s="204">
        <f t="shared" si="8"/>
        <v>23.282399999999999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9"/>
        <v>108</v>
      </c>
      <c r="AE19" s="77" t="str">
        <f t="shared" si="10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19" s="74" t="str">
        <f t="shared" si="11"/>
        <v>"C:\Program Files (x86)\AstroGrep\AstroGrep.exe" /e /r /s /spath="%USERPROFILE%\AppData\Local\Temp\OnboardLogs" /stypes="app*4003*20171028*" /stext=" 12:.+((SYSTEM_STATE.+slice.+state.+changed )|(ment ac)|(multiple cpu faults)|(system.+state.+changed )|(\[timeout)|(PRM\|1\|D)|(kpr)|(kdp)|(train st.+moving)|(\|lc)|(penalty))"</v>
      </c>
      <c r="AG19" s="182" t="str">
        <f t="shared" si="12"/>
        <v>EC</v>
      </c>
      <c r="AH19" s="78" t="str">
        <f t="shared" si="18"/>
        <v>"%USERPROFILE%\Documents\GitHub\eaglep3\Utilities\RefineRTDCRunTimes.py" --tripid 108-28 --locoid 4003 --swversion DE.1.0.9.0 --startMP 204:232978 --initTime 2017-10-28T05:24:24 --startdatetime 2017-10-28T05:27:15 --delay 56 --endMP 204:154 --enddatetime 2017-10-28T06:07:43 --enforcementcount 0 &gt;&gt;%USERPROFILE%\Documents\GitHub\eaglep3-reporting\EC\2017-10-28-refined-times.txt</v>
      </c>
      <c r="AI19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{"issue":{"subject":"","project_id":79,"tracker_id":40,"status_id":1,"priority_id":2,"assigned_to_id":338,"start_date":"2017-10-28","description":"","custom_fields":[{"id":1,"name":"Subdivision","value":"EC"},{"id":4,"name":"Milepost","value":"0.0154"},{"id":17,"name":"Train ID","value":"108-28"},{"id":16,"name":"Locomotive ID","value":"4003"},{"id":130,"name":"Impact","value":""},{"id":150,"name":"Time of Event (Mountain Time)","value":"06:07:43"},{"id":151,"name":"Denver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4003 --day 2017-10-28</v>
      </c>
      <c r="AN19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2"/>
        <v>https://d0f6bd738d7f1b3e5a7ca70fe4ff75f0.us-east-1.aws.found.io/app/kibana#/discover/Steve-Slow-Train-Analysis-(2080s-and-2083s)?_g=(refreshInterval:(display:Off,pause:!f,section:0,value:0),time:(from:'2017-10-28T04:24:24-0600',mode:absolute,to:'2017-10-28T07:07:43-0600'))&amp;_a=(columns:!('Message%20ID',Summary),filters:!(),index:'emp_*',interval:auto,query:(query_string:(analyze_wildcard:!t,query:'%22rtdc.l.rtdc.4003%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669</v>
      </c>
      <c r="B20" s="7">
        <v>4062</v>
      </c>
      <c r="C20" s="21" t="s">
        <v>194</v>
      </c>
      <c r="D20" s="21" t="s">
        <v>886</v>
      </c>
      <c r="E20" s="13">
        <v>43036.189398148148</v>
      </c>
      <c r="F20" s="13">
        <v>43036.198125000003</v>
      </c>
      <c r="G20" s="7">
        <v>88</v>
      </c>
      <c r="H20" s="21" t="s">
        <v>479</v>
      </c>
      <c r="I20" s="13">
        <v>43036.225127314814</v>
      </c>
      <c r="J20" s="7">
        <v>0</v>
      </c>
      <c r="K20" s="89" t="str">
        <f t="shared" si="0"/>
        <v>4061/4062</v>
      </c>
      <c r="L20" s="185" t="str">
        <f>VLOOKUP(A20,'Trips&amp;Operators'!$C$1:$G$99911,5,FALSE)</f>
        <v>BARRON PERLA</v>
      </c>
      <c r="M20" s="6">
        <f t="shared" si="1"/>
        <v>2.700231481139781E-2</v>
      </c>
      <c r="N20" s="7">
        <f t="shared" si="23"/>
        <v>38.883333328412846</v>
      </c>
      <c r="O20" s="7"/>
      <c r="P20" s="7"/>
      <c r="Q20" s="22"/>
      <c r="R20" s="174"/>
      <c r="S20" s="221">
        <f t="shared" si="2"/>
        <v>1</v>
      </c>
      <c r="T20" s="174" t="str">
        <f t="shared" si="3"/>
        <v>NorthBound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4"/>
        <v>https://d0f6bd738d7f1b3e5a7ca70fe4ff75f0.us-east-1.aws.found.io/app/kibana#/discover/Steve-Slow-Train-Analysis-(2080s-and-2083s)?_g=(refreshInterval:(display:Off,pause:!f,section:0,value:0),time:(from:'2017-10-28T03:32:44-0600',mode:absolute,to:'2017-10-28T06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" s="204" t="str">
        <f>IF(AA20&lt;VLOOKUP(AG20,Variables!$AC$3:$AD$8,2,FALSE),"Y","N")</f>
        <v>N</v>
      </c>
      <c r="X20" s="204">
        <f t="shared" si="5"/>
        <v>1</v>
      </c>
      <c r="Y20" s="204">
        <f t="shared" si="6"/>
        <v>4.6699999999999998E-2</v>
      </c>
      <c r="Z20" s="204">
        <f t="shared" si="7"/>
        <v>23.328900000000001</v>
      </c>
      <c r="AA20" s="204">
        <f t="shared" si="8"/>
        <v>23.2822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9"/>
        <v>109</v>
      </c>
      <c r="AE20" s="77" t="str">
        <f t="shared" si="10"/>
        <v>aws s3 cp s3://rtdc.mdm.uploadarchive.raw/RTDC4062/ "%USERPROFILE%\AppData\Local\Temp\OnboardLogs"\RTDC4062\2017-10-28 --exclude "*" --recursive --include "*20171028*" &amp; "%USERPROFILE%\Documents\GitHub\mrs-test-scripts\Headless Mode &amp; Sideloading\WalkAndUnGZ.bat" "%USERPROFILE%\AppData\Local\Temp\OnboardLogs"\RTDC4062\2017-10-28 &amp; 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</v>
      </c>
      <c r="AF20" s="74" t="str">
        <f t="shared" si="11"/>
        <v>"C:\Program Files (x86)\AstroGrep\AstroGrep.exe" /e /r /s /spath="%USERPROFILE%\AppData\Local\Temp\OnboardLogs" /stypes="app*4062*20171028*" /stext=" 11:.+((SYSTEM_STATE.+slice.+state.+changed )|(ment ac)|(multiple cpu faults)|(system.+state.+changed )|(\[timeout)|(PRM\|1\|D)|(kpr)|(kdp)|(train st.+moving)|(\|lc)|(penalty))"</v>
      </c>
      <c r="AG20" s="182" t="str">
        <f t="shared" si="12"/>
        <v>EC</v>
      </c>
      <c r="AH20" s="78" t="str">
        <f t="shared" si="18"/>
        <v>"%USERPROFILE%\Documents\GitHub\eaglep3\Utilities\RefineRTDCRunTimes.py" --tripid 109-28 --locoid 4062 --swversion DE.1.0.9.0 --startMP 204:467 --initTime 2017-10-28T04:32:44 --startdatetime 2017-10-28T04:45:18 --delay 88 --endMP 204:233289 --enddatetime 2017-10-28T05:24:11 --enforcementcount 0 &gt;&gt;%USERPROFILE%\Documents\GitHub\eaglep3-reporting\EC\2017-10-28-refined-times.txt</v>
      </c>
      <c r="AI20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{"issue":{"subject":"","project_id":79,"tracker_id":40,"status_id":1,"priority_id":2,"assigned_to_id":338,"start_date":"2017-10-28","description":"","custom_fields":[{"id":1,"name":"Subdivision","value":"EC"},{"id":4,"name":"Milepost","value":"23.3289"},{"id":17,"name":"Train ID","value":"109-28"},{"id":16,"name":"Locomotive ID","value":"4062"},{"id":130,"name":"Impact","value":""},{"id":150,"name":"Time of Event (Mountain Time)","value":"05:24:11"},{"id":151,"name":"Denver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4062 --day 2017-10-28</v>
      </c>
      <c r="AN20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2"/>
        <v>https://d0f6bd738d7f1b3e5a7ca70fe4ff75f0.us-east-1.aws.found.io/app/kibana#/discover/Steve-Slow-Train-Analysis-(2080s-and-2083s)?_g=(refreshInterval:(display:Off,pause:!f,section:0,value:0),time:(from:'2017-10-28T03:32:44-0600',mode:absolute,to:'2017-10-28T06:24:11-0600'))&amp;_a=(columns:!('Message%20ID',Summary),filters:!(),index:'emp_*',interval:auto,query:(query_string:(analyze_wildcard:!t,query:'%22rtdc.l.rtdc.4062%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681</v>
      </c>
      <c r="B21" s="7">
        <v>4061</v>
      </c>
      <c r="C21" s="21" t="s">
        <v>194</v>
      </c>
      <c r="D21" s="21" t="s">
        <v>579</v>
      </c>
      <c r="E21" s="13">
        <v>43036.227592592593</v>
      </c>
      <c r="F21" s="13">
        <v>43036.237673611111</v>
      </c>
      <c r="G21" s="7">
        <v>76</v>
      </c>
      <c r="H21" s="21" t="s">
        <v>887</v>
      </c>
      <c r="I21" s="13">
        <v>43036.277199074073</v>
      </c>
      <c r="J21" s="7">
        <v>0</v>
      </c>
      <c r="K21" s="89" t="str">
        <f t="shared" si="0"/>
        <v>4061/4062</v>
      </c>
      <c r="L21" s="185" t="str">
        <f>VLOOKUP(A21,'Trips&amp;Operators'!$C$1:$G$99911,5,FALSE)</f>
        <v>BARRON PERLA</v>
      </c>
      <c r="M21" s="6">
        <f t="shared" si="1"/>
        <v>3.9525462962046731E-2</v>
      </c>
      <c r="N21" s="7">
        <f t="shared" si="23"/>
        <v>56.916666665347293</v>
      </c>
      <c r="O21" s="7"/>
      <c r="P21" s="7"/>
      <c r="Q21" s="22"/>
      <c r="R21" s="174" t="s">
        <v>1107</v>
      </c>
      <c r="S21" s="221">
        <f t="shared" si="2"/>
        <v>1</v>
      </c>
      <c r="T21" s="174" t="str">
        <f t="shared" si="3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4"/>
        <v>https://d0f6bd738d7f1b3e5a7ca70fe4ff75f0.us-east-1.aws.found.io/app/kibana#/discover/Steve-Slow-Train-Analysis-(2080s-and-2083s)?_g=(refreshInterval:(display:Off,pause:!f,section:0,value:0),time:(from:'2017-10-28T04:27:44-0600',mode:absolute,to:'2017-10-28T07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" s="204" t="str">
        <f>IF(AA21&lt;VLOOKUP(AG21,Variables!$AC$3:$AD$8,2,FALSE),"Y","N")</f>
        <v>N</v>
      </c>
      <c r="X21" s="204">
        <f t="shared" si="5"/>
        <v>1</v>
      </c>
      <c r="Y21" s="204">
        <f t="shared" si="6"/>
        <v>23.296800000000001</v>
      </c>
      <c r="Z21" s="204">
        <f t="shared" si="7"/>
        <v>0.2964</v>
      </c>
      <c r="AA21" s="204">
        <f t="shared" si="8"/>
        <v>23.000400000000003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9"/>
        <v>110</v>
      </c>
      <c r="AE21" s="77" t="str">
        <f t="shared" si="10"/>
        <v>aws s3 cp s3://rtdc.mdm.uploadarchive.raw/RTDC4061/ "%USERPROFILE%\AppData\Local\Temp\OnboardLogs"\RTDC4061\2017-10-28 --exclude "*" --recursive --include "*20171028*" &amp; "%USERPROFILE%\Documents\GitHub\mrs-test-scripts\Headless Mode &amp; Sideloading\WalkAndUnGZ.bat" "%USERPROFILE%\AppData\Local\Temp\OnboardLogs"\RTDC4061\2017-10-28 &amp; 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</v>
      </c>
      <c r="AF21" s="74" t="str">
        <f t="shared" si="11"/>
        <v>"C:\Program Files (x86)\AstroGrep\AstroGrep.exe" /e /r /s /spath="%USERPROFILE%\AppData\Local\Temp\OnboardLogs" /stypes="app*4061*20171028*" /stext=" 12:.+((SYSTEM_STATE.+slice.+state.+changed )|(ment ac)|(multiple cpu faults)|(system.+state.+changed )|(\[timeout)|(PRM\|1\|D)|(kpr)|(kdp)|(train st.+moving)|(\|lc)|(penalty))"</v>
      </c>
      <c r="AG21" s="182" t="str">
        <f t="shared" si="12"/>
        <v>EC</v>
      </c>
      <c r="AH21" s="78" t="str">
        <f t="shared" si="18"/>
        <v>"%USERPROFILE%\Documents\GitHub\eaglep3\Utilities\RefineRTDCRunTimes.py" --tripid 110-28 --locoid 4061 --swversion DE.1.0.9.0 --startMP 204:232968 --initTime 2017-10-28T05:27:44 --startdatetime 2017-10-28T05:42:15 --delay 76 --endMP 204:2964 --enddatetime 2017-10-28T06:39:10 --enforcementcount 0 &gt;&gt;%USERPROFILE%\Documents\GitHub\eaglep3-reporting\EC\2017-10-28-refined-times.txt</v>
      </c>
      <c r="AI21" s="96" t="str">
        <f t="shared" si="19"/>
        <v>echo {"issue":{"subject":"Delayed by door issues","project_id":79,"tracker_id":40,"status_id":1,"priority_id":2,"assigned_to_id":338,"start_date":"2017-10-28","description":"","custom_fields":[{"id":1,"name":"Subdivision","value":"EC"},{"id":4,"name":"Milepost","value":"0.2964"},{"id":17,"name":"Train ID","value":"110-28"},{"id":16,"name":"Locomotive ID","value":"4061"},{"id":130,"name":"Impact","value":""},{"id":150,"name":"Time of Event (Mountain Time)","value":"06:39:10"},{"id":151,"name":"Denver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4061 --day 2017-10-28</v>
      </c>
      <c r="AN21" s="151" t="str">
        <f t="shared" si="21"/>
        <v>echo {"issue":{"subject":"Delayed by door issues","project_id":30,"tracker_id":4,"status_id":1,"priority_id":1,"assigned_to_id":10,"start_date":"2017-10-28","description":"","custom_fields":[{"id":30,"name":"Category","value":"Issue"},{"id":3,"name":"Functional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2"/>
        <v>https://d0f6bd738d7f1b3e5a7ca70fe4ff75f0.us-east-1.aws.found.io/app/kibana#/discover/Steve-Slow-Train-Analysis-(2080s-and-2083s)?_g=(refreshInterval:(display:Off,pause:!f,section:0,value:0),time:(from:'2017-10-28T04:27:44-0600',mode:absolute,to:'2017-10-28T07:39:10-0600'))&amp;_a=(columns:!('Message%20ID',Summary),filters:!(),index:'emp_*',interval:auto,query:(query_string:(analyze_wildcard:!t,query:'%22rtdc.l.rtdc.4061%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620</v>
      </c>
      <c r="B22" s="7">
        <v>4060</v>
      </c>
      <c r="C22" s="21" t="s">
        <v>194</v>
      </c>
      <c r="D22" s="21" t="s">
        <v>562</v>
      </c>
      <c r="E22" s="13">
        <v>43036.206064814818</v>
      </c>
      <c r="F22" s="13">
        <v>43036.208634259259</v>
      </c>
      <c r="G22" s="7">
        <v>50</v>
      </c>
      <c r="H22" s="21" t="s">
        <v>888</v>
      </c>
      <c r="I22" s="13">
        <v>43036.235069444447</v>
      </c>
      <c r="J22" s="7">
        <v>0</v>
      </c>
      <c r="K22" s="89" t="str">
        <f t="shared" si="0"/>
        <v>4059/4060</v>
      </c>
      <c r="L22" s="185" t="str">
        <f>VLOOKUP(A22,'Trips&amp;Operators'!$C$1:$G$99911,5,FALSE)</f>
        <v>THOMPSON LESTER</v>
      </c>
      <c r="M22" s="6">
        <f t="shared" si="1"/>
        <v>2.6435185187438037E-2</v>
      </c>
      <c r="N22" s="7">
        <f t="shared" si="23"/>
        <v>38.066666669910774</v>
      </c>
      <c r="O22" s="7"/>
      <c r="P22" s="7"/>
      <c r="Q22" s="22"/>
      <c r="R22" s="174"/>
      <c r="S22" s="221">
        <f t="shared" si="2"/>
        <v>1</v>
      </c>
      <c r="T22" s="174" t="str">
        <f t="shared" si="3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4"/>
        <v>https://d0f6bd738d7f1b3e5a7ca70fe4ff75f0.us-east-1.aws.found.io/app/kibana#/discover/Steve-Slow-Train-Analysis-(2080s-and-2083s)?_g=(refreshInterval:(display:Off,pause:!f,section:0,value:0),time:(from:'2017-10-28T03:56:44-0600',mode:absolute,to:'2017-10-28T06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" s="204" t="str">
        <f>IF(AA22&lt;VLOOKUP(AG22,Variables!$AC$3:$AD$8,2,FALSE),"Y","N")</f>
        <v>N</v>
      </c>
      <c r="X22" s="204">
        <f t="shared" si="5"/>
        <v>1</v>
      </c>
      <c r="Y22" s="204">
        <f t="shared" si="6"/>
        <v>4.5100000000000001E-2</v>
      </c>
      <c r="Z22" s="204">
        <f t="shared" si="7"/>
        <v>23.328399999999998</v>
      </c>
      <c r="AA22" s="204">
        <f t="shared" si="8"/>
        <v>23.283299999999997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9"/>
        <v>111</v>
      </c>
      <c r="AE22" s="77" t="str">
        <f t="shared" si="10"/>
        <v>aws s3 cp s3://rtdc.mdm.uploadarchive.raw/RTDC4060/ "%USERPROFILE%\AppData\Local\Temp\OnboardLogs"\RTDC4060\2017-10-28 --exclude "*" --recursive --include "*20171028*" &amp; "%USERPROFILE%\Documents\GitHub\mrs-test-scripts\Headless Mode &amp; Sideloading\WalkAndUnGZ.bat" "%USERPROFILE%\AppData\Local\Temp\OnboardLogs"\RTDC4060\2017-10-28 &amp; 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</v>
      </c>
      <c r="AF22" s="74" t="str">
        <f t="shared" si="11"/>
        <v>"C:\Program Files (x86)\AstroGrep\AstroGrep.exe" /e /r /s /spath="%USERPROFILE%\AppData\Local\Temp\OnboardLogs" /stypes="app*4060*20171028*" /stext=" 11:.+((SYSTEM_STATE.+slice.+state.+changed )|(ment ac)|(multiple cpu faults)|(system.+state.+changed )|(\[timeout)|(PRM\|1\|D)|(kpr)|(kdp)|(train st.+moving)|(\|lc)|(penalty))"</v>
      </c>
      <c r="AG22" s="182" t="str">
        <f t="shared" si="12"/>
        <v>EC</v>
      </c>
      <c r="AH22" s="78" t="str">
        <f t="shared" si="18"/>
        <v>"%USERPROFILE%\Documents\GitHub\eaglep3\Utilities\RefineRTDCRunTimes.py" --tripid 111-28 --locoid 4060 --swversion DE.1.0.9.0 --startMP 204:451 --initTime 2017-10-28T04:56:44 --startdatetime 2017-10-28T05:00:26 --delay 50 --endMP 204:233284 --enddatetime 2017-10-28T05:38:30 --enforcementcount 0 &gt;&gt;%USERPROFILE%\Documents\GitHub\eaglep3-reporting\EC\2017-10-28-refined-times.txt</v>
      </c>
      <c r="AI22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{"issue":{"subject":"","project_id":79,"tracker_id":40,"status_id":1,"priority_id":2,"assigned_to_id":338,"start_date":"2017-10-28","description":"","custom_fields":[{"id":1,"name":"Subdivision","value":"EC"},{"id":4,"name":"Milepost","value":"23.3284"},{"id":17,"name":"Train ID","value":"111-28"},{"id":16,"name":"Locomotive ID","value":"4060"},{"id":130,"name":"Impact","value":""},{"id":150,"name":"Time of Event (Mountain Time)","value":"05:38:30"},{"id":151,"name":"Denver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4060 --day 2017-10-28</v>
      </c>
      <c r="AN22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2"/>
        <v>https://d0f6bd738d7f1b3e5a7ca70fe4ff75f0.us-east-1.aws.found.io/app/kibana#/discover/Steve-Slow-Train-Analysis-(2080s-and-2083s)?_g=(refreshInterval:(display:Off,pause:!f,section:0,value:0),time:(from:'2017-10-28T03:56:44-0600',mode:absolute,to:'2017-10-28T06:38:30-0600'))&amp;_a=(columns:!('Message%20ID',Summary),filters:!(),index:'emp_*',interval:auto,query:(query_string:(analyze_wildcard:!t,query:'%22rtdc.l.rtdc.4060%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691</v>
      </c>
      <c r="B23" s="7">
        <v>4059</v>
      </c>
      <c r="C23" s="21" t="s">
        <v>194</v>
      </c>
      <c r="D23" s="21" t="s">
        <v>495</v>
      </c>
      <c r="E23" s="13">
        <v>43036.245671296296</v>
      </c>
      <c r="F23" s="13">
        <v>43036.248368055552</v>
      </c>
      <c r="G23" s="7">
        <v>51</v>
      </c>
      <c r="H23" s="21" t="s">
        <v>889</v>
      </c>
      <c r="I23" s="13">
        <v>43036.286793981482</v>
      </c>
      <c r="J23" s="7">
        <v>0</v>
      </c>
      <c r="K23" s="89" t="str">
        <f t="shared" si="0"/>
        <v>4059/4060</v>
      </c>
      <c r="L23" s="185" t="str">
        <f>VLOOKUP(A23,'Trips&amp;Operators'!$C$1:$G$99911,5,FALSE)</f>
        <v>THOMPSON LESTER</v>
      </c>
      <c r="M23" s="6">
        <f t="shared" si="1"/>
        <v>3.8425925929914229E-2</v>
      </c>
      <c r="N23" s="7">
        <f t="shared" si="23"/>
        <v>55.333333339076489</v>
      </c>
      <c r="O23" s="7"/>
      <c r="P23" s="7"/>
      <c r="Q23" s="22"/>
      <c r="R23" s="174" t="s">
        <v>1108</v>
      </c>
      <c r="S23" s="221">
        <f t="shared" si="2"/>
        <v>1</v>
      </c>
      <c r="T23" s="174" t="str">
        <f t="shared" si="3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4"/>
        <v>https://d0f6bd738d7f1b3e5a7ca70fe4ff75f0.us-east-1.aws.found.io/app/kibana#/discover/Steve-Slow-Train-Analysis-(2080s-and-2083s)?_g=(refreshInterval:(display:Off,pause:!f,section:0,value:0),time:(from:'2017-10-28T04:53:46-0600',mode:absolute,to:'2017-10-28T07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" s="204" t="str">
        <f>IF(AA23&lt;VLOOKUP(AG23,Variables!$AC$3:$AD$8,2,FALSE),"Y","N")</f>
        <v>N</v>
      </c>
      <c r="X23" s="204">
        <f t="shared" si="5"/>
        <v>1</v>
      </c>
      <c r="Y23" s="204">
        <f t="shared" si="6"/>
        <v>23.2973</v>
      </c>
      <c r="Z23" s="204">
        <f t="shared" si="7"/>
        <v>0.1018</v>
      </c>
      <c r="AA23" s="204">
        <f t="shared" si="8"/>
        <v>23.195499999999999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9"/>
        <v>112</v>
      </c>
      <c r="AE23" s="77" t="str">
        <f t="shared" si="10"/>
        <v>aws s3 cp s3://rtdc.mdm.uploadarchive.raw/RTDC4059/ "%USERPROFILE%\AppData\Local\Temp\OnboardLogs"\RTDC4059\2017-10-28 --exclude "*" --recursive --include "*20171028*" &amp; "%USERPROFILE%\Documents\GitHub\mrs-test-scripts\Headless Mode &amp; Sideloading\WalkAndUnGZ.bat" "%USERPROFILE%\AppData\Local\Temp\OnboardLogs"\RTDC4059\2017-10-28 &amp; 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</v>
      </c>
      <c r="AF23" s="74" t="str">
        <f t="shared" si="11"/>
        <v>"C:\Program Files (x86)\AstroGrep\AstroGrep.exe" /e /r /s /spath="%USERPROFILE%\AppData\Local\Temp\OnboardLogs" /stypes="app*4059*20171028*" /stext=" 12:.+((SYSTEM_STATE.+slice.+state.+changed )|(ment ac)|(multiple cpu faults)|(system.+state.+changed )|(\[timeout)|(PRM\|1\|D)|(kpr)|(kdp)|(train st.+moving)|(\|lc)|(penalty))"</v>
      </c>
      <c r="AG23" s="182" t="str">
        <f t="shared" si="12"/>
        <v>EC</v>
      </c>
      <c r="AH23" s="78" t="str">
        <f t="shared" si="18"/>
        <v>"%USERPROFILE%\Documents\GitHub\eaglep3\Utilities\RefineRTDCRunTimes.py" --tripid 112-28 --locoid 4059 --swversion DE.1.0.9.0 --startMP 204:232973 --initTime 2017-10-28T05:53:46 --startdatetime 2017-10-28T05:57:39 --delay 51 --endMP 204:1018 --enddatetime 2017-10-28T06:52:59 --enforcementcount 0 &gt;&gt;%USERPROFILE%\Documents\GitHub\eaglep3-reporting\EC\2017-10-28-refined-times.txt</v>
      </c>
      <c r="AI23" s="96" t="str">
        <f t="shared" si="19"/>
        <v>echo {"issue":{"subject":"Cascade delay from 110","project_id":79,"tracker_id":40,"status_id":1,"priority_id":2,"assigned_to_id":338,"start_date":"2017-10-28","description":"","custom_fields":[{"id":1,"name":"Subdivision","value":"EC"},{"id":4,"name":"Milepost","value":"0.1018"},{"id":17,"name":"Train ID","value":"112-28"},{"id":16,"name":"Locomotive ID","value":"4059"},{"id":130,"name":"Impact","value":""},{"id":150,"name":"Time of Event (Mountain Time)","value":"06:52:59"},{"id":151,"name":"Denver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4059 --day 2017-10-28</v>
      </c>
      <c r="AN23" s="151" t="str">
        <f t="shared" si="21"/>
        <v>echo {"issue":{"subject":"Cascade delay from 110","project_id":30,"tracker_id":4,"status_id":1,"priority_id":1,"assigned_to_id":10,"start_date":"2017-10-28","description":"","custom_fields":[{"id":30,"name":"Category","value":"Issue"},{"id":3,"name":"Functional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2"/>
        <v>https://d0f6bd738d7f1b3e5a7ca70fe4ff75f0.us-east-1.aws.found.io/app/kibana#/discover/Steve-Slow-Train-Analysis-(2080s-and-2083s)?_g=(refreshInterval:(display:Off,pause:!f,section:0,value:0),time:(from:'2017-10-28T04:53:46-0600',mode:absolute,to:'2017-10-28T07:52:59-0600'))&amp;_a=(columns:!('Message%20ID',Summary),filters:!(),index:'emp_*',interval:auto,query:(query_string:(analyze_wildcard:!t,query:'%22rtdc.l.rtdc.4059%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673</v>
      </c>
      <c r="B24" s="7">
        <v>4032</v>
      </c>
      <c r="C24" s="21" t="s">
        <v>194</v>
      </c>
      <c r="D24" s="21" t="s">
        <v>585</v>
      </c>
      <c r="E24" s="13">
        <v>43036.217546296299</v>
      </c>
      <c r="F24" s="13">
        <v>43036.222777777781</v>
      </c>
      <c r="G24" s="7">
        <v>117</v>
      </c>
      <c r="H24" s="21" t="s">
        <v>563</v>
      </c>
      <c r="I24" s="13">
        <v>43036.247974537036</v>
      </c>
      <c r="J24" s="7">
        <v>0</v>
      </c>
      <c r="K24" s="89" t="str">
        <f t="shared" si="0"/>
        <v>4031/4032</v>
      </c>
      <c r="L24" s="185" t="str">
        <f>VLOOKUP(A24,'Trips&amp;Operators'!$C$1:$G$99911,5,FALSE)</f>
        <v>MACDONALD THOMAS</v>
      </c>
      <c r="M24" s="6">
        <f t="shared" si="1"/>
        <v>2.5196759255777579E-2</v>
      </c>
      <c r="N24" s="7">
        <f t="shared" si="23"/>
        <v>36.283333328319713</v>
      </c>
      <c r="O24" s="7"/>
      <c r="P24" s="7"/>
      <c r="Q24" s="22"/>
      <c r="R24" s="174"/>
      <c r="S24" s="221">
        <f t="shared" si="2"/>
        <v>1</v>
      </c>
      <c r="T24" s="174" t="str">
        <f t="shared" si="3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4"/>
        <v>https://d0f6bd738d7f1b3e5a7ca70fe4ff75f0.us-east-1.aws.found.io/app/kibana#/discover/Steve-Slow-Train-Analysis-(2080s-and-2083s)?_g=(refreshInterval:(display:Off,pause:!f,section:0,value:0),time:(from:'2017-10-28T04:13:16-0600',mode:absolute,to:'2017-10-28T06:57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" s="204" t="str">
        <f>IF(AA24&lt;VLOOKUP(AG24,Variables!$AC$3:$AD$8,2,FALSE),"Y","N")</f>
        <v>N</v>
      </c>
      <c r="X24" s="204">
        <f t="shared" si="5"/>
        <v>1</v>
      </c>
      <c r="Y24" s="204">
        <f t="shared" si="6"/>
        <v>5.1999999999999998E-2</v>
      </c>
      <c r="Z24" s="204">
        <f t="shared" si="7"/>
        <v>23.318899999999999</v>
      </c>
      <c r="AA24" s="204">
        <f t="shared" si="8"/>
        <v>23.2669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9"/>
        <v>113</v>
      </c>
      <c r="AE24" s="77" t="str">
        <f t="shared" si="10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24" s="74" t="str">
        <f t="shared" si="11"/>
        <v>"C:\Program Files (x86)\AstroGrep\AstroGrep.exe" /e /r /s /spath="%USERPROFILE%\AppData\Local\Temp\OnboardLogs" /stypes="app*4032*20171028*" /stext=" 11:.+((SYSTEM_STATE.+slice.+state.+changed )|(ment ac)|(multiple cpu faults)|(system.+state.+changed )|(\[timeout)|(PRM\|1\|D)|(kpr)|(kdp)|(train st.+moving)|(\|lc)|(penalty))"</v>
      </c>
      <c r="AG24" s="182" t="str">
        <f t="shared" si="12"/>
        <v>EC</v>
      </c>
      <c r="AH24" s="78" t="str">
        <f t="shared" si="18"/>
        <v>"%USERPROFILE%\Documents\GitHub\eaglep3\Utilities\RefineRTDCRunTimes.py" --tripid 113-28 --locoid 4032 --swversion DE.1.0.9.0 --startMP 204:520 --initTime 2017-10-28T05:13:16 --startdatetime 2017-10-28T05:20:48 --delay 117 --endMP 204:233189 --enddatetime 2017-10-28T05:57:05 --enforcementcount 0 &gt;&gt;%USERPROFILE%\Documents\GitHub\eaglep3-reporting\EC\2017-10-28-refined-times.txt</v>
      </c>
      <c r="AI24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{"issue":{"subject":"","project_id":79,"tracker_id":40,"status_id":1,"priority_id":2,"assigned_to_id":338,"start_date":"2017-10-28","description":"","custom_fields":[{"id":1,"name":"Subdivision","value":"EC"},{"id":4,"name":"Milepost","value":"23.3189"},{"id":17,"name":"Train ID","value":"113-28"},{"id":16,"name":"Locomotive ID","value":"4032"},{"id":130,"name":"Impact","value":""},{"id":150,"name":"Time of Event (Mountain Time)","value":"05:57:05"},{"id":151,"name":"Denver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4032 --day 2017-10-28</v>
      </c>
      <c r="AN24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11:57:05"},{"id":29,"name":"Sharepoint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2"/>
        <v>https://d0f6bd738d7f1b3e5a7ca70fe4ff75f0.us-east-1.aws.found.io/app/kibana#/discover/Steve-Slow-Train-Analysis-(2080s-and-2083s)?_g=(refreshInterval:(display:Off,pause:!f,section:0,value:0),time:(from:'2017-10-28T04:13:16-0600',mode:absolute,to:'2017-10-28T06:57:05-0600'))&amp;_a=(columns:!('Message%20ID',Summary),filters:!(),index:'emp_*',interval:auto,query:(query_string:(analyze_wildcard:!t,query:'%22rtdc.l.rtdc.4032%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693</v>
      </c>
      <c r="B25" s="7">
        <v>4031</v>
      </c>
      <c r="C25" s="21" t="s">
        <v>194</v>
      </c>
      <c r="D25" s="21" t="s">
        <v>570</v>
      </c>
      <c r="E25" s="13">
        <v>43036.256851851853</v>
      </c>
      <c r="F25" s="13">
        <v>43036.258923611109</v>
      </c>
      <c r="G25" s="7">
        <v>70</v>
      </c>
      <c r="H25" s="21" t="s">
        <v>572</v>
      </c>
      <c r="I25" s="13">
        <v>43036.28974537037</v>
      </c>
      <c r="J25" s="7">
        <v>0</v>
      </c>
      <c r="K25" s="89" t="str">
        <f t="shared" si="0"/>
        <v>4031/4032</v>
      </c>
      <c r="L25" s="185" t="str">
        <f>VLOOKUP(A25,'Trips&amp;Operators'!$C$1:$G$99911,5,FALSE)</f>
        <v>MACDONALD THOMAS</v>
      </c>
      <c r="M25" s="6">
        <f t="shared" si="1"/>
        <v>3.0821759261016268E-2</v>
      </c>
      <c r="N25" s="7">
        <f t="shared" si="23"/>
        <v>44.383333335863426</v>
      </c>
      <c r="O25" s="7"/>
      <c r="P25" s="7"/>
      <c r="Q25" s="22"/>
      <c r="R25" s="174"/>
      <c r="S25" s="221">
        <f t="shared" si="2"/>
        <v>1</v>
      </c>
      <c r="T25" s="174" t="str">
        <f t="shared" si="3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4"/>
        <v>https://d0f6bd738d7f1b3e5a7ca70fe4ff75f0.us-east-1.aws.found.io/app/kibana#/discover/Steve-Slow-Train-Analysis-(2080s-and-2083s)?_g=(refreshInterval:(display:Off,pause:!f,section:0,value:0),time:(from:'2017-10-28T05:09:52-0600',mode:absolute,to:'2017-10-28T07:57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5" s="204" t="str">
        <f>IF(AA25&lt;VLOOKUP(AG25,Variables!$AC$3:$AD$8,2,FALSE),"Y","N")</f>
        <v>N</v>
      </c>
      <c r="X25" s="204">
        <f t="shared" si="5"/>
        <v>1</v>
      </c>
      <c r="Y25" s="204">
        <f t="shared" si="6"/>
        <v>23.287199999999999</v>
      </c>
      <c r="Z25" s="204">
        <f t="shared" si="7"/>
        <v>1.7399999999999999E-2</v>
      </c>
      <c r="AA25" s="204">
        <f t="shared" si="8"/>
        <v>23.2698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9"/>
        <v>114</v>
      </c>
      <c r="AE25" s="77" t="str">
        <f t="shared" si="10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25" s="74" t="str">
        <f t="shared" si="11"/>
        <v>"C:\Program Files (x86)\AstroGrep\AstroGrep.exe" /e /r /s /spath="%USERPROFILE%\AppData\Local\Temp\OnboardLogs" /stypes="app*4031*20171028*" /stext=" 12:.+((SYSTEM_STATE.+slice.+state.+changed )|(ment ac)|(multiple cpu faults)|(system.+state.+changed )|(\[timeout)|(PRM\|1\|D)|(kpr)|(kdp)|(train st.+moving)|(\|lc)|(penalty))"</v>
      </c>
      <c r="AG25" s="182" t="str">
        <f t="shared" si="12"/>
        <v>EC</v>
      </c>
      <c r="AH25" s="78" t="str">
        <f t="shared" si="18"/>
        <v>"%USERPROFILE%\Documents\GitHub\eaglep3\Utilities\RefineRTDCRunTimes.py" --tripid 114-28 --locoid 4031 --swversion DE.1.0.9.0 --startMP 204:232872 --initTime 2017-10-28T06:09:52 --startdatetime 2017-10-28T06:12:51 --delay 70 --endMP 204:174 --enddatetime 2017-10-28T06:57:14 --enforcementcount 0 &gt;&gt;%USERPROFILE%\Documents\GitHub\eaglep3-reporting\EC\2017-10-28-refined-times.txt</v>
      </c>
      <c r="AI25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{"issue":{"subject":"","project_id":79,"tracker_id":40,"status_id":1,"priority_id":2,"assigned_to_id":338,"start_date":"2017-10-28","description":"","custom_fields":[{"id":1,"name":"Subdivision","value":"EC"},{"id":4,"name":"Milepost","value":"0.0174"},{"id":17,"name":"Train ID","value":"114-28"},{"id":16,"name":"Locomotive ID","value":"4031"},{"id":130,"name":"Impact","value":""},{"id":150,"name":"Time of Event (Mountain Time)","value":"06:57:14"},{"id":151,"name":"Denver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4031 --day 2017-10-28</v>
      </c>
      <c r="AN25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2"/>
        <v>https://d0f6bd738d7f1b3e5a7ca70fe4ff75f0.us-east-1.aws.found.io/app/kibana#/discover/Steve-Slow-Train-Analysis-(2080s-and-2083s)?_g=(refreshInterval:(display:Off,pause:!f,section:0,value:0),time:(from:'2017-10-28T05:09:52-0600',mode:absolute,to:'2017-10-28T07:57:14-0600'))&amp;_a=(columns:!('Message%20ID',Summary),filters:!(),index:'emp_*',interval:auto,query:(query_string:(analyze_wildcard:!t,query:'%22rtdc.l.rtdc.4031%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680</v>
      </c>
      <c r="B26" s="7">
        <v>4024</v>
      </c>
      <c r="C26" s="21" t="s">
        <v>194</v>
      </c>
      <c r="D26" s="21" t="s">
        <v>890</v>
      </c>
      <c r="E26" s="13">
        <v>43036.227303240739</v>
      </c>
      <c r="F26" s="13">
        <v>43036.229560185187</v>
      </c>
      <c r="G26" s="7">
        <v>64</v>
      </c>
      <c r="H26" s="21" t="s">
        <v>891</v>
      </c>
      <c r="I26" s="13">
        <v>43036.254108796296</v>
      </c>
      <c r="J26" s="7">
        <v>0</v>
      </c>
      <c r="K26" s="89" t="str">
        <f t="shared" si="0"/>
        <v>4023/4024</v>
      </c>
      <c r="L26" s="185" t="str">
        <f>VLOOKUP(A26,'Trips&amp;Operators'!$C$1:$G$99911,5,FALSE)</f>
        <v>MAELZER KURT</v>
      </c>
      <c r="M26" s="6">
        <f t="shared" si="1"/>
        <v>2.4548611108912155E-2</v>
      </c>
      <c r="N26" s="7">
        <f t="shared" si="23"/>
        <v>35.349999996833503</v>
      </c>
      <c r="O26" s="7"/>
      <c r="P26" s="7"/>
      <c r="Q26" s="22"/>
      <c r="R26" s="174"/>
      <c r="S26" s="221">
        <f t="shared" si="2"/>
        <v>1</v>
      </c>
      <c r="T26" s="174" t="str">
        <f t="shared" si="3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4"/>
        <v>https://d0f6bd738d7f1b3e5a7ca70fe4ff75f0.us-east-1.aws.found.io/app/kibana#/discover/Steve-Slow-Train-Analysis-(2080s-and-2083s)?_g=(refreshInterval:(display:Off,pause:!f,section:0,value:0),time:(from:'2017-10-28T04:27:19-0600',mode:absolute,to:'2017-10-28T07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6" s="204" t="str">
        <f>IF(AA26&lt;VLOOKUP(AG26,Variables!$AC$3:$AD$8,2,FALSE),"Y","N")</f>
        <v>N</v>
      </c>
      <c r="X26" s="204">
        <f t="shared" si="5"/>
        <v>1</v>
      </c>
      <c r="Y26" s="204">
        <f t="shared" si="6"/>
        <v>4.6199999999999998E-2</v>
      </c>
      <c r="Z26" s="204">
        <f t="shared" si="7"/>
        <v>23.330300000000001</v>
      </c>
      <c r="AA26" s="204">
        <f t="shared" si="8"/>
        <v>23.284100000000002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9"/>
        <v>115</v>
      </c>
      <c r="AE26" s="77" t="str">
        <f t="shared" si="10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26" s="74" t="str">
        <f t="shared" si="11"/>
        <v>"C:\Program Files (x86)\AstroGrep\AstroGrep.exe" /e /r /s /spath="%USERPROFILE%\AppData\Local\Temp\OnboardLogs" /stypes="app*4024*20171028*" /stext=" 12:.+((SYSTEM_STATE.+slice.+state.+changed )|(ment ac)|(multiple cpu faults)|(system.+state.+changed )|(\[timeout)|(PRM\|1\|D)|(kpr)|(kdp)|(train st.+moving)|(\|lc)|(penalty))"</v>
      </c>
      <c r="AG26" s="182" t="str">
        <f t="shared" si="12"/>
        <v>EC</v>
      </c>
      <c r="AH26" s="78" t="str">
        <f t="shared" si="18"/>
        <v>"%USERPROFILE%\Documents\GitHub\eaglep3\Utilities\RefineRTDCRunTimes.py" --tripid 115-28 --locoid 4024 --swversion DE.1.0.9.0 --startMP 204:462 --initTime 2017-10-28T05:27:19 --startdatetime 2017-10-28T05:30:34 --delay 64 --endMP 204:233303 --enddatetime 2017-10-28T06:05:55 --enforcementcount 0 &gt;&gt;%USERPROFILE%\Documents\GitHub\eaglep3-reporting\EC\2017-10-28-refined-times.txt</v>
      </c>
      <c r="AI26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{"issue":{"subject":"","project_id":79,"tracker_id":40,"status_id":1,"priority_id":2,"assigned_to_id":338,"start_date":"2017-10-28","description":"","custom_fields":[{"id":1,"name":"Subdivision","value":"EC"},{"id":4,"name":"Milepost","value":"23.3303"},{"id":17,"name":"Train ID","value":"115-28"},{"id":16,"name":"Locomotive ID","value":"4024"},{"id":130,"name":"Impact","value":""},{"id":150,"name":"Time of Event (Mountain Time)","value":"06:05:55"},{"id":151,"name":"Denver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4024 --day 2017-10-28</v>
      </c>
      <c r="AN26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2"/>
        <v>https://d0f6bd738d7f1b3e5a7ca70fe4ff75f0.us-east-1.aws.found.io/app/kibana#/discover/Steve-Slow-Train-Analysis-(2080s-and-2083s)?_g=(refreshInterval:(display:Off,pause:!f,section:0,value:0),time:(from:'2017-10-28T04:27:19-0600',mode:absolute,to:'2017-10-28T07:05:55-0600'))&amp;_a=(columns:!('Message%20ID',Summary),filters:!(),index:'emp_*',interval:auto,query:(query_string:(analyze_wildcard:!t,query:'%22rtdc.l.rtdc.4024%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695</v>
      </c>
      <c r="B27" s="7">
        <v>4023</v>
      </c>
      <c r="C27" s="21" t="s">
        <v>194</v>
      </c>
      <c r="D27" s="21" t="s">
        <v>892</v>
      </c>
      <c r="E27" s="13">
        <v>43036.263715277775</v>
      </c>
      <c r="F27" s="13">
        <v>43036.268912037034</v>
      </c>
      <c r="G27" s="7">
        <v>64</v>
      </c>
      <c r="H27" s="21" t="s">
        <v>893</v>
      </c>
      <c r="I27" s="13">
        <v>43036.295324074075</v>
      </c>
      <c r="J27" s="7">
        <v>0</v>
      </c>
      <c r="K27" s="89" t="str">
        <f t="shared" si="0"/>
        <v>4023/4024</v>
      </c>
      <c r="L27" s="185" t="str">
        <f>VLOOKUP(A27,'Trips&amp;Operators'!$C$1:$G$99911,5,FALSE)</f>
        <v>MAELZER KURT</v>
      </c>
      <c r="M27" s="6">
        <f t="shared" si="1"/>
        <v>2.641203704115469E-2</v>
      </c>
      <c r="N27" s="7">
        <f t="shared" si="23"/>
        <v>38.033333339262754</v>
      </c>
      <c r="O27" s="7"/>
      <c r="P27" s="7"/>
      <c r="Q27" s="22"/>
      <c r="R27" s="174"/>
      <c r="S27" s="221">
        <f t="shared" si="2"/>
        <v>1</v>
      </c>
      <c r="T27" s="174" t="str">
        <f t="shared" si="3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4"/>
        <v>https://d0f6bd738d7f1b3e5a7ca70fe4ff75f0.us-east-1.aws.found.io/app/kibana#/discover/Steve-Slow-Train-Analysis-(2080s-and-2083s)?_g=(refreshInterval:(display:Off,pause:!f,section:0,value:0),time:(from:'2017-10-28T05:19:45-0600',mode:absolute,to:'2017-10-28T08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7" s="204" t="str">
        <f>IF(AA27&lt;VLOOKUP(AG27,Variables!$AC$3:$AD$8,2,FALSE),"Y","N")</f>
        <v>N</v>
      </c>
      <c r="X27" s="204">
        <f t="shared" si="5"/>
        <v>1</v>
      </c>
      <c r="Y27" s="204">
        <f t="shared" si="6"/>
        <v>23.297999999999998</v>
      </c>
      <c r="Z27" s="204">
        <f t="shared" si="7"/>
        <v>1.6299999999999999E-2</v>
      </c>
      <c r="AA27" s="204">
        <f t="shared" si="8"/>
        <v>23.281699999999997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9"/>
        <v>116</v>
      </c>
      <c r="AE27" s="77" t="str">
        <f t="shared" si="10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27" s="74" t="str">
        <f t="shared" si="11"/>
        <v>"C:\Program Files (x86)\AstroGrep\AstroGrep.exe" /e /r /s /spath="%USERPROFILE%\AppData\Local\Temp\OnboardLogs" /stypes="app*4023*20171028*" /stext=" 13:.+((SYSTEM_STATE.+slice.+state.+changed )|(ment ac)|(multiple cpu faults)|(system.+state.+changed )|(\[timeout)|(PRM\|1\|D)|(kpr)|(kdp)|(train st.+moving)|(\|lc)|(penalty))"</v>
      </c>
      <c r="AG27" s="182" t="str">
        <f t="shared" si="12"/>
        <v>EC</v>
      </c>
      <c r="AH27" s="78" t="str">
        <f t="shared" si="18"/>
        <v>"%USERPROFILE%\Documents\GitHub\eaglep3\Utilities\RefineRTDCRunTimes.py" --tripid 116-28 --locoid 4023 --swversion DE.1.0.9.0 --startMP 204:232980 --initTime 2017-10-28T06:19:45 --startdatetime 2017-10-28T06:27:14 --delay 64 --endMP 204:163 --enddatetime 2017-10-28T07:05:16 --enforcementcount 0 &gt;&gt;%USERPROFILE%\Documents\GitHub\eaglep3-reporting\EC\2017-10-28-refined-times.txt</v>
      </c>
      <c r="AI27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{"issue":{"subject":"","project_id":79,"tracker_id":40,"status_id":1,"priority_id":2,"assigned_to_id":338,"start_date":"2017-10-28","description":"","custom_fields":[{"id":1,"name":"Subdivision","value":"EC"},{"id":4,"name":"Milepost","value":"0.0163"},{"id":17,"name":"Train ID","value":"116-28"},{"id":16,"name":"Locomotive ID","value":"4023"},{"id":130,"name":"Impact","value":""},{"id":150,"name":"Time of Event (Mountain Time)","value":"07:05:16"},{"id":151,"name":"Denver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4023 --day 2017-10-28</v>
      </c>
      <c r="AN27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2"/>
        <v>https://d0f6bd738d7f1b3e5a7ca70fe4ff75f0.us-east-1.aws.found.io/app/kibana#/discover/Steve-Slow-Train-Analysis-(2080s-and-2083s)?_g=(refreshInterval:(display:Off,pause:!f,section:0,value:0),time:(from:'2017-10-28T05:19:45-0600',mode:absolute,to:'2017-10-28T08:05:16-0600'))&amp;_a=(columns:!('Message%20ID',Summary),filters:!(),index:'emp_*',interval:auto,query:(query_string:(analyze_wildcard:!t,query:'%22rtdc.l.rtdc.4023%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682</v>
      </c>
      <c r="B28" s="7">
        <v>4064</v>
      </c>
      <c r="C28" s="21" t="s">
        <v>194</v>
      </c>
      <c r="D28" s="21" t="s">
        <v>894</v>
      </c>
      <c r="E28" s="13">
        <v>43036.231249999997</v>
      </c>
      <c r="F28" s="13">
        <v>43036.239872685182</v>
      </c>
      <c r="G28" s="7">
        <v>47</v>
      </c>
      <c r="H28" s="21" t="s">
        <v>895</v>
      </c>
      <c r="I28" s="13">
        <v>43036.265462962961</v>
      </c>
      <c r="J28" s="7">
        <v>0</v>
      </c>
      <c r="K28" s="89" t="str">
        <f t="shared" si="0"/>
        <v>4063/4064</v>
      </c>
      <c r="L28" s="185" t="str">
        <f>VLOOKUP(A28,'Trips&amp;Operators'!$C$1:$G$99911,5,FALSE)</f>
        <v>MOSES BRADLEY</v>
      </c>
      <c r="M28" s="6">
        <f t="shared" si="1"/>
        <v>2.5590277778974269E-2</v>
      </c>
      <c r="N28" s="7">
        <f t="shared" si="23"/>
        <v>36.850000001722947</v>
      </c>
      <c r="O28" s="7"/>
      <c r="P28" s="7"/>
      <c r="Q28" s="22"/>
      <c r="R28" s="174"/>
      <c r="S28" s="221">
        <f t="shared" si="2"/>
        <v>1</v>
      </c>
      <c r="T28" s="174" t="str">
        <f t="shared" si="3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4"/>
        <v>https://d0f6bd738d7f1b3e5a7ca70fe4ff75f0.us-east-1.aws.found.io/app/kibana#/discover/Steve-Slow-Train-Analysis-(2080s-and-2083s)?_g=(refreshInterval:(display:Off,pause:!f,section:0,value:0),time:(from:'2017-10-28T04:33:00-0600',mode:absolute,to:'2017-10-28T07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8" s="204" t="str">
        <f>IF(AA28&lt;VLOOKUP(AG28,Variables!$AC$3:$AD$8,2,FALSE),"Y","N")</f>
        <v>N</v>
      </c>
      <c r="X28" s="204">
        <f t="shared" si="5"/>
        <v>1</v>
      </c>
      <c r="Y28" s="204">
        <f t="shared" si="6"/>
        <v>5.4899999999999997E-2</v>
      </c>
      <c r="Z28" s="204">
        <f t="shared" si="7"/>
        <v>23.3247</v>
      </c>
      <c r="AA28" s="204">
        <f t="shared" si="8"/>
        <v>23.2698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9"/>
        <v>117</v>
      </c>
      <c r="AE28" s="77" t="str">
        <f t="shared" si="10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28" s="74" t="str">
        <f t="shared" si="11"/>
        <v>"C:\Program Files (x86)\AstroGrep\AstroGrep.exe" /e /r /s /spath="%USERPROFILE%\AppData\Local\Temp\OnboardLogs" /stypes="app*4064*20171028*" /stext=" 12:.+((SYSTEM_STATE.+slice.+state.+changed )|(ment ac)|(multiple cpu faults)|(system.+state.+changed )|(\[timeout)|(PRM\|1\|D)|(kpr)|(kdp)|(train st.+moving)|(\|lc)|(penalty))"</v>
      </c>
      <c r="AG28" s="182" t="str">
        <f t="shared" si="12"/>
        <v>EC</v>
      </c>
      <c r="AH28" s="78" t="str">
        <f t="shared" si="18"/>
        <v>"%USERPROFILE%\Documents\GitHub\eaglep3\Utilities\RefineRTDCRunTimes.py" --tripid 117-28 --locoid 4064 --swversion DE.1.0.9.0 --startMP 204:549 --initTime 2017-10-28T05:33:00 --startdatetime 2017-10-28T05:45:25 --delay 47 --endMP 204:233247 --enddatetime 2017-10-28T06:22:16 --enforcementcount 0 &gt;&gt;%USERPROFILE%\Documents\GitHub\eaglep3-reporting\EC\2017-10-28-refined-times.txt</v>
      </c>
      <c r="AI28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{"issue":{"subject":"","project_id":79,"tracker_id":40,"status_id":1,"priority_id":2,"assigned_to_id":338,"start_date":"2017-10-28","description":"","custom_fields":[{"id":1,"name":"Subdivision","value":"EC"},{"id":4,"name":"Milepost","value":"23.3247"},{"id":17,"name":"Train ID","value":"117-28"},{"id":16,"name":"Locomotive ID","value":"4064"},{"id":130,"name":"Impact","value":""},{"id":150,"name":"Time of Event (Mountain Time)","value":"06:22:16"},{"id":151,"name":"Denver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4064 --day 2017-10-28</v>
      </c>
      <c r="AN28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2"/>
        <v>https://d0f6bd738d7f1b3e5a7ca70fe4ff75f0.us-east-1.aws.found.io/app/kibana#/discover/Steve-Slow-Train-Analysis-(2080s-and-2083s)?_g=(refreshInterval:(display:Off,pause:!f,section:0,value:0),time:(from:'2017-10-28T04:33:00-0600',mode:absolute,to:'2017-10-28T07:22:16-0600'))&amp;_a=(columns:!('Message%20ID',Summary),filters:!(),index:'emp_*',interval:auto,query:(query_string:(analyze_wildcard:!t,query:'%22rtdc.l.rtdc.4064%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698</v>
      </c>
      <c r="B29" s="7">
        <v>4063</v>
      </c>
      <c r="C29" s="21" t="s">
        <v>194</v>
      </c>
      <c r="D29" s="21" t="s">
        <v>896</v>
      </c>
      <c r="E29" s="13">
        <v>43036.2734837963</v>
      </c>
      <c r="F29" s="13">
        <v>43036.27952546296</v>
      </c>
      <c r="G29" s="7">
        <v>78</v>
      </c>
      <c r="H29" s="21" t="s">
        <v>897</v>
      </c>
      <c r="I29" s="13">
        <v>43036.305995370371</v>
      </c>
      <c r="J29" s="7">
        <v>0</v>
      </c>
      <c r="K29" s="89" t="str">
        <f t="shared" si="0"/>
        <v>4063/4064</v>
      </c>
      <c r="L29" s="185" t="str">
        <f>VLOOKUP(A29,'Trips&amp;Operators'!$C$1:$G$99911,5,FALSE)</f>
        <v>MOSES BRADLEY</v>
      </c>
      <c r="M29" s="6">
        <f t="shared" si="1"/>
        <v>2.6469907410501037E-2</v>
      </c>
      <c r="N29" s="7">
        <f t="shared" si="23"/>
        <v>38.116666671121493</v>
      </c>
      <c r="O29" s="7"/>
      <c r="P29" s="7"/>
      <c r="Q29" s="22"/>
      <c r="R29" s="174"/>
      <c r="S29" s="221">
        <f t="shared" si="2"/>
        <v>1</v>
      </c>
      <c r="T29" s="174" t="str">
        <f t="shared" si="3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4"/>
        <v>https://d0f6bd738d7f1b3e5a7ca70fe4ff75f0.us-east-1.aws.found.io/app/kibana#/discover/Steve-Slow-Train-Analysis-(2080s-and-2083s)?_g=(refreshInterval:(display:Off,pause:!f,section:0,value:0),time:(from:'2017-10-28T05:33:49-0600',mode:absolute,to:'2017-10-28T08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9" s="204" t="str">
        <f>IF(AA29&lt;VLOOKUP(AG29,Variables!$AC$3:$AD$8,2,FALSE),"Y","N")</f>
        <v>N</v>
      </c>
      <c r="X29" s="204">
        <f t="shared" si="5"/>
        <v>1</v>
      </c>
      <c r="Y29" s="204">
        <f t="shared" si="6"/>
        <v>23.294</v>
      </c>
      <c r="Z29" s="204">
        <f t="shared" si="7"/>
        <v>2.29E-2</v>
      </c>
      <c r="AA29" s="204">
        <f t="shared" si="8"/>
        <v>23.271100000000001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9"/>
        <v>118</v>
      </c>
      <c r="AE29" s="77" t="str">
        <f t="shared" si="10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29" s="74" t="str">
        <f t="shared" si="11"/>
        <v>"C:\Program Files (x86)\AstroGrep\AstroGrep.exe" /e /r /s /spath="%USERPROFILE%\AppData\Local\Temp\OnboardLogs" /stypes="app*4063*20171028*" /stext=" 13:.+((SYSTEM_STATE.+slice.+state.+changed )|(ment ac)|(multiple cpu faults)|(system.+state.+changed )|(\[timeout)|(PRM\|1\|D)|(kpr)|(kdp)|(train st.+moving)|(\|lc)|(penalty))"</v>
      </c>
      <c r="AG29" s="182" t="str">
        <f t="shared" si="12"/>
        <v>EC</v>
      </c>
      <c r="AH29" s="78" t="str">
        <f t="shared" si="18"/>
        <v>"%USERPROFILE%\Documents\GitHub\eaglep3\Utilities\RefineRTDCRunTimes.py" --tripid 118-28 --locoid 4063 --swversion DE.1.0.9.0 --startMP 204:232940 --initTime 2017-10-28T06:33:49 --startdatetime 2017-10-28T06:42:31 --delay 78 --endMP 204:229 --enddatetime 2017-10-28T07:20:38 --enforcementcount 0 &gt;&gt;%USERPROFILE%\Documents\GitHub\eaglep3-reporting\EC\2017-10-28-refined-times.txt</v>
      </c>
      <c r="AI29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{"issue":{"subject":"","project_id":79,"tracker_id":40,"status_id":1,"priority_id":2,"assigned_to_id":338,"start_date":"2017-10-28","description":"","custom_fields":[{"id":1,"name":"Subdivision","value":"EC"},{"id":4,"name":"Milepost","value":"0.0229"},{"id":17,"name":"Train ID","value":"118-28"},{"id":16,"name":"Locomotive ID","value":"4063"},{"id":130,"name":"Impact","value":""},{"id":150,"name":"Time of Event (Mountain Time)","value":"07:20:38"},{"id":151,"name":"Denver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4063 --day 2017-10-28</v>
      </c>
      <c r="AN29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2"/>
        <v>https://d0f6bd738d7f1b3e5a7ca70fe4ff75f0.us-east-1.aws.found.io/app/kibana#/discover/Steve-Slow-Train-Analysis-(2080s-and-2083s)?_g=(refreshInterval:(display:Off,pause:!f,section:0,value:0),time:(from:'2017-10-28T05:33:49-0600',mode:absolute,to:'2017-10-28T08:20:38-0600'))&amp;_a=(columns:!('Message%20ID',Summary),filters:!(),index:'emp_*',interval:auto,query:(query_string:(analyze_wildcard:!t,query:'%22rtdc.l.rtdc.4063%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685</v>
      </c>
      <c r="B30" s="7">
        <v>4012</v>
      </c>
      <c r="C30" s="21" t="s">
        <v>194</v>
      </c>
      <c r="D30" s="21" t="s">
        <v>602</v>
      </c>
      <c r="E30" s="13">
        <v>43036.242372685185</v>
      </c>
      <c r="F30" s="13">
        <v>43036.250196759262</v>
      </c>
      <c r="G30" s="7">
        <v>56</v>
      </c>
      <c r="H30" s="21" t="s">
        <v>898</v>
      </c>
      <c r="I30" s="13">
        <v>43036.274861111109</v>
      </c>
      <c r="J30" s="7">
        <v>0</v>
      </c>
      <c r="K30" s="89" t="str">
        <f t="shared" si="0"/>
        <v>4011/4012</v>
      </c>
      <c r="L30" s="185" t="str">
        <f>VLOOKUP(A30,'Trips&amp;Operators'!$C$1:$G$99911,5,FALSE)</f>
        <v>DE LA ROSA ALEX</v>
      </c>
      <c r="M30" s="6">
        <f t="shared" si="1"/>
        <v>2.4664351847604848E-2</v>
      </c>
      <c r="N30" s="7">
        <f t="shared" si="23"/>
        <v>35.516666660550982</v>
      </c>
      <c r="O30" s="7"/>
      <c r="P30" s="7"/>
      <c r="Q30" s="22"/>
      <c r="R30" s="174"/>
      <c r="S30" s="221">
        <f t="shared" si="2"/>
        <v>1</v>
      </c>
      <c r="T30" s="174" t="str">
        <f t="shared" si="3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4"/>
        <v>https://d0f6bd738d7f1b3e5a7ca70fe4ff75f0.us-east-1.aws.found.io/app/kibana#/discover/Steve-Slow-Train-Analysis-(2080s-and-2083s)?_g=(refreshInterval:(display:Off,pause:!f,section:0,value:0),time:(from:'2017-10-28T04:49:01-0600',mode:absolute,to:'2017-10-28T07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0" s="204" t="str">
        <f>IF(AA30&lt;VLOOKUP(AG30,Variables!$AC$3:$AD$8,2,FALSE),"Y","N")</f>
        <v>N</v>
      </c>
      <c r="X30" s="204">
        <f t="shared" si="5"/>
        <v>1</v>
      </c>
      <c r="Y30" s="204">
        <f t="shared" si="6"/>
        <v>0.1158</v>
      </c>
      <c r="Z30" s="204">
        <f t="shared" si="7"/>
        <v>23.3216</v>
      </c>
      <c r="AA30" s="204">
        <f t="shared" si="8"/>
        <v>23.2058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9"/>
        <v>119</v>
      </c>
      <c r="AE30" s="77" t="str">
        <f t="shared" si="10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30" s="74" t="str">
        <f t="shared" si="11"/>
        <v>"C:\Program Files (x86)\AstroGrep\AstroGrep.exe" /e /r /s /spath="%USERPROFILE%\AppData\Local\Temp\OnboardLogs" /stypes="app*4012*20171028*" /stext=" 12:.+((SYSTEM_STATE.+slice.+state.+changed )|(ment ac)|(multiple cpu faults)|(system.+state.+changed )|(\[timeout)|(PRM\|1\|D)|(kpr)|(kdp)|(train st.+moving)|(\|lc)|(penalty))"</v>
      </c>
      <c r="AG30" s="182" t="str">
        <f t="shared" si="12"/>
        <v>EC</v>
      </c>
      <c r="AH30" s="78" t="str">
        <f t="shared" si="18"/>
        <v>"%USERPROFILE%\Documents\GitHub\eaglep3\Utilities\RefineRTDCRunTimes.py" --tripid 119-28 --locoid 4012 --swversion DE.1.0.9.0 --startMP 204:1158 --initTime 2017-10-28T05:49:01 --startdatetime 2017-10-28T06:00:17 --delay 56 --endMP 204:233216 --enddatetime 2017-10-28T06:35:48 --enforcementcount 0 &gt;&gt;%USERPROFILE%\Documents\GitHub\eaglep3-reporting\EC\2017-10-28-refined-times.txt</v>
      </c>
      <c r="AI30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{"issue":{"subject":"","project_id":79,"tracker_id":40,"status_id":1,"priority_id":2,"assigned_to_id":338,"start_date":"2017-10-28","description":"","custom_fields":[{"id":1,"name":"Subdivision","value":"EC"},{"id":4,"name":"Milepost","value":"23.3216"},{"id":17,"name":"Train ID","value":"119-28"},{"id":16,"name":"Locomotive ID","value":"4012"},{"id":130,"name":"Impact","value":""},{"id":150,"name":"Time of Event (Mountain Time)","value":"06:35:48"},{"id":151,"name":"Denver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4012 --day 2017-10-28</v>
      </c>
      <c r="AN30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2"/>
        <v>https://d0f6bd738d7f1b3e5a7ca70fe4ff75f0.us-east-1.aws.found.io/app/kibana#/discover/Steve-Slow-Train-Analysis-(2080s-and-2083s)?_g=(refreshInterval:(display:Off,pause:!f,section:0,value:0),time:(from:'2017-10-28T04:49:01-0600',mode:absolute,to:'2017-10-28T07:35:48-0600'))&amp;_a=(columns:!('Message%20ID',Summary),filters:!(),index:'emp_*',interval:auto,query:(query_string:(analyze_wildcard:!t,query:'%22rtdc.l.rtdc.4012%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703</v>
      </c>
      <c r="B31" s="7">
        <v>4011</v>
      </c>
      <c r="C31" s="21" t="s">
        <v>194</v>
      </c>
      <c r="D31" s="21" t="s">
        <v>899</v>
      </c>
      <c r="E31" s="13">
        <v>43036.283252314817</v>
      </c>
      <c r="F31" s="13">
        <v>43036.28979166667</v>
      </c>
      <c r="G31" s="7">
        <v>81</v>
      </c>
      <c r="H31" s="21" t="s">
        <v>900</v>
      </c>
      <c r="I31" s="13">
        <v>43036.317025462966</v>
      </c>
      <c r="J31" s="7">
        <v>0</v>
      </c>
      <c r="K31" s="89" t="str">
        <f t="shared" si="0"/>
        <v>4011/4012</v>
      </c>
      <c r="L31" s="185" t="str">
        <f>VLOOKUP(A31,'Trips&amp;Operators'!$C$1:$G$99911,5,FALSE)</f>
        <v>DE LA ROSA ALEX</v>
      </c>
      <c r="M31" s="6">
        <f t="shared" si="1"/>
        <v>2.7233796296059154E-2</v>
      </c>
      <c r="N31" s="7">
        <f t="shared" si="23"/>
        <v>39.216666666325182</v>
      </c>
      <c r="O31" s="7"/>
      <c r="P31" s="7"/>
      <c r="Q31" s="22"/>
      <c r="R31" s="174"/>
      <c r="S31" s="221">
        <f t="shared" si="2"/>
        <v>1</v>
      </c>
      <c r="T31" s="174" t="str">
        <f t="shared" si="3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4"/>
        <v>https://d0f6bd738d7f1b3e5a7ca70fe4ff75f0.us-east-1.aws.found.io/app/kibana#/discover/Steve-Slow-Train-Analysis-(2080s-and-2083s)?_g=(refreshInterval:(display:Off,pause:!f,section:0,value:0),time:(from:'2017-10-28T05:47:53-0600',mode:absolute,to:'2017-10-28T08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1" s="204" t="str">
        <f>IF(AA31&lt;VLOOKUP(AG31,Variables!$AC$3:$AD$8,2,FALSE),"Y","N")</f>
        <v>N</v>
      </c>
      <c r="X31" s="204">
        <f t="shared" si="5"/>
        <v>1</v>
      </c>
      <c r="Y31" s="204">
        <f t="shared" si="6"/>
        <v>23.2911</v>
      </c>
      <c r="Z31" s="204">
        <f t="shared" si="7"/>
        <v>2.4E-2</v>
      </c>
      <c r="AA31" s="204">
        <f t="shared" si="8"/>
        <v>23.267099999999999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9"/>
        <v>120</v>
      </c>
      <c r="AE31" s="77" t="str">
        <f t="shared" si="10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31" s="74" t="str">
        <f t="shared" si="11"/>
        <v>"C:\Program Files (x86)\AstroGrep\AstroGrep.exe" /e /r /s /spath="%USERPROFILE%\AppData\Local\Temp\OnboardLogs" /stypes="app*4011*20171028*" /stext=" 13:.+((SYSTEM_STATE.+slice.+state.+changed )|(ment ac)|(multiple cpu faults)|(system.+state.+changed )|(\[timeout)|(PRM\|1\|D)|(kpr)|(kdp)|(train st.+moving)|(\|lc)|(penalty))"</v>
      </c>
      <c r="AG31" s="182" t="str">
        <f t="shared" si="12"/>
        <v>EC</v>
      </c>
      <c r="AH31" s="78" t="str">
        <f t="shared" si="18"/>
        <v>"%USERPROFILE%\Documents\GitHub\eaglep3\Utilities\RefineRTDCRunTimes.py" --tripid 120-28 --locoid 4011 --swversion DE.1.0.9.0 --startMP 204:232911 --initTime 2017-10-28T06:47:53 --startdatetime 2017-10-28T06:57:18 --delay 81 --endMP 204:240 --enddatetime 2017-10-28T07:36:31 --enforcementcount 0 &gt;&gt;%USERPROFILE%\Documents\GitHub\eaglep3-reporting\EC\2017-10-28-refined-times.txt</v>
      </c>
      <c r="AI31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{"issue":{"subject":"","project_id":79,"tracker_id":40,"status_id":1,"priority_id":2,"assigned_to_id":338,"start_date":"2017-10-28","description":"","custom_fields":[{"id":1,"name":"Subdivision","value":"EC"},{"id":4,"name":"Milepost","value":"0.024"},{"id":17,"name":"Train ID","value":"120-28"},{"id":16,"name":"Locomotive ID","value":"4011"},{"id":130,"name":"Impact","value":""},{"id":150,"name":"Time of Event (Mountain Time)","value":"07:36:31"},{"id":151,"name":"Denver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4011 --day 2017-10-28</v>
      </c>
      <c r="AN31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2"/>
        <v>https://d0f6bd738d7f1b3e5a7ca70fe4ff75f0.us-east-1.aws.found.io/app/kibana#/discover/Steve-Slow-Train-Analysis-(2080s-and-2083s)?_g=(refreshInterval:(display:Off,pause:!f,section:0,value:0),time:(from:'2017-10-28T05:47:53-0600',mode:absolute,to:'2017-10-28T08:36:31-0600'))&amp;_a=(columns:!('Message%20ID',Summary),filters:!(),index:'emp_*',interval:auto,query:(query_string:(analyze_wildcard:!t,query:'%22rtdc.l.rtdc.4011%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694</v>
      </c>
      <c r="B32" s="7">
        <v>4004</v>
      </c>
      <c r="C32" s="21" t="s">
        <v>194</v>
      </c>
      <c r="D32" s="21" t="s">
        <v>556</v>
      </c>
      <c r="E32" s="13">
        <v>43036.257048611114</v>
      </c>
      <c r="F32" s="13">
        <v>43036.260601851849</v>
      </c>
      <c r="G32" s="7">
        <v>61</v>
      </c>
      <c r="H32" s="21" t="s">
        <v>496</v>
      </c>
      <c r="I32" s="13">
        <v>43036.285428240742</v>
      </c>
      <c r="J32" s="7">
        <v>0</v>
      </c>
      <c r="K32" s="89" t="str">
        <f t="shared" si="0"/>
        <v>4003/4004</v>
      </c>
      <c r="L32" s="185" t="str">
        <f>VLOOKUP(A32,'Trips&amp;Operators'!$C$1:$G$99911,5,FALSE)</f>
        <v>PAGE MARCUS</v>
      </c>
      <c r="M32" s="6">
        <f t="shared" si="1"/>
        <v>2.4826388893416151E-2</v>
      </c>
      <c r="N32" s="7">
        <f t="shared" si="23"/>
        <v>35.750000006519258</v>
      </c>
      <c r="O32" s="7"/>
      <c r="P32" s="7"/>
      <c r="Q32" s="22"/>
      <c r="R32" s="174"/>
      <c r="S32" s="221">
        <f t="shared" si="2"/>
        <v>1</v>
      </c>
      <c r="T32" s="174" t="str">
        <f t="shared" si="3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4"/>
        <v>https://d0f6bd738d7f1b3e5a7ca70fe4ff75f0.us-east-1.aws.found.io/app/kibana#/discover/Steve-Slow-Train-Analysis-(2080s-and-2083s)?_g=(refreshInterval:(display:Off,pause:!f,section:0,value:0),time:(from:'2017-10-28T05:10:09-0600',mode:absolute,to:'2017-10-28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204" t="str">
        <f>IF(AA32&lt;VLOOKUP(AG32,Variables!$AC$3:$AD$8,2,FALSE),"Y","N")</f>
        <v>N</v>
      </c>
      <c r="X32" s="204">
        <f t="shared" si="5"/>
        <v>1</v>
      </c>
      <c r="Y32" s="204">
        <f t="shared" si="6"/>
        <v>4.6899999999999997E-2</v>
      </c>
      <c r="Z32" s="204">
        <f t="shared" si="7"/>
        <v>23.328499999999998</v>
      </c>
      <c r="AA32" s="204">
        <f t="shared" si="8"/>
        <v>23.281599999999997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9"/>
        <v>121</v>
      </c>
      <c r="AE32" s="77" t="str">
        <f t="shared" si="10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32" s="74" t="str">
        <f t="shared" si="11"/>
        <v>"C:\Program Files (x86)\AstroGrep\AstroGrep.exe" /e /r /s /spath="%USERPROFILE%\AppData\Local\Temp\OnboardLogs" /stypes="app*4004*20171028*" /stext=" 12:.+((SYSTEM_STATE.+slice.+state.+changed )|(ment ac)|(multiple cpu faults)|(system.+state.+changed )|(\[timeout)|(PRM\|1\|D)|(kpr)|(kdp)|(train st.+moving)|(\|lc)|(penalty))"</v>
      </c>
      <c r="AG32" s="182" t="str">
        <f t="shared" si="12"/>
        <v>EC</v>
      </c>
      <c r="AH32" s="78" t="str">
        <f t="shared" si="18"/>
        <v>"%USERPROFILE%\Documents\GitHub\eaglep3\Utilities\RefineRTDCRunTimes.py" --tripid 121-28 --locoid 4004 --swversion DE.1.0.9.0 --startMP 204:469 --initTime 2017-10-28T06:10:09 --startdatetime 2017-10-28T06:15:16 --delay 61 --endMP 204:233285 --enddatetime 2017-10-28T06:51:01 --enforcementcount 0 &gt;&gt;%USERPROFILE%\Documents\GitHub\eaglep3-reporting\EC\2017-10-28-refined-times.txt</v>
      </c>
      <c r="AI32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{"issue":{"subject":"","project_id":79,"tracker_id":40,"status_id":1,"priority_id":2,"assigned_to_id":338,"start_date":"2017-10-28","description":"","custom_fields":[{"id":1,"name":"Subdivision","value":"EC"},{"id":4,"name":"Milepost","value":"23.3285"},{"id":17,"name":"Train ID","value":"121-28"},{"id":16,"name":"Locomotive ID","value":"4004"},{"id":130,"name":"Impact","value":""},{"id":150,"name":"Time of Event (Mountain Time)","value":"06:51:01"},{"id":151,"name":"Denver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4004 --day 2017-10-28</v>
      </c>
      <c r="AN32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2"/>
        <v>https://d0f6bd738d7f1b3e5a7ca70fe4ff75f0.us-east-1.aws.found.io/app/kibana#/discover/Steve-Slow-Train-Analysis-(2080s-and-2083s)?_g=(refreshInterval:(display:Off,pause:!f,section:0,value:0),time:(from:'2017-10-28T05:10:09-0600',mode:absolute,to:'2017-10-28T07:51:01-0600'))&amp;_a=(columns:!('Message%20ID',Summary),filters:!(),index:'emp_*',interval:auto,query:(query_string:(analyze_wildcard:!t,query:'%22rtdc.l.rtdc.4004%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706</v>
      </c>
      <c r="B33" s="7">
        <v>4003</v>
      </c>
      <c r="C33" s="21" t="s">
        <v>194</v>
      </c>
      <c r="D33" s="21" t="s">
        <v>901</v>
      </c>
      <c r="E33" s="13">
        <v>43036.296863425923</v>
      </c>
      <c r="F33" s="13">
        <v>43036.300173611111</v>
      </c>
      <c r="G33" s="7">
        <v>62</v>
      </c>
      <c r="H33" s="21" t="s">
        <v>553</v>
      </c>
      <c r="I33" s="13">
        <v>43036.326724537037</v>
      </c>
      <c r="J33" s="7">
        <v>0</v>
      </c>
      <c r="K33" s="89" t="str">
        <f t="shared" si="0"/>
        <v>4003/4004</v>
      </c>
      <c r="L33" s="185" t="str">
        <f>VLOOKUP(A33,'Trips&amp;Operators'!$C$1:$G$99911,5,FALSE)</f>
        <v>PAGE MARCUS</v>
      </c>
      <c r="M33" s="6">
        <f t="shared" si="1"/>
        <v>2.6550925926130731E-2</v>
      </c>
      <c r="N33" s="7">
        <f t="shared" si="23"/>
        <v>38.233333333628252</v>
      </c>
      <c r="O33" s="7"/>
      <c r="P33" s="7"/>
      <c r="Q33" s="22"/>
      <c r="R33" s="174"/>
      <c r="S33" s="221">
        <f t="shared" si="2"/>
        <v>1</v>
      </c>
      <c r="T33" s="174" t="str">
        <f t="shared" si="3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4"/>
        <v>https://d0f6bd738d7f1b3e5a7ca70fe4ff75f0.us-east-1.aws.found.io/app/kibana#/discover/Steve-Slow-Train-Analysis-(2080s-and-2083s)?_g=(refreshInterval:(display:Off,pause:!f,section:0,value:0),time:(from:'2017-10-28T06:07:29-0600',mode:absolute,to:'2017-10-28T08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3" s="204" t="str">
        <f>IF(AA33&lt;VLOOKUP(AG33,Variables!$AC$3:$AD$8,2,FALSE),"Y","N")</f>
        <v>N</v>
      </c>
      <c r="X33" s="204">
        <f t="shared" si="5"/>
        <v>1</v>
      </c>
      <c r="Y33" s="204">
        <f t="shared" si="6"/>
        <v>23.296399999999998</v>
      </c>
      <c r="Z33" s="204">
        <f t="shared" si="7"/>
        <v>1.5599999999999999E-2</v>
      </c>
      <c r="AA33" s="204">
        <f t="shared" si="8"/>
        <v>23.280799999999999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9"/>
        <v>122</v>
      </c>
      <c r="AE33" s="77" t="str">
        <f t="shared" si="10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33" s="74" t="str">
        <f t="shared" si="11"/>
        <v>"C:\Program Files (x86)\AstroGrep\AstroGrep.exe" /e /r /s /spath="%USERPROFILE%\AppData\Local\Temp\OnboardLogs" /stypes="app*4003*20171028*" /stext=" 13:.+((SYSTEM_STATE.+slice.+state.+changed )|(ment ac)|(multiple cpu faults)|(system.+state.+changed )|(\[timeout)|(PRM\|1\|D)|(kpr)|(kdp)|(train st.+moving)|(\|lc)|(penalty))"</v>
      </c>
      <c r="AG33" s="182" t="str">
        <f t="shared" si="12"/>
        <v>EC</v>
      </c>
      <c r="AH33" s="78" t="str">
        <f t="shared" si="18"/>
        <v>"%USERPROFILE%\Documents\GitHub\eaglep3\Utilities\RefineRTDCRunTimes.py" --tripid 122-28 --locoid 4003 --swversion DE.1.0.9.0 --startMP 204:232964 --initTime 2017-10-28T07:07:29 --startdatetime 2017-10-28T07:12:15 --delay 62 --endMP 204:156 --enddatetime 2017-10-28T07:50:29 --enforcementcount 0 &gt;&gt;%USERPROFILE%\Documents\GitHub\eaglep3-reporting\EC\2017-10-28-refined-times.txt</v>
      </c>
      <c r="AI33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{"issue":{"subject":"","project_id":79,"tracker_id":40,"status_id":1,"priority_id":2,"assigned_to_id":338,"start_date":"2017-10-28","description":"","custom_fields":[{"id":1,"name":"Subdivision","value":"EC"},{"id":4,"name":"Milepost","value":"0.0156"},{"id":17,"name":"Train ID","value":"122-28"},{"id":16,"name":"Locomotive ID","value":"4003"},{"id":130,"name":"Impact","value":""},{"id":150,"name":"Time of Event (Mountain Time)","value":"07:50:29"},{"id":151,"name":"Denver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4003 --day 2017-10-28</v>
      </c>
      <c r="AN33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2"/>
        <v>https://d0f6bd738d7f1b3e5a7ca70fe4ff75f0.us-east-1.aws.found.io/app/kibana#/discover/Steve-Slow-Train-Analysis-(2080s-and-2083s)?_g=(refreshInterval:(display:Off,pause:!f,section:0,value:0),time:(from:'2017-10-28T06:07:29-0600',mode:absolute,to:'2017-10-28T08:50:29-0600'))&amp;_a=(columns:!('Message%20ID',Summary),filters:!(),index:'emp_*',interval:auto,query:(query_string:(analyze_wildcard:!t,query:'%22rtdc.l.rtdc.4003%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697</v>
      </c>
      <c r="B34" s="7">
        <v>4010</v>
      </c>
      <c r="C34" s="21" t="s">
        <v>194</v>
      </c>
      <c r="D34" s="21" t="s">
        <v>498</v>
      </c>
      <c r="E34" s="13">
        <v>43036.270115740743</v>
      </c>
      <c r="F34" s="13">
        <v>43036.271793981483</v>
      </c>
      <c r="G34" s="7">
        <v>45</v>
      </c>
      <c r="H34" s="21" t="s">
        <v>888</v>
      </c>
      <c r="I34" s="13">
        <v>43036.297256944446</v>
      </c>
      <c r="J34" s="7">
        <v>0</v>
      </c>
      <c r="K34" s="89" t="str">
        <f t="shared" si="0"/>
        <v>4009/4010</v>
      </c>
      <c r="L34" s="185" t="str">
        <f>VLOOKUP(A34,'Trips&amp;Operators'!$C$1:$G$99911,5,FALSE)</f>
        <v>HUFFSMITH MONTY</v>
      </c>
      <c r="M34" s="6">
        <f t="shared" si="1"/>
        <v>2.5462962963501923E-2</v>
      </c>
      <c r="N34" s="7">
        <f t="shared" si="23"/>
        <v>36.666666667442769</v>
      </c>
      <c r="O34" s="7"/>
      <c r="P34" s="7"/>
      <c r="Q34" s="22"/>
      <c r="R34" s="174"/>
      <c r="S34" s="221">
        <f t="shared" si="2"/>
        <v>1</v>
      </c>
      <c r="T34" s="174" t="str">
        <f t="shared" si="3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4"/>
        <v>https://d0f6bd738d7f1b3e5a7ca70fe4ff75f0.us-east-1.aws.found.io/app/kibana#/discover/Steve-Slow-Train-Analysis-(2080s-and-2083s)?_g=(refreshInterval:(display:Off,pause:!f,section:0,value:0),time:(from:'2017-10-28T05:28:58-0600',mode:absolute,to:'2017-10-28T08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4" s="204" t="str">
        <f>IF(AA34&lt;VLOOKUP(AG34,Variables!$AC$3:$AD$8,2,FALSE),"Y","N")</f>
        <v>N</v>
      </c>
      <c r="X34" s="204">
        <f t="shared" si="5"/>
        <v>1</v>
      </c>
      <c r="Y34" s="204">
        <f t="shared" si="6"/>
        <v>4.4400000000000002E-2</v>
      </c>
      <c r="Z34" s="204">
        <f t="shared" si="7"/>
        <v>23.328399999999998</v>
      </c>
      <c r="AA34" s="204">
        <f t="shared" si="8"/>
        <v>23.283999999999999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9"/>
        <v>123</v>
      </c>
      <c r="AE34" s="77" t="str">
        <f t="shared" si="10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34" s="74" t="str">
        <f t="shared" si="11"/>
        <v>"C:\Program Files (x86)\AstroGrep\AstroGrep.exe" /e /r /s /spath="%USERPROFILE%\AppData\Local\Temp\OnboardLogs" /stypes="app*4010*20171028*" /stext=" 13:.+((SYSTEM_STATE.+slice.+state.+changed )|(ment ac)|(multiple cpu faults)|(system.+state.+changed )|(\[timeout)|(PRM\|1\|D)|(kpr)|(kdp)|(train st.+moving)|(\|lc)|(penalty))"</v>
      </c>
      <c r="AG34" s="182" t="str">
        <f t="shared" si="12"/>
        <v>EC</v>
      </c>
      <c r="AH34" s="78" t="str">
        <f t="shared" si="18"/>
        <v>"%USERPROFILE%\Documents\GitHub\eaglep3\Utilities\RefineRTDCRunTimes.py" --tripid 123-28 --locoid 4010 --swversion DE.1.0.9.0 --startMP 204:444 --initTime 2017-10-28T06:28:58 --startdatetime 2017-10-28T06:31:23 --delay 45 --endMP 204:233284 --enddatetime 2017-10-28T07:08:03 --enforcementcount 0 &gt;&gt;%USERPROFILE%\Documents\GitHub\eaglep3-reporting\EC\2017-10-28-refined-times.txt</v>
      </c>
      <c r="AI34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{"issue":{"subject":"","project_id":79,"tracker_id":40,"status_id":1,"priority_id":2,"assigned_to_id":338,"start_date":"2017-10-28","description":"","custom_fields":[{"id":1,"name":"Subdivision","value":"EC"},{"id":4,"name":"Milepost","value":"23.3284"},{"id":17,"name":"Train ID","value":"123-28"},{"id":16,"name":"Locomotive ID","value":"4010"},{"id":130,"name":"Impact","value":""},{"id":150,"name":"Time of Event (Mountain Time)","value":"07:08:03"},{"id":151,"name":"Denver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4010 --day 2017-10-28</v>
      </c>
      <c r="AN34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2"/>
        <v>https://d0f6bd738d7f1b3e5a7ca70fe4ff75f0.us-east-1.aws.found.io/app/kibana#/discover/Steve-Slow-Train-Analysis-(2080s-and-2083s)?_g=(refreshInterval:(display:Off,pause:!f,section:0,value:0),time:(from:'2017-10-28T05:28:58-0600',mode:absolute,to:'2017-10-28T08:08:03-0600'))&amp;_a=(columns:!('Message%20ID',Summary),filters:!(),index:'emp_*',interval:auto,query:(query_string:(analyze_wildcard:!t,query:'%22rtdc.l.rtdc.4010%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708</v>
      </c>
      <c r="B35" s="7">
        <v>4009</v>
      </c>
      <c r="C35" s="21" t="s">
        <v>194</v>
      </c>
      <c r="D35" s="21" t="s">
        <v>514</v>
      </c>
      <c r="E35" s="13">
        <v>43036.304328703707</v>
      </c>
      <c r="F35" s="13">
        <v>43036.310613425929</v>
      </c>
      <c r="G35" s="7">
        <v>48</v>
      </c>
      <c r="H35" s="21" t="s">
        <v>338</v>
      </c>
      <c r="I35" s="13">
        <v>43036.339444444442</v>
      </c>
      <c r="J35" s="7">
        <v>0</v>
      </c>
      <c r="K35" s="89" t="str">
        <f t="shared" si="0"/>
        <v>4009/4010</v>
      </c>
      <c r="L35" s="185" t="str">
        <f>VLOOKUP(A35,'Trips&amp;Operators'!$C$1:$G$99911,5,FALSE)</f>
        <v>HUFFSMITH MONTY</v>
      </c>
      <c r="M35" s="6">
        <f t="shared" si="1"/>
        <v>2.8831018513301387E-2</v>
      </c>
      <c r="N35" s="7">
        <f t="shared" si="23"/>
        <v>41.516666659153998</v>
      </c>
      <c r="O35" s="7"/>
      <c r="P35" s="7"/>
      <c r="Q35" s="22"/>
      <c r="R35" s="174"/>
      <c r="S35" s="221">
        <f t="shared" si="2"/>
        <v>1</v>
      </c>
      <c r="T35" s="174" t="str">
        <f t="shared" si="3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4"/>
        <v>https://d0f6bd738d7f1b3e5a7ca70fe4ff75f0.us-east-1.aws.found.io/app/kibana#/discover/Steve-Slow-Train-Analysis-(2080s-and-2083s)?_g=(refreshInterval:(display:Off,pause:!f,section:0,value:0),time:(from:'2017-10-28T06:18:14-0600',mode:absolute,to:'2017-10-28T09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5" s="204" t="str">
        <f>IF(AA35&lt;VLOOKUP(AG35,Variables!$AC$3:$AD$8,2,FALSE),"Y","N")</f>
        <v>N</v>
      </c>
      <c r="X35" s="204">
        <f t="shared" si="5"/>
        <v>1</v>
      </c>
      <c r="Y35" s="204">
        <f t="shared" si="6"/>
        <v>23.2971</v>
      </c>
      <c r="Z35" s="204">
        <f t="shared" si="7"/>
        <v>1.47E-2</v>
      </c>
      <c r="AA35" s="204">
        <f t="shared" si="8"/>
        <v>23.282399999999999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9"/>
        <v>124</v>
      </c>
      <c r="AE35" s="77" t="str">
        <f t="shared" si="10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35" s="74" t="str">
        <f t="shared" si="11"/>
        <v>"C:\Program Files (x86)\AstroGrep\AstroGrep.exe" /e /r /s /spath="%USERPROFILE%\AppData\Local\Temp\OnboardLogs" /stypes="app*4009*20171028*" /stext=" 14:.+((SYSTEM_STATE.+slice.+state.+changed )|(ment ac)|(multiple cpu faults)|(system.+state.+changed )|(\[timeout)|(PRM\|1\|D)|(kpr)|(kdp)|(train st.+moving)|(\|lc)|(penalty))"</v>
      </c>
      <c r="AG35" s="182" t="str">
        <f t="shared" si="12"/>
        <v>EC</v>
      </c>
      <c r="AH35" s="78" t="str">
        <f t="shared" si="18"/>
        <v>"%USERPROFILE%\Documents\GitHub\eaglep3\Utilities\RefineRTDCRunTimes.py" --tripid 124-28 --locoid 4009 --swversion DE.1.0.9.0 --startMP 204:232971 --initTime 2017-10-28T07:18:14 --startdatetime 2017-10-28T07:27:17 --delay 48 --endMP 204:147 --enddatetime 2017-10-28T08:08:48 --enforcementcount 0 &gt;&gt;%USERPROFILE%\Documents\GitHub\eaglep3-reporting\EC\2017-10-28-refined-times.txt</v>
      </c>
      <c r="AI35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{"issue":{"subject":"","project_id":79,"tracker_id":40,"status_id":1,"priority_id":2,"assigned_to_id":338,"start_date":"2017-10-28","description":"","custom_fields":[{"id":1,"name":"Subdivision","value":"EC"},{"id":4,"name":"Milepost","value":"0.0147"},{"id":17,"name":"Train ID","value":"124-28"},{"id":16,"name":"Locomotive ID","value":"4009"},{"id":130,"name":"Impact","value":""},{"id":150,"name":"Time of Event (Mountain Time)","value":"08:08:48"},{"id":151,"name":"Denver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4009 --day 2017-10-28</v>
      </c>
      <c r="AN35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2"/>
        <v>https://d0f6bd738d7f1b3e5a7ca70fe4ff75f0.us-east-1.aws.found.io/app/kibana#/discover/Steve-Slow-Train-Analysis-(2080s-and-2083s)?_g=(refreshInterval:(display:Off,pause:!f,section:0,value:0),time:(from:'2017-10-28T06:18:14-0600',mode:absolute,to:'2017-10-28T09:08:48-0600'))&amp;_a=(columns:!('Message%20ID',Summary),filters:!(),index:'emp_*',interval:auto,query:(query_string:(analyze_wildcard:!t,query:'%22rtdc.l.rtdc.4009%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704</v>
      </c>
      <c r="B36" s="7">
        <v>4042</v>
      </c>
      <c r="C36" s="21" t="s">
        <v>194</v>
      </c>
      <c r="D36" s="21" t="s">
        <v>902</v>
      </c>
      <c r="E36" s="13">
        <v>43036.285914351851</v>
      </c>
      <c r="F36" s="13">
        <v>43036.287719907406</v>
      </c>
      <c r="G36" s="7">
        <v>52</v>
      </c>
      <c r="H36" s="21" t="s">
        <v>496</v>
      </c>
      <c r="I36" s="13">
        <v>43036.315393518518</v>
      </c>
      <c r="J36" s="7">
        <v>0</v>
      </c>
      <c r="K36" s="89" t="str">
        <f t="shared" si="0"/>
        <v>4041/4042</v>
      </c>
      <c r="L36" s="185" t="str">
        <f>VLOOKUP(A36,'Trips&amp;Operators'!$C$1:$G$99911,5,FALSE)</f>
        <v>LANGERAK WILLIAM</v>
      </c>
      <c r="M36" s="6">
        <f t="shared" si="1"/>
        <v>2.7673611111822538E-2</v>
      </c>
      <c r="N36" s="7">
        <f t="shared" si="23"/>
        <v>39.850000001024455</v>
      </c>
      <c r="O36" s="7"/>
      <c r="P36" s="7"/>
      <c r="Q36" s="22"/>
      <c r="R36" s="174"/>
      <c r="S36" s="221">
        <f t="shared" si="2"/>
        <v>1</v>
      </c>
      <c r="T36" s="174" t="str">
        <f t="shared" si="3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4"/>
        <v>https://d0f6bd738d7f1b3e5a7ca70fe4ff75f0.us-east-1.aws.found.io/app/kibana#/discover/Steve-Slow-Train-Analysis-(2080s-and-2083s)?_g=(refreshInterval:(display:Off,pause:!f,section:0,value:0),time:(from:'2017-10-28T05:51:43-0600',mode:absolute,to:'2017-10-28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6" s="204" t="str">
        <f>IF(AA36&lt;VLOOKUP(AG36,Variables!$AC$3:$AD$8,2,FALSE),"Y","N")</f>
        <v>N</v>
      </c>
      <c r="X36" s="204">
        <f t="shared" ref="X36:X39" si="24">VALUE(LEFT(AD36,4))-VALUE(LEFT(AD35,4))</f>
        <v>1</v>
      </c>
      <c r="Y36" s="204">
        <f t="shared" si="6"/>
        <v>4.5499999999999999E-2</v>
      </c>
      <c r="Z36" s="204">
        <f t="shared" si="7"/>
        <v>23.328499999999998</v>
      </c>
      <c r="AA36" s="204">
        <f t="shared" si="8"/>
        <v>23.282999999999998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9"/>
        <v>125</v>
      </c>
      <c r="AE36" s="77" t="str">
        <f t="shared" si="10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36" s="74" t="str">
        <f t="shared" si="11"/>
        <v>"C:\Program Files (x86)\AstroGrep\AstroGrep.exe" /e /r /s /spath="%USERPROFILE%\AppData\Local\Temp\OnboardLogs" /stypes="app*4042*20171028*" /stext=" 13:.+((SYSTEM_STATE.+slice.+state.+changed )|(ment ac)|(multiple cpu faults)|(system.+state.+changed )|(\[timeout)|(PRM\|1\|D)|(kpr)|(kdp)|(train st.+moving)|(\|lc)|(penalty))"</v>
      </c>
      <c r="AG36" s="182" t="str">
        <f t="shared" si="12"/>
        <v>EC</v>
      </c>
      <c r="AH36" s="78" t="str">
        <f t="shared" si="18"/>
        <v>"%USERPROFILE%\Documents\GitHub\eaglep3\Utilities\RefineRTDCRunTimes.py" --tripid 125-28 --locoid 4042 --swversion DE.1.0.9.0 --startMP 204:455 --initTime 2017-10-28T06:51:43 --startdatetime 2017-10-28T06:54:19 --delay 52 --endMP 204:233285 --enddatetime 2017-10-28T07:34:10 --enforcementcount 0 &gt;&gt;%USERPROFILE%\Documents\GitHub\eaglep3-reporting\EC\2017-10-28-refined-times.txt</v>
      </c>
      <c r="AI36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{"issue":{"subject":"","project_id":79,"tracker_id":40,"status_id":1,"priority_id":2,"assigned_to_id":338,"start_date":"2017-10-28","description":"","custom_fields":[{"id":1,"name":"Subdivision","value":"EC"},{"id":4,"name":"Milepost","value":"23.3285"},{"id":17,"name":"Train ID","value":"125-28"},{"id":16,"name":"Locomotive ID","value":"4042"},{"id":130,"name":"Impact","value":""},{"id":150,"name":"Time of Event (Mountain Time)","value":"07:34:10"},{"id":151,"name":"Denver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4042 --day 2017-10-28</v>
      </c>
      <c r="AN36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2"/>
        <v>https://d0f6bd738d7f1b3e5a7ca70fe4ff75f0.us-east-1.aws.found.io/app/kibana#/discover/Steve-Slow-Train-Analysis-(2080s-and-2083s)?_g=(refreshInterval:(display:Off,pause:!f,section:0,value:0),time:(from:'2017-10-28T05:51:43-0600',mode:absolute,to:'2017-10-28T08:34:10-0600'))&amp;_a=(columns:!('Message%20ID',Summary),filters:!(),index:'emp_*',interval:auto,query:(query_string:(analyze_wildcard:!t,query:'%22rtdc.l.rtdc.4042%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623</v>
      </c>
      <c r="B37" s="7">
        <v>4041</v>
      </c>
      <c r="C37" s="21" t="s">
        <v>194</v>
      </c>
      <c r="D37" s="21" t="s">
        <v>502</v>
      </c>
      <c r="E37" s="13">
        <v>43036.318310185183</v>
      </c>
      <c r="F37" s="13">
        <v>43036.321018518516</v>
      </c>
      <c r="G37" s="7">
        <v>49</v>
      </c>
      <c r="H37" s="21" t="s">
        <v>903</v>
      </c>
      <c r="I37" s="13">
        <v>43036.347719907404</v>
      </c>
      <c r="J37" s="7">
        <v>0</v>
      </c>
      <c r="K37" s="89" t="str">
        <f t="shared" si="0"/>
        <v>4041/4042</v>
      </c>
      <c r="L37" s="185" t="str">
        <f>VLOOKUP(A37,'Trips&amp;Operators'!$C$1:$G$99911,5,FALSE)</f>
        <v>LANGERAK WILLIAM</v>
      </c>
      <c r="M37" s="6">
        <f t="shared" si="1"/>
        <v>2.6701388887886424E-2</v>
      </c>
      <c r="N37" s="7">
        <f t="shared" si="23"/>
        <v>38.44999999855645</v>
      </c>
      <c r="O37" s="7"/>
      <c r="P37" s="7"/>
      <c r="Q37" s="22"/>
      <c r="R37" s="174"/>
      <c r="S37" s="221">
        <f t="shared" si="2"/>
        <v>1</v>
      </c>
      <c r="T37" s="174" t="str">
        <f t="shared" si="3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4"/>
        <v>https://d0f6bd738d7f1b3e5a7ca70fe4ff75f0.us-east-1.aws.found.io/app/kibana#/discover/Steve-Slow-Train-Analysis-(2080s-and-2083s)?_g=(refreshInterval:(display:Off,pause:!f,section:0,value:0),time:(from:'2017-10-28T06:38:22-0600',mode:absolute,to:'2017-10-28T09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7" s="204" t="str">
        <f>IF(AA37&lt;VLOOKUP(AG37,Variables!$AC$3:$AD$8,2,FALSE),"Y","N")</f>
        <v>N</v>
      </c>
      <c r="X37" s="204">
        <f t="shared" si="24"/>
        <v>1</v>
      </c>
      <c r="Y37" s="204">
        <f t="shared" si="6"/>
        <v>23.2987</v>
      </c>
      <c r="Z37" s="204">
        <f t="shared" si="7"/>
        <v>4.1799999999999997E-2</v>
      </c>
      <c r="AA37" s="204">
        <f t="shared" si="8"/>
        <v>23.256900000000002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9"/>
        <v>126</v>
      </c>
      <c r="AE37" s="77" t="str">
        <f t="shared" si="10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37" s="74" t="str">
        <f t="shared" si="11"/>
        <v>"C:\Program Files (x86)\AstroGrep\AstroGrep.exe" /e /r /s /spath="%USERPROFILE%\AppData\Local\Temp\OnboardLogs" /stypes="app*4041*20171028*" /stext=" 14:.+((SYSTEM_STATE.+slice.+state.+changed )|(ment ac)|(multiple cpu faults)|(system.+state.+changed )|(\[timeout)|(PRM\|1\|D)|(kpr)|(kdp)|(train st.+moving)|(\|lc)|(penalty))"</v>
      </c>
      <c r="AG37" s="182" t="str">
        <f t="shared" si="12"/>
        <v>EC</v>
      </c>
      <c r="AH37" s="78" t="str">
        <f t="shared" si="18"/>
        <v>"%USERPROFILE%\Documents\GitHub\eaglep3\Utilities\RefineRTDCRunTimes.py" --tripid 126-28 --locoid 4041 --swversion DE.1.0.9.0 --startMP 204:232987 --initTime 2017-10-28T07:38:22 --startdatetime 2017-10-28T07:42:16 --delay 49 --endMP 204:418 --enddatetime 2017-10-28T08:20:43 --enforcementcount 0 &gt;&gt;%USERPROFILE%\Documents\GitHub\eaglep3-reporting\EC\2017-10-28-refined-times.txt</v>
      </c>
      <c r="AI37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{"issue":{"subject":"","project_id":79,"tracker_id":40,"status_id":1,"priority_id":2,"assigned_to_id":338,"start_date":"2017-10-28","description":"","custom_fields":[{"id":1,"name":"Subdivision","value":"EC"},{"id":4,"name":"Milepost","value":"0.0418"},{"id":17,"name":"Train ID","value":"126-28"},{"id":16,"name":"Locomotive ID","value":"4041"},{"id":130,"name":"Impact","value":""},{"id":150,"name":"Time of Event (Mountain Time)","value":"08:20:43"},{"id":151,"name":"Denver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4041 --day 2017-10-28</v>
      </c>
      <c r="AN37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2"/>
        <v>https://d0f6bd738d7f1b3e5a7ca70fe4ff75f0.us-east-1.aws.found.io/app/kibana#/discover/Steve-Slow-Train-Analysis-(2080s-and-2083s)?_g=(refreshInterval:(display:Off,pause:!f,section:0,value:0),time:(from:'2017-10-28T06:38:22-0600',mode:absolute,to:'2017-10-28T09:20:43-0600'))&amp;_a=(columns:!('Message%20ID',Summary),filters:!(),index:'emp_*',interval:auto,query:(query_string:(analyze_wildcard:!t,query:'%22rtdc.l.rtdc.4041%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705</v>
      </c>
      <c r="B38" s="7">
        <v>4032</v>
      </c>
      <c r="C38" s="21" t="s">
        <v>194</v>
      </c>
      <c r="D38" s="21" t="s">
        <v>578</v>
      </c>
      <c r="E38" s="13">
        <v>43036.293136574073</v>
      </c>
      <c r="F38" s="13">
        <v>43036.294861111113</v>
      </c>
      <c r="G38" s="7">
        <v>73</v>
      </c>
      <c r="H38" s="21" t="s">
        <v>904</v>
      </c>
      <c r="I38" s="13">
        <v>43036.319606481484</v>
      </c>
      <c r="J38" s="7">
        <v>0</v>
      </c>
      <c r="K38" s="89" t="str">
        <f t="shared" si="0"/>
        <v>4031/4032</v>
      </c>
      <c r="L38" s="185" t="str">
        <f>VLOOKUP(A38,'Trips&amp;Operators'!$C$1:$G$99911,5,FALSE)</f>
        <v>MACDONALD THOMAS</v>
      </c>
      <c r="M38" s="6">
        <f t="shared" si="1"/>
        <v>2.47453703705105E-2</v>
      </c>
      <c r="N38" s="7">
        <f t="shared" si="23"/>
        <v>35.63333333353512</v>
      </c>
      <c r="O38" s="7"/>
      <c r="P38" s="7"/>
      <c r="Q38" s="22"/>
      <c r="R38" s="174"/>
      <c r="S38" s="221">
        <f t="shared" si="2"/>
        <v>1</v>
      </c>
      <c r="T38" s="174" t="str">
        <f t="shared" si="3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4"/>
        <v>https://d0f6bd738d7f1b3e5a7ca70fe4ff75f0.us-east-1.aws.found.io/app/kibana#/discover/Steve-Slow-Train-Analysis-(2080s-and-2083s)?_g=(refreshInterval:(display:Off,pause:!f,section:0,value:0),time:(from:'2017-10-28T06:02:07-0600',mode:absolute,to:'2017-10-28T08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8" s="204" t="str">
        <f>IF(AA38&lt;VLOOKUP(AG38,Variables!$AC$3:$AD$8,2,FALSE),"Y","N")</f>
        <v>N</v>
      </c>
      <c r="X38" s="204">
        <f t="shared" si="24"/>
        <v>1</v>
      </c>
      <c r="Y38" s="204">
        <f t="shared" si="6"/>
        <v>4.7699999999999999E-2</v>
      </c>
      <c r="Z38" s="204">
        <f t="shared" si="7"/>
        <v>23.322600000000001</v>
      </c>
      <c r="AA38" s="204">
        <f t="shared" si="8"/>
        <v>23.274900000000002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9"/>
        <v>127</v>
      </c>
      <c r="AE38" s="77" t="str">
        <f t="shared" si="10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38" s="74" t="str">
        <f t="shared" si="11"/>
        <v>"C:\Program Files (x86)\AstroGrep\AstroGrep.exe" /e /r /s /spath="%USERPROFILE%\AppData\Local\Temp\OnboardLogs" /stypes="app*4032*20171028*" /stext=" 13:.+((SYSTEM_STATE.+slice.+state.+changed )|(ment ac)|(multiple cpu faults)|(system.+state.+changed )|(\[timeout)|(PRM\|1\|D)|(kpr)|(kdp)|(train st.+moving)|(\|lc)|(penalty))"</v>
      </c>
      <c r="AG38" s="182" t="str">
        <f t="shared" si="12"/>
        <v>EC</v>
      </c>
      <c r="AH38" s="78" t="str">
        <f t="shared" si="18"/>
        <v>"%USERPROFILE%\Documents\GitHub\eaglep3\Utilities\RefineRTDCRunTimes.py" --tripid 127-28 --locoid 4032 --swversion DE.1.0.9.0 --startMP 204:477 --initTime 2017-10-28T07:02:07 --startdatetime 2017-10-28T07:04:36 --delay 73 --endMP 204:233226 --enddatetime 2017-10-28T07:40:14 --enforcementcount 0 &gt;&gt;%USERPROFILE%\Documents\GitHub\eaglep3-reporting\EC\2017-10-28-refined-times.txt</v>
      </c>
      <c r="AI38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{"issue":{"subject":"","project_id":79,"tracker_id":40,"status_id":1,"priority_id":2,"assigned_to_id":338,"start_date":"2017-10-28","description":"","custom_fields":[{"id":1,"name":"Subdivision","value":"EC"},{"id":4,"name":"Milepost","value":"23.3226"},{"id":17,"name":"Train ID","value":"127-28"},{"id":16,"name":"Locomotive ID","value":"4032"},{"id":130,"name":"Impact","value":""},{"id":150,"name":"Time of Event (Mountain Time)","value":"07:40:14"},{"id":151,"name":"Denver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4032 --day 2017-10-28</v>
      </c>
      <c r="AN38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2"/>
        <v>https://d0f6bd738d7f1b3e5a7ca70fe4ff75f0.us-east-1.aws.found.io/app/kibana#/discover/Steve-Slow-Train-Analysis-(2080s-and-2083s)?_g=(refreshInterval:(display:Off,pause:!f,section:0,value:0),time:(from:'2017-10-28T06:02:07-0600',mode:absolute,to:'2017-10-28T08:40:14-0600'))&amp;_a=(columns:!('Message%20ID',Summary),filters:!(),index:'emp_*',interval:auto,query:(query_string:(analyze_wildcard:!t,query:'%22rtdc.l.rtdc.4032%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714</v>
      </c>
      <c r="B39" s="7">
        <v>4031</v>
      </c>
      <c r="C39" s="21" t="s">
        <v>194</v>
      </c>
      <c r="D39" s="21" t="s">
        <v>564</v>
      </c>
      <c r="E39" s="13">
        <v>43036.323240740741</v>
      </c>
      <c r="F39" s="13">
        <v>43036.331747685188</v>
      </c>
      <c r="G39" s="7">
        <v>79</v>
      </c>
      <c r="H39" s="21" t="s">
        <v>572</v>
      </c>
      <c r="I39" s="13">
        <v>43036.358773148146</v>
      </c>
      <c r="J39" s="7">
        <v>0</v>
      </c>
      <c r="K39" s="89" t="str">
        <f t="shared" si="0"/>
        <v>4031/4032</v>
      </c>
      <c r="L39" s="185" t="str">
        <f>VLOOKUP(A39,'Trips&amp;Operators'!$C$1:$G$99911,5,FALSE)</f>
        <v>MACDONALD THOMAS</v>
      </c>
      <c r="M39" s="6">
        <f t="shared" si="1"/>
        <v>2.7025462957681157E-2</v>
      </c>
      <c r="N39" s="7">
        <f t="shared" si="23"/>
        <v>38.916666659060866</v>
      </c>
      <c r="O39" s="7"/>
      <c r="P39" s="7"/>
      <c r="Q39" s="22"/>
      <c r="R39" s="174"/>
      <c r="S39" s="221">
        <f t="shared" si="2"/>
        <v>1</v>
      </c>
      <c r="T39" s="174" t="str">
        <f t="shared" si="3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4"/>
        <v>https://d0f6bd738d7f1b3e5a7ca70fe4ff75f0.us-east-1.aws.found.io/app/kibana#/discover/Steve-Slow-Train-Analysis-(2080s-and-2083s)?_g=(refreshInterval:(display:Off,pause:!f,section:0,value:0),time:(from:'2017-10-28T06:45:28-0600',mode:absolute,to:'2017-10-28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9" s="204" t="str">
        <f>IF(AA39&lt;VLOOKUP(AG39,Variables!$AC$3:$AD$8,2,FALSE),"Y","N")</f>
        <v>N</v>
      </c>
      <c r="X39" s="204">
        <f t="shared" si="24"/>
        <v>1</v>
      </c>
      <c r="Y39" s="204">
        <f t="shared" si="6"/>
        <v>23.29</v>
      </c>
      <c r="Z39" s="204">
        <f t="shared" si="7"/>
        <v>1.7399999999999999E-2</v>
      </c>
      <c r="AA39" s="204">
        <f t="shared" si="8"/>
        <v>23.272600000000001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9"/>
        <v>128</v>
      </c>
      <c r="AE39" s="77" t="str">
        <f t="shared" si="10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39" s="74" t="str">
        <f t="shared" si="11"/>
        <v>"C:\Program Files (x86)\AstroGrep\AstroGrep.exe" /e /r /s /spath="%USERPROFILE%\AppData\Local\Temp\OnboardLogs" /stypes="app*4031*20171028*" /stext=" 14:.+((SYSTEM_STATE.+slice.+state.+changed )|(ment ac)|(multiple cpu faults)|(system.+state.+changed )|(\[timeout)|(PRM\|1\|D)|(kpr)|(kdp)|(train st.+moving)|(\|lc)|(penalty))"</v>
      </c>
      <c r="AG39" s="182" t="str">
        <f t="shared" si="12"/>
        <v>EC</v>
      </c>
      <c r="AH39" s="78" t="str">
        <f t="shared" si="18"/>
        <v>"%USERPROFILE%\Documents\GitHub\eaglep3\Utilities\RefineRTDCRunTimes.py" --tripid 128-28 --locoid 4031 --swversion DE.1.0.9.0 --startMP 204:232900 --initTime 2017-10-28T07:45:28 --startdatetime 2017-10-28T07:57:43 --delay 79 --endMP 204:174 --enddatetime 2017-10-28T08:36:38 --enforcementcount 0 &gt;&gt;%USERPROFILE%\Documents\GitHub\eaglep3-reporting\EC\2017-10-28-refined-times.txt</v>
      </c>
      <c r="AI39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{"issue":{"subject":"","project_id":79,"tracker_id":40,"status_id":1,"priority_id":2,"assigned_to_id":338,"start_date":"2017-10-28","description":"","custom_fields":[{"id":1,"name":"Subdivision","value":"EC"},{"id":4,"name":"Milepost","value":"0.0174"},{"id":17,"name":"Train ID","value":"128-28"},{"id":16,"name":"Locomotive ID","value":"4031"},{"id":130,"name":"Impact","value":""},{"id":150,"name":"Time of Event (Mountain Time)","value":"08:36:38"},{"id":151,"name":"Denver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4031 --day 2017-10-28</v>
      </c>
      <c r="AN39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2"/>
        <v>https://d0f6bd738d7f1b3e5a7ca70fe4ff75f0.us-east-1.aws.found.io/app/kibana#/discover/Steve-Slow-Train-Analysis-(2080s-and-2083s)?_g=(refreshInterval:(display:Off,pause:!f,section:0,value:0),time:(from:'2017-10-28T06:45:28-0600',mode:absolute,to:'2017-10-28T09:36:38-0600'))&amp;_a=(columns:!('Message%20ID',Summary),filters:!(),index:'emp_*',interval:auto,query:(query_string:(analyze_wildcard:!t,query:'%22rtdc.l.rtdc.4031%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707</v>
      </c>
      <c r="B40" s="7">
        <v>4024</v>
      </c>
      <c r="C40" s="21" t="s">
        <v>194</v>
      </c>
      <c r="D40" s="21" t="s">
        <v>905</v>
      </c>
      <c r="E40" s="13">
        <v>43036.297372685185</v>
      </c>
      <c r="F40" s="13">
        <v>43036.302372685182</v>
      </c>
      <c r="G40" s="7">
        <v>55</v>
      </c>
      <c r="H40" s="21" t="s">
        <v>906</v>
      </c>
      <c r="I40" s="13">
        <v>43036.327210648145</v>
      </c>
      <c r="J40" s="7">
        <v>0</v>
      </c>
      <c r="K40" s="89" t="str">
        <f t="shared" si="0"/>
        <v>4023/4024</v>
      </c>
      <c r="L40" s="185" t="str">
        <f>VLOOKUP(A40,'Trips&amp;Operators'!$C$1:$G$99911,5,FALSE)</f>
        <v>MAELZER KURT</v>
      </c>
      <c r="M40" s="6">
        <f t="shared" si="1"/>
        <v>2.4837962962919846E-2</v>
      </c>
      <c r="N40" s="7">
        <f t="shared" si="23"/>
        <v>35.766666666604578</v>
      </c>
      <c r="O40" s="7"/>
      <c r="P40" s="7"/>
      <c r="Q40" s="22"/>
      <c r="R40" s="174"/>
      <c r="S40" s="221">
        <f t="shared" si="2"/>
        <v>1</v>
      </c>
      <c r="T40" s="174" t="str">
        <f t="shared" si="3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4"/>
        <v>https://d0f6bd738d7f1b3e5a7ca70fe4ff75f0.us-east-1.aws.found.io/app/kibana#/discover/Steve-Slow-Train-Analysis-(2080s-and-2083s)?_g=(refreshInterval:(display:Off,pause:!f,section:0,value:0),time:(from:'2017-10-28T06:08:13-0600',mode:absolute,to:'2017-10-28T08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0" s="204" t="str">
        <f>IF(AA40&lt;VLOOKUP(AG40,Variables!$AC$3:$AD$8,2,FALSE),"Y","N")</f>
        <v>N</v>
      </c>
      <c r="X40" s="204">
        <f t="shared" ref="X40:X71" si="25">VALUE(LEFT(AD40,4))-VALUE(LEFT(AD39,4))</f>
        <v>1</v>
      </c>
      <c r="Y40" s="204">
        <f t="shared" si="6"/>
        <v>4.9799999999999997E-2</v>
      </c>
      <c r="Z40" s="204">
        <f t="shared" si="7"/>
        <v>23.331499999999998</v>
      </c>
      <c r="AA40" s="204">
        <f t="shared" si="8"/>
        <v>23.281699999999997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9"/>
        <v>129</v>
      </c>
      <c r="AE40" s="77" t="str">
        <f t="shared" si="10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40" s="74" t="str">
        <f t="shared" si="11"/>
        <v>"C:\Program Files (x86)\AstroGrep\AstroGrep.exe" /e /r /s /spath="%USERPROFILE%\AppData\Local\Temp\OnboardLogs" /stypes="app*4024*20171028*" /stext=" 13:.+((SYSTEM_STATE.+slice.+state.+changed )|(ment ac)|(multiple cpu faults)|(system.+state.+changed )|(\[timeout)|(PRM\|1\|D)|(kpr)|(kdp)|(train st.+moving)|(\|lc)|(penalty))"</v>
      </c>
      <c r="AG40" s="182" t="str">
        <f t="shared" si="12"/>
        <v>EC</v>
      </c>
      <c r="AH40" s="78" t="str">
        <f t="shared" si="18"/>
        <v>"%USERPROFILE%\Documents\GitHub\eaglep3\Utilities\RefineRTDCRunTimes.py" --tripid 129-28 --locoid 4024 --swversion DE.1.0.9.0 --startMP 204:498 --initTime 2017-10-28T07:08:13 --startdatetime 2017-10-28T07:15:25 --delay 55 --endMP 204:233315 --enddatetime 2017-10-28T07:51:11 --enforcementcount 0 &gt;&gt;%USERPROFILE%\Documents\GitHub\eaglep3-reporting\EC\2017-10-28-refined-times.txt</v>
      </c>
      <c r="AI40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{"issue":{"subject":"","project_id":79,"tracker_id":40,"status_id":1,"priority_id":2,"assigned_to_id":338,"start_date":"2017-10-28","description":"","custom_fields":[{"id":1,"name":"Subdivision","value":"EC"},{"id":4,"name":"Milepost","value":"23.3315"},{"id":17,"name":"Train ID","value":"129-28"},{"id":16,"name":"Locomotive ID","value":"4024"},{"id":130,"name":"Impact","value":""},{"id":150,"name":"Time of Event (Mountain Time)","value":"07:51:11"},{"id":151,"name":"Denver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4024 --day 2017-10-28</v>
      </c>
      <c r="AN40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2"/>
        <v>https://d0f6bd738d7f1b3e5a7ca70fe4ff75f0.us-east-1.aws.found.io/app/kibana#/discover/Steve-Slow-Train-Analysis-(2080s-and-2083s)?_g=(refreshInterval:(display:Off,pause:!f,section:0,value:0),time:(from:'2017-10-28T06:08:13-0600',mode:absolute,to:'2017-10-28T08:51:11-0600'))&amp;_a=(columns:!('Message%20ID',Summary),filters:!(),index:'emp_*',interval:auto,query:(query_string:(analyze_wildcard:!t,query:'%22rtdc.l.rtdc.4024%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718</v>
      </c>
      <c r="B41" s="7">
        <v>4023</v>
      </c>
      <c r="C41" s="21" t="s">
        <v>194</v>
      </c>
      <c r="D41" s="21" t="s">
        <v>557</v>
      </c>
      <c r="E41" s="13">
        <v>43036.332650462966</v>
      </c>
      <c r="F41" s="13">
        <v>43036.341909722221</v>
      </c>
      <c r="G41" s="7">
        <v>84</v>
      </c>
      <c r="H41" s="21" t="s">
        <v>358</v>
      </c>
      <c r="I41" s="13">
        <v>43036.367569444446</v>
      </c>
      <c r="J41" s="7">
        <v>0</v>
      </c>
      <c r="K41" s="89" t="str">
        <f t="shared" si="0"/>
        <v>4023/4024</v>
      </c>
      <c r="L41" s="185" t="str">
        <f>VLOOKUP(A41,'Trips&amp;Operators'!$C$1:$G$99911,5,FALSE)</f>
        <v>MAELZER KURT</v>
      </c>
      <c r="M41" s="6">
        <f t="shared" si="1"/>
        <v>2.5659722225100268E-2</v>
      </c>
      <c r="N41" s="7">
        <f t="shared" si="23"/>
        <v>36.950000004144385</v>
      </c>
      <c r="O41" s="7"/>
      <c r="P41" s="7"/>
      <c r="Q41" s="22"/>
      <c r="R41" s="174"/>
      <c r="S41" s="221">
        <f t="shared" si="2"/>
        <v>1</v>
      </c>
      <c r="T41" s="174" t="str">
        <f t="shared" si="3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4"/>
        <v>https://d0f6bd738d7f1b3e5a7ca70fe4ff75f0.us-east-1.aws.found.io/app/kibana#/discover/Steve-Slow-Train-Analysis-(2080s-and-2083s)?_g=(refreshInterval:(display:Off,pause:!f,section:0,value:0),time:(from:'2017-10-28T06:59:01-0600',mode:absolute,to:'2017-10-28T09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1" s="204" t="str">
        <f>IF(AA41&lt;VLOOKUP(AG41,Variables!$AC$3:$AD$8,2,FALSE),"Y","N")</f>
        <v>N</v>
      </c>
      <c r="X41" s="204">
        <f t="shared" si="25"/>
        <v>1</v>
      </c>
      <c r="Y41" s="204">
        <f t="shared" si="6"/>
        <v>23.299800000000001</v>
      </c>
      <c r="Z41" s="204">
        <f t="shared" si="7"/>
        <v>1.54E-2</v>
      </c>
      <c r="AA41" s="204">
        <f t="shared" si="8"/>
        <v>23.284400000000002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9"/>
        <v>130</v>
      </c>
      <c r="AE41" s="77" t="str">
        <f t="shared" si="10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41" s="74" t="str">
        <f t="shared" si="11"/>
        <v>"C:\Program Files (x86)\AstroGrep\AstroGrep.exe" /e /r /s /spath="%USERPROFILE%\AppData\Local\Temp\OnboardLogs" /stypes="app*4023*20171028*" /stext=" 14:.+((SYSTEM_STATE.+slice.+state.+changed )|(ment ac)|(multiple cpu faults)|(system.+state.+changed )|(\[timeout)|(PRM\|1\|D)|(kpr)|(kdp)|(train st.+moving)|(\|lc)|(penalty))"</v>
      </c>
      <c r="AG41" s="182" t="str">
        <f t="shared" si="12"/>
        <v>EC</v>
      </c>
      <c r="AH41" s="78" t="str">
        <f t="shared" si="18"/>
        <v>"%USERPROFILE%\Documents\GitHub\eaglep3\Utilities\RefineRTDCRunTimes.py" --tripid 130-28 --locoid 4023 --swversion DE.1.0.9.0 --startMP 204:232998 --initTime 2017-10-28T07:59:01 --startdatetime 2017-10-28T08:12:21 --delay 84 --endMP 204:154 --enddatetime 2017-10-28T08:49:18 --enforcementcount 0 &gt;&gt;%USERPROFILE%\Documents\GitHub\eaglep3-reporting\EC\2017-10-28-refined-times.txt</v>
      </c>
      <c r="AI41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{"issue":{"subject":"","project_id":79,"tracker_id":40,"status_id":1,"priority_id":2,"assigned_to_id":338,"start_date":"2017-10-28","description":"","custom_fields":[{"id":1,"name":"Subdivision","value":"EC"},{"id":4,"name":"Milepost","value":"0.0154"},{"id":17,"name":"Train ID","value":"130-28"},{"id":16,"name":"Locomotive ID","value":"4023"},{"id":130,"name":"Impact","value":""},{"id":150,"name":"Time of Event (Mountain Time)","value":"08:49:18"},{"id":151,"name":"Denver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4023 --day 2017-10-28</v>
      </c>
      <c r="AN41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2"/>
        <v>https://d0f6bd738d7f1b3e5a7ca70fe4ff75f0.us-east-1.aws.found.io/app/kibana#/discover/Steve-Slow-Train-Analysis-(2080s-and-2083s)?_g=(refreshInterval:(display:Off,pause:!f,section:0,value:0),time:(from:'2017-10-28T06:59:01-0600',mode:absolute,to:'2017-10-28T09:49:18-0600'))&amp;_a=(columns:!('Message%20ID',Summary),filters:!(),index:'emp_*',interval:auto,query:(query_string:(analyze_wildcard:!t,query:'%22rtdc.l.rtdc.4023%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711</v>
      </c>
      <c r="B42" s="7">
        <v>4064</v>
      </c>
      <c r="C42" s="21" t="s">
        <v>194</v>
      </c>
      <c r="D42" s="21" t="s">
        <v>907</v>
      </c>
      <c r="E42" s="13">
        <v>43036.309965277775</v>
      </c>
      <c r="F42" s="13">
        <v>43036.312754629631</v>
      </c>
      <c r="G42" s="7">
        <v>144</v>
      </c>
      <c r="H42" s="21" t="s">
        <v>908</v>
      </c>
      <c r="I42" s="13">
        <v>43036.336909722224</v>
      </c>
      <c r="J42" s="7">
        <v>0</v>
      </c>
      <c r="K42" s="89" t="str">
        <f t="shared" si="0"/>
        <v>4063/4064</v>
      </c>
      <c r="L42" s="185" t="str">
        <f>VLOOKUP(A42,'Trips&amp;Operators'!$C$1:$G$99911,5,FALSE)</f>
        <v>MOSES BRADLEY</v>
      </c>
      <c r="M42" s="6">
        <f t="shared" si="1"/>
        <v>2.4155092592991423E-2</v>
      </c>
      <c r="N42" s="7">
        <f t="shared" si="23"/>
        <v>34.783333333907649</v>
      </c>
      <c r="O42" s="7"/>
      <c r="P42" s="7"/>
      <c r="Q42" s="22"/>
      <c r="R42" s="174"/>
      <c r="S42" s="221">
        <f t="shared" si="2"/>
        <v>1</v>
      </c>
      <c r="T42" s="174" t="str">
        <f t="shared" si="3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4"/>
        <v>https://d0f6bd738d7f1b3e5a7ca70fe4ff75f0.us-east-1.aws.found.io/app/kibana#/discover/Steve-Slow-Train-Analysis-(2080s-and-2083s)?_g=(refreshInterval:(display:Off,pause:!f,section:0,value:0),time:(from:'2017-10-28T06:26:21-0600',mode:absolute,to:'2017-10-28T09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2" s="204" t="str">
        <f>IF(AA42&lt;VLOOKUP(AG42,Variables!$AC$3:$AD$8,2,FALSE),"Y","N")</f>
        <v>N</v>
      </c>
      <c r="X42" s="204">
        <f t="shared" si="25"/>
        <v>1</v>
      </c>
      <c r="Y42" s="204">
        <f t="shared" si="6"/>
        <v>5.5500000000000001E-2</v>
      </c>
      <c r="Z42" s="204">
        <f t="shared" si="7"/>
        <v>23.3293</v>
      </c>
      <c r="AA42" s="204">
        <f t="shared" si="8"/>
        <v>23.273800000000001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9"/>
        <v>131</v>
      </c>
      <c r="AE42" s="77" t="str">
        <f t="shared" si="10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42" s="74" t="str">
        <f t="shared" si="11"/>
        <v>"C:\Program Files (x86)\AstroGrep\AstroGrep.exe" /e /r /s /spath="%USERPROFILE%\AppData\Local\Temp\OnboardLogs" /stypes="app*4064*20171028*" /stext=" 14:.+((SYSTEM_STATE.+slice.+state.+changed )|(ment ac)|(multiple cpu faults)|(system.+state.+changed )|(\[timeout)|(PRM\|1\|D)|(kpr)|(kdp)|(train st.+moving)|(\|lc)|(penalty))"</v>
      </c>
      <c r="AG42" s="182" t="str">
        <f t="shared" si="12"/>
        <v>EC</v>
      </c>
      <c r="AH42" s="78" t="str">
        <f t="shared" si="18"/>
        <v>"%USERPROFILE%\Documents\GitHub\eaglep3\Utilities\RefineRTDCRunTimes.py" --tripid 131-28 --locoid 4064 --swversion DE.1.0.9.0 --startMP 204:555 --initTime 2017-10-28T07:26:21 --startdatetime 2017-10-28T07:30:22 --delay 144 --endMP 204:233293 --enddatetime 2017-10-28T08:05:09 --enforcementcount 0 &gt;&gt;%USERPROFILE%\Documents\GitHub\eaglep3-reporting\EC\2017-10-28-refined-times.txt</v>
      </c>
      <c r="AI42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{"issue":{"subject":"","project_id":79,"tracker_id":40,"status_id":1,"priority_id":2,"assigned_to_id":338,"start_date":"2017-10-28","description":"","custom_fields":[{"id":1,"name":"Subdivision","value":"EC"},{"id":4,"name":"Milepost","value":"23.3293"},{"id":17,"name":"Train ID","value":"131-28"},{"id":16,"name":"Locomotive ID","value":"4064"},{"id":130,"name":"Impact","value":""},{"id":150,"name":"Time of Event (Mountain Time)","value":"08:05:09"},{"id":151,"name":"Denver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4064 --day 2017-10-28</v>
      </c>
      <c r="AN42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2"/>
        <v>https://d0f6bd738d7f1b3e5a7ca70fe4ff75f0.us-east-1.aws.found.io/app/kibana#/discover/Steve-Slow-Train-Analysis-(2080s-and-2083s)?_g=(refreshInterval:(display:Off,pause:!f,section:0,value:0),time:(from:'2017-10-28T06:26:21-0600',mode:absolute,to:'2017-10-28T09:05:09-0600'))&amp;_a=(columns:!('Message%20ID',Summary),filters:!(),index:'emp_*',interval:auto,query:(query_string:(analyze_wildcard:!t,query:'%22rtdc.l.rtdc.4064%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721</v>
      </c>
      <c r="B43" s="7">
        <v>4063</v>
      </c>
      <c r="C43" s="21" t="s">
        <v>194</v>
      </c>
      <c r="D43" s="21" t="s">
        <v>495</v>
      </c>
      <c r="E43" s="13">
        <v>43036.348981481482</v>
      </c>
      <c r="F43" s="13">
        <v>43036.352303240739</v>
      </c>
      <c r="G43" s="7">
        <v>50</v>
      </c>
      <c r="H43" s="21" t="s">
        <v>587</v>
      </c>
      <c r="I43" s="13">
        <v>43036.378854166665</v>
      </c>
      <c r="J43" s="7">
        <v>0</v>
      </c>
      <c r="K43" s="89" t="str">
        <f t="shared" si="0"/>
        <v>4063/4064</v>
      </c>
      <c r="L43" s="185" t="str">
        <f>VLOOKUP(A43,'Trips&amp;Operators'!$C$1:$G$99911,5,FALSE)</f>
        <v>MOSES BRADLEY</v>
      </c>
      <c r="M43" s="6">
        <f t="shared" si="1"/>
        <v>2.6550925926130731E-2</v>
      </c>
      <c r="N43" s="7">
        <f t="shared" si="23"/>
        <v>38.233333333628252</v>
      </c>
      <c r="O43" s="7"/>
      <c r="P43" s="7"/>
      <c r="Q43" s="22"/>
      <c r="R43" s="174"/>
      <c r="S43" s="221">
        <f t="shared" si="2"/>
        <v>1</v>
      </c>
      <c r="T43" s="174" t="str">
        <f t="shared" si="3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4"/>
        <v>https://d0f6bd738d7f1b3e5a7ca70fe4ff75f0.us-east-1.aws.found.io/app/kibana#/discover/Steve-Slow-Train-Analysis-(2080s-and-2083s)?_g=(refreshInterval:(display:Off,pause:!f,section:0,value:0),time:(from:'2017-10-28T07:22:32-0600',mode:absolute,to:'2017-10-28T10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3" s="204" t="str">
        <f>IF(AA43&lt;VLOOKUP(AG43,Variables!$AC$3:$AD$8,2,FALSE),"Y","N")</f>
        <v>N</v>
      </c>
      <c r="X43" s="204">
        <f t="shared" si="25"/>
        <v>1</v>
      </c>
      <c r="Y43" s="204">
        <f t="shared" si="6"/>
        <v>23.2973</v>
      </c>
      <c r="Z43" s="204">
        <f t="shared" si="7"/>
        <v>1.89E-2</v>
      </c>
      <c r="AA43" s="204">
        <f t="shared" si="8"/>
        <v>23.278400000000001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9"/>
        <v>132</v>
      </c>
      <c r="AE43" s="77" t="str">
        <f t="shared" si="10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43" s="74" t="str">
        <f t="shared" si="11"/>
        <v>"C:\Program Files (x86)\AstroGrep\AstroGrep.exe" /e /r /s /spath="%USERPROFILE%\AppData\Local\Temp\OnboardLogs" /stypes="app*4063*20171028*" /stext=" 15:.+((SYSTEM_STATE.+slice.+state.+changed )|(ment ac)|(multiple cpu faults)|(system.+state.+changed )|(\[timeout)|(PRM\|1\|D)|(kpr)|(kdp)|(train st.+moving)|(\|lc)|(penalty))"</v>
      </c>
      <c r="AG43" s="182" t="str">
        <f t="shared" si="12"/>
        <v>EC</v>
      </c>
      <c r="AH43" s="78" t="str">
        <f t="shared" si="18"/>
        <v>"%USERPROFILE%\Documents\GitHub\eaglep3\Utilities\RefineRTDCRunTimes.py" --tripid 132-28 --locoid 4063 --swversion DE.1.0.9.0 --startMP 204:232973 --initTime 2017-10-28T08:22:32 --startdatetime 2017-10-28T08:27:19 --delay 50 --endMP 204:189 --enddatetime 2017-10-28T09:05:33 --enforcementcount 0 &gt;&gt;%USERPROFILE%\Documents\GitHub\eaglep3-reporting\EC\2017-10-28-refined-times.txt</v>
      </c>
      <c r="AI43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{"issue":{"subject":"","project_id":79,"tracker_id":40,"status_id":1,"priority_id":2,"assigned_to_id":338,"start_date":"2017-10-28","description":"","custom_fields":[{"id":1,"name":"Subdivision","value":"EC"},{"id":4,"name":"Milepost","value":"0.0189"},{"id":17,"name":"Train ID","value":"132-28"},{"id":16,"name":"Locomotive ID","value":"4063"},{"id":130,"name":"Impact","value":""},{"id":150,"name":"Time of Event (Mountain Time)","value":"09:05:33"},{"id":151,"name":"Denver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4063 --day 2017-10-28</v>
      </c>
      <c r="AN43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2"/>
        <v>https://d0f6bd738d7f1b3e5a7ca70fe4ff75f0.us-east-1.aws.found.io/app/kibana#/discover/Steve-Slow-Train-Analysis-(2080s-and-2083s)?_g=(refreshInterval:(display:Off,pause:!f,section:0,value:0),time:(from:'2017-10-28T07:22:32-0600',mode:absolute,to:'2017-10-28T10:05:33-0600'))&amp;_a=(columns:!('Message%20ID',Summary),filters:!(),index:'emp_*',interval:auto,query:(query_string:(analyze_wildcard:!t,query:'%22rtdc.l.rtdc.4063%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713</v>
      </c>
      <c r="B44" s="7">
        <v>4012</v>
      </c>
      <c r="C44" s="21" t="s">
        <v>194</v>
      </c>
      <c r="D44" s="21" t="s">
        <v>590</v>
      </c>
      <c r="E44" s="13">
        <v>43036.320104166669</v>
      </c>
      <c r="F44" s="13">
        <v>43036.323125000003</v>
      </c>
      <c r="G44" s="7">
        <v>122</v>
      </c>
      <c r="H44" s="21" t="s">
        <v>909</v>
      </c>
      <c r="I44" s="13">
        <v>43036.347731481481</v>
      </c>
      <c r="J44" s="7">
        <v>0</v>
      </c>
      <c r="K44" s="89" t="str">
        <f t="shared" si="0"/>
        <v>4011/4012</v>
      </c>
      <c r="L44" s="185" t="str">
        <f>VLOOKUP(A44,'Trips&amp;Operators'!$C$1:$G$99911,5,FALSE)</f>
        <v>DE LA ROSA ALEX</v>
      </c>
      <c r="M44" s="6">
        <f t="shared" si="1"/>
        <v>2.4606481478258502E-2</v>
      </c>
      <c r="N44" s="7">
        <f t="shared" si="23"/>
        <v>35.433333328692243</v>
      </c>
      <c r="O44" s="7"/>
      <c r="P44" s="7"/>
      <c r="Q44" s="22"/>
      <c r="R44" s="174"/>
      <c r="S44" s="221">
        <f t="shared" si="2"/>
        <v>1</v>
      </c>
      <c r="T44" s="174" t="str">
        <f t="shared" si="3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4"/>
        <v>https://d0f6bd738d7f1b3e5a7ca70fe4ff75f0.us-east-1.aws.found.io/app/kibana#/discover/Steve-Slow-Train-Analysis-(2080s-and-2083s)?_g=(refreshInterval:(display:Off,pause:!f,section:0,value:0),time:(from:'2017-10-28T06:40:57-0600',mode:absolute,to:'2017-10-28T09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4" s="204" t="str">
        <f>IF(AA44&lt;VLOOKUP(AG44,Variables!$AC$3:$AD$8,2,FALSE),"Y","N")</f>
        <v>N</v>
      </c>
      <c r="X44" s="204">
        <f t="shared" si="25"/>
        <v>1</v>
      </c>
      <c r="Y44" s="204">
        <f t="shared" si="6"/>
        <v>5.5100000000000003E-2</v>
      </c>
      <c r="Z44" s="204">
        <f t="shared" si="7"/>
        <v>23.328099999999999</v>
      </c>
      <c r="AA44" s="204">
        <f t="shared" si="8"/>
        <v>23.273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9"/>
        <v>133</v>
      </c>
      <c r="AE44" s="77" t="str">
        <f t="shared" si="10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44" s="74" t="str">
        <f t="shared" si="11"/>
        <v>"C:\Program Files (x86)\AstroGrep\AstroGrep.exe" /e /r /s /spath="%USERPROFILE%\AppData\Local\Temp\OnboardLogs" /stypes="app*4012*20171028*" /stext=" 14:.+((SYSTEM_STATE.+slice.+state.+changed )|(ment ac)|(multiple cpu faults)|(system.+state.+changed )|(\[timeout)|(PRM\|1\|D)|(kpr)|(kdp)|(train st.+moving)|(\|lc)|(penalty))"</v>
      </c>
      <c r="AG44" s="182" t="str">
        <f t="shared" si="12"/>
        <v>EC</v>
      </c>
      <c r="AH44" s="78" t="str">
        <f t="shared" si="18"/>
        <v>"%USERPROFILE%\Documents\GitHub\eaglep3\Utilities\RefineRTDCRunTimes.py" --tripid 133-28 --locoid 4012 --swversion DE.1.0.9.0 --startMP 204:551 --initTime 2017-10-28T07:40:57 --startdatetime 2017-10-28T07:45:18 --delay 122 --endMP 204:233281 --enddatetime 2017-10-28T08:20:44 --enforcementcount 0 &gt;&gt;%USERPROFILE%\Documents\GitHub\eaglep3-reporting\EC\2017-10-28-refined-times.txt</v>
      </c>
      <c r="AI44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{"issue":{"subject":"","project_id":79,"tracker_id":40,"status_id":1,"priority_id":2,"assigned_to_id":338,"start_date":"2017-10-28","description":"","custom_fields":[{"id":1,"name":"Subdivision","value":"EC"},{"id":4,"name":"Milepost","value":"23.3281"},{"id":17,"name":"Train ID","value":"133-28"},{"id":16,"name":"Locomotive ID","value":"4012"},{"id":130,"name":"Impact","value":""},{"id":150,"name":"Time of Event (Mountain Time)","value":"08:20:44"},{"id":151,"name":"Denver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4012 --day 2017-10-28</v>
      </c>
      <c r="AN44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2"/>
        <v>https://d0f6bd738d7f1b3e5a7ca70fe4ff75f0.us-east-1.aws.found.io/app/kibana#/discover/Steve-Slow-Train-Analysis-(2080s-and-2083s)?_g=(refreshInterval:(display:Off,pause:!f,section:0,value:0),time:(from:'2017-10-28T06:40:57-0600',mode:absolute,to:'2017-10-28T09:20:44-0600'))&amp;_a=(columns:!('Message%20ID',Summary),filters:!(),index:'emp_*',interval:auto,query:(query_string:(analyze_wildcard:!t,query:'%22rtdc.l.rtdc.4012%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724</v>
      </c>
      <c r="B45" s="7">
        <v>4011</v>
      </c>
      <c r="C45" s="21" t="s">
        <v>194</v>
      </c>
      <c r="D45" s="21" t="s">
        <v>901</v>
      </c>
      <c r="E45" s="13">
        <v>43036.358055555553</v>
      </c>
      <c r="F45" s="13">
        <v>43036.362719907411</v>
      </c>
      <c r="G45" s="7">
        <v>49</v>
      </c>
      <c r="H45" s="21" t="s">
        <v>910</v>
      </c>
      <c r="I45" s="13">
        <v>43036.38826388889</v>
      </c>
      <c r="J45" s="7">
        <v>0</v>
      </c>
      <c r="K45" s="89" t="str">
        <f t="shared" si="0"/>
        <v>4011/4012</v>
      </c>
      <c r="L45" s="185" t="str">
        <f>VLOOKUP(A45,'Trips&amp;Operators'!$C$1:$G$99911,5,FALSE)</f>
        <v>DE LA ROSA ALEX</v>
      </c>
      <c r="M45" s="6">
        <f t="shared" si="1"/>
        <v>2.5543981479131617E-2</v>
      </c>
      <c r="N45" s="7">
        <f t="shared" si="23"/>
        <v>36.783333329949528</v>
      </c>
      <c r="O45" s="7"/>
      <c r="P45" s="7"/>
      <c r="Q45" s="22"/>
      <c r="R45" s="174"/>
      <c r="S45" s="221">
        <f t="shared" ref="S45:S76" si="26">1/IF(AG45="EC",12,1)*SUM(U45:U45)</f>
        <v>1</v>
      </c>
      <c r="T45" s="174" t="str">
        <f t="shared" si="3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4"/>
        <v>https://d0f6bd738d7f1b3e5a7ca70fe4ff75f0.us-east-1.aws.found.io/app/kibana#/discover/Steve-Slow-Train-Analysis-(2080s-and-2083s)?_g=(refreshInterval:(display:Off,pause:!f,section:0,value:0),time:(from:'2017-10-28T07:35:36-0600',mode:absolute,to:'2017-10-28T10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5" s="204" t="str">
        <f>IF(AA45&lt;VLOOKUP(AG45,Variables!$AC$3:$AD$8,2,FALSE),"Y","N")</f>
        <v>N</v>
      </c>
      <c r="X45" s="204">
        <f t="shared" si="25"/>
        <v>1</v>
      </c>
      <c r="Y45" s="204">
        <f t="shared" ref="Y45:Y75" si="27">RIGHT(D45,LEN(D45)-4)/10000</f>
        <v>23.296399999999998</v>
      </c>
      <c r="Z45" s="204">
        <f t="shared" ref="Z45:Z75" si="28">RIGHT(H45,LEN(H45)-4)/10000</f>
        <v>2.3199999999999998E-2</v>
      </c>
      <c r="AA45" s="204">
        <f t="shared" si="8"/>
        <v>23.273199999999999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9"/>
        <v>134</v>
      </c>
      <c r="AE45" s="77" t="str">
        <f t="shared" si="10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45" s="74" t="str">
        <f t="shared" si="11"/>
        <v>"C:\Program Files (x86)\AstroGrep\AstroGrep.exe" /e /r /s /spath="%USERPROFILE%\AppData\Local\Temp\OnboardLogs" /stypes="app*4011*20171028*" /stext=" 15:.+((SYSTEM_STATE.+slice.+state.+changed )|(ment ac)|(multiple cpu faults)|(system.+state.+changed )|(\[timeout)|(PRM\|1\|D)|(kpr)|(kdp)|(train st.+moving)|(\|lc)|(penalty))"</v>
      </c>
      <c r="AG45" s="182" t="str">
        <f t="shared" si="12"/>
        <v>EC</v>
      </c>
      <c r="AH45" s="78" t="str">
        <f t="shared" si="18"/>
        <v>"%USERPROFILE%\Documents\GitHub\eaglep3\Utilities\RefineRTDCRunTimes.py" --tripid 134-28 --locoid 4011 --swversion DE.1.0.9.0 --startMP 204:232964 --initTime 2017-10-28T08:35:36 --startdatetime 2017-10-28T08:42:19 --delay 49 --endMP 204:232 --enddatetime 2017-10-28T09:19:06 --enforcementcount 0 &gt;&gt;%USERPROFILE%\Documents\GitHub\eaglep3-reporting\EC\2017-10-28-refined-times.txt</v>
      </c>
      <c r="AI45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{"issue":{"subject":"","project_id":79,"tracker_id":40,"status_id":1,"priority_id":2,"assigned_to_id":338,"start_date":"2017-10-28","description":"","custom_fields":[{"id":1,"name":"Subdivision","value":"EC"},{"id":4,"name":"Milepost","value":"0.0232"},{"id":17,"name":"Train ID","value":"134-28"},{"id":16,"name":"Locomotive ID","value":"4011"},{"id":130,"name":"Impact","value":""},{"id":150,"name":"Time of Event (Mountain Time)","value":"09:19:06"},{"id":151,"name":"Denver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4011 --day 2017-10-28</v>
      </c>
      <c r="AN45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2"/>
        <v>https://d0f6bd738d7f1b3e5a7ca70fe4ff75f0.us-east-1.aws.found.io/app/kibana#/discover/Steve-Slow-Train-Analysis-(2080s-and-2083s)?_g=(refreshInterval:(display:Off,pause:!f,section:0,value:0),time:(from:'2017-10-28T07:35:36-0600',mode:absolute,to:'2017-10-28T10:19:06-0600'))&amp;_a=(columns:!('Message%20ID',Summary),filters:!(),index:'emp_*',interval:auto,query:(query_string:(analyze_wildcard:!t,query:'%22rtdc.l.rtdc.4011%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717</v>
      </c>
      <c r="B46" s="7">
        <v>4004</v>
      </c>
      <c r="C46" s="21" t="s">
        <v>194</v>
      </c>
      <c r="D46" s="21" t="s">
        <v>890</v>
      </c>
      <c r="E46" s="13">
        <v>43036.328969907408</v>
      </c>
      <c r="F46" s="13">
        <v>43036.333518518521</v>
      </c>
      <c r="G46" s="7">
        <v>54</v>
      </c>
      <c r="H46" s="21" t="s">
        <v>911</v>
      </c>
      <c r="I46" s="13">
        <v>43036.357719907406</v>
      </c>
      <c r="J46" s="7">
        <v>0</v>
      </c>
      <c r="K46" s="89" t="str">
        <f t="shared" si="0"/>
        <v>4003/4004</v>
      </c>
      <c r="L46" s="185" t="str">
        <f>VLOOKUP(A46,'Trips&amp;Operators'!$C$1:$G$99911,5,FALSE)</f>
        <v>PAGE MARCUS</v>
      </c>
      <c r="M46" s="6">
        <f t="shared" si="1"/>
        <v>2.4201388885558117E-2</v>
      </c>
      <c r="N46" s="7">
        <f t="shared" si="23"/>
        <v>34.849999995203689</v>
      </c>
      <c r="O46" s="7"/>
      <c r="P46" s="7"/>
      <c r="Q46" s="22"/>
      <c r="R46" s="174"/>
      <c r="S46" s="221">
        <f t="shared" si="26"/>
        <v>1</v>
      </c>
      <c r="T46" s="174" t="str">
        <f t="shared" si="3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4"/>
        <v>https://d0f6bd738d7f1b3e5a7ca70fe4ff75f0.us-east-1.aws.found.io/app/kibana#/discover/Steve-Slow-Train-Analysis-(2080s-and-2083s)?_g=(refreshInterval:(display:Off,pause:!f,section:0,value:0),time:(from:'2017-10-28T06:53:43-0600',mode:absolute,to:'2017-10-28T09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204" t="str">
        <f>IF(AA46&lt;VLOOKUP(AG46,Variables!$AC$3:$AD$8,2,FALSE),"Y","N")</f>
        <v>N</v>
      </c>
      <c r="X46" s="204">
        <f t="shared" si="25"/>
        <v>1</v>
      </c>
      <c r="Y46" s="204">
        <f t="shared" si="27"/>
        <v>4.6199999999999998E-2</v>
      </c>
      <c r="Z46" s="204">
        <f t="shared" si="28"/>
        <v>23.3278</v>
      </c>
      <c r="AA46" s="204">
        <f t="shared" si="8"/>
        <v>23.281600000000001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9"/>
        <v>135</v>
      </c>
      <c r="AE46" s="77" t="str">
        <f t="shared" si="10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46" s="74" t="str">
        <f t="shared" si="11"/>
        <v>"C:\Program Files (x86)\AstroGrep\AstroGrep.exe" /e /r /s /spath="%USERPROFILE%\AppData\Local\Temp\OnboardLogs" /stypes="app*4004*20171028*" /stext=" 14:.+((SYSTEM_STATE.+slice.+state.+changed )|(ment ac)|(multiple cpu faults)|(system.+state.+changed )|(\[timeout)|(PRM\|1\|D)|(kpr)|(kdp)|(train st.+moving)|(\|lc)|(penalty))"</v>
      </c>
      <c r="AG46" s="182" t="str">
        <f t="shared" si="12"/>
        <v>EC</v>
      </c>
      <c r="AH46" s="78" t="str">
        <f t="shared" si="18"/>
        <v>"%USERPROFILE%\Documents\GitHub\eaglep3\Utilities\RefineRTDCRunTimes.py" --tripid 135-28 --locoid 4004 --swversion DE.1.0.9.0 --startMP 204:462 --initTime 2017-10-28T07:53:43 --startdatetime 2017-10-28T08:00:16 --delay 54 --endMP 204:233278 --enddatetime 2017-10-28T08:35:07 --enforcementcount 0 &gt;&gt;%USERPROFILE%\Documents\GitHub\eaglep3-reporting\EC\2017-10-28-refined-times.txt</v>
      </c>
      <c r="AI46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{"issue":{"subject":"","project_id":79,"tracker_id":40,"status_id":1,"priority_id":2,"assigned_to_id":338,"start_date":"2017-10-28","description":"","custom_fields":[{"id":1,"name":"Subdivision","value":"EC"},{"id":4,"name":"Milepost","value":"23.3278"},{"id":17,"name":"Train ID","value":"135-28"},{"id":16,"name":"Locomotive ID","value":"4004"},{"id":130,"name":"Impact","value":""},{"id":150,"name":"Time of Event (Mountain Time)","value":"08:35:07"},{"id":151,"name":"Denver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4004 --day 2017-10-28</v>
      </c>
      <c r="AN46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2"/>
        <v>https://d0f6bd738d7f1b3e5a7ca70fe4ff75f0.us-east-1.aws.found.io/app/kibana#/discover/Steve-Slow-Train-Analysis-(2080s-and-2083s)?_g=(refreshInterval:(display:Off,pause:!f,section:0,value:0),time:(from:'2017-10-28T06:53:43-0600',mode:absolute,to:'2017-10-28T09:35:07-0600'))&amp;_a=(columns:!('Message%20ID',Summary),filters:!(),index:'emp_*',interval:auto,query:(query_string:(analyze_wildcard:!t,query:'%22rtdc.l.rtdc.4004%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726</v>
      </c>
      <c r="B47" s="7">
        <v>4003</v>
      </c>
      <c r="C47" s="21" t="s">
        <v>194</v>
      </c>
      <c r="D47" s="21" t="s">
        <v>912</v>
      </c>
      <c r="E47" s="13">
        <v>43036.369502314818</v>
      </c>
      <c r="F47" s="13">
        <v>43036.373090277775</v>
      </c>
      <c r="G47" s="7">
        <v>53</v>
      </c>
      <c r="H47" s="21" t="s">
        <v>482</v>
      </c>
      <c r="I47" s="13">
        <v>43036.399085648147</v>
      </c>
      <c r="J47" s="7">
        <v>0</v>
      </c>
      <c r="K47" s="89" t="str">
        <f t="shared" si="0"/>
        <v>4003/4004</v>
      </c>
      <c r="L47" s="185" t="str">
        <f>VLOOKUP(A47,'Trips&amp;Operators'!$C$1:$G$99911,5,FALSE)</f>
        <v>PAGE MARCUS</v>
      </c>
      <c r="M47" s="6">
        <f t="shared" si="1"/>
        <v>2.5995370371674653E-2</v>
      </c>
      <c r="N47" s="7">
        <f t="shared" si="23"/>
        <v>37.433333335211501</v>
      </c>
      <c r="O47" s="7"/>
      <c r="P47" s="7"/>
      <c r="Q47" s="22"/>
      <c r="R47" s="174"/>
      <c r="S47" s="221">
        <f t="shared" si="26"/>
        <v>1</v>
      </c>
      <c r="T47" s="174" t="str">
        <f t="shared" si="3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4"/>
        <v>https://d0f6bd738d7f1b3e5a7ca70fe4ff75f0.us-east-1.aws.found.io/app/kibana#/discover/Steve-Slow-Train-Analysis-(2080s-and-2083s)?_g=(refreshInterval:(display:Off,pause:!f,section:0,value:0),time:(from:'2017-10-28T07:52:05-0600',mode:absolute,to:'2017-10-28T10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7" s="204" t="str">
        <f>IF(AA47&lt;VLOOKUP(AG47,Variables!$AC$3:$AD$8,2,FALSE),"Y","N")</f>
        <v>N</v>
      </c>
      <c r="X47" s="204">
        <f t="shared" si="25"/>
        <v>1</v>
      </c>
      <c r="Y47" s="204">
        <f t="shared" si="27"/>
        <v>23.293600000000001</v>
      </c>
      <c r="Z47" s="204">
        <f t="shared" si="28"/>
        <v>1.6E-2</v>
      </c>
      <c r="AA47" s="204">
        <f t="shared" si="8"/>
        <v>23.277600000000003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9"/>
        <v>136</v>
      </c>
      <c r="AE47" s="77" t="str">
        <f t="shared" si="10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47" s="74" t="str">
        <f t="shared" si="11"/>
        <v>"C:\Program Files (x86)\AstroGrep\AstroGrep.exe" /e /r /s /spath="%USERPROFILE%\AppData\Local\Temp\OnboardLogs" /stypes="app*4003*20171028*" /stext=" 15:.+((SYSTEM_STATE.+slice.+state.+changed )|(ment ac)|(multiple cpu faults)|(system.+state.+changed )|(\[timeout)|(PRM\|1\|D)|(kpr)|(kdp)|(train st.+moving)|(\|lc)|(penalty))"</v>
      </c>
      <c r="AG47" s="182" t="str">
        <f t="shared" si="12"/>
        <v>EC</v>
      </c>
      <c r="AH47" s="78" t="str">
        <f t="shared" si="18"/>
        <v>"%USERPROFILE%\Documents\GitHub\eaglep3\Utilities\RefineRTDCRunTimes.py" --tripid 136-28 --locoid 4003 --swversion DE.1.0.9.0 --startMP 204:232936 --initTime 2017-10-28T08:52:05 --startdatetime 2017-10-28T08:57:15 --delay 53 --endMP 204:160 --enddatetime 2017-10-28T09:34:41 --enforcementcount 0 &gt;&gt;%USERPROFILE%\Documents\GitHub\eaglep3-reporting\EC\2017-10-28-refined-times.txt</v>
      </c>
      <c r="AI47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{"issue":{"subject":"","project_id":79,"tracker_id":40,"status_id":1,"priority_id":2,"assigned_to_id":338,"start_date":"2017-10-28","description":"","custom_fields":[{"id":1,"name":"Subdivision","value":"EC"},{"id":4,"name":"Milepost","value":"0.016"},{"id":17,"name":"Train ID","value":"136-28"},{"id":16,"name":"Locomotive ID","value":"4003"},{"id":130,"name":"Impact","value":""},{"id":150,"name":"Time of Event (Mountain Time)","value":"09:34:41"},{"id":151,"name":"Denver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4003 --day 2017-10-28</v>
      </c>
      <c r="AN47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2"/>
        <v>https://d0f6bd738d7f1b3e5a7ca70fe4ff75f0.us-east-1.aws.found.io/app/kibana#/discover/Steve-Slow-Train-Analysis-(2080s-and-2083s)?_g=(refreshInterval:(display:Off,pause:!f,section:0,value:0),time:(from:'2017-10-28T07:52:05-0600',mode:absolute,to:'2017-10-28T10:34:41-0600'))&amp;_a=(columns:!('Message%20ID',Summary),filters:!(),index:'emp_*',interval:auto,query:(query_string:(analyze_wildcard:!t,query:'%22rtdc.l.rtdc.4003%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720</v>
      </c>
      <c r="B48" s="7">
        <v>4010</v>
      </c>
      <c r="C48" s="21" t="s">
        <v>194</v>
      </c>
      <c r="D48" s="21" t="s">
        <v>562</v>
      </c>
      <c r="E48" s="13">
        <v>43036.341122685182</v>
      </c>
      <c r="F48" s="13">
        <v>43036.343946759262</v>
      </c>
      <c r="G48" s="7">
        <v>137</v>
      </c>
      <c r="H48" s="21" t="s">
        <v>908</v>
      </c>
      <c r="I48" s="13">
        <v>43036.368645833332</v>
      </c>
      <c r="J48" s="7">
        <v>0</v>
      </c>
      <c r="K48" s="89" t="str">
        <f t="shared" si="0"/>
        <v>4009/4010</v>
      </c>
      <c r="L48" s="185" t="str">
        <f>VLOOKUP(A48,'Trips&amp;Operators'!$C$1:$G$99911,5,FALSE)</f>
        <v>BARRON PERLA</v>
      </c>
      <c r="M48" s="6">
        <f t="shared" si="1"/>
        <v>2.4699074070667848E-2</v>
      </c>
      <c r="N48" s="7">
        <f t="shared" si="23"/>
        <v>35.566666661761701</v>
      </c>
      <c r="O48" s="7"/>
      <c r="P48" s="7"/>
      <c r="Q48" s="22"/>
      <c r="R48" s="174"/>
      <c r="S48" s="221">
        <f t="shared" si="26"/>
        <v>1</v>
      </c>
      <c r="T48" s="174" t="str">
        <f t="shared" si="3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4"/>
        <v>https://d0f6bd738d7f1b3e5a7ca70fe4ff75f0.us-east-1.aws.found.io/app/kibana#/discover/Steve-Slow-Train-Analysis-(2080s-and-2083s)?_g=(refreshInterval:(display:Off,pause:!f,section:0,value:0),time:(from:'2017-10-28T07:11:13-0600',mode:absolute,to:'2017-10-28T09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8" s="204" t="str">
        <f>IF(AA48&lt;VLOOKUP(AG48,Variables!$AC$3:$AD$8,2,FALSE),"Y","N")</f>
        <v>N</v>
      </c>
      <c r="X48" s="204">
        <f t="shared" si="25"/>
        <v>1</v>
      </c>
      <c r="Y48" s="204">
        <f t="shared" si="27"/>
        <v>4.5100000000000001E-2</v>
      </c>
      <c r="Z48" s="204">
        <f t="shared" si="28"/>
        <v>23.3293</v>
      </c>
      <c r="AA48" s="204">
        <f t="shared" si="8"/>
        <v>23.284199999999998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9"/>
        <v>137</v>
      </c>
      <c r="AE48" s="77" t="str">
        <f t="shared" si="10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48" s="74" t="str">
        <f t="shared" si="11"/>
        <v>"C:\Program Files (x86)\AstroGrep\AstroGrep.exe" /e /r /s /spath="%USERPROFILE%\AppData\Local\Temp\OnboardLogs" /stypes="app*4010*20171028*" /stext=" 14:.+((SYSTEM_STATE.+slice.+state.+changed )|(ment ac)|(multiple cpu faults)|(system.+state.+changed )|(\[timeout)|(PRM\|1\|D)|(kpr)|(kdp)|(train st.+moving)|(\|lc)|(penalty))"</v>
      </c>
      <c r="AG48" s="182" t="str">
        <f t="shared" si="12"/>
        <v>EC</v>
      </c>
      <c r="AH48" s="78" t="str">
        <f t="shared" si="18"/>
        <v>"%USERPROFILE%\Documents\GitHub\eaglep3\Utilities\RefineRTDCRunTimes.py" --tripid 137-28 --locoid 4010 --swversion DE.1.0.9.0 --startMP 204:451 --initTime 2017-10-28T08:11:13 --startdatetime 2017-10-28T08:15:17 --delay 137 --endMP 204:233293 --enddatetime 2017-10-28T08:50:51 --enforcementcount 0 &gt;&gt;%USERPROFILE%\Documents\GitHub\eaglep3-reporting\EC\2017-10-28-refined-times.txt</v>
      </c>
      <c r="AI48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{"issue":{"subject":"","project_id":79,"tracker_id":40,"status_id":1,"priority_id":2,"assigned_to_id":338,"start_date":"2017-10-28","description":"","custom_fields":[{"id":1,"name":"Subdivision","value":"EC"},{"id":4,"name":"Milepost","value":"23.3293"},{"id":17,"name":"Train ID","value":"137-28"},{"id":16,"name":"Locomotive ID","value":"4010"},{"id":130,"name":"Impact","value":""},{"id":150,"name":"Time of Event (Mountain Time)","value":"08:50:51"},{"id":151,"name":"Denver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4010 --day 2017-10-28</v>
      </c>
      <c r="AN48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2"/>
        <v>https://d0f6bd738d7f1b3e5a7ca70fe4ff75f0.us-east-1.aws.found.io/app/kibana#/discover/Steve-Slow-Train-Analysis-(2080s-and-2083s)?_g=(refreshInterval:(display:Off,pause:!f,section:0,value:0),time:(from:'2017-10-28T07:11:13-0600',mode:absolute,to:'2017-10-28T09:50:51-0600'))&amp;_a=(columns:!('Message%20ID',Summary),filters:!(),index:'emp_*',interval:auto,query:(query_string:(analyze_wildcard:!t,query:'%22rtdc.l.rtdc.4010%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729</v>
      </c>
      <c r="B49" s="7">
        <v>4009</v>
      </c>
      <c r="C49" s="21" t="s">
        <v>194</v>
      </c>
      <c r="D49" s="21" t="s">
        <v>913</v>
      </c>
      <c r="E49" s="13">
        <v>43036.370798611111</v>
      </c>
      <c r="F49" s="13">
        <v>43036.383506944447</v>
      </c>
      <c r="G49" s="7">
        <v>99</v>
      </c>
      <c r="H49" s="21" t="s">
        <v>356</v>
      </c>
      <c r="I49" s="13">
        <v>43036.410416666666</v>
      </c>
      <c r="J49" s="7">
        <v>0</v>
      </c>
      <c r="K49" s="89" t="str">
        <f t="shared" si="0"/>
        <v>4009/4010</v>
      </c>
      <c r="L49" s="185" t="str">
        <f>VLOOKUP(A49,'Trips&amp;Operators'!$C$1:$G$99911,5,FALSE)</f>
        <v>BARRON PERLA</v>
      </c>
      <c r="M49" s="6">
        <f t="shared" si="1"/>
        <v>2.6909722218988463E-2</v>
      </c>
      <c r="N49" s="7">
        <f t="shared" si="23"/>
        <v>38.749999995343387</v>
      </c>
      <c r="O49" s="7"/>
      <c r="P49" s="7"/>
      <c r="Q49" s="22"/>
      <c r="R49" s="174"/>
      <c r="S49" s="221">
        <f t="shared" si="26"/>
        <v>1</v>
      </c>
      <c r="T49" s="174" t="str">
        <f t="shared" si="3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4"/>
        <v>https://d0f6bd738d7f1b3e5a7ca70fe4ff75f0.us-east-1.aws.found.io/app/kibana#/discover/Steve-Slow-Train-Analysis-(2080s-and-2083s)?_g=(refreshInterval:(display:Off,pause:!f,section:0,value:0),time:(from:'2017-10-28T07:53:57-0600',mode:absolute,to:'2017-10-28T10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204" t="str">
        <f>IF(AA49&lt;VLOOKUP(AG49,Variables!$AC$3:$AD$8,2,FALSE),"Y","N")</f>
        <v>N</v>
      </c>
      <c r="X49" s="204">
        <f t="shared" si="25"/>
        <v>1</v>
      </c>
      <c r="Y49" s="204">
        <f t="shared" si="27"/>
        <v>23.2959</v>
      </c>
      <c r="Z49" s="204">
        <f t="shared" si="28"/>
        <v>1.5800000000000002E-2</v>
      </c>
      <c r="AA49" s="204">
        <f t="shared" si="8"/>
        <v>23.280100000000001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9"/>
        <v>138</v>
      </c>
      <c r="AE49" s="77" t="str">
        <f t="shared" si="10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49" s="74" t="str">
        <f t="shared" si="11"/>
        <v>"C:\Program Files (x86)\AstroGrep\AstroGrep.exe" /e /r /s /spath="%USERPROFILE%\AppData\Local\Temp\OnboardLogs" /stypes="app*4009*20171028*" /stext=" 15:.+((SYSTEM_STATE.+slice.+state.+changed )|(ment ac)|(multiple cpu faults)|(system.+state.+changed )|(\[timeout)|(PRM\|1\|D)|(kpr)|(kdp)|(train st.+moving)|(\|lc)|(penalty))"</v>
      </c>
      <c r="AG49" s="182" t="str">
        <f t="shared" si="12"/>
        <v>EC</v>
      </c>
      <c r="AH49" s="78" t="str">
        <f t="shared" si="18"/>
        <v>"%USERPROFILE%\Documents\GitHub\eaglep3\Utilities\RefineRTDCRunTimes.py" --tripid 138-28 --locoid 4009 --swversion DE.1.0.9.0 --startMP 204:232959 --initTime 2017-10-28T08:53:57 --startdatetime 2017-10-28T09:12:15 --delay 99 --endMP 204:158 --enddatetime 2017-10-28T09:51:00 --enforcementcount 0 &gt;&gt;%USERPROFILE%\Documents\GitHub\eaglep3-reporting\EC\2017-10-28-refined-times.txt</v>
      </c>
      <c r="AI49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{"issue":{"subject":"","project_id":79,"tracker_id":40,"status_id":1,"priority_id":2,"assigned_to_id":338,"start_date":"2017-10-28","description":"","custom_fields":[{"id":1,"name":"Subdivision","value":"EC"},{"id":4,"name":"Milepost","value":"0.0158"},{"id":17,"name":"Train ID","value":"138-28"},{"id":16,"name":"Locomotive ID","value":"4009"},{"id":130,"name":"Impact","value":""},{"id":150,"name":"Time of Event (Mountain Time)","value":"09:51:00"},{"id":151,"name":"Denver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4009 --day 2017-10-28</v>
      </c>
      <c r="AN49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2"/>
        <v>https://d0f6bd738d7f1b3e5a7ca70fe4ff75f0.us-east-1.aws.found.io/app/kibana#/discover/Steve-Slow-Train-Analysis-(2080s-and-2083s)?_g=(refreshInterval:(display:Off,pause:!f,section:0,value:0),time:(from:'2017-10-28T07:53:57-0600',mode:absolute,to:'2017-10-28T10:51:00-0600'))&amp;_a=(columns:!('Message%20ID',Summary),filters:!(),index:'emp_*',interval:auto,query:(query_string:(analyze_wildcard:!t,query:'%22rtdc.l.rtdc.4009%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722</v>
      </c>
      <c r="B50" s="7">
        <v>4042</v>
      </c>
      <c r="C50" s="21" t="s">
        <v>194</v>
      </c>
      <c r="D50" s="21" t="s">
        <v>914</v>
      </c>
      <c r="E50" s="13">
        <v>43036.350694444445</v>
      </c>
      <c r="F50" s="13">
        <v>43036.35465277778</v>
      </c>
      <c r="G50" s="7">
        <v>69</v>
      </c>
      <c r="H50" s="21" t="s">
        <v>479</v>
      </c>
      <c r="I50" s="13">
        <v>43036.379432870373</v>
      </c>
      <c r="J50" s="7">
        <v>0</v>
      </c>
      <c r="K50" s="89" t="str">
        <f t="shared" si="0"/>
        <v>4041/4042</v>
      </c>
      <c r="L50" s="185" t="str">
        <f>VLOOKUP(A50,'Trips&amp;Operators'!$C$1:$G$99911,5,FALSE)</f>
        <v>THOMPSON LESTER</v>
      </c>
      <c r="M50" s="6">
        <f t="shared" si="1"/>
        <v>2.4780092593573499E-2</v>
      </c>
      <c r="N50" s="7">
        <f t="shared" ref="N50:N75" si="29">24*60*SUM($M50:$M50)</f>
        <v>35.683333334745839</v>
      </c>
      <c r="O50" s="7"/>
      <c r="P50" s="7"/>
      <c r="Q50" s="22"/>
      <c r="R50" s="174"/>
      <c r="S50" s="221">
        <f t="shared" si="26"/>
        <v>1</v>
      </c>
      <c r="T50" s="174" t="str">
        <f t="shared" si="3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4"/>
        <v>https://d0f6bd738d7f1b3e5a7ca70fe4ff75f0.us-east-1.aws.found.io/app/kibana#/discover/Steve-Slow-Train-Analysis-(2080s-and-2083s)?_g=(refreshInterval:(display:Off,pause:!f,section:0,value:0),time:(from:'2017-10-28T07:25:00-0600',mode:absolute,to:'2017-10-28T10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204" t="str">
        <f>IF(AA50&lt;VLOOKUP(AG50,Variables!$AC$3:$AD$8,2,FALSE),"Y","N")</f>
        <v>N</v>
      </c>
      <c r="X50" s="204">
        <f t="shared" si="25"/>
        <v>1</v>
      </c>
      <c r="Y50" s="204">
        <f t="shared" si="27"/>
        <v>7.1300000000000002E-2</v>
      </c>
      <c r="Z50" s="204">
        <f t="shared" si="28"/>
        <v>23.328900000000001</v>
      </c>
      <c r="AA50" s="204">
        <f t="shared" si="8"/>
        <v>23.2576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9"/>
        <v>139</v>
      </c>
      <c r="AE50" s="77" t="str">
        <f t="shared" si="10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50" s="74" t="str">
        <f t="shared" si="11"/>
        <v>"C:\Program Files (x86)\AstroGrep\AstroGrep.exe" /e /r /s /spath="%USERPROFILE%\AppData\Local\Temp\OnboardLogs" /stypes="app*4042*20171028*" /stext=" 15:.+((SYSTEM_STATE.+slice.+state.+changed )|(ment ac)|(multiple cpu faults)|(system.+state.+changed )|(\[timeout)|(PRM\|1\|D)|(kpr)|(kdp)|(train st.+moving)|(\|lc)|(penalty))"</v>
      </c>
      <c r="AG50" s="182" t="str">
        <f t="shared" si="12"/>
        <v>EC</v>
      </c>
      <c r="AH50" s="78" t="str">
        <f t="shared" si="18"/>
        <v>"%USERPROFILE%\Documents\GitHub\eaglep3\Utilities\RefineRTDCRunTimes.py" --tripid 139-28 --locoid 4042 --swversion DE.1.0.9.0 --startMP 204:713 --initTime 2017-10-28T08:25:00 --startdatetime 2017-10-28T08:30:42 --delay 69 --endMP 204:233289 --enddatetime 2017-10-28T09:06:23 --enforcementcount 0 &gt;&gt;%USERPROFILE%\Documents\GitHub\eaglep3-reporting\EC\2017-10-28-refined-times.txt</v>
      </c>
      <c r="AI50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{"issue":{"subject":"","project_id":79,"tracker_id":40,"status_id":1,"priority_id":2,"assigned_to_id":338,"start_date":"2017-10-28","description":"","custom_fields":[{"id":1,"name":"Subdivision","value":"EC"},{"id":4,"name":"Milepost","value":"23.3289"},{"id":17,"name":"Train ID","value":"139-28"},{"id":16,"name":"Locomotive ID","value":"4042"},{"id":130,"name":"Impact","value":""},{"id":150,"name":"Time of Event (Mountain Time)","value":"09:06:23"},{"id":151,"name":"Denver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4042 --day 2017-10-28</v>
      </c>
      <c r="AN50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2"/>
        <v>https://d0f6bd738d7f1b3e5a7ca70fe4ff75f0.us-east-1.aws.found.io/app/kibana#/discover/Steve-Slow-Train-Analysis-(2080s-and-2083s)?_g=(refreshInterval:(display:Off,pause:!f,section:0,value:0),time:(from:'2017-10-28T07:25:00-0600',mode:absolute,to:'2017-10-28T10:06:23-0600'))&amp;_a=(columns:!('Message%20ID',Summary),filters:!(),index:'emp_*',interval:auto,query:(query_string:(analyze_wildcard:!t,query:'%22rtdc.l.rtdc.4042%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732</v>
      </c>
      <c r="B51" s="7">
        <v>4041</v>
      </c>
      <c r="C51" s="21" t="s">
        <v>194</v>
      </c>
      <c r="D51" s="21" t="s">
        <v>559</v>
      </c>
      <c r="E51" s="13">
        <v>43036.389907407407</v>
      </c>
      <c r="F51" s="13">
        <v>43036.393969907411</v>
      </c>
      <c r="G51" s="7">
        <v>69</v>
      </c>
      <c r="H51" s="21" t="s">
        <v>338</v>
      </c>
      <c r="I51" s="13">
        <v>43036.421493055554</v>
      </c>
      <c r="J51" s="7">
        <v>0</v>
      </c>
      <c r="K51" s="89" t="str">
        <f t="shared" si="0"/>
        <v>4041/4042</v>
      </c>
      <c r="L51" s="185" t="str">
        <f>VLOOKUP(A51,'Trips&amp;Operators'!$C$1:$G$99911,5,FALSE)</f>
        <v>THOMPSON LESTER</v>
      </c>
      <c r="M51" s="6">
        <f t="shared" si="1"/>
        <v>2.7523148142790888E-2</v>
      </c>
      <c r="N51" s="7">
        <f t="shared" si="29"/>
        <v>39.633333325618878</v>
      </c>
      <c r="O51" s="7"/>
      <c r="P51" s="7"/>
      <c r="Q51" s="22"/>
      <c r="R51" s="174"/>
      <c r="S51" s="221">
        <f t="shared" si="26"/>
        <v>1</v>
      </c>
      <c r="T51" s="174" t="str">
        <f t="shared" si="3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4"/>
        <v>https://d0f6bd738d7f1b3e5a7ca70fe4ff75f0.us-east-1.aws.found.io/app/kibana#/discover/Steve-Slow-Train-Analysis-(2080s-and-2083s)?_g=(refreshInterval:(display:Off,pause:!f,section:0,value:0),time:(from:'2017-10-28T08:21:28-0600',mode:absolute,to:'2017-10-28T11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204" t="str">
        <f>IF(AA51&lt;VLOOKUP(AG51,Variables!$AC$3:$AD$8,2,FALSE),"Y","N")</f>
        <v>N</v>
      </c>
      <c r="X51" s="204">
        <f t="shared" si="25"/>
        <v>1</v>
      </c>
      <c r="Y51" s="204">
        <f t="shared" si="27"/>
        <v>23.297799999999999</v>
      </c>
      <c r="Z51" s="204">
        <f t="shared" si="28"/>
        <v>1.47E-2</v>
      </c>
      <c r="AA51" s="204">
        <f t="shared" si="8"/>
        <v>23.283099999999997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9"/>
        <v>140</v>
      </c>
      <c r="AE51" s="77" t="str">
        <f t="shared" si="10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51" s="74" t="str">
        <f t="shared" si="11"/>
        <v>"C:\Program Files (x86)\AstroGrep\AstroGrep.exe" /e /r /s /spath="%USERPROFILE%\AppData\Local\Temp\OnboardLogs" /stypes="app*4041*20171028*" /stext=" 16:.+((SYSTEM_STATE.+slice.+state.+changed )|(ment ac)|(multiple cpu faults)|(system.+state.+changed )|(\[timeout)|(PRM\|1\|D)|(kpr)|(kdp)|(train st.+moving)|(\|lc)|(penalty))"</v>
      </c>
      <c r="AG51" s="182" t="str">
        <f t="shared" si="12"/>
        <v>EC</v>
      </c>
      <c r="AH51" s="78" t="str">
        <f t="shared" si="18"/>
        <v>"%USERPROFILE%\Documents\GitHub\eaglep3\Utilities\RefineRTDCRunTimes.py" --tripid 140-28 --locoid 4041 --swversion DE.1.0.9.0 --startMP 204:232978 --initTime 2017-10-28T09:21:28 --startdatetime 2017-10-28T09:27:19 --delay 69 --endMP 204:147 --enddatetime 2017-10-28T10:06:57 --enforcementcount 0 &gt;&gt;%USERPROFILE%\Documents\GitHub\eaglep3-reporting\EC\2017-10-28-refined-times.txt</v>
      </c>
      <c r="AI51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{"issue":{"subject":"","project_id":79,"tracker_id":40,"status_id":1,"priority_id":2,"assigned_to_id":338,"start_date":"2017-10-28","description":"","custom_fields":[{"id":1,"name":"Subdivision","value":"EC"},{"id":4,"name":"Milepost","value":"0.0147"},{"id":17,"name":"Train ID","value":"140-28"},{"id":16,"name":"Locomotive ID","value":"4041"},{"id":130,"name":"Impact","value":""},{"id":150,"name":"Time of Event (Mountain Time)","value":"10:06:57"},{"id":151,"name":"Denver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4041 --day 2017-10-28</v>
      </c>
      <c r="AN51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2"/>
        <v>https://d0f6bd738d7f1b3e5a7ca70fe4ff75f0.us-east-1.aws.found.io/app/kibana#/discover/Steve-Slow-Train-Analysis-(2080s-and-2083s)?_g=(refreshInterval:(display:Off,pause:!f,section:0,value:0),time:(from:'2017-10-28T08:21:28-0600',mode:absolute,to:'2017-10-28T11:06:57-0600'))&amp;_a=(columns:!('Message%20ID',Summary),filters:!(),index:'emp_*',interval:auto,query:(query_string:(analyze_wildcard:!t,query:'%22rtdc.l.rtdc.4041%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725</v>
      </c>
      <c r="B52" s="7">
        <v>4032</v>
      </c>
      <c r="C52" s="21" t="s">
        <v>194</v>
      </c>
      <c r="D52" s="21" t="s">
        <v>410</v>
      </c>
      <c r="E52" s="13">
        <v>43036.360462962963</v>
      </c>
      <c r="F52" s="13">
        <v>43036.364872685182</v>
      </c>
      <c r="G52" s="7">
        <v>123</v>
      </c>
      <c r="H52" s="21" t="s">
        <v>915</v>
      </c>
      <c r="I52" s="13">
        <v>43036.389398148145</v>
      </c>
      <c r="J52" s="7">
        <v>0</v>
      </c>
      <c r="K52" s="89" t="str">
        <f t="shared" si="0"/>
        <v>4031/4032</v>
      </c>
      <c r="L52" s="185" t="str">
        <f>VLOOKUP(A52,'Trips&amp;Operators'!$C$1:$G$99911,5,FALSE)</f>
        <v>MACDONALD THOMAS</v>
      </c>
      <c r="M52" s="6">
        <f t="shared" si="1"/>
        <v>2.4525462962628808E-2</v>
      </c>
      <c r="N52" s="7">
        <f t="shared" si="29"/>
        <v>35.316666666185483</v>
      </c>
      <c r="O52" s="7"/>
      <c r="P52" s="7"/>
      <c r="Q52" s="22"/>
      <c r="R52" s="174"/>
      <c r="S52" s="221">
        <f t="shared" si="26"/>
        <v>1</v>
      </c>
      <c r="T52" s="174" t="str">
        <f t="shared" si="3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4"/>
        <v>https://d0f6bd738d7f1b3e5a7ca70fe4ff75f0.us-east-1.aws.found.io/app/kibana#/discover/Steve-Slow-Train-Analysis-(2080s-and-2083s)?_g=(refreshInterval:(display:Off,pause:!f,section:0,value:0),time:(from:'2017-10-28T07:39:04-0600',mode:absolute,to:'2017-10-28T10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2" s="204" t="str">
        <f>IF(AA52&lt;VLOOKUP(AG52,Variables!$AC$3:$AD$8,2,FALSE),"Y","N")</f>
        <v>N</v>
      </c>
      <c r="X52" s="204">
        <f t="shared" si="25"/>
        <v>1</v>
      </c>
      <c r="Y52" s="204">
        <f t="shared" si="27"/>
        <v>4.8399999999999999E-2</v>
      </c>
      <c r="Z52" s="204">
        <f t="shared" si="28"/>
        <v>23.322900000000001</v>
      </c>
      <c r="AA52" s="204">
        <f t="shared" si="8"/>
        <v>23.2745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9"/>
        <v>141</v>
      </c>
      <c r="AE52" s="77" t="str">
        <f t="shared" si="10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52" s="74" t="str">
        <f t="shared" si="11"/>
        <v>"C:\Program Files (x86)\AstroGrep\AstroGrep.exe" /e /r /s /spath="%USERPROFILE%\AppData\Local\Temp\OnboardLogs" /stypes="app*4032*20171028*" /stext=" 15:.+((SYSTEM_STATE.+slice.+state.+changed )|(ment ac)|(multiple cpu faults)|(system.+state.+changed )|(\[timeout)|(PRM\|1\|D)|(kpr)|(kdp)|(train st.+moving)|(\|lc)|(penalty))"</v>
      </c>
      <c r="AG52" s="182" t="str">
        <f t="shared" si="12"/>
        <v>EC</v>
      </c>
      <c r="AH52" s="78" t="str">
        <f t="shared" si="18"/>
        <v>"%USERPROFILE%\Documents\GitHub\eaglep3\Utilities\RefineRTDCRunTimes.py" --tripid 141-28 --locoid 4032 --swversion DE.1.0.9.0 --startMP 204:484 --initTime 2017-10-28T08:39:04 --startdatetime 2017-10-28T08:45:25 --delay 123 --endMP 204:233229 --enddatetime 2017-10-28T09:20:44 --enforcementcount 0 &gt;&gt;%USERPROFILE%\Documents\GitHub\eaglep3-reporting\EC\2017-10-28-refined-times.txt</v>
      </c>
      <c r="AI52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{"issue":{"subject":"","project_id":79,"tracker_id":40,"status_id":1,"priority_id":2,"assigned_to_id":338,"start_date":"2017-10-28","description":"","custom_fields":[{"id":1,"name":"Subdivision","value":"EC"},{"id":4,"name":"Milepost","value":"23.3229"},{"id":17,"name":"Train ID","value":"141-28"},{"id":16,"name":"Locomotive ID","value":"4032"},{"id":130,"name":"Impact","value":""},{"id":150,"name":"Time of Event (Mountain Time)","value":"09:20:44"},{"id":151,"name":"Denver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4032 --day 2017-10-28</v>
      </c>
      <c r="AN52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2"/>
        <v>https://d0f6bd738d7f1b3e5a7ca70fe4ff75f0.us-east-1.aws.found.io/app/kibana#/discover/Steve-Slow-Train-Analysis-(2080s-and-2083s)?_g=(refreshInterval:(display:Off,pause:!f,section:0,value:0),time:(from:'2017-10-28T07:39:04-0600',mode:absolute,to:'2017-10-28T10:20:44-0600'))&amp;_a=(columns:!('Message%20ID',Summary),filters:!(),index:'emp_*',interval:auto,query:(query_string:(analyze_wildcard:!t,query:'%22rtdc.l.rtdc.4032%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736</v>
      </c>
      <c r="B53" s="7">
        <v>4031</v>
      </c>
      <c r="C53" s="21" t="s">
        <v>194</v>
      </c>
      <c r="D53" s="21" t="s">
        <v>593</v>
      </c>
      <c r="E53" s="13">
        <v>43036.403321759259</v>
      </c>
      <c r="F53" s="13">
        <v>43036.404594907406</v>
      </c>
      <c r="G53" s="7">
        <v>44</v>
      </c>
      <c r="H53" s="21" t="s">
        <v>523</v>
      </c>
      <c r="I53" s="13">
        <v>43036.430844907409</v>
      </c>
      <c r="J53" s="7">
        <v>0</v>
      </c>
      <c r="K53" s="89" t="str">
        <f t="shared" si="0"/>
        <v>4031/4032</v>
      </c>
      <c r="L53" s="185" t="str">
        <f>VLOOKUP(A53,'Trips&amp;Operators'!$C$1:$G$99911,5,FALSE)</f>
        <v>MACDONALD THOMAS</v>
      </c>
      <c r="M53" s="6">
        <f t="shared" si="1"/>
        <v>2.6250000002619345E-2</v>
      </c>
      <c r="N53" s="7">
        <f t="shared" si="29"/>
        <v>37.800000003771856</v>
      </c>
      <c r="O53" s="7"/>
      <c r="P53" s="7"/>
      <c r="Q53" s="22"/>
      <c r="R53" s="174"/>
      <c r="S53" s="221">
        <f t="shared" si="26"/>
        <v>1</v>
      </c>
      <c r="T53" s="174" t="str">
        <f t="shared" si="3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4"/>
        <v>https://d0f6bd738d7f1b3e5a7ca70fe4ff75f0.us-east-1.aws.found.io/app/kibana#/discover/Steve-Slow-Train-Analysis-(2080s-and-2083s)?_g=(refreshInterval:(display:Off,pause:!f,section:0,value:0),time:(from:'2017-10-28T08:40:47-0600',mode:absolute,to:'2017-10-28T11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3" s="204" t="str">
        <f>IF(AA53&lt;VLOOKUP(AG53,Variables!$AC$3:$AD$8,2,FALSE),"Y","N")</f>
        <v>N</v>
      </c>
      <c r="X53" s="204">
        <f t="shared" si="25"/>
        <v>1</v>
      </c>
      <c r="Y53" s="204">
        <f t="shared" si="27"/>
        <v>23.290900000000001</v>
      </c>
      <c r="Z53" s="204">
        <f t="shared" si="28"/>
        <v>2.1100000000000001E-2</v>
      </c>
      <c r="AA53" s="204">
        <f t="shared" si="8"/>
        <v>23.2698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9"/>
        <v>142</v>
      </c>
      <c r="AE53" s="77" t="str">
        <f t="shared" si="10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53" s="74" t="str">
        <f t="shared" si="11"/>
        <v>"C:\Program Files (x86)\AstroGrep\AstroGrep.exe" /e /r /s /spath="%USERPROFILE%\AppData\Local\Temp\OnboardLogs" /stypes="app*4031*20171028*" /stext=" 16:.+((SYSTEM_STATE.+slice.+state.+changed )|(ment ac)|(multiple cpu faults)|(system.+state.+changed )|(\[timeout)|(PRM\|1\|D)|(kpr)|(kdp)|(train st.+moving)|(\|lc)|(penalty))"</v>
      </c>
      <c r="AG53" s="182" t="str">
        <f t="shared" si="12"/>
        <v>EC</v>
      </c>
      <c r="AH53" s="78" t="str">
        <f t="shared" si="18"/>
        <v>"%USERPROFILE%\Documents\GitHub\eaglep3\Utilities\RefineRTDCRunTimes.py" --tripid 142-28 --locoid 4031 --swversion DE.1.0.9.0 --startMP 204:232909 --initTime 2017-10-28T09:40:47 --startdatetime 2017-10-28T09:42:37 --delay 44 --endMP 204:211 --enddatetime 2017-10-28T10:20:25 --enforcementcount 0 &gt;&gt;%USERPROFILE%\Documents\GitHub\eaglep3-reporting\EC\2017-10-28-refined-times.txt</v>
      </c>
      <c r="AI53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{"issue":{"subject":"","project_id":79,"tracker_id":40,"status_id":1,"priority_id":2,"assigned_to_id":338,"start_date":"2017-10-28","description":"","custom_fields":[{"id":1,"name":"Subdivision","value":"EC"},{"id":4,"name":"Milepost","value":"0.0211"},{"id":17,"name":"Train ID","value":"142-28"},{"id":16,"name":"Locomotive ID","value":"4031"},{"id":130,"name":"Impact","value":""},{"id":150,"name":"Time of Event (Mountain Time)","value":"10:20:25"},{"id":151,"name":"Denver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4031 --day 2017-10-28</v>
      </c>
      <c r="AN53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2"/>
        <v>https://d0f6bd738d7f1b3e5a7ca70fe4ff75f0.us-east-1.aws.found.io/app/kibana#/discover/Steve-Slow-Train-Analysis-(2080s-and-2083s)?_g=(refreshInterval:(display:Off,pause:!f,section:0,value:0),time:(from:'2017-10-28T08:40:47-0600',mode:absolute,to:'2017-10-28T11:20:25-0600'))&amp;_a=(columns:!('Message%20ID',Summary),filters:!(),index:'emp_*',interval:auto,query:(query_string:(analyze_wildcard:!t,query:'%22rtdc.l.rtdc.4031%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728</v>
      </c>
      <c r="B54" s="7">
        <v>4024</v>
      </c>
      <c r="C54" s="21" t="s">
        <v>194</v>
      </c>
      <c r="D54" s="21" t="s">
        <v>902</v>
      </c>
      <c r="E54" s="13">
        <v>43036.370011574072</v>
      </c>
      <c r="F54" s="13">
        <v>43036.375185185185</v>
      </c>
      <c r="G54" s="7">
        <v>55</v>
      </c>
      <c r="H54" s="21" t="s">
        <v>916</v>
      </c>
      <c r="I54" s="13">
        <v>43036.399618055555</v>
      </c>
      <c r="J54" s="7">
        <v>0</v>
      </c>
      <c r="K54" s="89" t="str">
        <f t="shared" si="0"/>
        <v>4023/4024</v>
      </c>
      <c r="L54" s="185" t="str">
        <f>VLOOKUP(A54,'Trips&amp;Operators'!$C$1:$G$99911,5,FALSE)</f>
        <v>MAELZER KURT</v>
      </c>
      <c r="M54" s="6">
        <f t="shared" si="1"/>
        <v>2.4432870370219462E-2</v>
      </c>
      <c r="N54" s="7">
        <f t="shared" si="29"/>
        <v>35.183333333116025</v>
      </c>
      <c r="O54" s="7"/>
      <c r="P54" s="7"/>
      <c r="Q54" s="22"/>
      <c r="R54" s="174"/>
      <c r="S54" s="221">
        <f t="shared" si="26"/>
        <v>1</v>
      </c>
      <c r="T54" s="174" t="str">
        <f t="shared" si="3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4"/>
        <v>https://d0f6bd738d7f1b3e5a7ca70fe4ff75f0.us-east-1.aws.found.io/app/kibana#/discover/Steve-Slow-Train-Analysis-(2080s-and-2083s)?_g=(refreshInterval:(display:Off,pause:!f,section:0,value:0),time:(from:'2017-10-28T07:52:49-0600',mode:absolute,to:'2017-10-28T10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204" t="str">
        <f>IF(AA54&lt;VLOOKUP(AG54,Variables!$AC$3:$AD$8,2,FALSE),"Y","N")</f>
        <v>N</v>
      </c>
      <c r="X54" s="204">
        <f t="shared" si="25"/>
        <v>1</v>
      </c>
      <c r="Y54" s="204">
        <f t="shared" si="27"/>
        <v>4.5499999999999999E-2</v>
      </c>
      <c r="Z54" s="204">
        <f t="shared" si="28"/>
        <v>23.330100000000002</v>
      </c>
      <c r="AA54" s="204">
        <f t="shared" si="8"/>
        <v>23.284600000000001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9"/>
        <v>143</v>
      </c>
      <c r="AE54" s="77" t="str">
        <f t="shared" si="10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54" s="74" t="str">
        <f t="shared" si="11"/>
        <v>"C:\Program Files (x86)\AstroGrep\AstroGrep.exe" /e /r /s /spath="%USERPROFILE%\AppData\Local\Temp\OnboardLogs" /stypes="app*4024*20171028*" /stext=" 15:.+((SYSTEM_STATE.+slice.+state.+changed )|(ment ac)|(multiple cpu faults)|(system.+state.+changed )|(\[timeout)|(PRM\|1\|D)|(kpr)|(kdp)|(train st.+moving)|(\|lc)|(penalty))"</v>
      </c>
      <c r="AG54" s="182" t="str">
        <f t="shared" si="12"/>
        <v>EC</v>
      </c>
      <c r="AH54" s="78" t="str">
        <f t="shared" si="18"/>
        <v>"%USERPROFILE%\Documents\GitHub\eaglep3\Utilities\RefineRTDCRunTimes.py" --tripid 143-28 --locoid 4024 --swversion DE.1.0.9.0 --startMP 204:455 --initTime 2017-10-28T08:52:49 --startdatetime 2017-10-28T09:00:16 --delay 55 --endMP 204:233301 --enddatetime 2017-10-28T09:35:27 --enforcementcount 0 &gt;&gt;%USERPROFILE%\Documents\GitHub\eaglep3-reporting\EC\2017-10-28-refined-times.txt</v>
      </c>
      <c r="AI54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{"issue":{"subject":"","project_id":79,"tracker_id":40,"status_id":1,"priority_id":2,"assigned_to_id":338,"start_date":"2017-10-28","description":"","custom_fields":[{"id":1,"name":"Subdivision","value":"EC"},{"id":4,"name":"Milepost","value":"23.3301"},{"id":17,"name":"Train ID","value":"143-28"},{"id":16,"name":"Locomotive ID","value":"4024"},{"id":130,"name":"Impact","value":""},{"id":150,"name":"Time of Event (Mountain Time)","value":"09:35:27"},{"id":151,"name":"Denver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4024 --day 2017-10-28</v>
      </c>
      <c r="AN54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2"/>
        <v>https://d0f6bd738d7f1b3e5a7ca70fe4ff75f0.us-east-1.aws.found.io/app/kibana#/discover/Steve-Slow-Train-Analysis-(2080s-and-2083s)?_g=(refreshInterval:(display:Off,pause:!f,section:0,value:0),time:(from:'2017-10-28T07:52:49-0600',mode:absolute,to:'2017-10-28T10:35:27-0600'))&amp;_a=(columns:!('Message%20ID',Summary),filters:!(),index:'emp_*',interval:auto,query:(query_string:(analyze_wildcard:!t,query:'%22rtdc.l.rtdc.4024%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737</v>
      </c>
      <c r="B55" s="7">
        <v>4023</v>
      </c>
      <c r="C55" s="21" t="s">
        <v>194</v>
      </c>
      <c r="D55" s="21" t="s">
        <v>917</v>
      </c>
      <c r="E55" s="13">
        <v>43036.405138888891</v>
      </c>
      <c r="F55" s="13">
        <v>43036.414780092593</v>
      </c>
      <c r="G55" s="7">
        <v>53</v>
      </c>
      <c r="H55" s="21" t="s">
        <v>357</v>
      </c>
      <c r="I55" s="13">
        <v>43036.441064814811</v>
      </c>
      <c r="J55" s="7">
        <v>0</v>
      </c>
      <c r="K55" s="89" t="str">
        <f t="shared" si="0"/>
        <v>4023/4024</v>
      </c>
      <c r="L55" s="185" t="str">
        <f>VLOOKUP(A55,'Trips&amp;Operators'!$C$1:$G$99911,5,FALSE)</f>
        <v>MAELZER KURT</v>
      </c>
      <c r="M55" s="6">
        <f t="shared" si="1"/>
        <v>2.6284722218406387E-2</v>
      </c>
      <c r="N55" s="7">
        <f t="shared" si="29"/>
        <v>37.849999994505197</v>
      </c>
      <c r="O55" s="7"/>
      <c r="P55" s="7"/>
      <c r="Q55" s="22"/>
      <c r="R55" s="174"/>
      <c r="S55" s="221">
        <f t="shared" si="26"/>
        <v>1</v>
      </c>
      <c r="T55" s="174" t="str">
        <f t="shared" si="3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4"/>
        <v>https://d0f6bd738d7f1b3e5a7ca70fe4ff75f0.us-east-1.aws.found.io/app/kibana#/discover/Steve-Slow-Train-Analysis-(2080s-and-2083s)?_g=(refreshInterval:(display:Off,pause:!f,section:0,value:0),time:(from:'2017-10-28T08:43:24-0600',mode:absolute,to:'2017-10-28T11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204" t="str">
        <f>IF(AA55&lt;VLOOKUP(AG55,Variables!$AC$3:$AD$8,2,FALSE),"Y","N")</f>
        <v>N</v>
      </c>
      <c r="X55" s="204">
        <f t="shared" si="25"/>
        <v>1</v>
      </c>
      <c r="Y55" s="204">
        <f t="shared" si="27"/>
        <v>23.296700000000001</v>
      </c>
      <c r="Z55" s="204">
        <f t="shared" si="28"/>
        <v>1.3899999999999999E-2</v>
      </c>
      <c r="AA55" s="204">
        <f t="shared" si="8"/>
        <v>23.282800000000002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9"/>
        <v>144</v>
      </c>
      <c r="AE55" s="77" t="str">
        <f t="shared" si="10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55" s="74" t="str">
        <f t="shared" si="11"/>
        <v>"C:\Program Files (x86)\AstroGrep\AstroGrep.exe" /e /r /s /spath="%USERPROFILE%\AppData\Local\Temp\OnboardLogs" /stypes="app*4023*20171028*" /stext=" 16:.+((SYSTEM_STATE.+slice.+state.+changed )|(ment ac)|(multiple cpu faults)|(system.+state.+changed )|(\[timeout)|(PRM\|1\|D)|(kpr)|(kdp)|(train st.+moving)|(\|lc)|(penalty))"</v>
      </c>
      <c r="AG55" s="182" t="str">
        <f t="shared" si="12"/>
        <v>EC</v>
      </c>
      <c r="AH55" s="78" t="str">
        <f t="shared" si="18"/>
        <v>"%USERPROFILE%\Documents\GitHub\eaglep3\Utilities\RefineRTDCRunTimes.py" --tripid 144-28 --locoid 4023 --swversion DE.1.0.9.0 --startMP 204:232967 --initTime 2017-10-28T09:43:24 --startdatetime 2017-10-28T09:57:17 --delay 53 --endMP 204:139 --enddatetime 2017-10-28T10:35:08 --enforcementcount 0 &gt;&gt;%USERPROFILE%\Documents\GitHub\eaglep3-reporting\EC\2017-10-28-refined-times.txt</v>
      </c>
      <c r="AI55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{"issue":{"subject":"","project_id":79,"tracker_id":40,"status_id":1,"priority_id":2,"assigned_to_id":338,"start_date":"2017-10-28","description":"","custom_fields":[{"id":1,"name":"Subdivision","value":"EC"},{"id":4,"name":"Milepost","value":"0.0139"},{"id":17,"name":"Train ID","value":"144-28"},{"id":16,"name":"Locomotive ID","value":"4023"},{"id":130,"name":"Impact","value":""},{"id":150,"name":"Time of Event (Mountain Time)","value":"10:35:08"},{"id":151,"name":"Denver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4023 --day 2017-10-28</v>
      </c>
      <c r="AN55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2"/>
        <v>https://d0f6bd738d7f1b3e5a7ca70fe4ff75f0.us-east-1.aws.found.io/app/kibana#/discover/Steve-Slow-Train-Analysis-(2080s-and-2083s)?_g=(refreshInterval:(display:Off,pause:!f,section:0,value:0),time:(from:'2017-10-28T08:43:24-0600',mode:absolute,to:'2017-10-28T11:35:08-0600'))&amp;_a=(columns:!('Message%20ID',Summary),filters:!(),index:'emp_*',interval:auto,query:(query_string:(analyze_wildcard:!t,query:'%22rtdc.l.rtdc.4023%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731</v>
      </c>
      <c r="B56" s="7">
        <v>4064</v>
      </c>
      <c r="C56" s="21" t="s">
        <v>194</v>
      </c>
      <c r="D56" s="21" t="s">
        <v>410</v>
      </c>
      <c r="E56" s="13">
        <v>43036.382048611114</v>
      </c>
      <c r="F56" s="13">
        <v>43036.385706018518</v>
      </c>
      <c r="G56" s="7">
        <v>121</v>
      </c>
      <c r="H56" s="21" t="s">
        <v>918</v>
      </c>
      <c r="I56" s="13">
        <v>43036.411319444444</v>
      </c>
      <c r="J56" s="7">
        <v>0</v>
      </c>
      <c r="K56" s="89" t="str">
        <f t="shared" si="0"/>
        <v>4063/4064</v>
      </c>
      <c r="L56" s="185" t="str">
        <f>VLOOKUP(A56,'Trips&amp;Operators'!$C$1:$G$99911,5,FALSE)</f>
        <v>WILLIAMS DONTE</v>
      </c>
      <c r="M56" s="6">
        <f t="shared" si="1"/>
        <v>2.5613425925257616E-2</v>
      </c>
      <c r="N56" s="7">
        <f t="shared" si="29"/>
        <v>36.883333332370967</v>
      </c>
      <c r="O56" s="7"/>
      <c r="P56" s="7"/>
      <c r="Q56" s="22"/>
      <c r="R56" s="174"/>
      <c r="S56" s="221">
        <f t="shared" si="26"/>
        <v>1</v>
      </c>
      <c r="T56" s="174" t="str">
        <f t="shared" si="3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4"/>
        <v>https://d0f6bd738d7f1b3e5a7ca70fe4ff75f0.us-east-1.aws.found.io/app/kibana#/discover/Steve-Slow-Train-Analysis-(2080s-and-2083s)?_g=(refreshInterval:(display:Off,pause:!f,section:0,value:0),time:(from:'2017-10-28T08:10:09-0600',mode:absolute,to:'2017-10-28T10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6" s="204" t="str">
        <f>IF(AA56&lt;VLOOKUP(AG56,Variables!$AC$3:$AD$8,2,FALSE),"Y","N")</f>
        <v>N</v>
      </c>
      <c r="X56" s="204">
        <f t="shared" si="25"/>
        <v>1</v>
      </c>
      <c r="Y56" s="204">
        <f t="shared" si="27"/>
        <v>4.8399999999999999E-2</v>
      </c>
      <c r="Z56" s="204">
        <f t="shared" si="28"/>
        <v>23.330200000000001</v>
      </c>
      <c r="AA56" s="204">
        <f t="shared" si="8"/>
        <v>23.2818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9"/>
        <v>145</v>
      </c>
      <c r="AE56" s="77" t="str">
        <f t="shared" si="10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56" s="74" t="str">
        <f t="shared" si="11"/>
        <v>"C:\Program Files (x86)\AstroGrep\AstroGrep.exe" /e /r /s /spath="%USERPROFILE%\AppData\Local\Temp\OnboardLogs" /stypes="app*4064*20171028*" /stext=" 15:.+((SYSTEM_STATE.+slice.+state.+changed )|(ment ac)|(multiple cpu faults)|(system.+state.+changed )|(\[timeout)|(PRM\|1\|D)|(kpr)|(kdp)|(train st.+moving)|(\|lc)|(penalty))"</v>
      </c>
      <c r="AG56" s="182" t="str">
        <f t="shared" si="12"/>
        <v>EC</v>
      </c>
      <c r="AH56" s="78" t="str">
        <f t="shared" si="18"/>
        <v>"%USERPROFILE%\Documents\GitHub\eaglep3\Utilities\RefineRTDCRunTimes.py" --tripid 145-28 --locoid 4064 --swversion DE.1.0.9.0 --startMP 204:484 --initTime 2017-10-28T09:10:09 --startdatetime 2017-10-28T09:15:25 --delay 121 --endMP 204:233302 --enddatetime 2017-10-28T09:52:18 --enforcementcount 0 &gt;&gt;%USERPROFILE%\Documents\GitHub\eaglep3-reporting\EC\2017-10-28-refined-times.txt</v>
      </c>
      <c r="AI56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{"issue":{"subject":"","project_id":79,"tracker_id":40,"status_id":1,"priority_id":2,"assigned_to_id":338,"start_date":"2017-10-28","description":"","custom_fields":[{"id":1,"name":"Subdivision","value":"EC"},{"id":4,"name":"Milepost","value":"23.3302"},{"id":17,"name":"Train ID","value":"145-28"},{"id":16,"name":"Locomotive ID","value":"4064"},{"id":130,"name":"Impact","value":""},{"id":150,"name":"Time of Event (Mountain Time)","value":"09:52:18"},{"id":151,"name":"Denver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4064 --day 2017-10-28</v>
      </c>
      <c r="AN56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2"/>
        <v>https://d0f6bd738d7f1b3e5a7ca70fe4ff75f0.us-east-1.aws.found.io/app/kibana#/discover/Steve-Slow-Train-Analysis-(2080s-and-2083s)?_g=(refreshInterval:(display:Off,pause:!f,section:0,value:0),time:(from:'2017-10-28T08:10:09-0600',mode:absolute,to:'2017-10-28T10:52:18-0600'))&amp;_a=(columns:!('Message%20ID',Summary),filters:!(),index:'emp_*',interval:auto,query:(query_string:(analyze_wildcard:!t,query:'%22rtdc.l.rtdc.4064%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739</v>
      </c>
      <c r="B57" s="7">
        <v>4063</v>
      </c>
      <c r="C57" s="21" t="s">
        <v>194</v>
      </c>
      <c r="D57" s="21" t="s">
        <v>502</v>
      </c>
      <c r="E57" s="13">
        <v>43036.419918981483</v>
      </c>
      <c r="F57" s="13">
        <v>43036.425243055557</v>
      </c>
      <c r="G57" s="7">
        <v>63</v>
      </c>
      <c r="H57" s="21" t="s">
        <v>553</v>
      </c>
      <c r="I57" s="13">
        <v>43036.453229166669</v>
      </c>
      <c r="J57" s="7">
        <v>0</v>
      </c>
      <c r="K57" s="89" t="str">
        <f t="shared" si="0"/>
        <v>4063/4064</v>
      </c>
      <c r="L57" s="185" t="str">
        <f>VLOOKUP(A57,'Trips&amp;Operators'!$C$1:$G$99911,5,FALSE)</f>
        <v>WILLIAMS DONTE</v>
      </c>
      <c r="M57" s="6">
        <f t="shared" si="1"/>
        <v>2.7986111112113576E-2</v>
      </c>
      <c r="N57" s="7">
        <f t="shared" si="29"/>
        <v>40.30000000144355</v>
      </c>
      <c r="O57" s="7"/>
      <c r="P57" s="7"/>
      <c r="Q57" s="22"/>
      <c r="R57" s="174"/>
      <c r="S57" s="221">
        <f t="shared" si="26"/>
        <v>1</v>
      </c>
      <c r="T57" s="174" t="str">
        <f t="shared" si="3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4"/>
        <v>https://d0f6bd738d7f1b3e5a7ca70fe4ff75f0.us-east-1.aws.found.io/app/kibana#/discover/Steve-Slow-Train-Analysis-(2080s-and-2083s)?_g=(refreshInterval:(display:Off,pause:!f,section:0,value:0),time:(from:'2017-10-28T09:04:41-0600',mode:absolute,to:'2017-10-28T11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7" s="204" t="str">
        <f>IF(AA57&lt;VLOOKUP(AG57,Variables!$AC$3:$AD$8,2,FALSE),"Y","N")</f>
        <v>N</v>
      </c>
      <c r="X57" s="204">
        <f t="shared" si="25"/>
        <v>1</v>
      </c>
      <c r="Y57" s="204">
        <f t="shared" si="27"/>
        <v>23.2987</v>
      </c>
      <c r="Z57" s="204">
        <f t="shared" si="28"/>
        <v>1.5599999999999999E-2</v>
      </c>
      <c r="AA57" s="204">
        <f t="shared" si="8"/>
        <v>23.283100000000001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9"/>
        <v>146</v>
      </c>
      <c r="AE57" s="77" t="str">
        <f t="shared" si="10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57" s="74" t="str">
        <f t="shared" si="11"/>
        <v>"C:\Program Files (x86)\AstroGrep\AstroGrep.exe" /e /r /s /spath="%USERPROFILE%\AppData\Local\Temp\OnboardLogs" /stypes="app*4063*20171028*" /stext=" 16:.+((SYSTEM_STATE.+slice.+state.+changed )|(ment ac)|(multiple cpu faults)|(system.+state.+changed )|(\[timeout)|(PRM\|1\|D)|(kpr)|(kdp)|(train st.+moving)|(\|lc)|(penalty))"</v>
      </c>
      <c r="AG57" s="182" t="str">
        <f t="shared" si="12"/>
        <v>EC</v>
      </c>
      <c r="AH57" s="78" t="str">
        <f t="shared" si="18"/>
        <v>"%USERPROFILE%\Documents\GitHub\eaglep3\Utilities\RefineRTDCRunTimes.py" --tripid 146-28 --locoid 4063 --swversion DE.1.0.9.0 --startMP 204:232987 --initTime 2017-10-28T10:04:41 --startdatetime 2017-10-28T10:12:21 --delay 63 --endMP 204:156 --enddatetime 2017-10-28T10:52:39 --enforcementcount 0 &gt;&gt;%USERPROFILE%\Documents\GitHub\eaglep3-reporting\EC\2017-10-28-refined-times.txt</v>
      </c>
      <c r="AI57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{"issue":{"subject":"","project_id":79,"tracker_id":40,"status_id":1,"priority_id":2,"assigned_to_id":338,"start_date":"2017-10-28","description":"","custom_fields":[{"id":1,"name":"Subdivision","value":"EC"},{"id":4,"name":"Milepost","value":"0.0156"},{"id":17,"name":"Train ID","value":"146-28"},{"id":16,"name":"Locomotive ID","value":"4063"},{"id":130,"name":"Impact","value":""},{"id":150,"name":"Time of Event (Mountain Time)","value":"10:52:39"},{"id":151,"name":"Denver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4063 --day 2017-10-28</v>
      </c>
      <c r="AN57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2"/>
        <v>https://d0f6bd738d7f1b3e5a7ca70fe4ff75f0.us-east-1.aws.found.io/app/kibana#/discover/Steve-Slow-Train-Analysis-(2080s-and-2083s)?_g=(refreshInterval:(display:Off,pause:!f,section:0,value:0),time:(from:'2017-10-28T09:04:41-0600',mode:absolute,to:'2017-10-28T11:52:39-0600'))&amp;_a=(columns:!('Message%20ID',Summary),filters:!(),index:'emp_*',interval:auto,query:(query_string:(analyze_wildcard:!t,query:'%22rtdc.l.rtdc.4063%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734</v>
      </c>
      <c r="B58" s="7">
        <v>4012</v>
      </c>
      <c r="C58" s="21" t="s">
        <v>194</v>
      </c>
      <c r="D58" s="21" t="s">
        <v>500</v>
      </c>
      <c r="E58" s="13">
        <v>43036.393379629626</v>
      </c>
      <c r="F58" s="13">
        <v>43036.39607638889</v>
      </c>
      <c r="G58" s="7">
        <v>95</v>
      </c>
      <c r="H58" s="21" t="s">
        <v>493</v>
      </c>
      <c r="I58" s="13">
        <v>43036.420034722221</v>
      </c>
      <c r="J58" s="7">
        <v>0</v>
      </c>
      <c r="K58" s="89" t="str">
        <f t="shared" si="0"/>
        <v>4011/4012</v>
      </c>
      <c r="L58" s="185" t="str">
        <f>VLOOKUP(A58,'Trips&amp;Operators'!$C$1:$G$99911,5,FALSE)</f>
        <v>DE LA ROSA ALEX</v>
      </c>
      <c r="M58" s="6">
        <f t="shared" si="1"/>
        <v>2.3958333331393078E-2</v>
      </c>
      <c r="N58" s="7">
        <f t="shared" si="29"/>
        <v>34.499999997206032</v>
      </c>
      <c r="O58" s="7"/>
      <c r="P58" s="7"/>
      <c r="Q58" s="22"/>
      <c r="R58" s="174"/>
      <c r="S58" s="221">
        <f t="shared" si="26"/>
        <v>1</v>
      </c>
      <c r="T58" s="174" t="str">
        <f t="shared" si="3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4"/>
        <v>https://d0f6bd738d7f1b3e5a7ca70fe4ff75f0.us-east-1.aws.found.io/app/kibana#/discover/Steve-Slow-Train-Analysis-(2080s-and-2083s)?_g=(refreshInterval:(display:Off,pause:!f,section:0,value:0),time:(from:'2017-10-28T08:26:28-0600',mode:absolute,to:'2017-10-28T11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8" s="204" t="str">
        <f>IF(AA58&lt;VLOOKUP(AG58,Variables!$AC$3:$AD$8,2,FALSE),"Y","N")</f>
        <v>N</v>
      </c>
      <c r="X58" s="204">
        <f t="shared" si="25"/>
        <v>1</v>
      </c>
      <c r="Y58" s="204">
        <f t="shared" si="27"/>
        <v>5.4600000000000003E-2</v>
      </c>
      <c r="Z58" s="204">
        <f t="shared" si="28"/>
        <v>23.329899999999999</v>
      </c>
      <c r="AA58" s="204">
        <f t="shared" si="8"/>
        <v>23.275299999999998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9"/>
        <v>147</v>
      </c>
      <c r="AE58" s="77" t="str">
        <f t="shared" si="10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58" s="74" t="str">
        <f t="shared" si="11"/>
        <v>"C:\Program Files (x86)\AstroGrep\AstroGrep.exe" /e /r /s /spath="%USERPROFILE%\AppData\Local\Temp\OnboardLogs" /stypes="app*4012*20171028*" /stext=" 16:.+((SYSTEM_STATE.+slice.+state.+changed )|(ment ac)|(multiple cpu faults)|(system.+state.+changed )|(\[timeout)|(PRM\|1\|D)|(kpr)|(kdp)|(train st.+moving)|(\|lc)|(penalty))"</v>
      </c>
      <c r="AG58" s="182" t="str">
        <f t="shared" si="12"/>
        <v>EC</v>
      </c>
      <c r="AH58" s="78" t="str">
        <f t="shared" si="18"/>
        <v>"%USERPROFILE%\Documents\GitHub\eaglep3\Utilities\RefineRTDCRunTimes.py" --tripid 147-28 --locoid 4012 --swversion DE.1.0.9.0 --startMP 204:546 --initTime 2017-10-28T09:26:28 --startdatetime 2017-10-28T09:30:21 --delay 95 --endMP 204:233299 --enddatetime 2017-10-28T10:04:51 --enforcementcount 0 &gt;&gt;%USERPROFILE%\Documents\GitHub\eaglep3-reporting\EC\2017-10-28-refined-times.txt</v>
      </c>
      <c r="AI58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{"issue":{"subject":"","project_id":79,"tracker_id":40,"status_id":1,"priority_id":2,"assigned_to_id":338,"start_date":"2017-10-28","description":"","custom_fields":[{"id":1,"name":"Subdivision","value":"EC"},{"id":4,"name":"Milepost","value":"23.3299"},{"id":17,"name":"Train ID","value":"147-28"},{"id":16,"name":"Locomotive ID","value":"4012"},{"id":130,"name":"Impact","value":""},{"id":150,"name":"Time of Event (Mountain Time)","value":"10:04:51"},{"id":151,"name":"Denver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4012 --day 2017-10-28</v>
      </c>
      <c r="AN58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2"/>
        <v>https://d0f6bd738d7f1b3e5a7ca70fe4ff75f0.us-east-1.aws.found.io/app/kibana#/discover/Steve-Slow-Train-Analysis-(2080s-and-2083s)?_g=(refreshInterval:(display:Off,pause:!f,section:0,value:0),time:(from:'2017-10-28T08:26:28-0600',mode:absolute,to:'2017-10-28T11:04:51-0600'))&amp;_a=(columns:!('Message%20ID',Summary),filters:!(),index:'emp_*',interval:auto,query:(query_string:(analyze_wildcard:!t,query:'%22rtdc.l.rtdc.4012%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741</v>
      </c>
      <c r="B59" s="7">
        <v>4011</v>
      </c>
      <c r="C59" s="21" t="s">
        <v>194</v>
      </c>
      <c r="D59" s="21" t="s">
        <v>514</v>
      </c>
      <c r="E59" s="13">
        <v>43036.432060185187</v>
      </c>
      <c r="F59" s="13">
        <v>43036.435671296298</v>
      </c>
      <c r="G59" s="7">
        <v>54</v>
      </c>
      <c r="H59" s="21" t="s">
        <v>910</v>
      </c>
      <c r="I59" s="13">
        <v>43036.461782407408</v>
      </c>
      <c r="J59" s="7">
        <v>0</v>
      </c>
      <c r="K59" s="89" t="str">
        <f t="shared" si="0"/>
        <v>4011/4012</v>
      </c>
      <c r="L59" s="185" t="str">
        <f>VLOOKUP(A59,'Trips&amp;Operators'!$C$1:$G$99911,5,FALSE)</f>
        <v>DE LA ROSA ALEX</v>
      </c>
      <c r="M59" s="6">
        <f t="shared" si="1"/>
        <v>2.6111111110367347E-2</v>
      </c>
      <c r="N59" s="7">
        <f t="shared" si="29"/>
        <v>37.599999998928979</v>
      </c>
      <c r="O59" s="7"/>
      <c r="P59" s="7"/>
      <c r="Q59" s="22"/>
      <c r="R59" s="174"/>
      <c r="S59" s="221">
        <f t="shared" si="26"/>
        <v>1</v>
      </c>
      <c r="T59" s="174" t="str">
        <f t="shared" si="3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4"/>
        <v>https://d0f6bd738d7f1b3e5a7ca70fe4ff75f0.us-east-1.aws.found.io/app/kibana#/discover/Steve-Slow-Train-Analysis-(2080s-and-2083s)?_g=(refreshInterval:(display:Off,pause:!f,section:0,value:0),time:(from:'2017-10-28T09:22:10-0600',mode:absolute,to:'2017-10-28T12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9" s="204" t="str">
        <f>IF(AA59&lt;VLOOKUP(AG59,Variables!$AC$3:$AD$8,2,FALSE),"Y","N")</f>
        <v>N</v>
      </c>
      <c r="X59" s="204">
        <f t="shared" si="25"/>
        <v>1</v>
      </c>
      <c r="Y59" s="204">
        <f t="shared" si="27"/>
        <v>23.2971</v>
      </c>
      <c r="Z59" s="204">
        <f t="shared" si="28"/>
        <v>2.3199999999999998E-2</v>
      </c>
      <c r="AA59" s="204">
        <f t="shared" si="8"/>
        <v>23.273900000000001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9"/>
        <v>148</v>
      </c>
      <c r="AE59" s="77" t="str">
        <f t="shared" si="10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59" s="74" t="str">
        <f t="shared" si="11"/>
        <v>"C:\Program Files (x86)\AstroGrep\AstroGrep.exe" /e /r /s /spath="%USERPROFILE%\AppData\Local\Temp\OnboardLogs" /stypes="app*4011*20171028*" /stext=" 17:.+((SYSTEM_STATE.+slice.+state.+changed )|(ment ac)|(multiple cpu faults)|(system.+state.+changed )|(\[timeout)|(PRM\|1\|D)|(kpr)|(kdp)|(train st.+moving)|(\|lc)|(penalty))"</v>
      </c>
      <c r="AG59" s="182" t="str">
        <f t="shared" si="12"/>
        <v>EC</v>
      </c>
      <c r="AH59" s="78" t="str">
        <f t="shared" si="18"/>
        <v>"%USERPROFILE%\Documents\GitHub\eaglep3\Utilities\RefineRTDCRunTimes.py" --tripid 148-28 --locoid 4011 --swversion DE.1.0.9.0 --startMP 204:232971 --initTime 2017-10-28T10:22:10 --startdatetime 2017-10-28T10:27:22 --delay 54 --endMP 204:232 --enddatetime 2017-10-28T11:04:58 --enforcementcount 0 &gt;&gt;%USERPROFILE%\Documents\GitHub\eaglep3-reporting\EC\2017-10-28-refined-times.txt</v>
      </c>
      <c r="AI59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{"issue":{"subject":"","project_id":79,"tracker_id":40,"status_id":1,"priority_id":2,"assigned_to_id":338,"start_date":"2017-10-28","description":"","custom_fields":[{"id":1,"name":"Subdivision","value":"EC"},{"id":4,"name":"Milepost","value":"0.0232"},{"id":17,"name":"Train ID","value":"148-28"},{"id":16,"name":"Locomotive ID","value":"4011"},{"id":130,"name":"Impact","value":""},{"id":150,"name":"Time of Event (Mountain Time)","value":"11:04:58"},{"id":151,"name":"Denver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4011 --day 2017-10-28</v>
      </c>
      <c r="AN59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2"/>
        <v>https://d0f6bd738d7f1b3e5a7ca70fe4ff75f0.us-east-1.aws.found.io/app/kibana#/discover/Steve-Slow-Train-Analysis-(2080s-and-2083s)?_g=(refreshInterval:(display:Off,pause:!f,section:0,value:0),time:(from:'2017-10-28T09:22:10-0600',mode:absolute,to:'2017-10-28T12:04:58-0600'))&amp;_a=(columns:!('Message%20ID',Summary),filters:!(),index:'emp_*',interval:auto,query:(query_string:(analyze_wildcard:!t,query:'%22rtdc.l.rtdc.4011%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735</v>
      </c>
      <c r="B60" s="7">
        <v>4004</v>
      </c>
      <c r="C60" s="21" t="s">
        <v>194</v>
      </c>
      <c r="D60" s="21" t="s">
        <v>919</v>
      </c>
      <c r="E60" s="13">
        <v>43036.401273148149</v>
      </c>
      <c r="F60" s="13">
        <v>43036.406423611108</v>
      </c>
      <c r="G60" s="7">
        <v>65</v>
      </c>
      <c r="H60" s="21" t="s">
        <v>496</v>
      </c>
      <c r="I60" s="13">
        <v>43036.431041666663</v>
      </c>
      <c r="J60" s="7">
        <v>0</v>
      </c>
      <c r="K60" s="89" t="str">
        <f t="shared" si="0"/>
        <v>4003/4004</v>
      </c>
      <c r="L60" s="185" t="str">
        <f>VLOOKUP(A60,'Trips&amp;Operators'!$C$1:$G$99911,5,FALSE)</f>
        <v>PAGE MARCUS</v>
      </c>
      <c r="M60" s="6">
        <f t="shared" si="1"/>
        <v>2.4618055555038154E-2</v>
      </c>
      <c r="N60" s="7">
        <f t="shared" si="29"/>
        <v>35.449999999254942</v>
      </c>
      <c r="O60" s="7"/>
      <c r="P60" s="7"/>
      <c r="Q60" s="22"/>
      <c r="R60" s="174"/>
      <c r="S60" s="221">
        <f t="shared" si="26"/>
        <v>1</v>
      </c>
      <c r="T60" s="174" t="str">
        <f t="shared" si="3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4"/>
        <v>https://d0f6bd738d7f1b3e5a7ca70fe4ff75f0.us-east-1.aws.found.io/app/kibana#/discover/Steve-Slow-Train-Analysis-(2080s-and-2083s)?_g=(refreshInterval:(display:Off,pause:!f,section:0,value:0),time:(from:'2017-10-28T08:37:50-0600',mode:absolute,to:'2017-10-28T11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204" t="str">
        <f>IF(AA60&lt;VLOOKUP(AG60,Variables!$AC$3:$AD$8,2,FALSE),"Y","N")</f>
        <v>N</v>
      </c>
      <c r="X60" s="204">
        <f t="shared" si="25"/>
        <v>1</v>
      </c>
      <c r="Y60" s="204">
        <f t="shared" si="27"/>
        <v>4.7500000000000001E-2</v>
      </c>
      <c r="Z60" s="204">
        <f t="shared" si="28"/>
        <v>23.328499999999998</v>
      </c>
      <c r="AA60" s="204">
        <f t="shared" si="8"/>
        <v>23.280999999999999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9"/>
        <v>149</v>
      </c>
      <c r="AE60" s="77" t="str">
        <f t="shared" si="10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60" s="74" t="str">
        <f t="shared" si="11"/>
        <v>"C:\Program Files (x86)\AstroGrep\AstroGrep.exe" /e /r /s /spath="%USERPROFILE%\AppData\Local\Temp\OnboardLogs" /stypes="app*4004*20171028*" /stext=" 16:.+((SYSTEM_STATE.+slice.+state.+changed )|(ment ac)|(multiple cpu faults)|(system.+state.+changed )|(\[timeout)|(PRM\|1\|D)|(kpr)|(kdp)|(train st.+moving)|(\|lc)|(penalty))"</v>
      </c>
      <c r="AG60" s="182" t="str">
        <f t="shared" si="12"/>
        <v>EC</v>
      </c>
      <c r="AH60" s="78" t="str">
        <f t="shared" si="18"/>
        <v>"%USERPROFILE%\Documents\GitHub\eaglep3\Utilities\RefineRTDCRunTimes.py" --tripid 149-28 --locoid 4004 --swversion DE.1.0.9.0 --startMP 204:475 --initTime 2017-10-28T09:37:50 --startdatetime 2017-10-28T09:45:15 --delay 65 --endMP 204:233285 --enddatetime 2017-10-28T10:20:42 --enforcementcount 0 &gt;&gt;%USERPROFILE%\Documents\GitHub\eaglep3-reporting\EC\2017-10-28-refined-times.txt</v>
      </c>
      <c r="AI60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{"issue":{"subject":"","project_id":79,"tracker_id":40,"status_id":1,"priority_id":2,"assigned_to_id":338,"start_date":"2017-10-28","description":"","custom_fields":[{"id":1,"name":"Subdivision","value":"EC"},{"id":4,"name":"Milepost","value":"23.3285"},{"id":17,"name":"Train ID","value":"149-28"},{"id":16,"name":"Locomotive ID","value":"4004"},{"id":130,"name":"Impact","value":""},{"id":150,"name":"Time of Event (Mountain Time)","value":"10:20:42"},{"id":151,"name":"Denver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4004 --day 2017-10-28</v>
      </c>
      <c r="AN60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2"/>
        <v>https://d0f6bd738d7f1b3e5a7ca70fe4ff75f0.us-east-1.aws.found.io/app/kibana#/discover/Steve-Slow-Train-Analysis-(2080s-and-2083s)?_g=(refreshInterval:(display:Off,pause:!f,section:0,value:0),time:(from:'2017-10-28T08:37:50-0600',mode:absolute,to:'2017-10-28T11:20:42-0600'))&amp;_a=(columns:!('Message%20ID',Summary),filters:!(),index:'emp_*',interval:auto,query:(query_string:(analyze_wildcard:!t,query:'%22rtdc.l.rtdc.4004%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626</v>
      </c>
      <c r="B61" s="7">
        <v>4003</v>
      </c>
      <c r="C61" s="21" t="s">
        <v>194</v>
      </c>
      <c r="D61" s="21" t="s">
        <v>920</v>
      </c>
      <c r="E61" s="13">
        <v>43036.442152777781</v>
      </c>
      <c r="F61" s="13">
        <v>43036.446006944447</v>
      </c>
      <c r="G61" s="7">
        <v>63</v>
      </c>
      <c r="H61" s="21" t="s">
        <v>335</v>
      </c>
      <c r="I61" s="13">
        <v>43036.473252314812</v>
      </c>
      <c r="J61" s="7">
        <v>0</v>
      </c>
      <c r="K61" s="89" t="str">
        <f t="shared" si="0"/>
        <v>4003/4004</v>
      </c>
      <c r="L61" s="185" t="str">
        <f>VLOOKUP(A61,'Trips&amp;Operators'!$C$1:$G$99911,5,FALSE)</f>
        <v>PAGE MARCUS</v>
      </c>
      <c r="M61" s="6">
        <f t="shared" si="1"/>
        <v>2.7245370365562849E-2</v>
      </c>
      <c r="N61" s="7">
        <f t="shared" si="29"/>
        <v>39.233333326410502</v>
      </c>
      <c r="O61" s="7"/>
      <c r="P61" s="7"/>
      <c r="Q61" s="22"/>
      <c r="R61" s="174"/>
      <c r="S61" s="221">
        <f t="shared" si="26"/>
        <v>1</v>
      </c>
      <c r="T61" s="174" t="str">
        <f t="shared" si="3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4"/>
        <v>https://d0f6bd738d7f1b3e5a7ca70fe4ff75f0.us-east-1.aws.found.io/app/kibana#/discover/Steve-Slow-Train-Analysis-(2080s-and-2083s)?_g=(refreshInterval:(display:Off,pause:!f,section:0,value:0),time:(from:'2017-10-28T09:36:42-0600',mode:absolute,to:'2017-10-28T12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1" s="204" t="str">
        <f>IF(AA61&lt;VLOOKUP(AG61,Variables!$AC$3:$AD$8,2,FALSE),"Y","N")</f>
        <v>N</v>
      </c>
      <c r="X61" s="204">
        <f t="shared" si="25"/>
        <v>1</v>
      </c>
      <c r="Y61" s="204">
        <f t="shared" si="27"/>
        <v>23.296600000000002</v>
      </c>
      <c r="Z61" s="204">
        <f t="shared" si="28"/>
        <v>1.4999999999999999E-2</v>
      </c>
      <c r="AA61" s="204">
        <f t="shared" si="8"/>
        <v>23.281600000000001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9"/>
        <v>150</v>
      </c>
      <c r="AE61" s="77" t="str">
        <f t="shared" si="10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61" s="74" t="str">
        <f t="shared" si="11"/>
        <v>"C:\Program Files (x86)\AstroGrep\AstroGrep.exe" /e /r /s /spath="%USERPROFILE%\AppData\Local\Temp\OnboardLogs" /stypes="app*4003*20171028*" /stext=" 17:.+((SYSTEM_STATE.+slice.+state.+changed )|(ment ac)|(multiple cpu faults)|(system.+state.+changed )|(\[timeout)|(PRM\|1\|D)|(kpr)|(kdp)|(train st.+moving)|(\|lc)|(penalty))"</v>
      </c>
      <c r="AG61" s="182" t="str">
        <f t="shared" si="12"/>
        <v>EC</v>
      </c>
      <c r="AH61" s="78" t="str">
        <f t="shared" si="18"/>
        <v>"%USERPROFILE%\Documents\GitHub\eaglep3\Utilities\RefineRTDCRunTimes.py" --tripid 150-28 --locoid 4003 --swversion DE.1.0.9.0 --startMP 204:232966 --initTime 2017-10-28T10:36:42 --startdatetime 2017-10-28T10:42:15 --delay 63 --endMP 204:150 --enddatetime 2017-10-28T11:21:29 --enforcementcount 0 &gt;&gt;%USERPROFILE%\Documents\GitHub\eaglep3-reporting\EC\2017-10-28-refined-times.txt</v>
      </c>
      <c r="AI61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{"issue":{"subject":"","project_id":79,"tracker_id":40,"status_id":1,"priority_id":2,"assigned_to_id":338,"start_date":"2017-10-28","description":"","custom_fields":[{"id":1,"name":"Subdivision","value":"EC"},{"id":4,"name":"Milepost","value":"0.015"},{"id":17,"name":"Train ID","value":"150-28"},{"id":16,"name":"Locomotive ID","value":"4003"},{"id":130,"name":"Impact","value":""},{"id":150,"name":"Time of Event (Mountain Time)","value":"11:21:29"},{"id":151,"name":"Denver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4003 --day 2017-10-28</v>
      </c>
      <c r="AN61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2"/>
        <v>https://d0f6bd738d7f1b3e5a7ca70fe4ff75f0.us-east-1.aws.found.io/app/kibana#/discover/Steve-Slow-Train-Analysis-(2080s-and-2083s)?_g=(refreshInterval:(display:Off,pause:!f,section:0,value:0),time:(from:'2017-10-28T09:36:42-0600',mode:absolute,to:'2017-10-28T12:21:29-0600'))&amp;_a=(columns:!('Message%20ID',Summary),filters:!(),index:'emp_*',interval:auto,query:(query_string:(analyze_wildcard:!t,query:'%22rtdc.l.rtdc.4003%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738</v>
      </c>
      <c r="B62" s="7">
        <v>4010</v>
      </c>
      <c r="C62" s="21" t="s">
        <v>194</v>
      </c>
      <c r="D62" s="21" t="s">
        <v>359</v>
      </c>
      <c r="E62" s="13">
        <v>43036.412476851852</v>
      </c>
      <c r="F62" s="13">
        <v>43036.416909722226</v>
      </c>
      <c r="G62" s="7">
        <v>73</v>
      </c>
      <c r="H62" s="21" t="s">
        <v>885</v>
      </c>
      <c r="I62" s="13">
        <v>43036.442118055558</v>
      </c>
      <c r="J62" s="7">
        <v>0</v>
      </c>
      <c r="K62" s="89" t="str">
        <f t="shared" si="0"/>
        <v>4009/4010</v>
      </c>
      <c r="L62" s="185" t="str">
        <f>VLOOKUP(A62,'Trips&amp;Operators'!$C$1:$G$99911,5,FALSE)</f>
        <v>BARRON PERLA</v>
      </c>
      <c r="M62" s="6">
        <f t="shared" si="1"/>
        <v>2.5208333332557231E-2</v>
      </c>
      <c r="N62" s="7">
        <f t="shared" si="29"/>
        <v>36.299999998882413</v>
      </c>
      <c r="O62" s="7"/>
      <c r="P62" s="7"/>
      <c r="Q62" s="22"/>
      <c r="R62" s="174"/>
      <c r="S62" s="221">
        <f t="shared" si="26"/>
        <v>1</v>
      </c>
      <c r="T62" s="174" t="str">
        <f t="shared" si="3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4"/>
        <v>https://d0f6bd738d7f1b3e5a7ca70fe4ff75f0.us-east-1.aws.found.io/app/kibana#/discover/Steve-Slow-Train-Analysis-(2080s-and-2083s)?_g=(refreshInterval:(display:Off,pause:!f,section:0,value:0),time:(from:'2017-10-28T08:53:58-0600',mode:absolute,to:'2017-10-28T11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204" t="str">
        <f>IF(AA62&lt;VLOOKUP(AG62,Variables!$AC$3:$AD$8,2,FALSE),"Y","N")</f>
        <v>N</v>
      </c>
      <c r="X62" s="204">
        <f t="shared" si="25"/>
        <v>1</v>
      </c>
      <c r="Y62" s="204">
        <f t="shared" si="27"/>
        <v>4.4699999999999997E-2</v>
      </c>
      <c r="Z62" s="204">
        <f t="shared" si="28"/>
        <v>23.3307</v>
      </c>
      <c r="AA62" s="204">
        <f t="shared" si="8"/>
        <v>23.286000000000001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9"/>
        <v>151</v>
      </c>
      <c r="AE62" s="77" t="str">
        <f t="shared" si="10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62" s="74" t="str">
        <f t="shared" si="11"/>
        <v>"C:\Program Files (x86)\AstroGrep\AstroGrep.exe" /e /r /s /spath="%USERPROFILE%\AppData\Local\Temp\OnboardLogs" /stypes="app*4010*20171028*" /stext=" 16:.+((SYSTEM_STATE.+slice.+state.+changed )|(ment ac)|(multiple cpu faults)|(system.+state.+changed )|(\[timeout)|(PRM\|1\|D)|(kpr)|(kdp)|(train st.+moving)|(\|lc)|(penalty))"</v>
      </c>
      <c r="AG62" s="182" t="str">
        <f t="shared" si="12"/>
        <v>EC</v>
      </c>
      <c r="AH62" s="78" t="str">
        <f t="shared" si="18"/>
        <v>"%USERPROFILE%\Documents\GitHub\eaglep3\Utilities\RefineRTDCRunTimes.py" --tripid 151-28 --locoid 4010 --swversion DE.1.0.9.0 --startMP 204:447 --initTime 2017-10-28T09:53:58 --startdatetime 2017-10-28T10:00:21 --delay 73 --endMP 204:233307 --enddatetime 2017-10-28T10:36:39 --enforcementcount 0 &gt;&gt;%USERPROFILE%\Documents\GitHub\eaglep3-reporting\EC\2017-10-28-refined-times.txt</v>
      </c>
      <c r="AI62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{"issue":{"subject":"","project_id":79,"tracker_id":40,"status_id":1,"priority_id":2,"assigned_to_id":338,"start_date":"2017-10-28","description":"","custom_fields":[{"id":1,"name":"Subdivision","value":"EC"},{"id":4,"name":"Milepost","value":"23.3307"},{"id":17,"name":"Train ID","value":"151-28"},{"id":16,"name":"Locomotive ID","value":"4010"},{"id":130,"name":"Impact","value":""},{"id":150,"name":"Time of Event (Mountain Time)","value":"10:36:39"},{"id":151,"name":"Denver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4010 --day 2017-10-28</v>
      </c>
      <c r="AN62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2"/>
        <v>https://d0f6bd738d7f1b3e5a7ca70fe4ff75f0.us-east-1.aws.found.io/app/kibana#/discover/Steve-Slow-Train-Analysis-(2080s-and-2083s)?_g=(refreshInterval:(display:Off,pause:!f,section:0,value:0),time:(from:'2017-10-28T08:53:58-0600',mode:absolute,to:'2017-10-28T11:36:39-0600'))&amp;_a=(columns:!('Message%20ID',Summary),filters:!(),index:'emp_*',interval:auto,query:(query_string:(analyze_wildcard:!t,query:'%22rtdc.l.rtdc.4010%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745</v>
      </c>
      <c r="B63" s="7">
        <v>4009</v>
      </c>
      <c r="C63" s="21" t="s">
        <v>194</v>
      </c>
      <c r="D63" s="21" t="s">
        <v>921</v>
      </c>
      <c r="E63" s="13">
        <v>43036.444907407407</v>
      </c>
      <c r="F63" s="13">
        <v>43036.456412037034</v>
      </c>
      <c r="G63" s="7">
        <v>93</v>
      </c>
      <c r="H63" s="21" t="s">
        <v>336</v>
      </c>
      <c r="I63" s="13">
        <v>43036.483414351853</v>
      </c>
      <c r="J63" s="7">
        <v>0</v>
      </c>
      <c r="K63" s="89" t="str">
        <f t="shared" si="0"/>
        <v>4009/4010</v>
      </c>
      <c r="L63" s="185" t="str">
        <f>VLOOKUP(A63,'Trips&amp;Operators'!$C$1:$G$99911,5,FALSE)</f>
        <v>BARRON PERLA</v>
      </c>
      <c r="M63" s="6">
        <f t="shared" si="1"/>
        <v>2.7002314818673767E-2</v>
      </c>
      <c r="N63" s="7">
        <f t="shared" si="29"/>
        <v>38.883333338890225</v>
      </c>
      <c r="O63" s="7"/>
      <c r="P63" s="7"/>
      <c r="Q63" s="22"/>
      <c r="R63" s="174"/>
      <c r="S63" s="221">
        <f t="shared" si="26"/>
        <v>1</v>
      </c>
      <c r="T63" s="174" t="str">
        <f t="shared" si="3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4"/>
        <v>https://d0f6bd738d7f1b3e5a7ca70fe4ff75f0.us-east-1.aws.found.io/app/kibana#/discover/Steve-Slow-Train-Analysis-(2080s-and-2083s)?_g=(refreshInterval:(display:Off,pause:!f,section:0,value:0),time:(from:'2017-10-28T09:40:40-0600',mode:absolute,to:'2017-10-28T12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204" t="str">
        <f>IF(AA63&lt;VLOOKUP(AG63,Variables!$AC$3:$AD$8,2,FALSE),"Y","N")</f>
        <v>N</v>
      </c>
      <c r="X63" s="204">
        <f t="shared" si="25"/>
        <v>1</v>
      </c>
      <c r="Y63" s="204">
        <f t="shared" si="27"/>
        <v>23.3003</v>
      </c>
      <c r="Z63" s="204">
        <f t="shared" si="28"/>
        <v>1.49E-2</v>
      </c>
      <c r="AA63" s="204">
        <f t="shared" si="8"/>
        <v>23.285399999999999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9"/>
        <v>152</v>
      </c>
      <c r="AE63" s="77" t="str">
        <f t="shared" si="10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63" s="74" t="str">
        <f t="shared" si="11"/>
        <v>"C:\Program Files (x86)\AstroGrep\AstroGrep.exe" /e /r /s /spath="%USERPROFILE%\AppData\Local\Temp\OnboardLogs" /stypes="app*4009*20171028*" /stext=" 17:.+((SYSTEM_STATE.+slice.+state.+changed )|(ment ac)|(multiple cpu faults)|(system.+state.+changed )|(\[timeout)|(PRM\|1\|D)|(kpr)|(kdp)|(train st.+moving)|(\|lc)|(penalty))"</v>
      </c>
      <c r="AG63" s="182" t="str">
        <f t="shared" si="12"/>
        <v>EC</v>
      </c>
      <c r="AH63" s="78" t="str">
        <f t="shared" si="18"/>
        <v>"%USERPROFILE%\Documents\GitHub\eaglep3\Utilities\RefineRTDCRunTimes.py" --tripid 152-28 --locoid 4009 --swversion DE.1.0.9.0 --startMP 204:233003 --initTime 2017-10-28T10:40:40 --startdatetime 2017-10-28T10:57:14 --delay 93 --endMP 204:149 --enddatetime 2017-10-28T11:36:07 --enforcementcount 0 &gt;&gt;%USERPROFILE%\Documents\GitHub\eaglep3-reporting\EC\2017-10-28-refined-times.txt</v>
      </c>
      <c r="AI63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{"issue":{"subject":"","project_id":79,"tracker_id":40,"status_id":1,"priority_id":2,"assigned_to_id":338,"start_date":"2017-10-28","description":"","custom_fields":[{"id":1,"name":"Subdivision","value":"EC"},{"id":4,"name":"Milepost","value":"0.0149"},{"id":17,"name":"Train ID","value":"152-28"},{"id":16,"name":"Locomotive ID","value":"4009"},{"id":130,"name":"Impact","value":""},{"id":150,"name":"Time of Event (Mountain Time)","value":"11:36:07"},{"id":151,"name":"Denver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4009 --day 2017-10-28</v>
      </c>
      <c r="AN63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2"/>
        <v>https://d0f6bd738d7f1b3e5a7ca70fe4ff75f0.us-east-1.aws.found.io/app/kibana#/discover/Steve-Slow-Train-Analysis-(2080s-and-2083s)?_g=(refreshInterval:(display:Off,pause:!f,section:0,value:0),time:(from:'2017-10-28T09:40:40-0600',mode:absolute,to:'2017-10-28T12:36:07-0600'))&amp;_a=(columns:!('Message%20ID',Summary),filters:!(),index:'emp_*',interval:auto,query:(query_string:(analyze_wildcard:!t,query:'%22rtdc.l.rtdc.4009%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740</v>
      </c>
      <c r="B64" s="7">
        <v>4042</v>
      </c>
      <c r="C64" s="21" t="s">
        <v>194</v>
      </c>
      <c r="D64" s="21" t="s">
        <v>922</v>
      </c>
      <c r="E64" s="13">
        <v>43036.424155092594</v>
      </c>
      <c r="F64" s="13">
        <v>43036.427291666667</v>
      </c>
      <c r="G64" s="7">
        <v>68</v>
      </c>
      <c r="H64" s="21" t="s">
        <v>923</v>
      </c>
      <c r="I64" s="13">
        <v>43036.452476851853</v>
      </c>
      <c r="J64" s="7">
        <v>0</v>
      </c>
      <c r="K64" s="89" t="str">
        <f t="shared" si="0"/>
        <v>4041/4042</v>
      </c>
      <c r="L64" s="185" t="str">
        <f>VLOOKUP(A64,'Trips&amp;Operators'!$C$1:$G$99911,5,FALSE)</f>
        <v>BADERTSCHER DIANE</v>
      </c>
      <c r="M64" s="6">
        <f t="shared" si="1"/>
        <v>2.5185185186273884E-2</v>
      </c>
      <c r="N64" s="7">
        <f t="shared" si="29"/>
        <v>36.266666668234393</v>
      </c>
      <c r="O64" s="7"/>
      <c r="P64" s="7"/>
      <c r="Q64" s="22"/>
      <c r="R64" s="174"/>
      <c r="S64" s="221">
        <f t="shared" si="26"/>
        <v>1</v>
      </c>
      <c r="T64" s="174" t="str">
        <f t="shared" si="3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4"/>
        <v>https://d0f6bd738d7f1b3e5a7ca70fe4ff75f0.us-east-1.aws.found.io/app/kibana#/discover/Steve-Slow-Train-Analysis-(2080s-and-2083s)?_g=(refreshInterval:(display:Off,pause:!f,section:0,value:0),time:(from:'2017-10-28T09:10:47-0600',mode:absolute,to:'2017-10-28T11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204" t="str">
        <f>IF(AA64&lt;VLOOKUP(AG64,Variables!$AC$3:$AD$8,2,FALSE),"Y","N")</f>
        <v>N</v>
      </c>
      <c r="X64" s="204">
        <f t="shared" si="25"/>
        <v>1</v>
      </c>
      <c r="Y64" s="204">
        <f t="shared" si="27"/>
        <v>4.3700000000000003E-2</v>
      </c>
      <c r="Z64" s="204">
        <f t="shared" si="28"/>
        <v>23.325700000000001</v>
      </c>
      <c r="AA64" s="204">
        <f t="shared" si="8"/>
        <v>23.282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9"/>
        <v>153</v>
      </c>
      <c r="AE64" s="77" t="str">
        <f t="shared" si="10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64" s="74" t="str">
        <f t="shared" si="11"/>
        <v>"C:\Program Files (x86)\AstroGrep\AstroGrep.exe" /e /r /s /spath="%USERPROFILE%\AppData\Local\Temp\OnboardLogs" /stypes="app*4042*20171028*" /stext=" 16:.+((SYSTEM_STATE.+slice.+state.+changed )|(ment ac)|(multiple cpu faults)|(system.+state.+changed )|(\[timeout)|(PRM\|1\|D)|(kpr)|(kdp)|(train st.+moving)|(\|lc)|(penalty))"</v>
      </c>
      <c r="AG64" s="182" t="str">
        <f t="shared" si="12"/>
        <v>EC</v>
      </c>
      <c r="AH64" s="78" t="str">
        <f t="shared" si="18"/>
        <v>"%USERPROFILE%\Documents\GitHub\eaglep3\Utilities\RefineRTDCRunTimes.py" --tripid 153-28 --locoid 4042 --swversion DE.1.0.9.0 --startMP 204:437 --initTime 2017-10-28T10:10:47 --startdatetime 2017-10-28T10:15:18 --delay 68 --endMP 204:233257 --enddatetime 2017-10-28T10:51:34 --enforcementcount 0 &gt;&gt;%USERPROFILE%\Documents\GitHub\eaglep3-reporting\EC\2017-10-28-refined-times.txt</v>
      </c>
      <c r="AI64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{"issue":{"subject":"","project_id":79,"tracker_id":40,"status_id":1,"priority_id":2,"assigned_to_id":338,"start_date":"2017-10-28","description":"","custom_fields":[{"id":1,"name":"Subdivision","value":"EC"},{"id":4,"name":"Milepost","value":"23.3257"},{"id":17,"name":"Train ID","value":"153-28"},{"id":16,"name":"Locomotive ID","value":"4042"},{"id":130,"name":"Impact","value":""},{"id":150,"name":"Time of Event (Mountain Time)","value":"10:51:34"},{"id":151,"name":"Denver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4042 --day 2017-10-28</v>
      </c>
      <c r="AN64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2"/>
        <v>https://d0f6bd738d7f1b3e5a7ca70fe4ff75f0.us-east-1.aws.found.io/app/kibana#/discover/Steve-Slow-Train-Analysis-(2080s-and-2083s)?_g=(refreshInterval:(display:Off,pause:!f,section:0,value:0),time:(from:'2017-10-28T09:10:47-0600',mode:absolute,to:'2017-10-28T11:51:34-0600'))&amp;_a=(columns:!('Message%20ID',Summary),filters:!(),index:'emp_*',interval:auto,query:(query_string:(analyze_wildcard:!t,query:'%22rtdc.l.rtdc.4042%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748</v>
      </c>
      <c r="B65" s="7">
        <v>4041</v>
      </c>
      <c r="C65" s="21" t="s">
        <v>194</v>
      </c>
      <c r="D65" s="21" t="s">
        <v>924</v>
      </c>
      <c r="E65" s="13">
        <v>43036.461087962962</v>
      </c>
      <c r="F65" s="13">
        <v>43036.466840277775</v>
      </c>
      <c r="G65" s="7">
        <v>109</v>
      </c>
      <c r="H65" s="21" t="s">
        <v>925</v>
      </c>
      <c r="I65" s="13">
        <v>43036.49417824074</v>
      </c>
      <c r="J65" s="7">
        <v>0</v>
      </c>
      <c r="K65" s="89" t="str">
        <f t="shared" si="0"/>
        <v>4041/4042</v>
      </c>
      <c r="L65" s="185" t="str">
        <f>VLOOKUP(A65,'Trips&amp;Operators'!$C$1:$G$99911,5,FALSE)</f>
        <v>BADERTSCHER DIANE</v>
      </c>
      <c r="M65" s="6">
        <f t="shared" si="1"/>
        <v>2.7337962965248153E-2</v>
      </c>
      <c r="N65" s="7">
        <f t="shared" si="29"/>
        <v>39.36666666995734</v>
      </c>
      <c r="O65" s="7"/>
      <c r="P65" s="7"/>
      <c r="Q65" s="22"/>
      <c r="R65" s="174"/>
      <c r="S65" s="221">
        <f t="shared" si="26"/>
        <v>1</v>
      </c>
      <c r="T65" s="174" t="str">
        <f t="shared" si="3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4"/>
        <v>https://d0f6bd738d7f1b3e5a7ca70fe4ff75f0.us-east-1.aws.found.io/app/kibana#/discover/Steve-Slow-Train-Analysis-(2080s-and-2083s)?_g=(refreshInterval:(display:Off,pause:!f,section:0,value:0),time:(from:'2017-10-28T10:03:58-0600',mode:absolute,to:'2017-10-28T12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204" t="str">
        <f>IF(AA65&lt;VLOOKUP(AG65,Variables!$AC$3:$AD$8,2,FALSE),"Y","N")</f>
        <v>N</v>
      </c>
      <c r="X65" s="204">
        <f t="shared" si="25"/>
        <v>1</v>
      </c>
      <c r="Y65" s="204">
        <f t="shared" si="27"/>
        <v>23.293399999999998</v>
      </c>
      <c r="Z65" s="204">
        <f t="shared" si="28"/>
        <v>2.0299999999999999E-2</v>
      </c>
      <c r="AA65" s="204">
        <f t="shared" si="8"/>
        <v>23.273099999999999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9"/>
        <v>154</v>
      </c>
      <c r="AE65" s="77" t="str">
        <f t="shared" si="10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65" s="74" t="str">
        <f t="shared" si="11"/>
        <v>"C:\Program Files (x86)\AstroGrep\AstroGrep.exe" /e /r /s /spath="%USERPROFILE%\AppData\Local\Temp\OnboardLogs" /stypes="app*4041*20171028*" /stext=" 17:.+((SYSTEM_STATE.+slice.+state.+changed )|(ment ac)|(multiple cpu faults)|(system.+state.+changed )|(\[timeout)|(PRM\|1\|D)|(kpr)|(kdp)|(train st.+moving)|(\|lc)|(penalty))"</v>
      </c>
      <c r="AG65" s="182" t="str">
        <f t="shared" si="12"/>
        <v>EC</v>
      </c>
      <c r="AH65" s="78" t="str">
        <f t="shared" si="18"/>
        <v>"%USERPROFILE%\Documents\GitHub\eaglep3\Utilities\RefineRTDCRunTimes.py" --tripid 154-28 --locoid 4041 --swversion DE.1.0.9.0 --startMP 204:232934 --initTime 2017-10-28T11:03:58 --startdatetime 2017-10-28T11:12:15 --delay 109 --endMP 204:203 --enddatetime 2017-10-28T11:51:37 --enforcementcount 0 &gt;&gt;%USERPROFILE%\Documents\GitHub\eaglep3-reporting\EC\2017-10-28-refined-times.txt</v>
      </c>
      <c r="AI65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{"issue":{"subject":"","project_id":79,"tracker_id":40,"status_id":1,"priority_id":2,"assigned_to_id":338,"start_date":"2017-10-28","description":"","custom_fields":[{"id":1,"name":"Subdivision","value":"EC"},{"id":4,"name":"Milepost","value":"0.0203"},{"id":17,"name":"Train ID","value":"154-28"},{"id":16,"name":"Locomotive ID","value":"4041"},{"id":130,"name":"Impact","value":""},{"id":150,"name":"Time of Event (Mountain Time)","value":"11:51:37"},{"id":151,"name":"Denver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4041 --day 2017-10-28</v>
      </c>
      <c r="AN65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2"/>
        <v>https://d0f6bd738d7f1b3e5a7ca70fe4ff75f0.us-east-1.aws.found.io/app/kibana#/discover/Steve-Slow-Train-Analysis-(2080s-and-2083s)?_g=(refreshInterval:(display:Off,pause:!f,section:0,value:0),time:(from:'2017-10-28T10:03:58-0600',mode:absolute,to:'2017-10-28T12:51:37-0600'))&amp;_a=(columns:!('Message%20ID',Summary),filters:!(),index:'emp_*',interval:auto,query:(query_string:(analyze_wildcard:!t,query:'%22rtdc.l.rtdc.4041%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743</v>
      </c>
      <c r="B66" s="7">
        <v>4032</v>
      </c>
      <c r="C66" s="21" t="s">
        <v>194</v>
      </c>
      <c r="D66" s="21" t="s">
        <v>526</v>
      </c>
      <c r="E66" s="13">
        <v>43036.433923611112</v>
      </c>
      <c r="F66" s="13">
        <v>43036.437789351854</v>
      </c>
      <c r="G66" s="7">
        <v>68</v>
      </c>
      <c r="H66" s="21" t="s">
        <v>926</v>
      </c>
      <c r="I66" s="13">
        <v>43036.461886574078</v>
      </c>
      <c r="J66" s="7">
        <v>0</v>
      </c>
      <c r="K66" s="89" t="str">
        <f t="shared" si="0"/>
        <v>4031/4032</v>
      </c>
      <c r="L66" s="185" t="str">
        <f>VLOOKUP(A66,'Trips&amp;Operators'!$C$1:$G$99911,5,FALSE)</f>
        <v>MACDONALD THOMAS</v>
      </c>
      <c r="M66" s="6">
        <f t="shared" si="1"/>
        <v>2.4097222223645076E-2</v>
      </c>
      <c r="N66" s="7">
        <f t="shared" si="29"/>
        <v>34.70000000204891</v>
      </c>
      <c r="O66" s="7"/>
      <c r="P66" s="7"/>
      <c r="Q66" s="22"/>
      <c r="R66" s="174"/>
      <c r="S66" s="221">
        <f t="shared" si="26"/>
        <v>1</v>
      </c>
      <c r="T66" s="174" t="str">
        <f t="shared" si="3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4"/>
        <v>https://d0f6bd738d7f1b3e5a7ca70fe4ff75f0.us-east-1.aws.found.io/app/kibana#/discover/Steve-Slow-Train-Analysis-(2080s-and-2083s)?_g=(refreshInterval:(display:Off,pause:!f,section:0,value:0),time:(from:'2017-10-28T09:24:51-0600',mode:absolute,to:'2017-10-28T12:05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6" s="204" t="str">
        <f>IF(AA66&lt;VLOOKUP(AG66,Variables!$AC$3:$AD$8,2,FALSE),"Y","N")</f>
        <v>N</v>
      </c>
      <c r="X66" s="204">
        <f t="shared" si="25"/>
        <v>1</v>
      </c>
      <c r="Y66" s="204">
        <f t="shared" si="27"/>
        <v>5.1900000000000002E-2</v>
      </c>
      <c r="Z66" s="204">
        <f t="shared" si="28"/>
        <v>23.3245</v>
      </c>
      <c r="AA66" s="204">
        <f t="shared" si="8"/>
        <v>23.272600000000001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9"/>
        <v>155</v>
      </c>
      <c r="AE66" s="77" t="str">
        <f t="shared" si="10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66" s="74" t="str">
        <f t="shared" si="11"/>
        <v>"C:\Program Files (x86)\AstroGrep\AstroGrep.exe" /e /r /s /spath="%USERPROFILE%\AppData\Local\Temp\OnboardLogs" /stypes="app*4032*20171028*" /stext=" 17:.+((SYSTEM_STATE.+slice.+state.+changed )|(ment ac)|(multiple cpu faults)|(system.+state.+changed )|(\[timeout)|(PRM\|1\|D)|(kpr)|(kdp)|(train st.+moving)|(\|lc)|(penalty))"</v>
      </c>
      <c r="AG66" s="182" t="str">
        <f t="shared" si="12"/>
        <v>EC</v>
      </c>
      <c r="AH66" s="78" t="str">
        <f t="shared" si="18"/>
        <v>"%USERPROFILE%\Documents\GitHub\eaglep3\Utilities\RefineRTDCRunTimes.py" --tripid 155-28 --locoid 4032 --swversion DE.1.0.9.0 --startMP 204:519 --initTime 2017-10-28T10:24:51 --startdatetime 2017-10-28T10:30:25 --delay 68 --endMP 204:233245 --enddatetime 2017-10-28T11:05:07 --enforcementcount 0 &gt;&gt;%USERPROFILE%\Documents\GitHub\eaglep3-reporting\EC\2017-10-28-refined-times.txt</v>
      </c>
      <c r="AI66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{"issue":{"subject":"","project_id":79,"tracker_id":40,"status_id":1,"priority_id":2,"assigned_to_id":338,"start_date":"2017-10-28","description":"","custom_fields":[{"id":1,"name":"Subdivision","value":"EC"},{"id":4,"name":"Milepost","value":"23.3245"},{"id":17,"name":"Train ID","value":"155-28"},{"id":16,"name":"Locomotive ID","value":"4032"},{"id":130,"name":"Impact","value":""},{"id":150,"name":"Time of Event (Mountain Time)","value":"11:05:07"},{"id":151,"name":"Denver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4032 --day 2017-10-28</v>
      </c>
      <c r="AN66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2"/>
        <v>https://d0f6bd738d7f1b3e5a7ca70fe4ff75f0.us-east-1.aws.found.io/app/kibana#/discover/Steve-Slow-Train-Analysis-(2080s-and-2083s)?_g=(refreshInterval:(display:Off,pause:!f,section:0,value:0),time:(from:'2017-10-28T09:24:51-0600',mode:absolute,to:'2017-10-28T12:05:07-0600'))&amp;_a=(columns:!('Message%20ID',Summary),filters:!(),index:'emp_*',interval:auto,query:(query_string:(analyze_wildcard:!t,query:'%22rtdc.l.rtdc.4032%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753</v>
      </c>
      <c r="B67" s="7">
        <v>4031</v>
      </c>
      <c r="C67" s="21" t="s">
        <v>194</v>
      </c>
      <c r="D67" s="21" t="s">
        <v>927</v>
      </c>
      <c r="E67" s="13">
        <v>43036.475532407407</v>
      </c>
      <c r="F67" s="13">
        <v>43036.477442129632</v>
      </c>
      <c r="G67" s="7">
        <v>71</v>
      </c>
      <c r="H67" s="21" t="s">
        <v>577</v>
      </c>
      <c r="I67" s="13">
        <v>43036.504189814812</v>
      </c>
      <c r="J67" s="7">
        <v>0</v>
      </c>
      <c r="K67" s="89" t="str">
        <f t="shared" si="0"/>
        <v>4031/4032</v>
      </c>
      <c r="L67" s="185" t="str">
        <f>VLOOKUP(A67,'Trips&amp;Operators'!$C$1:$G$99911,5,FALSE)</f>
        <v>MACDONALD THOMAS</v>
      </c>
      <c r="M67" s="6">
        <f t="shared" si="1"/>
        <v>2.6747685180453118E-2</v>
      </c>
      <c r="N67" s="7">
        <f t="shared" si="29"/>
        <v>38.51666665985249</v>
      </c>
      <c r="O67" s="7"/>
      <c r="P67" s="7"/>
      <c r="Q67" s="22"/>
      <c r="R67" s="174"/>
      <c r="S67" s="221">
        <f t="shared" si="26"/>
        <v>1</v>
      </c>
      <c r="T67" s="174" t="str">
        <f t="shared" si="3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4"/>
        <v>https://d0f6bd738d7f1b3e5a7ca70fe4ff75f0.us-east-1.aws.found.io/app/kibana#/discover/Steve-Slow-Train-Analysis-(2080s-and-2083s)?_g=(refreshInterval:(display:Off,pause:!f,section:0,value:0),time:(from:'2017-10-28T10:24:46-0600',mode:absolute,to:'2017-10-28T13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7" s="204" t="str">
        <f>IF(AA67&lt;VLOOKUP(AG67,Variables!$AC$3:$AD$8,2,FALSE),"Y","N")</f>
        <v>N</v>
      </c>
      <c r="X67" s="204">
        <f t="shared" si="25"/>
        <v>1</v>
      </c>
      <c r="Y67" s="204">
        <f t="shared" si="27"/>
        <v>23.2925</v>
      </c>
      <c r="Z67" s="204">
        <f t="shared" si="28"/>
        <v>0.02</v>
      </c>
      <c r="AA67" s="204">
        <f t="shared" si="8"/>
        <v>23.272500000000001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9"/>
        <v>156</v>
      </c>
      <c r="AE67" s="77" t="str">
        <f t="shared" si="10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67" s="74" t="str">
        <f t="shared" si="11"/>
        <v>"C:\Program Files (x86)\AstroGrep\AstroGrep.exe" /e /r /s /spath="%USERPROFILE%\AppData\Local\Temp\OnboardLogs" /stypes="app*4031*20171028*" /stext=" 18:.+((SYSTEM_STATE.+slice.+state.+changed )|(ment ac)|(multiple cpu faults)|(system.+state.+changed )|(\[timeout)|(PRM\|1\|D)|(kpr)|(kdp)|(train st.+moving)|(\|lc)|(penalty))"</v>
      </c>
      <c r="AG67" s="182" t="str">
        <f t="shared" si="12"/>
        <v>EC</v>
      </c>
      <c r="AH67" s="78" t="str">
        <f t="shared" si="18"/>
        <v>"%USERPROFILE%\Documents\GitHub\eaglep3\Utilities\RefineRTDCRunTimes.py" --tripid 156-28 --locoid 4031 --swversion DE.1.0.9.0 --startMP 204:232925 --initTime 2017-10-28T11:24:46 --startdatetime 2017-10-28T11:27:31 --delay 71 --endMP 204:200 --enddatetime 2017-10-28T12:06:02 --enforcementcount 0 &gt;&gt;%USERPROFILE%\Documents\GitHub\eaglep3-reporting\EC\2017-10-28-refined-times.txt</v>
      </c>
      <c r="AI67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{"issue":{"subject":"","project_id":79,"tracker_id":40,"status_id":1,"priority_id":2,"assigned_to_id":338,"start_date":"2017-10-28","description":"","custom_fields":[{"id":1,"name":"Subdivision","value":"EC"},{"id":4,"name":"Milepost","value":"0.02"},{"id":17,"name":"Train ID","value":"156-28"},{"id":16,"name":"Locomotive ID","value":"4031"},{"id":130,"name":"Impact","value":""},{"id":150,"name":"Time of Event (Mountain Time)","value":"12:06:02"},{"id":151,"name":"Denver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4031 --day 2017-10-28</v>
      </c>
      <c r="AN67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2"/>
        <v>https://d0f6bd738d7f1b3e5a7ca70fe4ff75f0.us-east-1.aws.found.io/app/kibana#/discover/Steve-Slow-Train-Analysis-(2080s-and-2083s)?_g=(refreshInterval:(display:Off,pause:!f,section:0,value:0),time:(from:'2017-10-28T10:24:46-0600',mode:absolute,to:'2017-10-28T13:06:02-0600'))&amp;_a=(columns:!('Message%20ID',Summary),filters:!(),index:'emp_*',interval:auto,query:(query_string:(analyze_wildcard:!t,query:'%22rtdc.l.rtdc.4031%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744</v>
      </c>
      <c r="B68" s="7">
        <v>4024</v>
      </c>
      <c r="C68" s="21" t="s">
        <v>194</v>
      </c>
      <c r="D68" s="21" t="s">
        <v>902</v>
      </c>
      <c r="E68" s="13">
        <v>43036.444548611114</v>
      </c>
      <c r="F68" s="13">
        <v>43036.44809027778</v>
      </c>
      <c r="G68" s="7">
        <v>94</v>
      </c>
      <c r="H68" s="21" t="s">
        <v>928</v>
      </c>
      <c r="I68" s="13">
        <v>43036.472673611112</v>
      </c>
      <c r="J68" s="7">
        <v>0</v>
      </c>
      <c r="K68" s="89" t="str">
        <f t="shared" si="0"/>
        <v>4023/4024</v>
      </c>
      <c r="L68" s="185" t="str">
        <f>VLOOKUP(A68,'Trips&amp;Operators'!$C$1:$G$99911,5,FALSE)</f>
        <v>BRUDER RICHARD</v>
      </c>
      <c r="M68" s="6">
        <f t="shared" si="1"/>
        <v>2.4583333331975155E-2</v>
      </c>
      <c r="N68" s="7">
        <f t="shared" si="29"/>
        <v>35.399999998044223</v>
      </c>
      <c r="O68" s="7"/>
      <c r="P68" s="7"/>
      <c r="Q68" s="22"/>
      <c r="R68" s="174"/>
      <c r="S68" s="221">
        <f t="shared" si="26"/>
        <v>1</v>
      </c>
      <c r="T68" s="174" t="str">
        <f t="shared" si="3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4"/>
        <v>https://d0f6bd738d7f1b3e5a7ca70fe4ff75f0.us-east-1.aws.found.io/app/kibana#/discover/Steve-Slow-Train-Analysis-(2080s-and-2083s)?_g=(refreshInterval:(display:Off,pause:!f,section:0,value:0),time:(from:'2017-10-28T09:40:09-0600',mode:absolute,to:'2017-10-28T12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204" t="str">
        <f>IF(AA68&lt;VLOOKUP(AG68,Variables!$AC$3:$AD$8,2,FALSE),"Y","N")</f>
        <v>N</v>
      </c>
      <c r="X68" s="204">
        <f t="shared" si="25"/>
        <v>1</v>
      </c>
      <c r="Y68" s="204">
        <f t="shared" si="27"/>
        <v>4.5499999999999999E-2</v>
      </c>
      <c r="Z68" s="204">
        <f t="shared" si="28"/>
        <v>23.322099999999999</v>
      </c>
      <c r="AA68" s="204">
        <f t="shared" si="8"/>
        <v>23.276599999999998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9"/>
        <v>157</v>
      </c>
      <c r="AE68" s="77" t="str">
        <f t="shared" si="10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68" s="74" t="str">
        <f t="shared" si="11"/>
        <v>"C:\Program Files (x86)\AstroGrep\AstroGrep.exe" /e /r /s /spath="%USERPROFILE%\AppData\Local\Temp\OnboardLogs" /stypes="app*4024*20171028*" /stext=" 17:.+((SYSTEM_STATE.+slice.+state.+changed )|(ment ac)|(multiple cpu faults)|(system.+state.+changed )|(\[timeout)|(PRM\|1\|D)|(kpr)|(kdp)|(train st.+moving)|(\|lc)|(penalty))"</v>
      </c>
      <c r="AG68" s="182" t="str">
        <f t="shared" si="12"/>
        <v>EC</v>
      </c>
      <c r="AH68" s="78" t="str">
        <f t="shared" si="18"/>
        <v>"%USERPROFILE%\Documents\GitHub\eaglep3\Utilities\RefineRTDCRunTimes.py" --tripid 157-28 --locoid 4024 --swversion DE.1.0.9.0 --startMP 204:455 --initTime 2017-10-28T10:40:09 --startdatetime 2017-10-28T10:45:15 --delay 94 --endMP 204:233221 --enddatetime 2017-10-28T11:20:39 --enforcementcount 0 &gt;&gt;%USERPROFILE%\Documents\GitHub\eaglep3-reporting\EC\2017-10-28-refined-times.txt</v>
      </c>
      <c r="AI68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{"issue":{"subject":"","project_id":79,"tracker_id":40,"status_id":1,"priority_id":2,"assigned_to_id":338,"start_date":"2017-10-28","description":"","custom_fields":[{"id":1,"name":"Subdivision","value":"EC"},{"id":4,"name":"Milepost","value":"23.3221"},{"id":17,"name":"Train ID","value":"157-28"},{"id":16,"name":"Locomotive ID","value":"4024"},{"id":130,"name":"Impact","value":""},{"id":150,"name":"Time of Event (Mountain Time)","value":"11:20:39"},{"id":151,"name":"Denver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4024 --day 2017-10-28</v>
      </c>
      <c r="AN68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2"/>
        <v>https://d0f6bd738d7f1b3e5a7ca70fe4ff75f0.us-east-1.aws.found.io/app/kibana#/discover/Steve-Slow-Train-Analysis-(2080s-and-2083s)?_g=(refreshInterval:(display:Off,pause:!f,section:0,value:0),time:(from:'2017-10-28T09:40:09-0600',mode:absolute,to:'2017-10-28T12:20:39-0600'))&amp;_a=(columns:!('Message%20ID',Summary),filters:!(),index:'emp_*',interval:auto,query:(query_string:(analyze_wildcard:!t,query:'%22rtdc.l.rtdc.4024%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755</v>
      </c>
      <c r="B69" s="7">
        <v>4023</v>
      </c>
      <c r="C69" s="21" t="s">
        <v>194</v>
      </c>
      <c r="D69" s="21" t="s">
        <v>569</v>
      </c>
      <c r="E69" s="13">
        <v>43036.484479166669</v>
      </c>
      <c r="F69" s="13">
        <v>43036.487685185188</v>
      </c>
      <c r="G69" s="7">
        <v>97</v>
      </c>
      <c r="H69" s="21" t="s">
        <v>583</v>
      </c>
      <c r="I69" s="13">
        <v>43036.513668981483</v>
      </c>
      <c r="J69" s="7">
        <v>0</v>
      </c>
      <c r="K69" s="89" t="str">
        <f t="shared" si="0"/>
        <v>4023/4024</v>
      </c>
      <c r="L69" s="185" t="str">
        <f>VLOOKUP(A69,'Trips&amp;Operators'!$C$1:$G$99911,5,FALSE)</f>
        <v>BRUDER RICHARD</v>
      </c>
      <c r="M69" s="6">
        <f t="shared" si="1"/>
        <v>2.5983796294895001E-2</v>
      </c>
      <c r="N69" s="7">
        <f t="shared" si="29"/>
        <v>37.416666664648801</v>
      </c>
      <c r="O69" s="7"/>
      <c r="P69" s="7"/>
      <c r="Q69" s="22"/>
      <c r="R69" s="174"/>
      <c r="S69" s="221">
        <f t="shared" si="26"/>
        <v>1</v>
      </c>
      <c r="T69" s="174" t="str">
        <f t="shared" si="3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4"/>
        <v>https://d0f6bd738d7f1b3e5a7ca70fe4ff75f0.us-east-1.aws.found.io/app/kibana#/discover/Steve-Slow-Train-Analysis-(2080s-and-2083s)?_g=(refreshInterval:(display:Off,pause:!f,section:0,value:0),time:(from:'2017-10-28T10:37:39-0600',mode:absolute,to:'2017-10-28T13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204" t="str">
        <f>IF(AA69&lt;VLOOKUP(AG69,Variables!$AC$3:$AD$8,2,FALSE),"Y","N")</f>
        <v>N</v>
      </c>
      <c r="X69" s="204">
        <f t="shared" si="25"/>
        <v>1</v>
      </c>
      <c r="Y69" s="204">
        <f t="shared" si="27"/>
        <v>23.2896</v>
      </c>
      <c r="Z69" s="204">
        <f t="shared" si="28"/>
        <v>2.3400000000000001E-2</v>
      </c>
      <c r="AA69" s="204">
        <f t="shared" si="8"/>
        <v>23.266200000000001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9"/>
        <v>158</v>
      </c>
      <c r="AE69" s="77" t="str">
        <f t="shared" si="10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69" s="74" t="str">
        <f t="shared" si="11"/>
        <v>"C:\Program Files (x86)\AstroGrep\AstroGrep.exe" /e /r /s /spath="%USERPROFILE%\AppData\Local\Temp\OnboardLogs" /stypes="app*4023*20171028*" /stext=" 18:.+((SYSTEM_STATE.+slice.+state.+changed )|(ment ac)|(multiple cpu faults)|(system.+state.+changed )|(\[timeout)|(PRM\|1\|D)|(kpr)|(kdp)|(train st.+moving)|(\|lc)|(penalty))"</v>
      </c>
      <c r="AG69" s="182" t="str">
        <f t="shared" si="12"/>
        <v>EC</v>
      </c>
      <c r="AH69" s="78" t="str">
        <f t="shared" si="18"/>
        <v>"%USERPROFILE%\Documents\GitHub\eaglep3\Utilities\RefineRTDCRunTimes.py" --tripid 158-28 --locoid 4023 --swversion DE.1.0.9.0 --startMP 204:232896 --initTime 2017-10-28T11:37:39 --startdatetime 2017-10-28T11:42:16 --delay 97 --endMP 204:234 --enddatetime 2017-10-28T12:19:41 --enforcementcount 0 &gt;&gt;%USERPROFILE%\Documents\GitHub\eaglep3-reporting\EC\2017-10-28-refined-times.txt</v>
      </c>
      <c r="AI69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{"issue":{"subject":"","project_id":79,"tracker_id":40,"status_id":1,"priority_id":2,"assigned_to_id":338,"start_date":"2017-10-28","description":"","custom_fields":[{"id":1,"name":"Subdivision","value":"EC"},{"id":4,"name":"Milepost","value":"0.0234"},{"id":17,"name":"Train ID","value":"158-28"},{"id":16,"name":"Locomotive ID","value":"4023"},{"id":130,"name":"Impact","value":""},{"id":150,"name":"Time of Event (Mountain Time)","value":"12:19:41"},{"id":151,"name":"Denver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4023 --day 2017-10-28</v>
      </c>
      <c r="AN69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2"/>
        <v>https://d0f6bd738d7f1b3e5a7ca70fe4ff75f0.us-east-1.aws.found.io/app/kibana#/discover/Steve-Slow-Train-Analysis-(2080s-and-2083s)?_g=(refreshInterval:(display:Off,pause:!f,section:0,value:0),time:(from:'2017-10-28T10:37:39-0600',mode:absolute,to:'2017-10-28T13:19:41-0600'))&amp;_a=(columns:!('Message%20ID',Summary),filters:!(),index:'emp_*',interval:auto,query:(query_string:(analyze_wildcard:!t,query:'%22rtdc.l.rtdc.4023%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746</v>
      </c>
      <c r="B70" s="7">
        <v>4064</v>
      </c>
      <c r="C70" s="21" t="s">
        <v>194</v>
      </c>
      <c r="D70" s="21" t="s">
        <v>886</v>
      </c>
      <c r="E70" s="13">
        <v>43036.455254629633</v>
      </c>
      <c r="F70" s="13">
        <v>43036.458553240744</v>
      </c>
      <c r="G70" s="7">
        <v>57</v>
      </c>
      <c r="H70" s="21" t="s">
        <v>594</v>
      </c>
      <c r="I70" s="13">
        <v>43036.483703703707</v>
      </c>
      <c r="J70" s="7">
        <v>0</v>
      </c>
      <c r="K70" s="89" t="str">
        <f t="shared" si="0"/>
        <v>4063/4064</v>
      </c>
      <c r="L70" s="185" t="str">
        <f>VLOOKUP(A70,'Trips&amp;Operators'!$C$1:$G$99911,5,FALSE)</f>
        <v>WILLIAMS DONTE</v>
      </c>
      <c r="M70" s="6">
        <f t="shared" si="1"/>
        <v>2.5150462963210884E-2</v>
      </c>
      <c r="N70" s="7">
        <f t="shared" si="29"/>
        <v>36.216666667023674</v>
      </c>
      <c r="O70" s="7"/>
      <c r="P70" s="7"/>
      <c r="Q70" s="22"/>
      <c r="R70" s="174"/>
      <c r="S70" s="221">
        <f t="shared" si="26"/>
        <v>1</v>
      </c>
      <c r="T70" s="174" t="str">
        <f t="shared" si="3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4"/>
        <v>https://d0f6bd738d7f1b3e5a7ca70fe4ff75f0.us-east-1.aws.found.io/app/kibana#/discover/Steve-Slow-Train-Analysis-(2080s-and-2083s)?_g=(refreshInterval:(display:Off,pause:!f,section:0,value:0),time:(from:'2017-10-28T09:55:34-0600',mode:absolute,to:'2017-10-28T12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0" s="204" t="str">
        <f>IF(AA70&lt;VLOOKUP(AG70,Variables!$AC$3:$AD$8,2,FALSE),"Y","N")</f>
        <v>N</v>
      </c>
      <c r="X70" s="204">
        <f t="shared" si="25"/>
        <v>1</v>
      </c>
      <c r="Y70" s="204">
        <f t="shared" si="27"/>
        <v>4.6699999999999998E-2</v>
      </c>
      <c r="Z70" s="204">
        <f t="shared" si="28"/>
        <v>23.325900000000001</v>
      </c>
      <c r="AA70" s="204">
        <f t="shared" si="8"/>
        <v>23.279199999999999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9"/>
        <v>159</v>
      </c>
      <c r="AE70" s="77" t="str">
        <f t="shared" si="10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70" s="74" t="str">
        <f t="shared" si="11"/>
        <v>"C:\Program Files (x86)\AstroGrep\AstroGrep.exe" /e /r /s /spath="%USERPROFILE%\AppData\Local\Temp\OnboardLogs" /stypes="app*4064*20171028*" /stext=" 17:.+((SYSTEM_STATE.+slice.+state.+changed )|(ment ac)|(multiple cpu faults)|(system.+state.+changed )|(\[timeout)|(PRM\|1\|D)|(kpr)|(kdp)|(train st.+moving)|(\|lc)|(penalty))"</v>
      </c>
      <c r="AG70" s="182" t="str">
        <f t="shared" si="12"/>
        <v>EC</v>
      </c>
      <c r="AH70" s="78" t="str">
        <f t="shared" si="18"/>
        <v>"%USERPROFILE%\Documents\GitHub\eaglep3\Utilities\RefineRTDCRunTimes.py" --tripid 159-28 --locoid 4064 --swversion DE.1.0.9.0 --startMP 204:467 --initTime 2017-10-28T10:55:34 --startdatetime 2017-10-28T11:00:19 --delay 57 --endMP 204:233259 --enddatetime 2017-10-28T11:36:32 --enforcementcount 0 &gt;&gt;%USERPROFILE%\Documents\GitHub\eaglep3-reporting\EC\2017-10-28-refined-times.txt</v>
      </c>
      <c r="AI70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{"issue":{"subject":"","project_id":79,"tracker_id":40,"status_id":1,"priority_id":2,"assigned_to_id":338,"start_date":"2017-10-28","description":"","custom_fields":[{"id":1,"name":"Subdivision","value":"EC"},{"id":4,"name":"Milepost","value":"23.3259"},{"id":17,"name":"Train ID","value":"159-28"},{"id":16,"name":"Locomotive ID","value":"4064"},{"id":130,"name":"Impact","value":""},{"id":150,"name":"Time of Event (Mountain Time)","value":"11:36:32"},{"id":151,"name":"Denver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4064 --day 2017-10-28</v>
      </c>
      <c r="AN70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2"/>
        <v>https://d0f6bd738d7f1b3e5a7ca70fe4ff75f0.us-east-1.aws.found.io/app/kibana#/discover/Steve-Slow-Train-Analysis-(2080s-and-2083s)?_g=(refreshInterval:(display:Off,pause:!f,section:0,value:0),time:(from:'2017-10-28T09:55:34-0600',mode:absolute,to:'2017-10-28T12:36:32-0600'))&amp;_a=(columns:!('Message%20ID',Summary),filters:!(),index:'emp_*',interval:auto,query:(query_string:(analyze_wildcard:!t,query:'%22rtdc.l.rtdc.4064%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759</v>
      </c>
      <c r="B71" s="7">
        <v>4063</v>
      </c>
      <c r="C71" s="21" t="s">
        <v>194</v>
      </c>
      <c r="D71" s="21" t="s">
        <v>896</v>
      </c>
      <c r="E71" s="13">
        <v>43036.493946759256</v>
      </c>
      <c r="F71" s="13">
        <v>43036.498090277775</v>
      </c>
      <c r="G71" s="7">
        <v>55</v>
      </c>
      <c r="H71" s="21" t="s">
        <v>929</v>
      </c>
      <c r="I71" s="13">
        <v>43036.526423611111</v>
      </c>
      <c r="J71" s="7">
        <v>0</v>
      </c>
      <c r="K71" s="89" t="str">
        <f t="shared" si="0"/>
        <v>4063/4064</v>
      </c>
      <c r="L71" s="185" t="str">
        <f>VLOOKUP(A71,'Trips&amp;Operators'!$C$1:$G$99911,5,FALSE)</f>
        <v>WILLIAMS DONTE</v>
      </c>
      <c r="M71" s="6">
        <f t="shared" si="1"/>
        <v>2.8333333335467614E-2</v>
      </c>
      <c r="N71" s="7">
        <f t="shared" si="29"/>
        <v>40.800000003073364</v>
      </c>
      <c r="O71" s="7"/>
      <c r="P71" s="7"/>
      <c r="Q71" s="22"/>
      <c r="R71" s="174"/>
      <c r="S71" s="221">
        <f t="shared" si="26"/>
        <v>1</v>
      </c>
      <c r="T71" s="174" t="str">
        <f t="shared" si="3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4"/>
        <v>https://d0f6bd738d7f1b3e5a7ca70fe4ff75f0.us-east-1.aws.found.io/app/kibana#/discover/Steve-Slow-Train-Analysis-(2080s-and-2083s)?_g=(refreshInterval:(display:Off,pause:!f,section:0,value:0),time:(from:'2017-10-28T10:51:17-0600',mode:absolute,to:'2017-10-28T13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1" s="204" t="str">
        <f>IF(AA71&lt;VLOOKUP(AG71,Variables!$AC$3:$AD$8,2,FALSE),"Y","N")</f>
        <v>N</v>
      </c>
      <c r="X71" s="204">
        <f t="shared" si="25"/>
        <v>1</v>
      </c>
      <c r="Y71" s="204">
        <f t="shared" si="27"/>
        <v>23.294</v>
      </c>
      <c r="Z71" s="204">
        <f t="shared" si="28"/>
        <v>2.1600000000000001E-2</v>
      </c>
      <c r="AA71" s="204">
        <f t="shared" si="8"/>
        <v>23.272400000000001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9"/>
        <v>160</v>
      </c>
      <c r="AE71" s="77" t="str">
        <f t="shared" si="10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71" s="74" t="str">
        <f t="shared" si="11"/>
        <v>"C:\Program Files (x86)\AstroGrep\AstroGrep.exe" /e /r /s /spath="%USERPROFILE%\AppData\Local\Temp\OnboardLogs" /stypes="app*4063*20171028*" /stext=" 18:.+((SYSTEM_STATE.+slice.+state.+changed )|(ment ac)|(multiple cpu faults)|(system.+state.+changed )|(\[timeout)|(PRM\|1\|D)|(kpr)|(kdp)|(train st.+moving)|(\|lc)|(penalty))"</v>
      </c>
      <c r="AG71" s="182" t="str">
        <f t="shared" si="12"/>
        <v>EC</v>
      </c>
      <c r="AH71" s="78" t="str">
        <f t="shared" si="18"/>
        <v>"%USERPROFILE%\Documents\GitHub\eaglep3\Utilities\RefineRTDCRunTimes.py" --tripid 160-28 --locoid 4063 --swversion DE.1.0.9.0 --startMP 204:232940 --initTime 2017-10-28T11:51:17 --startdatetime 2017-10-28T11:57:15 --delay 55 --endMP 204:216 --enddatetime 2017-10-28T12:38:03 --enforcementcount 0 &gt;&gt;%USERPROFILE%\Documents\GitHub\eaglep3-reporting\EC\2017-10-28-refined-times.txt</v>
      </c>
      <c r="AI71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{"issue":{"subject":"","project_id":79,"tracker_id":40,"status_id":1,"priority_id":2,"assigned_to_id":338,"start_date":"2017-10-28","description":"","custom_fields":[{"id":1,"name":"Subdivision","value":"EC"},{"id":4,"name":"Milepost","value":"0.0216"},{"id":17,"name":"Train ID","value":"160-28"},{"id":16,"name":"Locomotive ID","value":"4063"},{"id":130,"name":"Impact","value":""},{"id":150,"name":"Time of Event (Mountain Time)","value":"12:38:03"},{"id":151,"name":"Denver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4063 --day 2017-10-28</v>
      </c>
      <c r="AN71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2"/>
        <v>https://d0f6bd738d7f1b3e5a7ca70fe4ff75f0.us-east-1.aws.found.io/app/kibana#/discover/Steve-Slow-Train-Analysis-(2080s-and-2083s)?_g=(refreshInterval:(display:Off,pause:!f,section:0,value:0),time:(from:'2017-10-28T10:51:17-0600',mode:absolute,to:'2017-10-28T13:38:03-0600'))&amp;_a=(columns:!('Message%20ID',Summary),filters:!(),index:'emp_*',interval:auto,query:(query_string:(analyze_wildcard:!t,query:'%22rtdc.l.rtdc.4063%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749</v>
      </c>
      <c r="B72" s="7">
        <v>4012</v>
      </c>
      <c r="C72" s="21" t="s">
        <v>194</v>
      </c>
      <c r="D72" s="21" t="s">
        <v>930</v>
      </c>
      <c r="E72" s="13">
        <v>43036.46497685185</v>
      </c>
      <c r="F72" s="13">
        <v>43036.469328703701</v>
      </c>
      <c r="G72" s="7">
        <v>99</v>
      </c>
      <c r="H72" s="21" t="s">
        <v>909</v>
      </c>
      <c r="I72" s="13">
        <v>43036.495104166665</v>
      </c>
      <c r="J72" s="7">
        <v>0</v>
      </c>
      <c r="K72" s="89" t="str">
        <f t="shared" si="0"/>
        <v>4011/4012</v>
      </c>
      <c r="L72" s="185" t="str">
        <f>VLOOKUP(A72,'Trips&amp;Operators'!$C$1:$G$99911,5,FALSE)</f>
        <v>DAVIS MICHAEL</v>
      </c>
      <c r="M72" s="6">
        <f t="shared" si="1"/>
        <v>2.5775462963792961E-2</v>
      </c>
      <c r="N72" s="7">
        <f t="shared" si="29"/>
        <v>37.116666667861864</v>
      </c>
      <c r="O72" s="7"/>
      <c r="P72" s="7"/>
      <c r="Q72" s="22"/>
      <c r="R72" s="174"/>
      <c r="S72" s="221">
        <f t="shared" si="26"/>
        <v>1</v>
      </c>
      <c r="T72" s="174" t="str">
        <f t="shared" si="3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4"/>
        <v>https://d0f6bd738d7f1b3e5a7ca70fe4ff75f0.us-east-1.aws.found.io/app/kibana#/discover/Steve-Slow-Train-Analysis-(2080s-and-2083s)?_g=(refreshInterval:(display:Off,pause:!f,section:0,value:0),time:(from:'2017-10-28T10:09:34-0600',mode:absolute,to:'2017-10-28T12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2" s="204" t="str">
        <f>IF(AA72&lt;VLOOKUP(AG72,Variables!$AC$3:$AD$8,2,FALSE),"Y","N")</f>
        <v>N</v>
      </c>
      <c r="X72" s="204">
        <f t="shared" ref="X72:X103" si="30">VALUE(LEFT(AD72,4))-VALUE(LEFT(AD71,4))</f>
        <v>1</v>
      </c>
      <c r="Y72" s="204">
        <f t="shared" si="27"/>
        <v>5.7500000000000002E-2</v>
      </c>
      <c r="Z72" s="204">
        <f t="shared" si="28"/>
        <v>23.328099999999999</v>
      </c>
      <c r="AA72" s="204">
        <f t="shared" si="8"/>
        <v>23.270599999999998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9"/>
        <v>161</v>
      </c>
      <c r="AE72" s="77" t="str">
        <f t="shared" si="10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72" s="74" t="str">
        <f t="shared" si="11"/>
        <v>"C:\Program Files (x86)\AstroGrep\AstroGrep.exe" /e /r /s /spath="%USERPROFILE%\AppData\Local\Temp\OnboardLogs" /stypes="app*4012*20171028*" /stext=" 17:.+((SYSTEM_STATE.+slice.+state.+changed )|(ment ac)|(multiple cpu faults)|(system.+state.+changed )|(\[timeout)|(PRM\|1\|D)|(kpr)|(kdp)|(train st.+moving)|(\|lc)|(penalty))"</v>
      </c>
      <c r="AG72" s="182" t="str">
        <f t="shared" si="12"/>
        <v>EC</v>
      </c>
      <c r="AH72" s="78" t="str">
        <f t="shared" si="18"/>
        <v>"%USERPROFILE%\Documents\GitHub\eaglep3\Utilities\RefineRTDCRunTimes.py" --tripid 161-28 --locoid 4012 --swversion DE.1.0.9.0 --startMP 204:575 --initTime 2017-10-28T11:09:34 --startdatetime 2017-10-28T11:15:50 --delay 99 --endMP 204:233281 --enddatetime 2017-10-28T11:52:57 --enforcementcount 0 &gt;&gt;%USERPROFILE%\Documents\GitHub\eaglep3-reporting\EC\2017-10-28-refined-times.txt</v>
      </c>
      <c r="AI72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{"issue":{"subject":"","project_id":79,"tracker_id":40,"status_id":1,"priority_id":2,"assigned_to_id":338,"start_date":"2017-10-28","description":"","custom_fields":[{"id":1,"name":"Subdivision","value":"EC"},{"id":4,"name":"Milepost","value":"23.3281"},{"id":17,"name":"Train ID","value":"161-28"},{"id":16,"name":"Locomotive ID","value":"4012"},{"id":130,"name":"Impact","value":""},{"id":150,"name":"Time of Event (Mountain Time)","value":"11:52:57"},{"id":151,"name":"Denver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4012 --day 2017-10-28</v>
      </c>
      <c r="AN72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2"/>
        <v>https://d0f6bd738d7f1b3e5a7ca70fe4ff75f0.us-east-1.aws.found.io/app/kibana#/discover/Steve-Slow-Train-Analysis-(2080s-and-2083s)?_g=(refreshInterval:(display:Off,pause:!f,section:0,value:0),time:(from:'2017-10-28T10:09:34-0600',mode:absolute,to:'2017-10-28T12:52:57-0600'))&amp;_a=(columns:!('Message%20ID',Summary),filters:!(),index:'emp_*',interval:auto,query:(query_string:(analyze_wildcard:!t,query:'%22rtdc.l.rtdc.4012%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762</v>
      </c>
      <c r="B73" s="7">
        <v>4011</v>
      </c>
      <c r="C73" s="21" t="s">
        <v>194</v>
      </c>
      <c r="D73" s="21" t="s">
        <v>558</v>
      </c>
      <c r="E73" s="13">
        <v>43036.506030092591</v>
      </c>
      <c r="F73" s="13">
        <v>43036.508761574078</v>
      </c>
      <c r="G73" s="7">
        <v>77</v>
      </c>
      <c r="H73" s="21" t="s">
        <v>584</v>
      </c>
      <c r="I73" s="13">
        <v>43036.53665509259</v>
      </c>
      <c r="J73" s="7">
        <v>0</v>
      </c>
      <c r="K73" s="89" t="str">
        <f t="shared" si="0"/>
        <v>4011/4012</v>
      </c>
      <c r="L73" s="185" t="str">
        <f>VLOOKUP(A73,'Trips&amp;Operators'!$C$1:$G$99911,5,FALSE)</f>
        <v>DAVIS MICHAEL</v>
      </c>
      <c r="M73" s="6">
        <f t="shared" si="1"/>
        <v>2.7893518512428273E-2</v>
      </c>
      <c r="N73" s="7">
        <f t="shared" si="29"/>
        <v>40.166666657896712</v>
      </c>
      <c r="O73" s="7"/>
      <c r="P73" s="7"/>
      <c r="Q73" s="22"/>
      <c r="R73" s="174"/>
      <c r="S73" s="221">
        <f t="shared" si="26"/>
        <v>1</v>
      </c>
      <c r="T73" s="174" t="str">
        <f t="shared" si="3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4"/>
        <v>https://d0f6bd738d7f1b3e5a7ca70fe4ff75f0.us-east-1.aws.found.io/app/kibana#/discover/Steve-Slow-Train-Analysis-(2080s-and-2083s)?_g=(refreshInterval:(display:Off,pause:!f,section:0,value:0),time:(from:'2017-10-28T11:08:41-0600',mode:absolute,to:'2017-10-28T13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3" s="204" t="str">
        <f>IF(AA73&lt;VLOOKUP(AG73,Variables!$AC$3:$AD$8,2,FALSE),"Y","N")</f>
        <v>N</v>
      </c>
      <c r="X73" s="204">
        <f t="shared" si="30"/>
        <v>1</v>
      </c>
      <c r="Y73" s="204">
        <f t="shared" si="27"/>
        <v>23.2972</v>
      </c>
      <c r="Z73" s="204">
        <f t="shared" si="28"/>
        <v>2.0500000000000001E-2</v>
      </c>
      <c r="AA73" s="204">
        <f t="shared" si="8"/>
        <v>23.276700000000002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9"/>
        <v>162</v>
      </c>
      <c r="AE73" s="77" t="str">
        <f t="shared" si="10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73" s="74" t="str">
        <f t="shared" si="11"/>
        <v>"C:\Program Files (x86)\AstroGrep\AstroGrep.exe" /e /r /s /spath="%USERPROFILE%\AppData\Local\Temp\OnboardLogs" /stypes="app*4011*20171028*" /stext=" 18:.+((SYSTEM_STATE.+slice.+state.+changed )|(ment ac)|(multiple cpu faults)|(system.+state.+changed )|(\[timeout)|(PRM\|1\|D)|(kpr)|(kdp)|(train st.+moving)|(\|lc)|(penalty))"</v>
      </c>
      <c r="AG73" s="182" t="str">
        <f t="shared" si="12"/>
        <v>EC</v>
      </c>
      <c r="AH73" s="78" t="str">
        <f t="shared" si="18"/>
        <v>"%USERPROFILE%\Documents\GitHub\eaglep3\Utilities\RefineRTDCRunTimes.py" --tripid 162-28 --locoid 4011 --swversion DE.1.0.9.0 --startMP 204:232972 --initTime 2017-10-28T12:08:41 --startdatetime 2017-10-28T12:12:37 --delay 77 --endMP 204:205 --enddatetime 2017-10-28T12:52:47 --enforcementcount 0 &gt;&gt;%USERPROFILE%\Documents\GitHub\eaglep3-reporting\EC\2017-10-28-refined-times.txt</v>
      </c>
      <c r="AI73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{"issue":{"subject":"","project_id":79,"tracker_id":40,"status_id":1,"priority_id":2,"assigned_to_id":338,"start_date":"2017-10-28","description":"","custom_fields":[{"id":1,"name":"Subdivision","value":"EC"},{"id":4,"name":"Milepost","value":"0.0205"},{"id":17,"name":"Train ID","value":"162-28"},{"id":16,"name":"Locomotive ID","value":"4011"},{"id":130,"name":"Impact","value":""},{"id":150,"name":"Time of Event (Mountain Time)","value":"12:52:47"},{"id":151,"name":"Denver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4011 --day 2017-10-28</v>
      </c>
      <c r="AN73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2"/>
        <v>https://d0f6bd738d7f1b3e5a7ca70fe4ff75f0.us-east-1.aws.found.io/app/kibana#/discover/Steve-Slow-Train-Analysis-(2080s-and-2083s)?_g=(refreshInterval:(display:Off,pause:!f,section:0,value:0),time:(from:'2017-10-28T11:08:41-0600',mode:absolute,to:'2017-10-28T13:52:47-0600'))&amp;_a=(columns:!('Message%20ID',Summary),filters:!(),index:'emp_*',interval:auto,query:(query_string:(analyze_wildcard:!t,query:'%22rtdc.l.rtdc.4011%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750</v>
      </c>
      <c r="B74" s="7">
        <v>4004</v>
      </c>
      <c r="C74" s="21" t="s">
        <v>194</v>
      </c>
      <c r="D74" s="21" t="s">
        <v>351</v>
      </c>
      <c r="E74" s="13">
        <v>43036.475081018521</v>
      </c>
      <c r="F74" s="13">
        <v>43036.479409722226</v>
      </c>
      <c r="G74" s="7">
        <v>109</v>
      </c>
      <c r="H74" s="21" t="s">
        <v>931</v>
      </c>
      <c r="I74" s="13">
        <v>43036.504004629627</v>
      </c>
      <c r="J74" s="7">
        <v>0</v>
      </c>
      <c r="K74" s="89" t="str">
        <f t="shared" si="0"/>
        <v>4003/4004</v>
      </c>
      <c r="L74" s="185" t="str">
        <f>VLOOKUP(A74,'Trips&amp;Operators'!$C$1:$G$99911,5,FALSE)</f>
        <v>SAFIEF AEIMEN</v>
      </c>
      <c r="M74" s="6">
        <f t="shared" si="1"/>
        <v>2.4594907401478849E-2</v>
      </c>
      <c r="N74" s="7">
        <f t="shared" si="29"/>
        <v>35.416666658129543</v>
      </c>
      <c r="O74" s="7"/>
      <c r="P74" s="7"/>
      <c r="Q74" s="22"/>
      <c r="R74" s="174"/>
      <c r="S74" s="221">
        <f t="shared" si="26"/>
        <v>1</v>
      </c>
      <c r="T74" s="174" t="str">
        <f t="shared" si="3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4"/>
        <v>https://d0f6bd738d7f1b3e5a7ca70fe4ff75f0.us-east-1.aws.found.io/app/kibana#/discover/Steve-Slow-Train-Analysis-(2080s-and-2083s)?_g=(refreshInterval:(display:Off,pause:!f,section:0,value:0),time:(from:'2017-10-28T10:24:07-0600',mode:absolute,to:'2017-10-28T13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204" t="str">
        <f>IF(AA74&lt;VLOOKUP(AG74,Variables!$AC$3:$AD$8,2,FALSE),"Y","N")</f>
        <v>N</v>
      </c>
      <c r="X74" s="204">
        <f t="shared" si="30"/>
        <v>1</v>
      </c>
      <c r="Y74" s="204">
        <f t="shared" si="27"/>
        <v>4.58E-2</v>
      </c>
      <c r="Z74" s="204">
        <f t="shared" si="28"/>
        <v>23.328199999999999</v>
      </c>
      <c r="AA74" s="204">
        <f t="shared" si="8"/>
        <v>23.282399999999999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9"/>
        <v>163</v>
      </c>
      <c r="AE74" s="77" t="str">
        <f t="shared" si="10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74" s="74" t="str">
        <f t="shared" si="11"/>
        <v>"C:\Program Files (x86)\AstroGrep\AstroGrep.exe" /e /r /s /spath="%USERPROFILE%\AppData\Local\Temp\OnboardLogs" /stypes="app*4004*20171028*" /stext=" 18:.+((SYSTEM_STATE.+slice.+state.+changed )|(ment ac)|(multiple cpu faults)|(system.+state.+changed )|(\[timeout)|(PRM\|1\|D)|(kpr)|(kdp)|(train st.+moving)|(\|lc)|(penalty))"</v>
      </c>
      <c r="AG74" s="182" t="str">
        <f t="shared" si="12"/>
        <v>EC</v>
      </c>
      <c r="AH74" s="78" t="str">
        <f t="shared" si="18"/>
        <v>"%USERPROFILE%\Documents\GitHub\eaglep3\Utilities\RefineRTDCRunTimes.py" --tripid 163-28 --locoid 4004 --swversion DE.1.0.9.0 --startMP 204:458 --initTime 2017-10-28T11:24:07 --startdatetime 2017-10-28T11:30:21 --delay 109 --endMP 204:233282 --enddatetime 2017-10-28T12:05:46 --enforcementcount 0 &gt;&gt;%USERPROFILE%\Documents\GitHub\eaglep3-reporting\EC\2017-10-28-refined-times.txt</v>
      </c>
      <c r="AI74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{"issue":{"subject":"","project_id":79,"tracker_id":40,"status_id":1,"priority_id":2,"assigned_to_id":338,"start_date":"2017-10-28","description":"","custom_fields":[{"id":1,"name":"Subdivision","value":"EC"},{"id":4,"name":"Milepost","value":"23.3282"},{"id":17,"name":"Train ID","value":"163-28"},{"id":16,"name":"Locomotive ID","value":"4004"},{"id":130,"name":"Impact","value":""},{"id":150,"name":"Time of Event (Mountain Time)","value":"12:05:46"},{"id":151,"name":"Denver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4004 --day 2017-10-28</v>
      </c>
      <c r="AN74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2"/>
        <v>https://d0f6bd738d7f1b3e5a7ca70fe4ff75f0.us-east-1.aws.found.io/app/kibana#/discover/Steve-Slow-Train-Analysis-(2080s-and-2083s)?_g=(refreshInterval:(display:Off,pause:!f,section:0,value:0),time:(from:'2017-10-28T10:24:07-0600',mode:absolute,to:'2017-10-28T13:05:46-0600'))&amp;_a=(columns:!('Message%20ID',Summary),filters:!(),index:'emp_*',interval:auto,query:(query_string:(analyze_wildcard:!t,query:'%22rtdc.l.rtdc.4004%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764</v>
      </c>
      <c r="B75" s="7">
        <v>4003</v>
      </c>
      <c r="C75" s="21" t="s">
        <v>194</v>
      </c>
      <c r="D75" s="21" t="s">
        <v>912</v>
      </c>
      <c r="E75" s="13">
        <v>43036.506296296298</v>
      </c>
      <c r="F75" s="13">
        <v>43036.518923611111</v>
      </c>
      <c r="G75" s="7">
        <v>96</v>
      </c>
      <c r="H75" s="21" t="s">
        <v>582</v>
      </c>
      <c r="I75" s="13">
        <v>43036.545069444444</v>
      </c>
      <c r="J75" s="7">
        <v>0</v>
      </c>
      <c r="K75" s="89" t="str">
        <f t="shared" si="0"/>
        <v>4003/4004</v>
      </c>
      <c r="L75" s="185" t="str">
        <f>VLOOKUP(A75,'Trips&amp;Operators'!$C$1:$G$99911,5,FALSE)</f>
        <v>SAFIEF AEIMEN</v>
      </c>
      <c r="M75" s="6">
        <f t="shared" si="1"/>
        <v>2.6145833333430346E-2</v>
      </c>
      <c r="N75" s="7">
        <f t="shared" si="29"/>
        <v>37.650000000139698</v>
      </c>
      <c r="O75" s="7"/>
      <c r="P75" s="7"/>
      <c r="Q75" s="22"/>
      <c r="R75" s="174"/>
      <c r="S75" s="221">
        <f t="shared" si="26"/>
        <v>1</v>
      </c>
      <c r="T75" s="174" t="str">
        <f t="shared" si="3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4"/>
        <v>https://d0f6bd738d7f1b3e5a7ca70fe4ff75f0.us-east-1.aws.found.io/app/kibana#/discover/Steve-Slow-Train-Analysis-(2080s-and-2083s)?_g=(refreshInterval:(display:Off,pause:!f,section:0,value:0),time:(from:'2017-10-28T11:09:04-0600',mode:absolute,to:'2017-10-28T14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5" s="204" t="str">
        <f>IF(AA75&lt;VLOOKUP(AG75,Variables!$AC$3:$AD$8,2,FALSE),"Y","N")</f>
        <v>N</v>
      </c>
      <c r="X75" s="204">
        <f t="shared" si="30"/>
        <v>1</v>
      </c>
      <c r="Y75" s="204">
        <f t="shared" si="27"/>
        <v>23.293600000000001</v>
      </c>
      <c r="Z75" s="204">
        <f t="shared" si="28"/>
        <v>2.1999999999999999E-2</v>
      </c>
      <c r="AA75" s="204">
        <f t="shared" si="8"/>
        <v>23.271600000000003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9"/>
        <v>164</v>
      </c>
      <c r="AE75" s="77" t="str">
        <f t="shared" si="10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75" s="74" t="str">
        <f t="shared" si="11"/>
        <v>"C:\Program Files (x86)\AstroGrep\AstroGrep.exe" /e /r /s /spath="%USERPROFILE%\AppData\Local\Temp\OnboardLogs" /stypes="app*4003*20171028*" /stext=" 19:.+((SYSTEM_STATE.+slice.+state.+changed )|(ment ac)|(multiple cpu faults)|(system.+state.+changed )|(\[timeout)|(PRM\|1\|D)|(kpr)|(kdp)|(train st.+moving)|(\|lc)|(penalty))"</v>
      </c>
      <c r="AG75" s="182" t="str">
        <f t="shared" si="12"/>
        <v>EC</v>
      </c>
      <c r="AH75" s="78" t="str">
        <f t="shared" si="18"/>
        <v>"%USERPROFILE%\Documents\GitHub\eaglep3\Utilities\RefineRTDCRunTimes.py" --tripid 164-28 --locoid 4003 --swversion DE.1.0.9.0 --startMP 204:232936 --initTime 2017-10-28T12:09:04 --startdatetime 2017-10-28T12:27:15 --delay 96 --endMP 204:220 --enddatetime 2017-10-28T13:04:54 --enforcementcount 0 &gt;&gt;%USERPROFILE%\Documents\GitHub\eaglep3-reporting\EC\2017-10-28-refined-times.txt</v>
      </c>
      <c r="AI75" s="96" t="str">
        <f t="shared" si="19"/>
        <v>echo {"issue":{"subject":"","project_id":79,"tracker_id":40,"status_id":1,"priority_id":2,"assigned_to_id":338,"start_date":"2017-10-28","description":"","custom_fields":[{"id":1,"name":"Subdivision","value":"EC"},{"id":4,"name":"Milepost","value":"0.022"},{"id":17,"name":"Train ID","value":"164-28"},{"id":16,"name":"Locomotive ID","value":"4003"},{"id":130,"name":"Impact","value":""},{"id":150,"name":"Time of Event (Mountain Time)","value":"13:04:54"},{"id":151,"name":"Denver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4003 --day 2017-10-28</v>
      </c>
      <c r="AN75" s="151" t="str">
        <f t="shared" si="21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2"/>
        <v>https://d0f6bd738d7f1b3e5a7ca70fe4ff75f0.us-east-1.aws.found.io/app/kibana#/discover/Steve-Slow-Train-Analysis-(2080s-and-2083s)?_g=(refreshInterval:(display:Off,pause:!f,section:0,value:0),time:(from:'2017-10-28T11:09:04-0600',mode:absolute,to:'2017-10-28T14:04:54-0600'))&amp;_a=(columns:!('Message%20ID',Summary),filters:!(),index:'emp_*',interval:auto,query:(query_string:(analyze_wildcard:!t,query:'%22rtdc.l.rtdc.4003%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756</v>
      </c>
      <c r="B76" s="7">
        <v>4010</v>
      </c>
      <c r="C76" s="21" t="s">
        <v>194</v>
      </c>
      <c r="D76" s="21" t="s">
        <v>498</v>
      </c>
      <c r="E76" s="13">
        <v>43036.485474537039</v>
      </c>
      <c r="F76" s="13">
        <v>43036.494768518518</v>
      </c>
      <c r="G76" s="7">
        <v>86</v>
      </c>
      <c r="H76" s="21" t="s">
        <v>498</v>
      </c>
      <c r="I76" s="13">
        <v>43036.516030092593</v>
      </c>
      <c r="J76" s="7">
        <v>0</v>
      </c>
      <c r="K76" s="89" t="str">
        <f t="shared" si="0"/>
        <v>4009/4010</v>
      </c>
      <c r="L76" s="185" t="str">
        <f>VLOOKUP(A76,'Trips&amp;Operators'!$C$1:$G$99911,5,FALSE)</f>
        <v>GUZMAN DANNY</v>
      </c>
      <c r="M76" s="6">
        <f t="shared" si="1"/>
        <v>2.1261574074742384E-2</v>
      </c>
      <c r="N76" s="7"/>
      <c r="O76" s="7"/>
      <c r="P76" s="7">
        <f>24*60*SUM($M76:$M76)</f>
        <v>30.616666667629033</v>
      </c>
      <c r="Q76" s="22"/>
      <c r="R76" s="174" t="s">
        <v>1109</v>
      </c>
      <c r="S76" s="221">
        <f t="shared" si="26"/>
        <v>1</v>
      </c>
      <c r="T76" s="174" t="str">
        <f t="shared" si="3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4"/>
        <v>https://d0f6bd738d7f1b3e5a7ca70fe4ff75f0.us-east-1.aws.found.io/app/kibana#/discover/Steve-Slow-Train-Analysis-(2080s-and-2083s)?_g=(refreshInterval:(display:Off,pause:!f,section:0,value:0),time:(from:'2017-10-28T10:39:05-0600',mode:absolute,to:'2017-10-28T13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6" s="204" t="str">
        <f>IF(AA76&lt;VLOOKUP(AG76,Variables!$AC$3:$AD$8,2,FALSE),"Y","N")</f>
        <v>Y</v>
      </c>
      <c r="X76" s="204">
        <f t="shared" si="30"/>
        <v>1</v>
      </c>
      <c r="Y76" s="204">
        <v>1.9</v>
      </c>
      <c r="Z76" s="204">
        <v>23.3</v>
      </c>
      <c r="AA76" s="204">
        <f t="shared" si="8"/>
        <v>21.400000000000002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9"/>
        <v>165</v>
      </c>
      <c r="AE76" s="77" t="str">
        <f t="shared" si="10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76" s="74" t="str">
        <f t="shared" si="11"/>
        <v>"C:\Program Files (x86)\AstroGrep\AstroGrep.exe" /e /r /s /spath="%USERPROFILE%\AppData\Local\Temp\OnboardLogs" /stypes="app*4010*20171028*" /stext=" 18:.+((SYSTEM_STATE.+slice.+state.+changed )|(ment ac)|(multiple cpu faults)|(system.+state.+changed )|(\[timeout)|(PRM\|1\|D)|(kpr)|(kdp)|(train st.+moving)|(\|lc)|(penalty))"</v>
      </c>
      <c r="AG76" s="182" t="str">
        <f t="shared" si="12"/>
        <v>EC</v>
      </c>
      <c r="AH76" s="78" t="str">
        <f t="shared" si="18"/>
        <v>"%USERPROFILE%\Documents\GitHub\eaglep3\Utilities\RefineRTDCRunTimes.py" --tripid 165-28 --locoid 4010 --swversion DE.1.0.9.0 --startMP 204:444 --initTime 2017-10-28T11:39:05 --startdatetime 2017-10-28T11:52:28 --delay 86 --endMP 204:444 --enddatetime 2017-10-28T12:23:05 --enforcementcount 0 &gt;&gt;%USERPROFILE%\Documents\GitHub\eaglep3-reporting\EC\2017-10-28-refined-times.txt</v>
      </c>
      <c r="AI76" s="96" t="str">
        <f t="shared" si="19"/>
        <v>echo {"issue":{"subject":"Onboard in-route failure","project_id":79,"tracker_id":40,"status_id":1,"priority_id":2,"assigned_to_id":338,"start_date":"2017-10-28","description":"","custom_fields":[{"id":1,"name":"Subdivision","value":"EC"},{"id":4,"name":"Milepost","value":"23.3"},{"id":17,"name":"Train ID","value":"165-28"},{"id":16,"name":"Locomotive ID","value":"4010"},{"id":130,"name":"Impact","value":""},{"id":150,"name":"Time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4010 --day 2017-10-28</v>
      </c>
      <c r="AN76" s="151" t="str">
        <f t="shared" si="21"/>
        <v>echo {"issue":{"subject":"Onboard in-route failure","project_id":30,"tracker_id":4,"status_id":1,"priority_id":1,"assigned_to_id":10,"start_date":"2017-10-28","description":"","custom_fields":[{"id":30,"name":"Category","value":"Issue"},{"id":3,"name":"Functional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2"/>
        <v>https://d0f6bd738d7f1b3e5a7ca70fe4ff75f0.us-east-1.aws.found.io/app/kibana#/discover/Steve-Slow-Train-Analysis-(2080s-and-2083s)?_g=(refreshInterval:(display:Off,pause:!f,section:0,value:0),time:(from:'2017-10-28T10:39:05-0600',mode:absolute,to:'2017-10-28T13:23:05-0600'))&amp;_a=(columns:!('Message%20ID',Summary),filters:!(),index:'emp_*',interval:auto,query:(query_string:(analyze_wildcard:!t,query:'%22rtdc.l.rtdc.4010%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756</v>
      </c>
      <c r="B77" s="7">
        <v>4010</v>
      </c>
      <c r="C77" s="21" t="s">
        <v>194</v>
      </c>
      <c r="D77" s="21" t="s">
        <v>498</v>
      </c>
      <c r="E77" s="13">
        <v>43036.486550925925</v>
      </c>
      <c r="F77" s="13">
        <v>43036.494768518518</v>
      </c>
      <c r="G77" s="7">
        <v>51</v>
      </c>
      <c r="H77" s="21" t="s">
        <v>498</v>
      </c>
      <c r="I77" s="13">
        <v>43036.516030092593</v>
      </c>
      <c r="J77" s="7">
        <v>0</v>
      </c>
      <c r="K77" s="89" t="str">
        <f t="shared" ref="K77:K140" si="31">IF(ISEVEN(B77),(B77-1)&amp;"/"&amp;B77,B77&amp;"/"&amp;(B77+1))</f>
        <v>4009/4010</v>
      </c>
      <c r="L77" s="185" t="str">
        <f>VLOOKUP(A77,'Trips&amp;Operators'!$C$1:$G$99911,5,FALSE)</f>
        <v>GUZMAN DANNY</v>
      </c>
      <c r="M77" s="6">
        <f t="shared" ref="M77:M140" si="32">I77-F77</f>
        <v>2.1261574074742384E-2</v>
      </c>
      <c r="N77" s="7"/>
      <c r="O77" s="7"/>
      <c r="P77" s="7"/>
      <c r="Q77" s="22"/>
      <c r="R77" s="174"/>
      <c r="S77" s="221"/>
      <c r="T77" s="174" t="str">
        <f t="shared" ref="T77:T140" si="33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21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-28T10:40:38-0600',mode:absolute,to:'2017-10-28T13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204" t="str">
        <f>IF(AA77&lt;VLOOKUP(AG77,Variables!$AC$3:$AD$8,2,FALSE),"Y","N")</f>
        <v>Y</v>
      </c>
      <c r="X77" s="204">
        <f t="shared" si="30"/>
        <v>0</v>
      </c>
      <c r="Y77" s="204">
        <f t="shared" ref="Y77:Y104" si="35">RIGHT(D77,LEN(D77)-4)/10000</f>
        <v>4.4400000000000002E-2</v>
      </c>
      <c r="Z77" s="204">
        <f t="shared" ref="Z77:Z104" si="36">RIGHT(H77,LEN(H77)-4)/10000</f>
        <v>4.4400000000000002E-2</v>
      </c>
      <c r="AA77" s="204">
        <f t="shared" ref="AA77:AA140" si="37">ABS(Z77-Y77)</f>
        <v>0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8">VALUE(LEFT(A77,LEN(A77)-3))</f>
        <v>165</v>
      </c>
      <c r="AE77" s="77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77" s="7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/stypes="app*4010*20171028*"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1">DetSubdiv(A77)</f>
        <v>EC</v>
      </c>
      <c r="AH77" s="78" t="str">
        <f t="shared" ref="AH77:AH141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165-28 --locoid 4010 --swversion DE.1.0.9.0 --startMP 204:444 --initTime 2017-10-28T11:40:38 --startdatetime 2017-10-28T11:52:28 --delay 51 --endMP 204:444 --enddatetime 2017-10-28T12:23:05 --enforcementcount 0 &gt;&gt;%USERPROFILE%\Documents\GitHub\eaglep3-reporting\EC\2017-10-28-refined-times.txt</v>
      </c>
      <c r="AI77" s="96" t="str">
        <f t="shared" ref="AI77:AI141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{"issue":{"subject":"","project_id":79,"tracker_id":40,"status_id":1,"priority_id":2,"assigned_to_id":338,"start_date":"2017-10-28","description":"","custom_fields":[{"id":1,"name":"Subdivision","value":"EC"},{"id":4,"name":"Milepost","value":"0.0444"},{"id":17,"name":"Train ID","value":"165-28"},{"id":16,"name":"Locomotive ID","value":"4010"},{"id":130,"name":"Impact","value":""},{"id":150,"name":"Time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1" si="44">"start /low /b "&amp;dls3logs&amp;" --loco "&amp;B77&amp;" --day "&amp;TEXT(F77,"YYYY-MM-DD")</f>
        <v>start /low /b %USERPROFILE%\Documents\GitHub\eaglep3\Utilities\DownloadLogsFromS3.py --loco 4010 --day 2017-10-28</v>
      </c>
      <c r="AN77" s="151" t="str">
        <f t="shared" ref="AN77:AN141" si="4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1" si="4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-28T10:40:38-0600',mode:absolute,to:'2017-10-28T13:23:05-0600'))&amp;_a=(columns:!('Message%20ID',Summary),filters:!(),index:'emp_*',interval:auto,query:(query_string:(analyze_wildcard:!t,query:'%22rtdc.l.rtdc.4010%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766</v>
      </c>
      <c r="B78" s="7">
        <v>4009</v>
      </c>
      <c r="C78" s="21" t="s">
        <v>194</v>
      </c>
      <c r="D78" s="21" t="s">
        <v>927</v>
      </c>
      <c r="E78" s="13">
        <v>43036.517835648148</v>
      </c>
      <c r="F78" s="13">
        <v>43036.529340277775</v>
      </c>
      <c r="G78" s="7">
        <v>62</v>
      </c>
      <c r="H78" s="21" t="s">
        <v>932</v>
      </c>
      <c r="I78" s="13">
        <v>43036.555532407408</v>
      </c>
      <c r="J78" s="7">
        <v>0</v>
      </c>
      <c r="K78" s="89" t="str">
        <f t="shared" si="31"/>
        <v>4009/4010</v>
      </c>
      <c r="L78" s="185" t="str">
        <f>VLOOKUP(A78,'Trips&amp;Operators'!$C$1:$G$99911,5,FALSE)</f>
        <v>GUZMAN DANNY</v>
      </c>
      <c r="M78" s="6">
        <f t="shared" si="32"/>
        <v>2.6192129633272998E-2</v>
      </c>
      <c r="N78" s="7">
        <f t="shared" ref="N78:N109" si="47">24*60*SUM($M78:$M78)</f>
        <v>37.716666671913117</v>
      </c>
      <c r="O78" s="7"/>
      <c r="P78" s="7"/>
      <c r="Q78" s="22"/>
      <c r="R78" s="174"/>
      <c r="S78" s="221">
        <f t="shared" ref="S78:S109" si="48">1/IF(AG78="EC",12,1)*SUM(U78:U78)</f>
        <v>1</v>
      </c>
      <c r="T78" s="174" t="str">
        <f t="shared" si="33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4"/>
        <v>https://d0f6bd738d7f1b3e5a7ca70fe4ff75f0.us-east-1.aws.found.io/app/kibana#/discover/Steve-Slow-Train-Analysis-(2080s-and-2083s)?_g=(refreshInterval:(display:Off,pause:!f,section:0,value:0),time:(from:'2017-10-28T11:25:41-0600',mode:absolute,to:'2017-10-28T14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204" t="str">
        <f>IF(AA78&lt;VLOOKUP(AG78,Variables!$AC$3:$AD$8,2,FALSE),"Y","N")</f>
        <v>N</v>
      </c>
      <c r="X78" s="204">
        <f t="shared" si="30"/>
        <v>1</v>
      </c>
      <c r="Y78" s="204">
        <f t="shared" si="35"/>
        <v>23.2925</v>
      </c>
      <c r="Z78" s="204">
        <f t="shared" si="36"/>
        <v>2.47E-2</v>
      </c>
      <c r="AA78" s="204">
        <f t="shared" si="37"/>
        <v>23.267800000000001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8"/>
        <v>166</v>
      </c>
      <c r="AE78" s="77" t="str">
        <f t="shared" si="39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78" s="74" t="str">
        <f t="shared" si="40"/>
        <v>"C:\Program Files (x86)\AstroGrep\AstroGrep.exe" /e /r /s /spath="%USERPROFILE%\AppData\Local\Temp\OnboardLogs" /stypes="app*4009*20171028*" /stext=" 19:.+((SYSTEM_STATE.+slice.+state.+changed )|(ment ac)|(multiple cpu faults)|(system.+state.+changed )|(\[timeout)|(PRM\|1\|D)|(kpr)|(kdp)|(train st.+moving)|(\|lc)|(penalty))"</v>
      </c>
      <c r="AG78" s="182" t="str">
        <f t="shared" si="41"/>
        <v>EC</v>
      </c>
      <c r="AH78" s="78" t="str">
        <f t="shared" si="42"/>
        <v>"%USERPROFILE%\Documents\GitHub\eaglep3\Utilities\RefineRTDCRunTimes.py" --tripid 166-28 --locoid 4009 --swversion DE.1.0.9.0 --startMP 204:232925 --initTime 2017-10-28T12:25:41 --startdatetime 2017-10-28T12:42:15 --delay 62 --endMP 204:247 --enddatetime 2017-10-28T13:19:58 --enforcementcount 0 &gt;&gt;%USERPROFILE%\Documents\GitHub\eaglep3-reporting\EC\2017-10-28-refined-times.txt</v>
      </c>
      <c r="AI78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{"issue":{"subject":"","project_id":79,"tracker_id":40,"status_id":1,"priority_id":2,"assigned_to_id":338,"start_date":"2017-10-28","description":"","custom_fields":[{"id":1,"name":"Subdivision","value":"EC"},{"id":4,"name":"Milepost","value":"0.0247"},{"id":17,"name":"Train ID","value":"166-28"},{"id":16,"name":"Locomotive ID","value":"4009"},{"id":130,"name":"Impact","value":""},{"id":150,"name":"Time of Event (Mountain Time)","value":"13:19:58"},{"id":151,"name":"Denver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44"/>
        <v>start /low /b %USERPROFILE%\Documents\GitHub\eaglep3\Utilities\DownloadLogsFromS3.py --loco 4009 --day 2017-10-28</v>
      </c>
      <c r="AN78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46"/>
        <v>https://d0f6bd738d7f1b3e5a7ca70fe4ff75f0.us-east-1.aws.found.io/app/kibana#/discover/Steve-Slow-Train-Analysis-(2080s-and-2083s)?_g=(refreshInterval:(display:Off,pause:!f,section:0,value:0),time:(from:'2017-10-28T11:25:41-0600',mode:absolute,to:'2017-10-28T14:19:58-0600'))&amp;_a=(columns:!('Message%20ID',Summary),filters:!(),index:'emp_*',interval:auto,query:(query_string:(analyze_wildcard:!t,query:'%22rtdc.l.rtdc.4009%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760</v>
      </c>
      <c r="B79" s="7">
        <v>4042</v>
      </c>
      <c r="C79" s="21" t="s">
        <v>194</v>
      </c>
      <c r="D79" s="21" t="s">
        <v>561</v>
      </c>
      <c r="E79" s="13">
        <v>43036.495925925927</v>
      </c>
      <c r="F79" s="13">
        <v>43036.500162037039</v>
      </c>
      <c r="G79" s="7">
        <v>80</v>
      </c>
      <c r="H79" s="21" t="s">
        <v>481</v>
      </c>
      <c r="I79" s="13">
        <v>43036.524895833332</v>
      </c>
      <c r="J79" s="7">
        <v>0</v>
      </c>
      <c r="K79" s="89" t="str">
        <f t="shared" si="31"/>
        <v>4041/4042</v>
      </c>
      <c r="L79" s="185" t="str">
        <f>VLOOKUP(A79,'Trips&amp;Operators'!$C$1:$G$99911,5,FALSE)</f>
        <v>BADERTSCHER DIANE</v>
      </c>
      <c r="M79" s="6">
        <f t="shared" si="32"/>
        <v>2.4733796293730848E-2</v>
      </c>
      <c r="N79" s="7">
        <f t="shared" si="47"/>
        <v>35.61666666297242</v>
      </c>
      <c r="O79" s="7"/>
      <c r="P79" s="7"/>
      <c r="Q79" s="22"/>
      <c r="R79" s="174"/>
      <c r="S79" s="221">
        <f t="shared" si="48"/>
        <v>1</v>
      </c>
      <c r="T79" s="174" t="str">
        <f t="shared" si="33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4"/>
        <v>https://d0f6bd738d7f1b3e5a7ca70fe4ff75f0.us-east-1.aws.found.io/app/kibana#/discover/Steve-Slow-Train-Analysis-(2080s-and-2083s)?_g=(refreshInterval:(display:Off,pause:!f,section:0,value:0),time:(from:'2017-10-28T10:54:08-0600',mode:absolute,to:'2017-10-28T13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04" t="str">
        <f>IF(AA79&lt;VLOOKUP(AG79,Variables!$AC$3:$AD$8,2,FALSE),"Y","N")</f>
        <v>N</v>
      </c>
      <c r="X79" s="204">
        <f t="shared" si="30"/>
        <v>1</v>
      </c>
      <c r="Y79" s="204">
        <f t="shared" si="35"/>
        <v>5.0900000000000001E-2</v>
      </c>
      <c r="Z79" s="204">
        <f t="shared" si="36"/>
        <v>23.326799999999999</v>
      </c>
      <c r="AA79" s="204">
        <f t="shared" si="37"/>
        <v>23.2759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8"/>
        <v>167</v>
      </c>
      <c r="AE79" s="77" t="str">
        <f t="shared" si="39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79" s="74" t="str">
        <f t="shared" si="40"/>
        <v>"C:\Program Files (x86)\AstroGrep\AstroGrep.exe" /e /r /s /spath="%USERPROFILE%\AppData\Local\Temp\OnboardLogs" /stypes="app*4042*20171028*" /stext=" 18:.+((SYSTEM_STATE.+slice.+state.+changed )|(ment ac)|(multiple cpu faults)|(system.+state.+changed )|(\[timeout)|(PRM\|1\|D)|(kpr)|(kdp)|(train st.+moving)|(\|lc)|(penalty))"</v>
      </c>
      <c r="AG79" s="182" t="str">
        <f t="shared" si="41"/>
        <v>EC</v>
      </c>
      <c r="AH79" s="78" t="str">
        <f t="shared" si="42"/>
        <v>"%USERPROFILE%\Documents\GitHub\eaglep3\Utilities\RefineRTDCRunTimes.py" --tripid 167-28 --locoid 4042 --swversion DE.1.0.9.0 --startMP 204:509 --initTime 2017-10-28T11:54:08 --startdatetime 2017-10-28T12:00:14 --delay 80 --endMP 204:233268 --enddatetime 2017-10-28T12:35:51 --enforcementcount 0 &gt;&gt;%USERPROFILE%\Documents\GitHub\eaglep3-reporting\EC\2017-10-28-refined-times.txt</v>
      </c>
      <c r="AI79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{"issue":{"subject":"","project_id":79,"tracker_id":40,"status_id":1,"priority_id":2,"assigned_to_id":338,"start_date":"2017-10-28","description":"","custom_fields":[{"id":1,"name":"Subdivision","value":"EC"},{"id":4,"name":"Milepost","value":"23.3268"},{"id":17,"name":"Train ID","value":"167-28"},{"id":16,"name":"Locomotive ID","value":"4042"},{"id":130,"name":"Impact","value":""},{"id":150,"name":"Time of Event (Mountain Time)","value":"12:35:51"},{"id":151,"name":"Denver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4"/>
        <v>start /low /b %USERPROFILE%\Documents\GitHub\eaglep3\Utilities\DownloadLogsFromS3.py --loco 4042 --day 2017-10-28</v>
      </c>
      <c r="AN79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6"/>
        <v>https://d0f6bd738d7f1b3e5a7ca70fe4ff75f0.us-east-1.aws.found.io/app/kibana#/discover/Steve-Slow-Train-Analysis-(2080s-and-2083s)?_g=(refreshInterval:(display:Off,pause:!f,section:0,value:0),time:(from:'2017-10-28T10:54:08-0600',mode:absolute,to:'2017-10-28T13:35:51-0600'))&amp;_a=(columns:!('Message%20ID',Summary),filters:!(),index:'emp_*',interval:auto,query:(query_string:(analyze_wildcard:!t,query:'%22rtdc.l.rtdc.4042%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769</v>
      </c>
      <c r="B80" s="7">
        <v>4041</v>
      </c>
      <c r="C80" s="21" t="s">
        <v>194</v>
      </c>
      <c r="D80" s="21" t="s">
        <v>896</v>
      </c>
      <c r="E80" s="13">
        <v>43036.532951388886</v>
      </c>
      <c r="F80" s="13">
        <v>43036.54010416667</v>
      </c>
      <c r="G80" s="7">
        <v>101</v>
      </c>
      <c r="H80" s="21" t="s">
        <v>929</v>
      </c>
      <c r="I80" s="13">
        <v>43036.567696759259</v>
      </c>
      <c r="J80" s="7">
        <v>0</v>
      </c>
      <c r="K80" s="89" t="str">
        <f t="shared" si="31"/>
        <v>4041/4042</v>
      </c>
      <c r="L80" s="185" t="str">
        <f>VLOOKUP(A80,'Trips&amp;Operators'!$C$1:$G$99911,5,FALSE)</f>
        <v>BADERTSCHER DIANE</v>
      </c>
      <c r="M80" s="6">
        <f t="shared" si="32"/>
        <v>2.7592592588916887E-2</v>
      </c>
      <c r="N80" s="7">
        <f t="shared" si="47"/>
        <v>39.733333328040317</v>
      </c>
      <c r="O80" s="7"/>
      <c r="P80" s="7"/>
      <c r="Q80" s="22"/>
      <c r="R80" s="174"/>
      <c r="S80" s="221">
        <f t="shared" si="48"/>
        <v>1</v>
      </c>
      <c r="T80" s="174" t="str">
        <f t="shared" si="33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4"/>
        <v>https://d0f6bd738d7f1b3e5a7ca70fe4ff75f0.us-east-1.aws.found.io/app/kibana#/discover/Steve-Slow-Train-Analysis-(2080s-and-2083s)?_g=(refreshInterval:(display:Off,pause:!f,section:0,value:0),time:(from:'2017-10-28T11:47:27-0600',mode:absolute,to:'2017-10-28T14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04" t="str">
        <f>IF(AA80&lt;VLOOKUP(AG80,Variables!$AC$3:$AD$8,2,FALSE),"Y","N")</f>
        <v>N</v>
      </c>
      <c r="X80" s="204">
        <f t="shared" si="30"/>
        <v>1</v>
      </c>
      <c r="Y80" s="204">
        <f t="shared" si="35"/>
        <v>23.294</v>
      </c>
      <c r="Z80" s="204">
        <f t="shared" si="36"/>
        <v>2.1600000000000001E-2</v>
      </c>
      <c r="AA80" s="204">
        <f t="shared" si="37"/>
        <v>23.272400000000001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8"/>
        <v>168</v>
      </c>
      <c r="AE80" s="77" t="str">
        <f t="shared" si="39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80" s="74" t="str">
        <f t="shared" si="40"/>
        <v>"C:\Program Files (x86)\AstroGrep\AstroGrep.exe" /e /r /s /spath="%USERPROFILE%\AppData\Local\Temp\OnboardLogs" /stypes="app*4041*20171028*" /stext=" 19:.+((SYSTEM_STATE.+slice.+state.+changed )|(ment ac)|(multiple cpu faults)|(system.+state.+changed )|(\[timeout)|(PRM\|1\|D)|(kpr)|(kdp)|(train st.+moving)|(\|lc)|(penalty))"</v>
      </c>
      <c r="AG80" s="182" t="str">
        <f t="shared" si="41"/>
        <v>EC</v>
      </c>
      <c r="AH80" s="78" t="str">
        <f t="shared" si="42"/>
        <v>"%USERPROFILE%\Documents\GitHub\eaglep3\Utilities\RefineRTDCRunTimes.py" --tripid 168-28 --locoid 4041 --swversion DE.1.0.9.0 --startMP 204:232940 --initTime 2017-10-28T12:47:27 --startdatetime 2017-10-28T12:57:45 --delay 101 --endMP 204:216 --enddatetime 2017-10-28T13:37:29 --enforcementcount 0 &gt;&gt;%USERPROFILE%\Documents\GitHub\eaglep3-reporting\EC\2017-10-28-refined-times.txt</v>
      </c>
      <c r="AI80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{"issue":{"subject":"","project_id":79,"tracker_id":40,"status_id":1,"priority_id":2,"assigned_to_id":338,"start_date":"2017-10-28","description":"","custom_fields":[{"id":1,"name":"Subdivision","value":"EC"},{"id":4,"name":"Milepost","value":"0.0216"},{"id":17,"name":"Train ID","value":"168-28"},{"id":16,"name":"Locomotive ID","value":"4041"},{"id":130,"name":"Impact","value":""},{"id":150,"name":"Time of Event (Mountain Time)","value":"13:37:29"},{"id":151,"name":"Denver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4041 --day 2017-10-28</v>
      </c>
      <c r="AN80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6"/>
        <v>https://d0f6bd738d7f1b3e5a7ca70fe4ff75f0.us-east-1.aws.found.io/app/kibana#/discover/Steve-Slow-Train-Analysis-(2080s-and-2083s)?_g=(refreshInterval:(display:Off,pause:!f,section:0,value:0),time:(from:'2017-10-28T11:47:27-0600',mode:absolute,to:'2017-10-28T14:37:29-0600'))&amp;_a=(columns:!('Message%20ID',Summary),filters:!(),index:'emp_*',interval:auto,query:(query_string:(analyze_wildcard:!t,query:'%22rtdc.l.rtdc.4041%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763</v>
      </c>
      <c r="B81" s="7">
        <v>4032</v>
      </c>
      <c r="C81" s="21" t="s">
        <v>194</v>
      </c>
      <c r="D81" s="21" t="s">
        <v>595</v>
      </c>
      <c r="E81" s="13">
        <v>43036.506076388891</v>
      </c>
      <c r="F81" s="13">
        <v>43036.510567129626</v>
      </c>
      <c r="G81" s="7">
        <v>94</v>
      </c>
      <c r="H81" s="21" t="s">
        <v>933</v>
      </c>
      <c r="I81" s="13">
        <v>43036.535995370374</v>
      </c>
      <c r="J81" s="7">
        <v>0</v>
      </c>
      <c r="K81" s="89" t="str">
        <f t="shared" si="31"/>
        <v>4031/4032</v>
      </c>
      <c r="L81" s="185" t="str">
        <f>VLOOKUP(A81,'Trips&amp;Operators'!$C$1:$G$99911,5,FALSE)</f>
        <v>BERLING GARY</v>
      </c>
      <c r="M81" s="6">
        <f t="shared" si="32"/>
        <v>2.5428240747714881E-2</v>
      </c>
      <c r="N81" s="7">
        <f t="shared" si="47"/>
        <v>36.616666676709428</v>
      </c>
      <c r="O81" s="7"/>
      <c r="P81" s="7"/>
      <c r="Q81" s="22"/>
      <c r="R81" s="174"/>
      <c r="S81" s="221">
        <f t="shared" si="48"/>
        <v>1</v>
      </c>
      <c r="T81" s="174" t="str">
        <f t="shared" si="33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4"/>
        <v>https://d0f6bd738d7f1b3e5a7ca70fe4ff75f0.us-east-1.aws.found.io/app/kibana#/discover/Steve-Slow-Train-Analysis-(2080s-and-2083s)?_g=(refreshInterval:(display:Off,pause:!f,section:0,value:0),time:(from:'2017-10-28T11:08:45-0600',mode:absolute,to:'2017-10-28T13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1" s="204" t="str">
        <f>IF(AA81&lt;VLOOKUP(AG81,Variables!$AC$3:$AD$8,2,FALSE),"Y","N")</f>
        <v>N</v>
      </c>
      <c r="X81" s="204">
        <f t="shared" si="30"/>
        <v>1</v>
      </c>
      <c r="Y81" s="204">
        <f t="shared" si="35"/>
        <v>5.1499999999999997E-2</v>
      </c>
      <c r="Z81" s="204">
        <f t="shared" si="36"/>
        <v>23.3261</v>
      </c>
      <c r="AA81" s="204">
        <f t="shared" si="37"/>
        <v>23.2746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8"/>
        <v>169</v>
      </c>
      <c r="AE81" s="77" t="str">
        <f t="shared" si="39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81" s="74" t="str">
        <f t="shared" si="40"/>
        <v>"C:\Program Files (x86)\AstroGrep\AstroGrep.exe" /e /r /s /spath="%USERPROFILE%\AppData\Local\Temp\OnboardLogs" /stypes="app*4032*20171028*" /stext=" 18:.+((SYSTEM_STATE.+slice.+state.+changed )|(ment ac)|(multiple cpu faults)|(system.+state.+changed )|(\[timeout)|(PRM\|1\|D)|(kpr)|(kdp)|(train st.+moving)|(\|lc)|(penalty))"</v>
      </c>
      <c r="AG81" s="182" t="str">
        <f t="shared" si="41"/>
        <v>EC</v>
      </c>
      <c r="AH81" s="78" t="str">
        <f t="shared" si="42"/>
        <v>"%USERPROFILE%\Documents\GitHub\eaglep3\Utilities\RefineRTDCRunTimes.py" --tripid 169-28 --locoid 4032 --swversion DE.1.0.9.0 --startMP 204:515 --initTime 2017-10-28T12:08:45 --startdatetime 2017-10-28T12:15:13 --delay 94 --endMP 204:233261 --enddatetime 2017-10-28T12:51:50 --enforcementcount 0 &gt;&gt;%USERPROFILE%\Documents\GitHub\eaglep3-reporting\EC\2017-10-28-refined-times.txt</v>
      </c>
      <c r="AI81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{"issue":{"subject":"","project_id":79,"tracker_id":40,"status_id":1,"priority_id":2,"assigned_to_id":338,"start_date":"2017-10-28","description":"","custom_fields":[{"id":1,"name":"Subdivision","value":"EC"},{"id":4,"name":"Milepost","value":"23.3261"},{"id":17,"name":"Train ID","value":"169-28"},{"id":16,"name":"Locomotive ID","value":"4032"},{"id":130,"name":"Impact","value":""},{"id":150,"name":"Time of Event (Mountain Time)","value":"12:51:50"},{"id":151,"name":"Denver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4032 --day 2017-10-28</v>
      </c>
      <c r="AN81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6"/>
        <v>https://d0f6bd738d7f1b3e5a7ca70fe4ff75f0.us-east-1.aws.found.io/app/kibana#/discover/Steve-Slow-Train-Analysis-(2080s-and-2083s)?_g=(refreshInterval:(display:Off,pause:!f,section:0,value:0),time:(from:'2017-10-28T11:08:45-0600',mode:absolute,to:'2017-10-28T13:51:50-0600'))&amp;_a=(columns:!('Message%20ID',Summary),filters:!(),index:'emp_*',interval:auto,query:(query_string:(analyze_wildcard:!t,query:'%22rtdc.l.rtdc.4032%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771</v>
      </c>
      <c r="B82" s="7">
        <v>4031</v>
      </c>
      <c r="C82" s="21" t="s">
        <v>194</v>
      </c>
      <c r="D82" s="21" t="s">
        <v>934</v>
      </c>
      <c r="E82" s="13">
        <v>43036.546273148146</v>
      </c>
      <c r="F82" s="13">
        <v>43036.550196759257</v>
      </c>
      <c r="G82" s="7">
        <v>97</v>
      </c>
      <c r="H82" s="21" t="s">
        <v>935</v>
      </c>
      <c r="I82" s="13">
        <v>43036.57916666667</v>
      </c>
      <c r="J82" s="7">
        <v>0</v>
      </c>
      <c r="K82" s="89" t="str">
        <f t="shared" si="31"/>
        <v>4031/4032</v>
      </c>
      <c r="L82" s="185" t="str">
        <f>VLOOKUP(A82,'Trips&amp;Operators'!$C$1:$G$99911,5,FALSE)</f>
        <v>BERLING GARY</v>
      </c>
      <c r="M82" s="6">
        <f t="shared" si="32"/>
        <v>2.8969907412829343E-2</v>
      </c>
      <c r="N82" s="7">
        <f t="shared" si="47"/>
        <v>41.716666674474254</v>
      </c>
      <c r="O82" s="7"/>
      <c r="P82" s="7"/>
      <c r="Q82" s="22"/>
      <c r="R82" s="174"/>
      <c r="S82" s="221">
        <f t="shared" si="48"/>
        <v>1</v>
      </c>
      <c r="T82" s="174" t="str">
        <f t="shared" si="33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4"/>
        <v>https://d0f6bd738d7f1b3e5a7ca70fe4ff75f0.us-east-1.aws.found.io/app/kibana#/discover/Steve-Slow-Train-Analysis-(2080s-and-2083s)?_g=(refreshInterval:(display:Off,pause:!f,section:0,value:0),time:(from:'2017-10-28T12:06:38-0600',mode:absolute,to:'2017-10-28T14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2" s="204" t="str">
        <f>IF(AA82&lt;VLOOKUP(AG82,Variables!$AC$3:$AD$8,2,FALSE),"Y","N")</f>
        <v>N</v>
      </c>
      <c r="X82" s="204">
        <f t="shared" si="30"/>
        <v>1</v>
      </c>
      <c r="Y82" s="204">
        <f t="shared" si="35"/>
        <v>23.294699999999999</v>
      </c>
      <c r="Z82" s="204">
        <f t="shared" si="36"/>
        <v>3.3799999999999997E-2</v>
      </c>
      <c r="AA82" s="204">
        <f t="shared" si="37"/>
        <v>23.260899999999999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8"/>
        <v>170</v>
      </c>
      <c r="AE82" s="77" t="str">
        <f t="shared" si="39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82" s="74" t="str">
        <f t="shared" si="40"/>
        <v>"C:\Program Files (x86)\AstroGrep\AstroGrep.exe" /e /r /s /spath="%USERPROFILE%\AppData\Local\Temp\OnboardLogs" /stypes="app*4031*20171028*" /stext=" 19:.+((SYSTEM_STATE.+slice.+state.+changed )|(ment ac)|(multiple cpu faults)|(system.+state.+changed )|(\[timeout)|(PRM\|1\|D)|(kpr)|(kdp)|(train st.+moving)|(\|lc)|(penalty))"</v>
      </c>
      <c r="AG82" s="182" t="str">
        <f t="shared" si="41"/>
        <v>EC</v>
      </c>
      <c r="AH82" s="78" t="str">
        <f t="shared" si="42"/>
        <v>"%USERPROFILE%\Documents\GitHub\eaglep3\Utilities\RefineRTDCRunTimes.py" --tripid 170-28 --locoid 4031 --swversion DE.1.0.9.0 --startMP 204:232947 --initTime 2017-10-28T13:06:38 --startdatetime 2017-10-28T13:12:17 --delay 97 --endMP 204:338 --enddatetime 2017-10-28T13:54:00 --enforcementcount 0 &gt;&gt;%USERPROFILE%\Documents\GitHub\eaglep3-reporting\EC\2017-10-28-refined-times.txt</v>
      </c>
      <c r="AI82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{"issue":{"subject":"","project_id":79,"tracker_id":40,"status_id":1,"priority_id":2,"assigned_to_id":338,"start_date":"2017-10-28","description":"","custom_fields":[{"id":1,"name":"Subdivision","value":"EC"},{"id":4,"name":"Milepost","value":"0.0338"},{"id":17,"name":"Train ID","value":"170-28"},{"id":16,"name":"Locomotive ID","value":"4031"},{"id":130,"name":"Impact","value":""},{"id":150,"name":"Time of Event (Mountain Time)","value":"13:54:00"},{"id":151,"name":"Denver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4031 --day 2017-10-28</v>
      </c>
      <c r="AN82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6"/>
        <v>https://d0f6bd738d7f1b3e5a7ca70fe4ff75f0.us-east-1.aws.found.io/app/kibana#/discover/Steve-Slow-Train-Analysis-(2080s-and-2083s)?_g=(refreshInterval:(display:Off,pause:!f,section:0,value:0),time:(from:'2017-10-28T12:06:38-0600',mode:absolute,to:'2017-10-28T14:54:00-0600'))&amp;_a=(columns:!('Message%20ID',Summary),filters:!(),index:'emp_*',interval:auto,query:(query_string:(analyze_wildcard:!t,query:'%22rtdc.l.rtdc.4031%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765</v>
      </c>
      <c r="B83" s="7">
        <v>4024</v>
      </c>
      <c r="C83" s="21" t="s">
        <v>194</v>
      </c>
      <c r="D83" s="21" t="s">
        <v>520</v>
      </c>
      <c r="E83" s="13">
        <v>43036.516689814816</v>
      </c>
      <c r="F83" s="13">
        <v>43036.521006944444</v>
      </c>
      <c r="G83" s="7">
        <v>56</v>
      </c>
      <c r="H83" s="21" t="s">
        <v>940</v>
      </c>
      <c r="I83" s="13">
        <v>43036.545266203706</v>
      </c>
      <c r="J83" s="7">
        <v>0</v>
      </c>
      <c r="K83" s="89" t="str">
        <f t="shared" si="31"/>
        <v>4023/4024</v>
      </c>
      <c r="L83" s="185" t="str">
        <f>VLOOKUP(A83,'Trips&amp;Operators'!$C$1:$G$99911,5,FALSE)</f>
        <v>BRUDER RICHARD</v>
      </c>
      <c r="M83" s="6">
        <f t="shared" si="32"/>
        <v>2.4259259262180422E-2</v>
      </c>
      <c r="N83" s="7">
        <f t="shared" si="47"/>
        <v>34.933333337539807</v>
      </c>
      <c r="O83" s="7"/>
      <c r="P83" s="7"/>
      <c r="Q83" s="22"/>
      <c r="R83" s="174"/>
      <c r="S83" s="221">
        <f t="shared" si="48"/>
        <v>1</v>
      </c>
      <c r="T83" s="174" t="str">
        <f t="shared" si="33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4"/>
        <v>https://d0f6bd738d7f1b3e5a7ca70fe4ff75f0.us-east-1.aws.found.io/app/kibana#/discover/Steve-Slow-Train-Analysis-(2080s-and-2083s)?_g=(refreshInterval:(display:Off,pause:!f,section:0,value:0),time:(from:'2017-10-28T11:24:02-0600',mode:absolute,to:'2017-10-28T14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3" s="204" t="str">
        <f>IF(AA83&lt;VLOOKUP(AG83,Variables!$AC$3:$AD$8,2,FALSE),"Y","N")</f>
        <v>N</v>
      </c>
      <c r="X83" s="204">
        <f t="shared" si="30"/>
        <v>1</v>
      </c>
      <c r="Y83" s="204">
        <f t="shared" si="35"/>
        <v>5.62E-2</v>
      </c>
      <c r="Z83" s="204">
        <f t="shared" si="36"/>
        <v>23.320900000000002</v>
      </c>
      <c r="AA83" s="204">
        <f t="shared" si="37"/>
        <v>23.264700000000001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8"/>
        <v>171</v>
      </c>
      <c r="AE83" s="77" t="str">
        <f t="shared" si="39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83" s="74" t="str">
        <f t="shared" si="40"/>
        <v>"C:\Program Files (x86)\AstroGrep\AstroGrep.exe" /e /r /s /spath="%USERPROFILE%\AppData\Local\Temp\OnboardLogs" /stypes="app*4024*20171028*" /stext=" 19:.+((SYSTEM_STATE.+slice.+state.+changed )|(ment ac)|(multiple cpu faults)|(system.+state.+changed )|(\[timeout)|(PRM\|1\|D)|(kpr)|(kdp)|(train st.+moving)|(\|lc)|(penalty))"</v>
      </c>
      <c r="AG83" s="182" t="str">
        <f t="shared" si="41"/>
        <v>EC</v>
      </c>
      <c r="AH83" s="78" t="str">
        <f t="shared" si="42"/>
        <v>"%USERPROFILE%\Documents\GitHub\eaglep3\Utilities\RefineRTDCRunTimes.py" --tripid 171-28 --locoid 4024 --swversion DE.1.0.9.0 --startMP 204:562 --initTime 2017-10-28T12:24:02 --startdatetime 2017-10-28T12:30:15 --delay 56 --endMP 204:233209 --enddatetime 2017-10-28T13:05:11 --enforcementcount 0 &gt;&gt;%USERPROFILE%\Documents\GitHub\eaglep3-reporting\EC\2017-10-28-refined-times.txt</v>
      </c>
      <c r="AI83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{"issue":{"subject":"","project_id":79,"tracker_id":40,"status_id":1,"priority_id":2,"assigned_to_id":338,"start_date":"2017-10-28","description":"","custom_fields":[{"id":1,"name":"Subdivision","value":"EC"},{"id":4,"name":"Milepost","value":"23.3209"},{"id":17,"name":"Train ID","value":"171-28"},{"id":16,"name":"Locomotive ID","value":"4024"},{"id":130,"name":"Impact","value":""},{"id":150,"name":"Time of Event (Mountain Time)","value":"13:05:11"},{"id":151,"name":"Denver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4024 --day 2017-10-28</v>
      </c>
      <c r="AN83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6"/>
        <v>https://d0f6bd738d7f1b3e5a7ca70fe4ff75f0.us-east-1.aws.found.io/app/kibana#/discover/Steve-Slow-Train-Analysis-(2080s-and-2083s)?_g=(refreshInterval:(display:Off,pause:!f,section:0,value:0),time:(from:'2017-10-28T11:24:02-0600',mode:absolute,to:'2017-10-28T14:05:11-0600'))&amp;_a=(columns:!('Message%20ID',Summary),filters:!(),index:'emp_*',interval:auto,query:(query_string:(analyze_wildcard:!t,query:'%22rtdc.l.rtdc.4024%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773</v>
      </c>
      <c r="B84" s="7">
        <v>4023</v>
      </c>
      <c r="C84" s="21" t="s">
        <v>194</v>
      </c>
      <c r="D84" s="21" t="s">
        <v>941</v>
      </c>
      <c r="E84" s="13">
        <v>43036.557337962964</v>
      </c>
      <c r="F84" s="13">
        <v>43036.560659722221</v>
      </c>
      <c r="G84" s="7">
        <v>83</v>
      </c>
      <c r="H84" s="21" t="s">
        <v>586</v>
      </c>
      <c r="I84" s="13">
        <v>43036.59</v>
      </c>
      <c r="J84" s="7">
        <v>0</v>
      </c>
      <c r="K84" s="89" t="str">
        <f t="shared" si="31"/>
        <v>4023/4024</v>
      </c>
      <c r="L84" s="185" t="str">
        <f>VLOOKUP(A84,'Trips&amp;Operators'!$C$1:$G$99911,5,FALSE)</f>
        <v>BRUDER RICHARD</v>
      </c>
      <c r="M84" s="6">
        <f t="shared" si="32"/>
        <v>2.9340277775190771E-2</v>
      </c>
      <c r="N84" s="7">
        <f t="shared" si="47"/>
        <v>42.24999999627471</v>
      </c>
      <c r="O84" s="7"/>
      <c r="P84" s="7"/>
      <c r="Q84" s="22"/>
      <c r="R84" s="174"/>
      <c r="S84" s="221">
        <f t="shared" si="48"/>
        <v>1</v>
      </c>
      <c r="T84" s="174" t="str">
        <f t="shared" si="33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4"/>
        <v>https://d0f6bd738d7f1b3e5a7ca70fe4ff75f0.us-east-1.aws.found.io/app/kibana#/discover/Steve-Slow-Train-Analysis-(2080s-and-2083s)?_g=(refreshInterval:(display:Off,pause:!f,section:0,value:0),time:(from:'2017-10-28T12:22:34-0600',mode:absolute,to:'2017-10-28T15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4" s="204" t="str">
        <f>IF(AA84&lt;VLOOKUP(AG84,Variables!$AC$3:$AD$8,2,FALSE),"Y","N")</f>
        <v>N</v>
      </c>
      <c r="X84" s="204">
        <f t="shared" si="30"/>
        <v>1</v>
      </c>
      <c r="Y84" s="204">
        <f t="shared" si="35"/>
        <v>23.289000000000001</v>
      </c>
      <c r="Z84" s="204">
        <f t="shared" si="36"/>
        <v>2.2700000000000001E-2</v>
      </c>
      <c r="AA84" s="204">
        <f t="shared" si="37"/>
        <v>23.266300000000001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8"/>
        <v>172</v>
      </c>
      <c r="AE84" s="77" t="str">
        <f t="shared" si="39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84" s="74" t="str">
        <f t="shared" si="40"/>
        <v>"C:\Program Files (x86)\AstroGrep\AstroGrep.exe" /e /r /s /spath="%USERPROFILE%\AppData\Local\Temp\OnboardLogs" /stypes="app*4023*20171028*" /stext=" 20:.+((SYSTEM_STATE.+slice.+state.+changed )|(ment ac)|(multiple cpu faults)|(system.+state.+changed )|(\[timeout)|(PRM\|1\|D)|(kpr)|(kdp)|(train st.+moving)|(\|lc)|(penalty))"</v>
      </c>
      <c r="AG84" s="182" t="str">
        <f t="shared" si="41"/>
        <v>EC</v>
      </c>
      <c r="AH84" s="78" t="str">
        <f t="shared" si="42"/>
        <v>"%USERPROFILE%\Documents\GitHub\eaglep3\Utilities\RefineRTDCRunTimes.py" --tripid 172-28 --locoid 4023 --swversion DE.1.0.9.0 --startMP 204:232890 --initTime 2017-10-28T13:22:34 --startdatetime 2017-10-28T13:27:21 --delay 83 --endMP 204:227 --enddatetime 2017-10-28T14:09:36 --enforcementcount 0 &gt;&gt;%USERPROFILE%\Documents\GitHub\eaglep3-reporting\EC\2017-10-28-refined-times.txt</v>
      </c>
      <c r="AI84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{"issue":{"subject":"","project_id":79,"tracker_id":40,"status_id":1,"priority_id":2,"assigned_to_id":338,"start_date":"2017-10-28","description":"","custom_fields":[{"id":1,"name":"Subdivision","value":"EC"},{"id":4,"name":"Milepost","value":"0.0227"},{"id":17,"name":"Train ID","value":"172-28"},{"id":16,"name":"Locomotive ID","value":"4023"},{"id":130,"name":"Impact","value":""},{"id":150,"name":"Time of Event (Mountain Time)","value":"14:09:36"},{"id":151,"name":"Denver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4023 --day 2017-10-28</v>
      </c>
      <c r="AN84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6"/>
        <v>https://d0f6bd738d7f1b3e5a7ca70fe4ff75f0.us-east-1.aws.found.io/app/kibana#/discover/Steve-Slow-Train-Analysis-(2080s-and-2083s)?_g=(refreshInterval:(display:Off,pause:!f,section:0,value:0),time:(from:'2017-10-28T12:22:34-0600',mode:absolute,to:'2017-10-28T15:09:36-0600'))&amp;_a=(columns:!('Message%20ID',Summary),filters:!(),index:'emp_*',interval:auto,query:(query_string:(analyze_wildcard:!t,query:'%22rtdc.l.rtdc.4023%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768</v>
      </c>
      <c r="B85" s="7">
        <v>4064</v>
      </c>
      <c r="C85" s="21" t="s">
        <v>194</v>
      </c>
      <c r="D85" s="21" t="s">
        <v>589</v>
      </c>
      <c r="E85" s="13">
        <v>43036.529594907406</v>
      </c>
      <c r="F85" s="13">
        <v>43036.531423611108</v>
      </c>
      <c r="G85" s="7">
        <v>78</v>
      </c>
      <c r="H85" s="21" t="s">
        <v>568</v>
      </c>
      <c r="I85" s="13">
        <v>43036.555787037039</v>
      </c>
      <c r="J85" s="7">
        <v>0</v>
      </c>
      <c r="K85" s="89" t="str">
        <f t="shared" si="31"/>
        <v>4063/4064</v>
      </c>
      <c r="L85" s="185" t="str">
        <f>VLOOKUP(A85,'Trips&amp;Operators'!$C$1:$G$99911,5,FALSE)</f>
        <v>HOLCOMB KAMDEN</v>
      </c>
      <c r="M85" s="6">
        <f t="shared" si="32"/>
        <v>2.436342593136942E-2</v>
      </c>
      <c r="N85" s="7">
        <f t="shared" si="47"/>
        <v>35.083333341171965</v>
      </c>
      <c r="O85" s="7"/>
      <c r="P85" s="7"/>
      <c r="Q85" s="22"/>
      <c r="R85" s="174"/>
      <c r="S85" s="221">
        <f t="shared" si="48"/>
        <v>1</v>
      </c>
      <c r="T85" s="174" t="str">
        <f t="shared" si="33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4"/>
        <v>https://d0f6bd738d7f1b3e5a7ca70fe4ff75f0.us-east-1.aws.found.io/app/kibana#/discover/Steve-Slow-Train-Analysis-(2080s-and-2083s)?_g=(refreshInterval:(display:Off,pause:!f,section:0,value:0),time:(from:'2017-10-28T11:42:37-0600',mode:absolute,to:'2017-10-28T14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204" t="str">
        <f>IF(AA85&lt;VLOOKUP(AG85,Variables!$AC$3:$AD$8,2,FALSE),"Y","N")</f>
        <v>N</v>
      </c>
      <c r="X85" s="204">
        <f t="shared" si="30"/>
        <v>1</v>
      </c>
      <c r="Y85" s="204">
        <f t="shared" si="35"/>
        <v>5.11E-2</v>
      </c>
      <c r="Z85" s="204">
        <f t="shared" si="36"/>
        <v>23.3215</v>
      </c>
      <c r="AA85" s="204">
        <f t="shared" si="37"/>
        <v>23.270399999999999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8"/>
        <v>173</v>
      </c>
      <c r="AE85" s="77" t="str">
        <f t="shared" si="39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85" s="74" t="str">
        <f t="shared" si="40"/>
        <v>"C:\Program Files (x86)\AstroGrep\AstroGrep.exe" /e /r /s /spath="%USERPROFILE%\AppData\Local\Temp\OnboardLogs" /stypes="app*4064*20171028*" /stext=" 19:.+((SYSTEM_STATE.+slice.+state.+changed )|(ment ac)|(multiple cpu faults)|(system.+state.+changed )|(\[timeout)|(PRM\|1\|D)|(kpr)|(kdp)|(train st.+moving)|(\|lc)|(penalty))"</v>
      </c>
      <c r="AG85" s="182" t="str">
        <f t="shared" si="41"/>
        <v>EC</v>
      </c>
      <c r="AH85" s="78" t="str">
        <f t="shared" si="42"/>
        <v>"%USERPROFILE%\Documents\GitHub\eaglep3\Utilities\RefineRTDCRunTimes.py" --tripid 173-28 --locoid 4064 --swversion DE.1.0.9.0 --startMP 204:511 --initTime 2017-10-28T12:42:37 --startdatetime 2017-10-28T12:45:15 --delay 78 --endMP 204:233215 --enddatetime 2017-10-28T13:20:20 --enforcementcount 0 &gt;&gt;%USERPROFILE%\Documents\GitHub\eaglep3-reporting\EC\2017-10-28-refined-times.txt</v>
      </c>
      <c r="AI85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{"issue":{"subject":"","project_id":79,"tracker_id":40,"status_id":1,"priority_id":2,"assigned_to_id":338,"start_date":"2017-10-28","description":"","custom_fields":[{"id":1,"name":"Subdivision","value":"EC"},{"id":4,"name":"Milepost","value":"23.3215"},{"id":17,"name":"Train ID","value":"173-28"},{"id":16,"name":"Locomotive ID","value":"4064"},{"id":130,"name":"Impact","value":""},{"id":150,"name":"Time of Event (Mountain Time)","value":"13:20:20"},{"id":151,"name":"Denver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4064 --day 2017-10-28</v>
      </c>
      <c r="AN85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6"/>
        <v>https://d0f6bd738d7f1b3e5a7ca70fe4ff75f0.us-east-1.aws.found.io/app/kibana#/discover/Steve-Slow-Train-Analysis-(2080s-and-2083s)?_g=(refreshInterval:(display:Off,pause:!f,section:0,value:0),time:(from:'2017-10-28T11:42:37-0600',mode:absolute,to:'2017-10-28T14:20:20-0600'))&amp;_a=(columns:!('Message%20ID',Summary),filters:!(),index:'emp_*',interval:auto,query:(query_string:(analyze_wildcard:!t,query:'%22rtdc.l.rtdc.4064%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630</v>
      </c>
      <c r="B86" s="7">
        <v>4063</v>
      </c>
      <c r="C86" s="21" t="s">
        <v>194</v>
      </c>
      <c r="D86" s="21" t="s">
        <v>567</v>
      </c>
      <c r="E86" s="13">
        <v>43036.567800925928</v>
      </c>
      <c r="F86" s="13">
        <v>43036.571018518516</v>
      </c>
      <c r="G86" s="7">
        <v>91</v>
      </c>
      <c r="H86" s="21" t="s">
        <v>525</v>
      </c>
      <c r="I86" s="13">
        <v>43036.598611111112</v>
      </c>
      <c r="J86" s="7">
        <v>0</v>
      </c>
      <c r="K86" s="89" t="str">
        <f t="shared" si="31"/>
        <v>4063/4064</v>
      </c>
      <c r="L86" s="185" t="str">
        <f>VLOOKUP(A86,'Trips&amp;Operators'!$C$1:$G$99911,5,FALSE)</f>
        <v>HOLCOMB KAMDEN</v>
      </c>
      <c r="M86" s="6">
        <f t="shared" si="32"/>
        <v>2.7592592596192844E-2</v>
      </c>
      <c r="N86" s="7">
        <f t="shared" si="47"/>
        <v>39.733333338517696</v>
      </c>
      <c r="O86" s="7"/>
      <c r="P86" s="7"/>
      <c r="Q86" s="22"/>
      <c r="R86" s="174" t="s">
        <v>1112</v>
      </c>
      <c r="S86" s="221">
        <f t="shared" si="48"/>
        <v>1</v>
      </c>
      <c r="T86" s="174" t="str">
        <f t="shared" si="33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4"/>
        <v>https://d0f6bd738d7f1b3e5a7ca70fe4ff75f0.us-east-1.aws.found.io/app/kibana#/discover/Steve-Slow-Train-Analysis-(2080s-and-2083s)?_g=(refreshInterval:(display:Off,pause:!f,section:0,value:0),time:(from:'2017-10-28T12:37:38-0600',mode:absolute,to:'2017-10-28T15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204" t="str">
        <f>IF(AA86&lt;VLOOKUP(AG86,Variables!$AC$3:$AD$8,2,FALSE),"Y","N")</f>
        <v>N</v>
      </c>
      <c r="X86" s="204">
        <f t="shared" si="30"/>
        <v>1</v>
      </c>
      <c r="Y86" s="204">
        <f t="shared" si="35"/>
        <v>23.289400000000001</v>
      </c>
      <c r="Z86" s="204">
        <f t="shared" si="36"/>
        <v>2.3599999999999999E-2</v>
      </c>
      <c r="AA86" s="204">
        <f t="shared" si="37"/>
        <v>23.265800000000002</v>
      </c>
      <c r="AB86" s="54" t="str">
        <f>VLOOKUP(A86,Enforcements!$C$7:$K$11,8,0)</f>
        <v>Bulletin (2)</v>
      </c>
      <c r="AC86" s="51" t="str">
        <f>VLOOKUP(A86,Enforcements!$C$7:$E$11,3,0)</f>
        <v>GRADE CROSSING</v>
      </c>
      <c r="AD86" s="179">
        <f t="shared" si="38"/>
        <v>174</v>
      </c>
      <c r="AE86" s="77" t="str">
        <f t="shared" si="39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86" s="74" t="str">
        <f t="shared" si="40"/>
        <v>"C:\Program Files (x86)\AstroGrep\AstroGrep.exe" /e /r /s /spath="%USERPROFILE%\AppData\Local\Temp\OnboardLogs" /stypes="app*4063*20171028*" /stext=" 20:.+((SYSTEM_STATE.+slice.+state.+changed )|(ment ac)|(multiple cpu faults)|(system.+state.+changed )|(\[timeout)|(PRM\|1\|D)|(kpr)|(kdp)|(train st.+moving)|(\|lc)|(penalty))"</v>
      </c>
      <c r="AG86" s="182" t="str">
        <f t="shared" si="41"/>
        <v>EC</v>
      </c>
      <c r="AH86" s="78" t="str">
        <f t="shared" si="42"/>
        <v>"%USERPROFILE%\Documents\GitHub\eaglep3\Utilities\RefineRTDCRunTimes.py" --tripid 174-28 --locoid 4063 --swversion DE.1.0.9.0 --startMP 204:232894 --initTime 2017-10-28T13:37:38 --startdatetime 2017-10-28T13:42:16 --delay 91 --endMP 204:236 --enddatetime 2017-10-28T14:22:00 --enforcementcount 0 &gt;&gt;%USERPROFILE%\Documents\GitHub\eaglep3-reporting\EC\2017-10-28-refined-times.txt</v>
      </c>
      <c r="AI86" s="96" t="str">
        <f t="shared" si="43"/>
        <v>echo {"issue":{"subject":"Observed brief Wi-MAX data drop","project_id":79,"tracker_id":40,"status_id":1,"priority_id":2,"assigned_to_id":338,"start_date":"2017-10-28","description":"","custom_fields":[{"id":1,"name":"Subdivision","value":"EC"},{"id":4,"name":"Milepost","value":"0.0236"},{"id":17,"name":"Train ID","value":"174-28"},{"id":16,"name":"Locomotive ID","value":"4063"},{"id":130,"name":"Impact","value":""},{"id":150,"name":"Time of Event (Mountain Time)","value":"14:22:00"},{"id":151,"name":"Denver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4063 --day 2017-10-28</v>
      </c>
      <c r="AN86" s="151" t="str">
        <f t="shared" si="45"/>
        <v>echo {"issue":{"subject":"Observed brief Wi-MAX data drop","project_id":30,"tracker_id":4,"status_id":1,"priority_id":1,"assigned_to_id":10,"start_date":"2017-10-28","description":"","custom_fields":[{"id":30,"name":"Category","value":"Issue"},{"id":3,"name":"Functional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6"/>
        <v>https://d0f6bd738d7f1b3e5a7ca70fe4ff75f0.us-east-1.aws.found.io/app/kibana#/discover/Steve-Slow-Train-Analysis-(2080s-and-2083s)?_g=(refreshInterval:(display:Off,pause:!f,section:0,value:0),time:(from:'2017-10-28T12:37:38-0600',mode:absolute,to:'2017-10-28T15:22:00-0600'))&amp;_a=(columns:!('Message%20ID',Summary),filters:!(),index:'emp_*',interval:auto,query:(query_string:(analyze_wildcard:!t,query:'%22rtdc.l.rtdc.4063%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770</v>
      </c>
      <c r="B87" s="7">
        <v>4012</v>
      </c>
      <c r="C87" s="21" t="s">
        <v>194</v>
      </c>
      <c r="D87" s="21" t="s">
        <v>942</v>
      </c>
      <c r="E87" s="13">
        <v>43036.539363425924</v>
      </c>
      <c r="F87" s="13">
        <v>43036.542002314818</v>
      </c>
      <c r="G87" s="7">
        <v>59</v>
      </c>
      <c r="H87" s="21" t="s">
        <v>943</v>
      </c>
      <c r="I87" s="13">
        <v>43036.57099537037</v>
      </c>
      <c r="J87" s="7">
        <v>0</v>
      </c>
      <c r="K87" s="89" t="str">
        <f t="shared" si="31"/>
        <v>4011/4012</v>
      </c>
      <c r="L87" s="185" t="str">
        <f>VLOOKUP(A87,'Trips&amp;Operators'!$C$1:$G$99911,5,FALSE)</f>
        <v>DAVIS MICHAEL</v>
      </c>
      <c r="M87" s="6">
        <f t="shared" si="32"/>
        <v>2.8993055551836733E-2</v>
      </c>
      <c r="N87" s="7">
        <f t="shared" si="47"/>
        <v>41.749999994644895</v>
      </c>
      <c r="O87" s="7"/>
      <c r="P87" s="7"/>
      <c r="Q87" s="22"/>
      <c r="R87" s="174"/>
      <c r="S87" s="221">
        <f t="shared" si="48"/>
        <v>1</v>
      </c>
      <c r="T87" s="174" t="str">
        <f t="shared" si="33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4"/>
        <v>https://d0f6bd738d7f1b3e5a7ca70fe4ff75f0.us-east-1.aws.found.io/app/kibana#/discover/Steve-Slow-Train-Analysis-(2080s-and-2083s)?_g=(refreshInterval:(display:Off,pause:!f,section:0,value:0),time:(from:'2017-10-28T11:56:41-0600',mode:absolute,to:'2017-10-28T14:42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204" t="str">
        <f>IF(AA87&lt;VLOOKUP(AG87,Variables!$AC$3:$AD$8,2,FALSE),"Y","N")</f>
        <v>N</v>
      </c>
      <c r="X87" s="204">
        <f t="shared" si="30"/>
        <v>1</v>
      </c>
      <c r="Y87" s="204">
        <f t="shared" si="35"/>
        <v>5.28E-2</v>
      </c>
      <c r="Z87" s="204">
        <f t="shared" si="36"/>
        <v>23.323599999999999</v>
      </c>
      <c r="AA87" s="204">
        <f t="shared" si="37"/>
        <v>23.270799999999998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8"/>
        <v>175</v>
      </c>
      <c r="AE87" s="77" t="str">
        <f t="shared" si="39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87" s="74" t="str">
        <f t="shared" si="40"/>
        <v>"C:\Program Files (x86)\AstroGrep\AstroGrep.exe" /e /r /s /spath="%USERPROFILE%\AppData\Local\Temp\OnboardLogs" /stypes="app*4012*20171028*" /stext=" 19:.+((SYSTEM_STATE.+slice.+state.+changed )|(ment ac)|(multiple cpu faults)|(system.+state.+changed )|(\[timeout)|(PRM\|1\|D)|(kpr)|(kdp)|(train st.+moving)|(\|lc)|(penalty))"</v>
      </c>
      <c r="AG87" s="182" t="str">
        <f t="shared" si="41"/>
        <v>EC</v>
      </c>
      <c r="AH87" s="78" t="str">
        <f t="shared" si="42"/>
        <v>"%USERPROFILE%\Documents\GitHub\eaglep3\Utilities\RefineRTDCRunTimes.py" --tripid 175-28 --locoid 4012 --swversion DE.1.0.9.0 --startMP 204:528 --initTime 2017-10-28T12:56:41 --startdatetime 2017-10-28T13:00:29 --delay 59 --endMP 204:233236 --enddatetime 2017-10-28T13:42:14 --enforcementcount 0 &gt;&gt;%USERPROFILE%\Documents\GitHub\eaglep3-reporting\EC\2017-10-28-refined-times.txt</v>
      </c>
      <c r="AI87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{"issue":{"subject":"","project_id":79,"tracker_id":40,"status_id":1,"priority_id":2,"assigned_to_id":338,"start_date":"2017-10-28","description":"","custom_fields":[{"id":1,"name":"Subdivision","value":"EC"},{"id":4,"name":"Milepost","value":"23.3236"},{"id":17,"name":"Train ID","value":"175-28"},{"id":16,"name":"Locomotive ID","value":"4012"},{"id":130,"name":"Impact","value":""},{"id":150,"name":"Time of Event (Mountain Time)","value":"13:42:14"},{"id":151,"name":"Denver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4012 --day 2017-10-28</v>
      </c>
      <c r="AN87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19:42:14"},{"id":29,"name":"Sharepoint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6"/>
        <v>https://d0f6bd738d7f1b3e5a7ca70fe4ff75f0.us-east-1.aws.found.io/app/kibana#/discover/Steve-Slow-Train-Analysis-(2080s-and-2083s)?_g=(refreshInterval:(display:Off,pause:!f,section:0,value:0),time:(from:'2017-10-28T11:56:41-0600',mode:absolute,to:'2017-10-28T14:42:14-0600'))&amp;_a=(columns:!('Message%20ID',Summary),filters:!(),index:'emp_*',interval:auto,query:(query_string:(analyze_wildcard:!t,query:'%22rtdc.l.rtdc.4012%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777</v>
      </c>
      <c r="B88" s="7">
        <v>4011</v>
      </c>
      <c r="C88" s="21" t="s">
        <v>194</v>
      </c>
      <c r="D88" s="21" t="s">
        <v>515</v>
      </c>
      <c r="E88" s="13">
        <v>43036.57949074074</v>
      </c>
      <c r="F88" s="13">
        <v>43036.581759259258</v>
      </c>
      <c r="G88" s="7">
        <v>85</v>
      </c>
      <c r="H88" s="21" t="s">
        <v>944</v>
      </c>
      <c r="I88" s="13">
        <v>43036.609722222223</v>
      </c>
      <c r="J88" s="7">
        <v>0</v>
      </c>
      <c r="K88" s="89" t="str">
        <f t="shared" si="31"/>
        <v>4011/4012</v>
      </c>
      <c r="L88" s="185" t="str">
        <f>VLOOKUP(A88,'Trips&amp;Operators'!$C$1:$G$99911,5,FALSE)</f>
        <v>DAVIS MICHAEL</v>
      </c>
      <c r="M88" s="6">
        <f t="shared" si="32"/>
        <v>2.7962962965830229E-2</v>
      </c>
      <c r="N88" s="7">
        <f t="shared" si="47"/>
        <v>40.26666667079553</v>
      </c>
      <c r="O88" s="7"/>
      <c r="P88" s="7"/>
      <c r="Q88" s="22"/>
      <c r="R88" s="174"/>
      <c r="S88" s="221">
        <f t="shared" si="48"/>
        <v>1</v>
      </c>
      <c r="T88" s="174" t="str">
        <f t="shared" si="33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4"/>
        <v>https://d0f6bd738d7f1b3e5a7ca70fe4ff75f0.us-east-1.aws.found.io/app/kibana#/discover/Steve-Slow-Train-Analysis-(2080s-and-2083s)?_g=(refreshInterval:(display:Off,pause:!f,section:0,value:0),time:(from:'2017-10-28T12:54:28-0600',mode:absolute,to:'2017-10-28T15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204" t="str">
        <f>IF(AA88&lt;VLOOKUP(AG88,Variables!$AC$3:$AD$8,2,FALSE),"Y","N")</f>
        <v>N</v>
      </c>
      <c r="X88" s="204">
        <f t="shared" si="30"/>
        <v>1</v>
      </c>
      <c r="Y88" s="204">
        <f t="shared" si="35"/>
        <v>23.287299999999998</v>
      </c>
      <c r="Z88" s="204">
        <f t="shared" si="36"/>
        <v>2.1399999999999999E-2</v>
      </c>
      <c r="AA88" s="204">
        <f t="shared" si="37"/>
        <v>23.265899999999998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8"/>
        <v>176</v>
      </c>
      <c r="AE88" s="77" t="str">
        <f t="shared" si="39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88" s="74" t="str">
        <f t="shared" si="40"/>
        <v>"C:\Program Files (x86)\AstroGrep\AstroGrep.exe" /e /r /s /spath="%USERPROFILE%\AppData\Local\Temp\OnboardLogs" /stypes="app*4011*20171028*" /stext=" 20:.+((SYSTEM_STATE.+slice.+state.+changed )|(ment ac)|(multiple cpu faults)|(system.+state.+changed )|(\[timeout)|(PRM\|1\|D)|(kpr)|(kdp)|(train st.+moving)|(\|lc)|(penalty))"</v>
      </c>
      <c r="AG88" s="182" t="str">
        <f t="shared" si="41"/>
        <v>EC</v>
      </c>
      <c r="AH88" s="78" t="str">
        <f t="shared" si="42"/>
        <v>"%USERPROFILE%\Documents\GitHub\eaglep3\Utilities\RefineRTDCRunTimes.py" --tripid 176-28 --locoid 4011 --swversion DE.1.0.9.0 --startMP 204:232873 --initTime 2017-10-28T13:54:28 --startdatetime 2017-10-28T13:57:44 --delay 85 --endMP 204:214 --enddatetime 2017-10-28T14:38:00 --enforcementcount 0 &gt;&gt;%USERPROFILE%\Documents\GitHub\eaglep3-reporting\EC\2017-10-28-refined-times.txt</v>
      </c>
      <c r="AI88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{"issue":{"subject":"","project_id":79,"tracker_id":40,"status_id":1,"priority_id":2,"assigned_to_id":338,"start_date":"2017-10-28","description":"","custom_fields":[{"id":1,"name":"Subdivision","value":"EC"},{"id":4,"name":"Milepost","value":"0.0214"},{"id":17,"name":"Train ID","value":"176-28"},{"id":16,"name":"Locomotive ID","value":"4011"},{"id":130,"name":"Impact","value":""},{"id":150,"name":"Time of Event (Mountain Time)","value":"14:38:00"},{"id":151,"name":"Denver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4011 --day 2017-10-28</v>
      </c>
      <c r="AN88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6"/>
        <v>https://d0f6bd738d7f1b3e5a7ca70fe4ff75f0.us-east-1.aws.found.io/app/kibana#/discover/Steve-Slow-Train-Analysis-(2080s-and-2083s)?_g=(refreshInterval:(display:Off,pause:!f,section:0,value:0),time:(from:'2017-10-28T12:54:28-0600',mode:absolute,to:'2017-10-28T15:38:00-0600'))&amp;_a=(columns:!('Message%20ID',Summary),filters:!(),index:'emp_*',interval:auto,query:(query_string:(analyze_wildcard:!t,query:'%22rtdc.l.rtdc.4011%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772</v>
      </c>
      <c r="B89" s="7">
        <v>4004</v>
      </c>
      <c r="C89" s="21" t="s">
        <v>194</v>
      </c>
      <c r="D89" s="21" t="s">
        <v>894</v>
      </c>
      <c r="E89" s="13">
        <v>43036.546307870369</v>
      </c>
      <c r="F89" s="13">
        <v>43036.552291666667</v>
      </c>
      <c r="G89" s="7">
        <v>140</v>
      </c>
      <c r="H89" s="21" t="s">
        <v>945</v>
      </c>
      <c r="I89" s="13">
        <v>43036.578298611108</v>
      </c>
      <c r="J89" s="7">
        <v>0</v>
      </c>
      <c r="K89" s="89" t="str">
        <f t="shared" si="31"/>
        <v>4003/4004</v>
      </c>
      <c r="L89" s="185" t="str">
        <f>VLOOKUP(A89,'Trips&amp;Operators'!$C$1:$G$99911,5,FALSE)</f>
        <v>DAVIDSON DAVID</v>
      </c>
      <c r="M89" s="6">
        <f t="shared" si="32"/>
        <v>2.6006944441178348E-2</v>
      </c>
      <c r="N89" s="7">
        <f t="shared" si="47"/>
        <v>37.449999995296821</v>
      </c>
      <c r="O89" s="7"/>
      <c r="P89" s="7"/>
      <c r="Q89" s="22"/>
      <c r="R89" s="174"/>
      <c r="S89" s="221">
        <f t="shared" si="48"/>
        <v>1</v>
      </c>
      <c r="T89" s="174" t="str">
        <f t="shared" si="33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4"/>
        <v>https://d0f6bd738d7f1b3e5a7ca70fe4ff75f0.us-east-1.aws.found.io/app/kibana#/discover/Steve-Slow-Train-Analysis-(2080s-and-2083s)?_g=(refreshInterval:(display:Off,pause:!f,section:0,value:0),time:(from:'2017-10-28T12:06:41-0600',mode:absolute,to:'2017-10-28T14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204" t="str">
        <f>IF(AA89&lt;VLOOKUP(AG89,Variables!$AC$3:$AD$8,2,FALSE),"Y","N")</f>
        <v>N</v>
      </c>
      <c r="X89" s="204">
        <f t="shared" si="30"/>
        <v>1</v>
      </c>
      <c r="Y89" s="204">
        <f t="shared" si="35"/>
        <v>5.4899999999999997E-2</v>
      </c>
      <c r="Z89" s="204">
        <f t="shared" si="36"/>
        <v>23.322500000000002</v>
      </c>
      <c r="AA89" s="204">
        <f t="shared" si="37"/>
        <v>23.267600000000002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8"/>
        <v>177</v>
      </c>
      <c r="AE89" s="77" t="str">
        <f t="shared" si="39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89" s="74" t="str">
        <f t="shared" si="40"/>
        <v>"C:\Program Files (x86)\AstroGrep\AstroGrep.exe" /e /r /s /spath="%USERPROFILE%\AppData\Local\Temp\OnboardLogs" /stypes="app*4004*20171028*" /stext=" 19:.+((SYSTEM_STATE.+slice.+state.+changed )|(ment ac)|(multiple cpu faults)|(system.+state.+changed )|(\[timeout)|(PRM\|1\|D)|(kpr)|(kdp)|(train st.+moving)|(\|lc)|(penalty))"</v>
      </c>
      <c r="AG89" s="182" t="str">
        <f t="shared" si="41"/>
        <v>EC</v>
      </c>
      <c r="AH89" s="78" t="str">
        <f t="shared" si="42"/>
        <v>"%USERPROFILE%\Documents\GitHub\eaglep3\Utilities\RefineRTDCRunTimes.py" --tripid 177-28 --locoid 4004 --swversion DE.1.0.9.0 --startMP 204:549 --initTime 2017-10-28T13:06:41 --startdatetime 2017-10-28T13:15:18 --delay 140 --endMP 204:233225 --enddatetime 2017-10-28T13:52:45 --enforcementcount 0 &gt;&gt;%USERPROFILE%\Documents\GitHub\eaglep3-reporting\EC\2017-10-28-refined-times.txt</v>
      </c>
      <c r="AI89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{"issue":{"subject":"","project_id":79,"tracker_id":40,"status_id":1,"priority_id":2,"assigned_to_id":338,"start_date":"2017-10-28","description":"","custom_fields":[{"id":1,"name":"Subdivision","value":"EC"},{"id":4,"name":"Milepost","value":"23.3225"},{"id":17,"name":"Train ID","value":"177-28"},{"id":16,"name":"Locomotive ID","value":"4004"},{"id":130,"name":"Impact","value":""},{"id":150,"name":"Time of Event (Mountain Time)","value":"13:52:45"},{"id":151,"name":"Denver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4004 --day 2017-10-28</v>
      </c>
      <c r="AN89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6"/>
        <v>https://d0f6bd738d7f1b3e5a7ca70fe4ff75f0.us-east-1.aws.found.io/app/kibana#/discover/Steve-Slow-Train-Analysis-(2080s-and-2083s)?_g=(refreshInterval:(display:Off,pause:!f,section:0,value:0),time:(from:'2017-10-28T12:06:41-0600',mode:absolute,to:'2017-10-28T14:52:45-0600'))&amp;_a=(columns:!('Message%20ID',Summary),filters:!(),index:'emp_*',interval:auto,query:(query_string:(analyze_wildcard:!t,query:'%22rtdc.l.rtdc.4004%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779</v>
      </c>
      <c r="B90" s="7">
        <v>4003</v>
      </c>
      <c r="C90" s="21" t="s">
        <v>194</v>
      </c>
      <c r="D90" s="21" t="s">
        <v>899</v>
      </c>
      <c r="E90" s="13">
        <v>43036.580879629626</v>
      </c>
      <c r="F90" s="13">
        <v>43036.591932870368</v>
      </c>
      <c r="G90" s="7">
        <v>62</v>
      </c>
      <c r="H90" s="21" t="s">
        <v>944</v>
      </c>
      <c r="I90" s="13">
        <v>43036.619247685187</v>
      </c>
      <c r="J90" s="7">
        <v>0</v>
      </c>
      <c r="K90" s="89" t="str">
        <f t="shared" si="31"/>
        <v>4003/4004</v>
      </c>
      <c r="L90" s="185" t="str">
        <f>VLOOKUP(A90,'Trips&amp;Operators'!$C$1:$G$99911,5,FALSE)</f>
        <v>DAVIDSON DAVID</v>
      </c>
      <c r="M90" s="6">
        <f t="shared" si="32"/>
        <v>2.7314814818964805E-2</v>
      </c>
      <c r="N90" s="7">
        <f t="shared" si="47"/>
        <v>39.33333333930932</v>
      </c>
      <c r="O90" s="7"/>
      <c r="P90" s="7"/>
      <c r="Q90" s="22"/>
      <c r="R90" s="174"/>
      <c r="S90" s="221">
        <f t="shared" si="48"/>
        <v>1</v>
      </c>
      <c r="T90" s="174" t="str">
        <f t="shared" si="33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4"/>
        <v>https://d0f6bd738d7f1b3e5a7ca70fe4ff75f0.us-east-1.aws.found.io/app/kibana#/discover/Steve-Slow-Train-Analysis-(2080s-and-2083s)?_g=(refreshInterval:(display:Off,pause:!f,section:0,value:0),time:(from:'2017-10-28T12:56:28-0600',mode:absolute,to:'2017-10-28T15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0" s="204" t="str">
        <f>IF(AA90&lt;VLOOKUP(AG90,Variables!$AC$3:$AD$8,2,FALSE),"Y","N")</f>
        <v>N</v>
      </c>
      <c r="X90" s="204">
        <f t="shared" si="30"/>
        <v>1</v>
      </c>
      <c r="Y90" s="204">
        <f t="shared" si="35"/>
        <v>23.2911</v>
      </c>
      <c r="Z90" s="204">
        <f t="shared" si="36"/>
        <v>2.1399999999999999E-2</v>
      </c>
      <c r="AA90" s="204">
        <f t="shared" si="37"/>
        <v>23.2697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8"/>
        <v>178</v>
      </c>
      <c r="AE90" s="77" t="str">
        <f t="shared" si="39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90" s="74" t="str">
        <f t="shared" si="40"/>
        <v>"C:\Program Files (x86)\AstroGrep\AstroGrep.exe" /e /r /s /spath="%USERPROFILE%\AppData\Local\Temp\OnboardLogs" /stypes="app*4003*20171028*" /stext=" 20:.+((SYSTEM_STATE.+slice.+state.+changed )|(ment ac)|(multiple cpu faults)|(system.+state.+changed )|(\[timeout)|(PRM\|1\|D)|(kpr)|(kdp)|(train st.+moving)|(\|lc)|(penalty))"</v>
      </c>
      <c r="AG90" s="182" t="str">
        <f t="shared" si="41"/>
        <v>EC</v>
      </c>
      <c r="AH90" s="78" t="str">
        <f t="shared" si="42"/>
        <v>"%USERPROFILE%\Documents\GitHub\eaglep3\Utilities\RefineRTDCRunTimes.py" --tripid 178-28 --locoid 4003 --swversion DE.1.0.9.0 --startMP 204:232911 --initTime 2017-10-28T13:56:28 --startdatetime 2017-10-28T14:12:23 --delay 62 --endMP 204:214 --enddatetime 2017-10-28T14:51:43 --enforcementcount 0 &gt;&gt;%USERPROFILE%\Documents\GitHub\eaglep3-reporting\EC\2017-10-28-refined-times.txt</v>
      </c>
      <c r="AI90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{"issue":{"subject":"","project_id":79,"tracker_id":40,"status_id":1,"priority_id":2,"assigned_to_id":338,"start_date":"2017-10-28","description":"","custom_fields":[{"id":1,"name":"Subdivision","value":"EC"},{"id":4,"name":"Milepost","value":"0.0214"},{"id":17,"name":"Train ID","value":"178-28"},{"id":16,"name":"Locomotive ID","value":"4003"},{"id":130,"name":"Impact","value":""},{"id":150,"name":"Time of Event (Mountain Time)","value":"14:51:43"},{"id":151,"name":"Denver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4003 --day 2017-10-28</v>
      </c>
      <c r="AN90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6"/>
        <v>https://d0f6bd738d7f1b3e5a7ca70fe4ff75f0.us-east-1.aws.found.io/app/kibana#/discover/Steve-Slow-Train-Analysis-(2080s-and-2083s)?_g=(refreshInterval:(display:Off,pause:!f,section:0,value:0),time:(from:'2017-10-28T12:56:28-0600',mode:absolute,to:'2017-10-28T15:51:43-0600'))&amp;_a=(columns:!('Message%20ID',Summary),filters:!(),index:'emp_*',interval:auto,query:(query_string:(analyze_wildcard:!t,query:'%22rtdc.l.rtdc.4003%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774</v>
      </c>
      <c r="B91" s="7">
        <v>4010</v>
      </c>
      <c r="C91" s="21" t="s">
        <v>194</v>
      </c>
      <c r="D91" s="21" t="s">
        <v>529</v>
      </c>
      <c r="E91" s="13">
        <v>43036.557395833333</v>
      </c>
      <c r="F91" s="13">
        <v>43036.562800925924</v>
      </c>
      <c r="G91" s="7">
        <v>102</v>
      </c>
      <c r="H91" s="21" t="s">
        <v>946</v>
      </c>
      <c r="I91" s="13">
        <v>43036.58734953704</v>
      </c>
      <c r="J91" s="7">
        <v>0</v>
      </c>
      <c r="K91" s="89" t="str">
        <f t="shared" si="31"/>
        <v>4009/4010</v>
      </c>
      <c r="L91" s="185" t="str">
        <f>VLOOKUP(A91,'Trips&amp;Operators'!$C$1:$G$99911,5,FALSE)</f>
        <v>GUZMAN DANNY</v>
      </c>
      <c r="M91" s="6">
        <f t="shared" si="32"/>
        <v>2.4548611116188113E-2</v>
      </c>
      <c r="N91" s="7">
        <f t="shared" si="47"/>
        <v>35.350000007310882</v>
      </c>
      <c r="O91" s="7"/>
      <c r="P91" s="7"/>
      <c r="Q91" s="22"/>
      <c r="R91" s="174"/>
      <c r="S91" s="221">
        <f t="shared" si="48"/>
        <v>1</v>
      </c>
      <c r="T91" s="174" t="str">
        <f t="shared" si="33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4"/>
        <v>https://d0f6bd738d7f1b3e5a7ca70fe4ff75f0.us-east-1.aws.found.io/app/kibana#/discover/Steve-Slow-Train-Analysis-(2080s-and-2083s)?_g=(refreshInterval:(display:Off,pause:!f,section:0,value:0),time:(from:'2017-10-28T12:22:39-0600',mode:absolute,to:'2017-10-28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04" t="str">
        <f>IF(AA91&lt;VLOOKUP(AG91,Variables!$AC$3:$AD$8,2,FALSE),"Y","N")</f>
        <v>N</v>
      </c>
      <c r="X91" s="204">
        <f t="shared" si="30"/>
        <v>1</v>
      </c>
      <c r="Y91" s="204">
        <f t="shared" si="35"/>
        <v>5.2900000000000003E-2</v>
      </c>
      <c r="Z91" s="204">
        <f t="shared" si="36"/>
        <v>23.321100000000001</v>
      </c>
      <c r="AA91" s="204">
        <f t="shared" si="37"/>
        <v>23.2682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8"/>
        <v>179</v>
      </c>
      <c r="AE91" s="77" t="str">
        <f t="shared" si="39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91" s="74" t="str">
        <f t="shared" si="40"/>
        <v>"C:\Program Files (x86)\AstroGrep\AstroGrep.exe" /e /r /s /spath="%USERPROFILE%\AppData\Local\Temp\OnboardLogs" /stypes="app*4010*20171028*" /stext=" 20:.+((SYSTEM_STATE.+slice.+state.+changed )|(ment ac)|(multiple cpu faults)|(system.+state.+changed )|(\[timeout)|(PRM\|1\|D)|(kpr)|(kdp)|(train st.+moving)|(\|lc)|(penalty))"</v>
      </c>
      <c r="AG91" s="182" t="str">
        <f t="shared" si="41"/>
        <v>EC</v>
      </c>
      <c r="AH91" s="78" t="str">
        <f t="shared" si="42"/>
        <v>"%USERPROFILE%\Documents\GitHub\eaglep3\Utilities\RefineRTDCRunTimes.py" --tripid 179-28 --locoid 4010 --swversion DE.1.0.9.0 --startMP 204:529 --initTime 2017-10-28T13:22:39 --startdatetime 2017-10-28T13:30:26 --delay 102 --endMP 204:233211 --enddatetime 2017-10-28T14:05:47 --enforcementcount 0 &gt;&gt;%USERPROFILE%\Documents\GitHub\eaglep3-reporting\EC\2017-10-28-refined-times.txt</v>
      </c>
      <c r="AI91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{"issue":{"subject":"","project_id":79,"tracker_id":40,"status_id":1,"priority_id":2,"assigned_to_id":338,"start_date":"2017-10-28","description":"","custom_fields":[{"id":1,"name":"Subdivision","value":"EC"},{"id":4,"name":"Milepost","value":"23.3211"},{"id":17,"name":"Train ID","value":"179-28"},{"id":16,"name":"Locomotive ID","value":"4010"},{"id":130,"name":"Impact","value":""},{"id":150,"name":"Time of Event (Mountain Time)","value":"14:05:47"},{"id":151,"name":"Denver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4010 --day 2017-10-28</v>
      </c>
      <c r="AN91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6"/>
        <v>https://d0f6bd738d7f1b3e5a7ca70fe4ff75f0.us-east-1.aws.found.io/app/kibana#/discover/Steve-Slow-Train-Analysis-(2080s-and-2083s)?_g=(refreshInterval:(display:Off,pause:!f,section:0,value:0),time:(from:'2017-10-28T12:22:39-0600',mode:absolute,to:'2017-10-28T15:05:47-0600'))&amp;_a=(columns:!('Message%20ID',Summary),filters:!(),index:'emp_*',interval:auto,query:(query_string:(analyze_wildcard:!t,query:'%22rtdc.l.rtdc.4010%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782</v>
      </c>
      <c r="B92" s="7">
        <v>4009</v>
      </c>
      <c r="C92" s="21" t="s">
        <v>194</v>
      </c>
      <c r="D92" s="21" t="s">
        <v>576</v>
      </c>
      <c r="E92" s="13">
        <v>43036.58898148148</v>
      </c>
      <c r="F92" s="13">
        <v>43036.602256944447</v>
      </c>
      <c r="G92" s="7">
        <v>48</v>
      </c>
      <c r="H92" s="21" t="s">
        <v>947</v>
      </c>
      <c r="I92" s="13">
        <v>43036.627858796295</v>
      </c>
      <c r="J92" s="7">
        <v>0</v>
      </c>
      <c r="K92" s="89" t="str">
        <f t="shared" si="31"/>
        <v>4009/4010</v>
      </c>
      <c r="L92" s="185" t="str">
        <f>VLOOKUP(A92,'Trips&amp;Operators'!$C$1:$G$99911,5,FALSE)</f>
        <v>GUZMAN DANNY</v>
      </c>
      <c r="M92" s="6">
        <f t="shared" si="32"/>
        <v>2.5601851848477963E-2</v>
      </c>
      <c r="N92" s="7">
        <f t="shared" si="47"/>
        <v>36.866666661808267</v>
      </c>
      <c r="O92" s="7"/>
      <c r="P92" s="7"/>
      <c r="Q92" s="22"/>
      <c r="R92" s="174"/>
      <c r="S92" s="221">
        <f t="shared" si="48"/>
        <v>1</v>
      </c>
      <c r="T92" s="174" t="str">
        <f t="shared" si="33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4"/>
        <v>https://d0f6bd738d7f1b3e5a7ca70fe4ff75f0.us-east-1.aws.found.io/app/kibana#/discover/Steve-Slow-Train-Analysis-(2080s-and-2083s)?_g=(refreshInterval:(display:Off,pause:!f,section:0,value:0),time:(from:'2017-10-28T13:08:08-0600',mode:absolute,to:'2017-10-28T16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04" t="str">
        <f>IF(AA92&lt;VLOOKUP(AG92,Variables!$AC$3:$AD$8,2,FALSE),"Y","N")</f>
        <v>N</v>
      </c>
      <c r="X92" s="204">
        <f t="shared" si="30"/>
        <v>1</v>
      </c>
      <c r="Y92" s="204">
        <f t="shared" si="35"/>
        <v>23.290400000000002</v>
      </c>
      <c r="Z92" s="204">
        <f t="shared" si="36"/>
        <v>2.5600000000000001E-2</v>
      </c>
      <c r="AA92" s="204">
        <f t="shared" si="37"/>
        <v>23.264800000000001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8"/>
        <v>180</v>
      </c>
      <c r="AE92" s="77" t="str">
        <f t="shared" si="39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92" s="74" t="str">
        <f t="shared" si="40"/>
        <v>"C:\Program Files (x86)\AstroGrep\AstroGrep.exe" /e /r /s /spath="%USERPROFILE%\AppData\Local\Temp\OnboardLogs" /stypes="app*4009*20171028*" /stext=" 21:.+((SYSTEM_STATE.+slice.+state.+changed )|(ment ac)|(multiple cpu faults)|(system.+state.+changed )|(\[timeout)|(PRM\|1\|D)|(kpr)|(kdp)|(train st.+moving)|(\|lc)|(penalty))"</v>
      </c>
      <c r="AG92" s="182" t="str">
        <f t="shared" si="41"/>
        <v>EC</v>
      </c>
      <c r="AH92" s="78" t="str">
        <f t="shared" si="42"/>
        <v>"%USERPROFILE%\Documents\GitHub\eaglep3\Utilities\RefineRTDCRunTimes.py" --tripid 180-28 --locoid 4009 --swversion DE.1.0.9.0 --startMP 204:232904 --initTime 2017-10-28T14:08:08 --startdatetime 2017-10-28T14:27:15 --delay 48 --endMP 204:256 --enddatetime 2017-10-28T15:04:07 --enforcementcount 0 &gt;&gt;%USERPROFILE%\Documents\GitHub\eaglep3-reporting\EC\2017-10-28-refined-times.txt</v>
      </c>
      <c r="AI92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{"issue":{"subject":"","project_id":79,"tracker_id":40,"status_id":1,"priority_id":2,"assigned_to_id":338,"start_date":"2017-10-28","description":"","custom_fields":[{"id":1,"name":"Subdivision","value":"EC"},{"id":4,"name":"Milepost","value":"0.0256"},{"id":17,"name":"Train ID","value":"180-28"},{"id":16,"name":"Locomotive ID","value":"4009"},{"id":130,"name":"Impact","value":""},{"id":150,"name":"Time of Event (Mountain Time)","value":"15:04:07"},{"id":151,"name":"Denver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4009 --day 2017-10-28</v>
      </c>
      <c r="AN92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6"/>
        <v>https://d0f6bd738d7f1b3e5a7ca70fe4ff75f0.us-east-1.aws.found.io/app/kibana#/discover/Steve-Slow-Train-Analysis-(2080s-and-2083s)?_g=(refreshInterval:(display:Off,pause:!f,section:0,value:0),time:(from:'2017-10-28T13:08:08-0600',mode:absolute,to:'2017-10-28T16:04:07-0600'))&amp;_a=(columns:!('Message%20ID',Summary),filters:!(),index:'emp_*',interval:auto,query:(query_string:(analyze_wildcard:!t,query:'%22rtdc.l.rtdc.4009%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776</v>
      </c>
      <c r="B93" s="7">
        <v>4042</v>
      </c>
      <c r="C93" s="21" t="s">
        <v>194</v>
      </c>
      <c r="D93" s="21" t="s">
        <v>963</v>
      </c>
      <c r="E93" s="13">
        <v>43036.569675925923</v>
      </c>
      <c r="F93" s="13">
        <v>43036.573078703703</v>
      </c>
      <c r="G93" s="7">
        <v>59</v>
      </c>
      <c r="H93" s="21" t="s">
        <v>964</v>
      </c>
      <c r="I93" s="13">
        <v>43036.598530092589</v>
      </c>
      <c r="J93" s="7">
        <v>0</v>
      </c>
      <c r="K93" s="89" t="str">
        <f t="shared" si="31"/>
        <v>4041/4042</v>
      </c>
      <c r="L93" s="185" t="str">
        <f>VLOOKUP(A93,'Trips&amp;Operators'!$C$1:$G$99911,5,FALSE)</f>
        <v>BADERTSCHER DIANE</v>
      </c>
      <c r="M93" s="6">
        <f t="shared" si="32"/>
        <v>2.545138888672227E-2</v>
      </c>
      <c r="N93" s="7">
        <f t="shared" si="47"/>
        <v>36.649999996880069</v>
      </c>
      <c r="O93" s="7"/>
      <c r="P93" s="7"/>
      <c r="Q93" s="22"/>
      <c r="R93" s="174"/>
      <c r="S93" s="221">
        <f t="shared" si="48"/>
        <v>1</v>
      </c>
      <c r="T93" s="174" t="str">
        <f t="shared" si="33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4"/>
        <v>https://d0f6bd738d7f1b3e5a7ca70fe4ff75f0.us-east-1.aws.found.io/app/kibana#/discover/Steve-Slow-Train-Analysis-(2080s-and-2083s)?_g=(refreshInterval:(display:Off,pause:!f,section:0,value:0),time:(from:'2017-10-28T12:40:20-0600',mode:absolute,to:'2017-10-28T15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04" t="str">
        <f>IF(AA93&lt;VLOOKUP(AG93,Variables!$AC$3:$AD$8,2,FALSE),"Y","N")</f>
        <v>N</v>
      </c>
      <c r="X93" s="204">
        <f t="shared" si="30"/>
        <v>1</v>
      </c>
      <c r="Y93" s="204">
        <f t="shared" si="35"/>
        <v>5.1299999999999998E-2</v>
      </c>
      <c r="Z93" s="204">
        <f t="shared" si="36"/>
        <v>23.323399999999999</v>
      </c>
      <c r="AA93" s="204">
        <f t="shared" si="37"/>
        <v>23.272099999999998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8"/>
        <v>181</v>
      </c>
      <c r="AE93" s="77" t="str">
        <f t="shared" si="39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93" s="74" t="str">
        <f t="shared" si="40"/>
        <v>"C:\Program Files (x86)\AstroGrep\AstroGrep.exe" /e /r /s /spath="%USERPROFILE%\AppData\Local\Temp\OnboardLogs" /stypes="app*4042*20171028*" /stext=" 20:.+((SYSTEM_STATE.+slice.+state.+changed )|(ment ac)|(multiple cpu faults)|(system.+state.+changed )|(\[timeout)|(PRM\|1\|D)|(kpr)|(kdp)|(train st.+moving)|(\|lc)|(penalty))"</v>
      </c>
      <c r="AG93" s="182" t="str">
        <f t="shared" si="41"/>
        <v>EC</v>
      </c>
      <c r="AH93" s="78" t="str">
        <f t="shared" si="42"/>
        <v>"%USERPROFILE%\Documents\GitHub\eaglep3\Utilities\RefineRTDCRunTimes.py" --tripid 181-28 --locoid 4042 --swversion DE.1.0.9.0 --startMP 204:513 --initTime 2017-10-28T13:40:20 --startdatetime 2017-10-28T13:45:14 --delay 59 --endMP 204:233234 --enddatetime 2017-10-28T14:21:53 --enforcementcount 0 &gt;&gt;%USERPROFILE%\Documents\GitHub\eaglep3-reporting\EC\2017-10-28-refined-times.txt</v>
      </c>
      <c r="AI93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{"issue":{"subject":"","project_id":79,"tracker_id":40,"status_id":1,"priority_id":2,"assigned_to_id":338,"start_date":"2017-10-28","description":"","custom_fields":[{"id":1,"name":"Subdivision","value":"EC"},{"id":4,"name":"Milepost","value":"23.3234"},{"id":17,"name":"Train ID","value":"181-28"},{"id":16,"name":"Locomotive ID","value":"4042"},{"id":130,"name":"Impact","value":""},{"id":150,"name":"Time of Event (Mountain Time)","value":"14:21:53"},{"id":151,"name":"Denver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4042 --day 2017-10-28</v>
      </c>
      <c r="AN93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6"/>
        <v>https://d0f6bd738d7f1b3e5a7ca70fe4ff75f0.us-east-1.aws.found.io/app/kibana#/discover/Steve-Slow-Train-Analysis-(2080s-and-2083s)?_g=(refreshInterval:(display:Off,pause:!f,section:0,value:0),time:(from:'2017-10-28T12:40:20-0600',mode:absolute,to:'2017-10-28T15:21:53-0600'))&amp;_a=(columns:!('Message%20ID',Summary),filters:!(),index:'emp_*',interval:auto,query:(query_string:(analyze_wildcard:!t,query:'%22rtdc.l.rtdc.4042%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785</v>
      </c>
      <c r="B94" s="7">
        <v>4041</v>
      </c>
      <c r="C94" s="21" t="s">
        <v>194</v>
      </c>
      <c r="D94" s="21" t="s">
        <v>979</v>
      </c>
      <c r="E94" s="13">
        <v>43036.606956018521</v>
      </c>
      <c r="F94" s="13">
        <v>43036.612685185188</v>
      </c>
      <c r="G94" s="7">
        <v>74</v>
      </c>
      <c r="H94" s="21" t="s">
        <v>944</v>
      </c>
      <c r="I94" s="13">
        <v>43036.639502314814</v>
      </c>
      <c r="J94" s="7">
        <v>0</v>
      </c>
      <c r="K94" s="89" t="str">
        <f t="shared" si="31"/>
        <v>4041/4042</v>
      </c>
      <c r="L94" s="185" t="str">
        <f>VLOOKUP(A94,'Trips&amp;Operators'!$C$1:$G$99911,5,FALSE)</f>
        <v>BADERTSCHER DIANE</v>
      </c>
      <c r="M94" s="6">
        <f t="shared" si="32"/>
        <v>2.6817129626579117E-2</v>
      </c>
      <c r="N94" s="7">
        <f t="shared" si="47"/>
        <v>38.616666662273929</v>
      </c>
      <c r="O94" s="7"/>
      <c r="P94" s="7"/>
      <c r="Q94" s="22"/>
      <c r="R94" s="174"/>
      <c r="S94" s="221">
        <f t="shared" si="48"/>
        <v>1</v>
      </c>
      <c r="T94" s="174" t="str">
        <f t="shared" si="33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4"/>
        <v>https://d0f6bd738d7f1b3e5a7ca70fe4ff75f0.us-east-1.aws.found.io/app/kibana#/discover/Steve-Slow-Train-Analysis-(2080s-and-2083s)?_g=(refreshInterval:(display:Off,pause:!f,section:0,value:0),time:(from:'2017-10-28T13:34:01-0600',mode:absolute,to:'2017-10-28T16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04" t="str">
        <f>IF(AA94&lt;VLOOKUP(AG94,Variables!$AC$3:$AD$8,2,FALSE),"Y","N")</f>
        <v>N</v>
      </c>
      <c r="X94" s="204">
        <f t="shared" si="30"/>
        <v>1</v>
      </c>
      <c r="Y94" s="204">
        <f t="shared" si="35"/>
        <v>23.292999999999999</v>
      </c>
      <c r="Z94" s="204">
        <f t="shared" si="36"/>
        <v>2.1399999999999999E-2</v>
      </c>
      <c r="AA94" s="204">
        <f t="shared" si="37"/>
        <v>23.271599999999999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8"/>
        <v>182</v>
      </c>
      <c r="AE94" s="77" t="str">
        <f t="shared" si="39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94" s="74" t="str">
        <f t="shared" si="40"/>
        <v>"C:\Program Files (x86)\AstroGrep\AstroGrep.exe" /e /r /s /spath="%USERPROFILE%\AppData\Local\Temp\OnboardLogs" /stypes="app*4041*20171028*" /stext=" 21:.+((SYSTEM_STATE.+slice.+state.+changed )|(ment ac)|(multiple cpu faults)|(system.+state.+changed )|(\[timeout)|(PRM\|1\|D)|(kpr)|(kdp)|(train st.+moving)|(\|lc)|(penalty))"</v>
      </c>
      <c r="AG94" s="182" t="str">
        <f t="shared" si="41"/>
        <v>EC</v>
      </c>
      <c r="AH94" s="78" t="str">
        <f t="shared" si="42"/>
        <v>"%USERPROFILE%\Documents\GitHub\eaglep3\Utilities\RefineRTDCRunTimes.py" --tripid 182-28 --locoid 4041 --swversion DE.1.0.9.0 --startMP 204:232930 --initTime 2017-10-28T14:34:01 --startdatetime 2017-10-28T14:42:16 --delay 74 --endMP 204:214 --enddatetime 2017-10-28T15:20:53 --enforcementcount 0 &gt;&gt;%USERPROFILE%\Documents\GitHub\eaglep3-reporting\EC\2017-10-28-refined-times.txt</v>
      </c>
      <c r="AI94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{"issue":{"subject":"","project_id":79,"tracker_id":40,"status_id":1,"priority_id":2,"assigned_to_id":338,"start_date":"2017-10-28","description":"","custom_fields":[{"id":1,"name":"Subdivision","value":"EC"},{"id":4,"name":"Milepost","value":"0.0214"},{"id":17,"name":"Train ID","value":"182-28"},{"id":16,"name":"Locomotive ID","value":"4041"},{"id":130,"name":"Impact","value":""},{"id":150,"name":"Time of Event (Mountain Time)","value":"15:20:53"},{"id":151,"name":"Denver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4041 --day 2017-10-28</v>
      </c>
      <c r="AN94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6"/>
        <v>https://d0f6bd738d7f1b3e5a7ca70fe4ff75f0.us-east-1.aws.found.io/app/kibana#/discover/Steve-Slow-Train-Analysis-(2080s-and-2083s)?_g=(refreshInterval:(display:Off,pause:!f,section:0,value:0),time:(from:'2017-10-28T13:34:01-0600',mode:absolute,to:'2017-10-28T16:20:53-0600'))&amp;_a=(columns:!('Message%20ID',Summary),filters:!(),index:'emp_*',interval:auto,query:(query_string:(analyze_wildcard:!t,query:'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778</v>
      </c>
      <c r="B95" s="7">
        <v>4032</v>
      </c>
      <c r="C95" s="21" t="s">
        <v>194</v>
      </c>
      <c r="D95" s="21" t="s">
        <v>990</v>
      </c>
      <c r="E95" s="13">
        <v>43036.580324074072</v>
      </c>
      <c r="F95" s="13">
        <v>43036.583518518521</v>
      </c>
      <c r="G95" s="7">
        <v>58</v>
      </c>
      <c r="H95" s="21" t="s">
        <v>991</v>
      </c>
      <c r="I95" s="13">
        <v>43036.608912037038</v>
      </c>
      <c r="J95" s="7">
        <v>0</v>
      </c>
      <c r="K95" s="89" t="str">
        <f t="shared" si="31"/>
        <v>4031/4032</v>
      </c>
      <c r="L95" s="185" t="str">
        <f>VLOOKUP(A95,'Trips&amp;Operators'!$C$1:$G$99911,5,FALSE)</f>
        <v>BERLING GARY</v>
      </c>
      <c r="M95" s="6">
        <f t="shared" si="32"/>
        <v>2.5393518517375924E-2</v>
      </c>
      <c r="N95" s="7">
        <f t="shared" si="47"/>
        <v>36.56666666502133</v>
      </c>
      <c r="O95" s="7"/>
      <c r="P95" s="7"/>
      <c r="Q95" s="22"/>
      <c r="R95" s="174"/>
      <c r="S95" s="221">
        <f t="shared" si="48"/>
        <v>1</v>
      </c>
      <c r="T95" s="174" t="str">
        <f t="shared" si="33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4"/>
        <v>https://d0f6bd738d7f1b3e5a7ca70fe4ff75f0.us-east-1.aws.found.io/app/kibana#/discover/Steve-Slow-Train-Analysis-(2080s-and-2083s)?_g=(refreshInterval:(display:Off,pause:!f,section:0,value:0),time:(from:'2017-10-28T12:55:40-0600',mode:absolute,to:'2017-10-28T15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5" s="204" t="str">
        <f>IF(AA95&lt;VLOOKUP(AG95,Variables!$AC$3:$AD$8,2,FALSE),"Y","N")</f>
        <v>N</v>
      </c>
      <c r="X95" s="204">
        <f t="shared" si="30"/>
        <v>1</v>
      </c>
      <c r="Y95" s="204">
        <f t="shared" si="35"/>
        <v>6.3500000000000001E-2</v>
      </c>
      <c r="Z95" s="204">
        <f t="shared" si="36"/>
        <v>23.325500000000002</v>
      </c>
      <c r="AA95" s="204">
        <f t="shared" si="37"/>
        <v>23.262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8"/>
        <v>183</v>
      </c>
      <c r="AE95" s="77" t="str">
        <f t="shared" si="39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95" s="74" t="str">
        <f t="shared" si="40"/>
        <v>"C:\Program Files (x86)\AstroGrep\AstroGrep.exe" /e /r /s /spath="%USERPROFILE%\AppData\Local\Temp\OnboardLogs" /stypes="app*4032*20171028*" /stext=" 20:.+((SYSTEM_STATE.+slice.+state.+changed )|(ment ac)|(multiple cpu faults)|(system.+state.+changed )|(\[timeout)|(PRM\|1\|D)|(kpr)|(kdp)|(train st.+moving)|(\|lc)|(penalty))"</v>
      </c>
      <c r="AG95" s="182" t="str">
        <f t="shared" si="41"/>
        <v>EC</v>
      </c>
      <c r="AH95" s="78" t="str">
        <f t="shared" si="42"/>
        <v>"%USERPROFILE%\Documents\GitHub\eaglep3\Utilities\RefineRTDCRunTimes.py" --tripid 183-28 --locoid 4032 --swversion DE.1.0.9.0 --startMP 204:635 --initTime 2017-10-28T13:55:40 --startdatetime 2017-10-28T14:00:16 --delay 58 --endMP 204:233255 --enddatetime 2017-10-28T14:36:50 --enforcementcount 0 &gt;&gt;%USERPROFILE%\Documents\GitHub\eaglep3-reporting\EC\2017-10-28-refined-times.txt</v>
      </c>
      <c r="AI95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{"issue":{"subject":"","project_id":79,"tracker_id":40,"status_id":1,"priority_id":2,"assigned_to_id":338,"start_date":"2017-10-28","description":"","custom_fields":[{"id":1,"name":"Subdivision","value":"EC"},{"id":4,"name":"Milepost","value":"23.3255"},{"id":17,"name":"Train ID","value":"183-28"},{"id":16,"name":"Locomotive ID","value":"4032"},{"id":130,"name":"Impact","value":""},{"id":150,"name":"Time of Event (Mountain Time)","value":"14:36:50"},{"id":151,"name":"Denver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4"/>
        <v>start /low /b %USERPROFILE%\Documents\GitHub\eaglep3\Utilities\DownloadLogsFromS3.py --loco 4032 --day 2017-10-28</v>
      </c>
      <c r="AN95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6"/>
        <v>https://d0f6bd738d7f1b3e5a7ca70fe4ff75f0.us-east-1.aws.found.io/app/kibana#/discover/Steve-Slow-Train-Analysis-(2080s-and-2083s)?_g=(refreshInterval:(display:Off,pause:!f,section:0,value:0),time:(from:'2017-10-28T12:55:40-0600',mode:absolute,to:'2017-10-28T15:36:50-0600'))&amp;_a=(columns:!('Message%20ID',Summary),filters:!(),index:'emp_*',interval:auto,query:(query_string:(analyze_wildcard:!t,query:'%22rtdc.l.rtdc.4032%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787</v>
      </c>
      <c r="B96" s="7">
        <v>4031</v>
      </c>
      <c r="C96" s="21" t="s">
        <v>194</v>
      </c>
      <c r="D96" s="21" t="s">
        <v>519</v>
      </c>
      <c r="E96" s="13">
        <v>43036.616608796299</v>
      </c>
      <c r="F96" s="13">
        <v>43036.623101851852</v>
      </c>
      <c r="G96" s="7">
        <v>55</v>
      </c>
      <c r="H96" s="21" t="s">
        <v>944</v>
      </c>
      <c r="I96" s="13">
        <v>43036.650497685187</v>
      </c>
      <c r="J96" s="7">
        <v>0</v>
      </c>
      <c r="K96" s="89" t="str">
        <f t="shared" si="31"/>
        <v>4031/4032</v>
      </c>
      <c r="L96" s="185" t="str">
        <f>VLOOKUP(A96,'Trips&amp;Operators'!$C$1:$G$99911,5,FALSE)</f>
        <v>BERLING GARY</v>
      </c>
      <c r="M96" s="6">
        <f t="shared" si="32"/>
        <v>2.7395833334594499E-2</v>
      </c>
      <c r="N96" s="7">
        <f t="shared" si="47"/>
        <v>39.450000001816079</v>
      </c>
      <c r="O96" s="7"/>
      <c r="P96" s="7"/>
      <c r="Q96" s="22"/>
      <c r="R96" s="174"/>
      <c r="S96" s="221">
        <f t="shared" si="48"/>
        <v>1</v>
      </c>
      <c r="T96" s="174" t="str">
        <f t="shared" si="33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4"/>
        <v>https://d0f6bd738d7f1b3e5a7ca70fe4ff75f0.us-east-1.aws.found.io/app/kibana#/discover/Steve-Slow-Train-Analysis-(2080s-and-2083s)?_g=(refreshInterval:(display:Off,pause:!f,section:0,value:0),time:(from:'2017-10-28T13:47:55-0600',mode:absolute,to:'2017-10-28T16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6" s="204" t="str">
        <f>IF(AA96&lt;VLOOKUP(AG96,Variables!$AC$3:$AD$8,2,FALSE),"Y","N")</f>
        <v>N</v>
      </c>
      <c r="X96" s="204">
        <f t="shared" si="30"/>
        <v>1</v>
      </c>
      <c r="Y96" s="204">
        <f t="shared" si="35"/>
        <v>23.293800000000001</v>
      </c>
      <c r="Z96" s="204">
        <f t="shared" si="36"/>
        <v>2.1399999999999999E-2</v>
      </c>
      <c r="AA96" s="204">
        <f t="shared" si="37"/>
        <v>23.272400000000001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8"/>
        <v>184</v>
      </c>
      <c r="AE96" s="77" t="str">
        <f t="shared" si="39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96" s="74" t="str">
        <f t="shared" si="40"/>
        <v>"C:\Program Files (x86)\AstroGrep\AstroGrep.exe" /e /r /s /spath="%USERPROFILE%\AppData\Local\Temp\OnboardLogs" /stypes="app*4031*20171028*" /stext=" 21:.+((SYSTEM_STATE.+slice.+state.+changed )|(ment ac)|(multiple cpu faults)|(system.+state.+changed )|(\[timeout)|(PRM\|1\|D)|(kpr)|(kdp)|(train st.+moving)|(\|lc)|(penalty))"</v>
      </c>
      <c r="AG96" s="182" t="str">
        <f t="shared" si="41"/>
        <v>EC</v>
      </c>
      <c r="AH96" s="78" t="str">
        <f t="shared" si="42"/>
        <v>"%USERPROFILE%\Documents\GitHub\eaglep3\Utilities\RefineRTDCRunTimes.py" --tripid 184-28 --locoid 4031 --swversion DE.1.0.9.0 --startMP 204:232938 --initTime 2017-10-28T14:47:55 --startdatetime 2017-10-28T14:57:16 --delay 55 --endMP 204:214 --enddatetime 2017-10-28T15:36:43 --enforcementcount 0 &gt;&gt;%USERPROFILE%\Documents\GitHub\eaglep3-reporting\EC\2017-10-28-refined-times.txt</v>
      </c>
      <c r="AI96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{"issue":{"subject":"","project_id":79,"tracker_id":40,"status_id":1,"priority_id":2,"assigned_to_id":338,"start_date":"2017-10-28","description":"","custom_fields":[{"id":1,"name":"Subdivision","value":"EC"},{"id":4,"name":"Milepost","value":"0.0214"},{"id":17,"name":"Train ID","value":"184-28"},{"id":16,"name":"Locomotive ID","value":"4031"},{"id":130,"name":"Impact","value":""},{"id":150,"name":"Time of Event (Mountain Time)","value":"15:36:43"},{"id":151,"name":"Denver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4"/>
        <v>start /low /b %USERPROFILE%\Documents\GitHub\eaglep3\Utilities\DownloadLogsFromS3.py --loco 4031 --day 2017-10-28</v>
      </c>
      <c r="AN96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6"/>
        <v>https://d0f6bd738d7f1b3e5a7ca70fe4ff75f0.us-east-1.aws.found.io/app/kibana#/discover/Steve-Slow-Train-Analysis-(2080s-and-2083s)?_g=(refreshInterval:(display:Off,pause:!f,section:0,value:0),time:(from:'2017-10-28T13:47:55-0600',mode:absolute,to:'2017-10-28T16:36:43-0600'))&amp;_a=(columns:!('Message%20ID',Summary),filters:!(),index:'emp_*',interval:auto,query:(query_string:(analyze_wildcard:!t,query:'%22rtdc.l.rtdc.4031%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783</v>
      </c>
      <c r="B97" s="7">
        <v>4024</v>
      </c>
      <c r="C97" s="21" t="s">
        <v>194</v>
      </c>
      <c r="D97" s="21" t="s">
        <v>1000</v>
      </c>
      <c r="E97" s="13">
        <v>43036.591550925928</v>
      </c>
      <c r="F97" s="13">
        <v>43036.593923611108</v>
      </c>
      <c r="G97" s="7">
        <v>61</v>
      </c>
      <c r="H97" s="21" t="s">
        <v>928</v>
      </c>
      <c r="I97" s="13">
        <v>43036.61859953704</v>
      </c>
      <c r="J97" s="7">
        <v>0</v>
      </c>
      <c r="K97" s="89" t="str">
        <f t="shared" si="31"/>
        <v>4023/4024</v>
      </c>
      <c r="L97" s="185" t="str">
        <f>VLOOKUP(A97,'Trips&amp;Operators'!$C$1:$G$99911,5,FALSE)</f>
        <v>BRUDER RICHARD</v>
      </c>
      <c r="M97" s="6">
        <f t="shared" si="32"/>
        <v>2.4675925931660458E-2</v>
      </c>
      <c r="N97" s="7">
        <f t="shared" si="47"/>
        <v>35.53333334159106</v>
      </c>
      <c r="O97" s="7"/>
      <c r="P97" s="7"/>
      <c r="Q97" s="22"/>
      <c r="R97" s="174"/>
      <c r="S97" s="221">
        <f t="shared" si="48"/>
        <v>1</v>
      </c>
      <c r="T97" s="174" t="str">
        <f t="shared" si="33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4"/>
        <v>https://d0f6bd738d7f1b3e5a7ca70fe4ff75f0.us-east-1.aws.found.io/app/kibana#/discover/Steve-Slow-Train-Analysis-(2080s-and-2083s)?_g=(refreshInterval:(display:Off,pause:!f,section:0,value:0),time:(from:'2017-10-28T13:11:50-0600',mode:absolute,to:'2017-10-28T15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7" s="204" t="str">
        <f>IF(AA97&lt;VLOOKUP(AG97,Variables!$AC$3:$AD$8,2,FALSE),"Y","N")</f>
        <v>N</v>
      </c>
      <c r="X97" s="204">
        <f t="shared" si="30"/>
        <v>1</v>
      </c>
      <c r="Y97" s="204">
        <f t="shared" si="35"/>
        <v>5.2600000000000001E-2</v>
      </c>
      <c r="Z97" s="204">
        <f t="shared" si="36"/>
        <v>23.322099999999999</v>
      </c>
      <c r="AA97" s="204">
        <f t="shared" si="37"/>
        <v>23.269499999999997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8"/>
        <v>185</v>
      </c>
      <c r="AE97" s="77" t="str">
        <f t="shared" si="39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97" s="74" t="str">
        <f t="shared" si="40"/>
        <v>"C:\Program Files (x86)\AstroGrep\AstroGrep.exe" /e /r /s /spath="%USERPROFILE%\AppData\Local\Temp\OnboardLogs" /stypes="app*4024*20171028*" /stext=" 20:.+((SYSTEM_STATE.+slice.+state.+changed )|(ment ac)|(multiple cpu faults)|(system.+state.+changed )|(\[timeout)|(PRM\|1\|D)|(kpr)|(kdp)|(train st.+moving)|(\|lc)|(penalty))"</v>
      </c>
      <c r="AG97" s="182" t="str">
        <f t="shared" si="41"/>
        <v>EC</v>
      </c>
      <c r="AH97" s="78" t="str">
        <f t="shared" si="42"/>
        <v>"%USERPROFILE%\Documents\GitHub\eaglep3\Utilities\RefineRTDCRunTimes.py" --tripid 185-28 --locoid 4024 --swversion DE.1.0.9.0 --startMP 204:526 --initTime 2017-10-28T14:11:50 --startdatetime 2017-10-28T14:15:15 --delay 61 --endMP 204:233221 --enddatetime 2017-10-28T14:50:47 --enforcementcount 0 &gt;&gt;%USERPROFILE%\Documents\GitHub\eaglep3-reporting\EC\2017-10-28-refined-times.txt</v>
      </c>
      <c r="AI97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{"issue":{"subject":"","project_id":79,"tracker_id":40,"status_id":1,"priority_id":2,"assigned_to_id":338,"start_date":"2017-10-28","description":"","custom_fields":[{"id":1,"name":"Subdivision","value":"EC"},{"id":4,"name":"Milepost","value":"23.3221"},{"id":17,"name":"Train ID","value":"185-28"},{"id":16,"name":"Locomotive ID","value":"4024"},{"id":130,"name":"Impact","value":""},{"id":150,"name":"Time of Event (Mountain Time)","value":"14:50:47"},{"id":151,"name":"Denver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4"/>
        <v>start /low /b %USERPROFILE%\Documents\GitHub\eaglep3\Utilities\DownloadLogsFromS3.py --loco 4024 --day 2017-10-28</v>
      </c>
      <c r="AN97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6"/>
        <v>https://d0f6bd738d7f1b3e5a7ca70fe4ff75f0.us-east-1.aws.found.io/app/kibana#/discover/Steve-Slow-Train-Analysis-(2080s-and-2083s)?_g=(refreshInterval:(display:Off,pause:!f,section:0,value:0),time:(from:'2017-10-28T13:11:50-0600',mode:absolute,to:'2017-10-28T15:50:47-0600'))&amp;_a=(columns:!('Message%20ID',Summary),filters:!(),index:'emp_*',interval:auto,query:(query_string:(analyze_wildcard:!t,query:'%22rtdc.l.rtdc.4024%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792</v>
      </c>
      <c r="B98" s="7">
        <v>4023</v>
      </c>
      <c r="C98" s="21" t="s">
        <v>194</v>
      </c>
      <c r="D98" s="21" t="s">
        <v>1001</v>
      </c>
      <c r="E98" s="13">
        <v>43036.629976851851</v>
      </c>
      <c r="F98" s="13">
        <v>43036.633645833332</v>
      </c>
      <c r="G98" s="7">
        <v>55</v>
      </c>
      <c r="H98" s="21" t="s">
        <v>592</v>
      </c>
      <c r="I98" s="13">
        <v>43036.660231481481</v>
      </c>
      <c r="J98" s="7">
        <v>0</v>
      </c>
      <c r="K98" s="89" t="str">
        <f t="shared" si="31"/>
        <v>4023/4024</v>
      </c>
      <c r="L98" s="185" t="str">
        <f>VLOOKUP(A98,'Trips&amp;Operators'!$C$1:$G$99911,5,FALSE)</f>
        <v>BRUDER RICHARD</v>
      </c>
      <c r="M98" s="6">
        <f t="shared" si="32"/>
        <v>2.658564814919373E-2</v>
      </c>
      <c r="N98" s="7">
        <f t="shared" si="47"/>
        <v>38.283333334838971</v>
      </c>
      <c r="O98" s="7"/>
      <c r="P98" s="7"/>
      <c r="Q98" s="22"/>
      <c r="R98" s="174"/>
      <c r="S98" s="221">
        <f t="shared" si="48"/>
        <v>1</v>
      </c>
      <c r="T98" s="174" t="str">
        <f t="shared" si="33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4"/>
        <v>https://d0f6bd738d7f1b3e5a7ca70fe4ff75f0.us-east-1.aws.found.io/app/kibana#/discover/Steve-Slow-Train-Analysis-(2080s-and-2083s)?_g=(refreshInterval:(display:Off,pause:!f,section:0,value:0),time:(from:'2017-10-28T14:07:10-0600',mode:absolute,to:'2017-10-28T16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8" s="204" t="str">
        <f>IF(AA98&lt;VLOOKUP(AG98,Variables!$AC$3:$AD$8,2,FALSE),"Y","N")</f>
        <v>N</v>
      </c>
      <c r="X98" s="204">
        <f t="shared" si="30"/>
        <v>1</v>
      </c>
      <c r="Y98" s="204">
        <f t="shared" si="35"/>
        <v>23.290800000000001</v>
      </c>
      <c r="Z98" s="204">
        <f t="shared" si="36"/>
        <v>2.3099999999999999E-2</v>
      </c>
      <c r="AA98" s="204">
        <f t="shared" si="37"/>
        <v>23.267700000000001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8"/>
        <v>186</v>
      </c>
      <c r="AE98" s="77" t="str">
        <f t="shared" si="39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98" s="74" t="str">
        <f t="shared" si="40"/>
        <v>"C:\Program Files (x86)\AstroGrep\AstroGrep.exe" /e /r /s /spath="%USERPROFILE%\AppData\Local\Temp\OnboardLogs" /stypes="app*4023*20171028*" /stext=" 21:.+((SYSTEM_STATE.+slice.+state.+changed )|(ment ac)|(multiple cpu faults)|(system.+state.+changed )|(\[timeout)|(PRM\|1\|D)|(kpr)|(kdp)|(train st.+moving)|(\|lc)|(penalty))"</v>
      </c>
      <c r="AG98" s="182" t="str">
        <f t="shared" si="41"/>
        <v>EC</v>
      </c>
      <c r="AH98" s="78" t="str">
        <f t="shared" si="42"/>
        <v>"%USERPROFILE%\Documents\GitHub\eaglep3\Utilities\RefineRTDCRunTimes.py" --tripid 186-28 --locoid 4023 --swversion DE.1.0.9.0 --startMP 204:232908 --initTime 2017-10-28T15:07:10 --startdatetime 2017-10-28T15:12:27 --delay 55 --endMP 204:231 --enddatetime 2017-10-28T15:50:44 --enforcementcount 0 &gt;&gt;%USERPROFILE%\Documents\GitHub\eaglep3-reporting\EC\2017-10-28-refined-times.txt</v>
      </c>
      <c r="AI98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{"issue":{"subject":"","project_id":79,"tracker_id":40,"status_id":1,"priority_id":2,"assigned_to_id":338,"start_date":"2017-10-28","description":"","custom_fields":[{"id":1,"name":"Subdivision","value":"EC"},{"id":4,"name":"Milepost","value":"0.0231"},{"id":17,"name":"Train ID","value":"186-28"},{"id":16,"name":"Locomotive ID","value":"4023"},{"id":130,"name":"Impact","value":""},{"id":150,"name":"Time of Event (Mountain Time)","value":"15:50:44"},{"id":151,"name":"Denver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4"/>
        <v>start /low /b %USERPROFILE%\Documents\GitHub\eaglep3\Utilities\DownloadLogsFromS3.py --loco 4023 --day 2017-10-28</v>
      </c>
      <c r="AN98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6"/>
        <v>https://d0f6bd738d7f1b3e5a7ca70fe4ff75f0.us-east-1.aws.found.io/app/kibana#/discover/Steve-Slow-Train-Analysis-(2080s-and-2083s)?_g=(refreshInterval:(display:Off,pause:!f,section:0,value:0),time:(from:'2017-10-28T14:07:10-0600',mode:absolute,to:'2017-10-28T16:50:44-0600'))&amp;_a=(columns:!('Message%20ID',Summary),filters:!(),index:'emp_*',interval:auto,query:(query_string:(analyze_wildcard:!t,query:'%22rtdc.l.rtdc.4023%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784</v>
      </c>
      <c r="B99" s="7">
        <v>4064</v>
      </c>
      <c r="C99" s="21" t="s">
        <v>194</v>
      </c>
      <c r="D99" s="21" t="s">
        <v>598</v>
      </c>
      <c r="E99" s="13">
        <v>43036.599849537037</v>
      </c>
      <c r="F99" s="13">
        <v>43036.604375000003</v>
      </c>
      <c r="G99" s="7">
        <v>63</v>
      </c>
      <c r="H99" s="21" t="s">
        <v>1002</v>
      </c>
      <c r="I99" s="13">
        <v>43036.629305555558</v>
      </c>
      <c r="J99" s="7">
        <v>0</v>
      </c>
      <c r="K99" s="89" t="str">
        <f t="shared" si="31"/>
        <v>4063/4064</v>
      </c>
      <c r="L99" s="185" t="str">
        <f>VLOOKUP(A99,'Trips&amp;Operators'!$C$1:$G$99911,5,FALSE)</f>
        <v>HOLCOMB KAMDEN</v>
      </c>
      <c r="M99" s="6">
        <f t="shared" si="32"/>
        <v>2.4930555555329192E-2</v>
      </c>
      <c r="N99" s="7">
        <f t="shared" si="47"/>
        <v>35.899999999674037</v>
      </c>
      <c r="O99" s="7"/>
      <c r="P99" s="7"/>
      <c r="Q99" s="22"/>
      <c r="R99" s="174"/>
      <c r="S99" s="221">
        <f t="shared" si="48"/>
        <v>1</v>
      </c>
      <c r="T99" s="174" t="str">
        <f t="shared" si="33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4"/>
        <v>https://d0f6bd738d7f1b3e5a7ca70fe4ff75f0.us-east-1.aws.found.io/app/kibana#/discover/Steve-Slow-Train-Analysis-(2080s-and-2083s)?_g=(refreshInterval:(display:Off,pause:!f,section:0,value:0),time:(from:'2017-10-28T13:23:47-0600',mode:absolute,to:'2017-10-28T16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204" t="str">
        <f>IF(AA99&lt;VLOOKUP(AG99,Variables!$AC$3:$AD$8,2,FALSE),"Y","N")</f>
        <v>N</v>
      </c>
      <c r="X99" s="204">
        <f t="shared" si="30"/>
        <v>1</v>
      </c>
      <c r="Y99" s="204">
        <f t="shared" si="35"/>
        <v>5.3499999999999999E-2</v>
      </c>
      <c r="Z99" s="204">
        <f t="shared" si="36"/>
        <v>23.320499999999999</v>
      </c>
      <c r="AA99" s="204">
        <f t="shared" si="37"/>
        <v>23.266999999999999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8"/>
        <v>187</v>
      </c>
      <c r="AE99" s="77" t="str">
        <f t="shared" si="39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99" s="74" t="str">
        <f t="shared" si="40"/>
        <v>"C:\Program Files (x86)\AstroGrep\AstroGrep.exe" /e /r /s /spath="%USERPROFILE%\AppData\Local\Temp\OnboardLogs" /stypes="app*4064*20171028*" /stext=" 21:.+((SYSTEM_STATE.+slice.+state.+changed )|(ment ac)|(multiple cpu faults)|(system.+state.+changed )|(\[timeout)|(PRM\|1\|D)|(kpr)|(kdp)|(train st.+moving)|(\|lc)|(penalty))"</v>
      </c>
      <c r="AG99" s="182" t="str">
        <f t="shared" si="41"/>
        <v>EC</v>
      </c>
      <c r="AH99" s="78" t="str">
        <f t="shared" si="42"/>
        <v>"%USERPROFILE%\Documents\GitHub\eaglep3\Utilities\RefineRTDCRunTimes.py" --tripid 187-28 --locoid 4064 --swversion DE.1.0.9.0 --startMP 204:535 --initTime 2017-10-28T14:23:47 --startdatetime 2017-10-28T14:30:18 --delay 63 --endMP 204:233205 --enddatetime 2017-10-28T15:06:12 --enforcementcount 0 &gt;&gt;%USERPROFILE%\Documents\GitHub\eaglep3-reporting\EC\2017-10-28-refined-times.txt</v>
      </c>
      <c r="AI99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{"issue":{"subject":"","project_id":79,"tracker_id":40,"status_id":1,"priority_id":2,"assigned_to_id":338,"start_date":"2017-10-28","description":"","custom_fields":[{"id":1,"name":"Subdivision","value":"EC"},{"id":4,"name":"Milepost","value":"23.3205"},{"id":17,"name":"Train ID","value":"187-28"},{"id":16,"name":"Locomotive ID","value":"4064"},{"id":130,"name":"Impact","value":""},{"id":150,"name":"Time of Event (Mountain Time)","value":"15:06:12"},{"id":151,"name":"Denver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4"/>
        <v>start /low /b %USERPROFILE%\Documents\GitHub\eaglep3\Utilities\DownloadLogsFromS3.py --loco 4064 --day 2017-10-28</v>
      </c>
      <c r="AN99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6"/>
        <v>https://d0f6bd738d7f1b3e5a7ca70fe4ff75f0.us-east-1.aws.found.io/app/kibana#/discover/Steve-Slow-Train-Analysis-(2080s-and-2083s)?_g=(refreshInterval:(display:Off,pause:!f,section:0,value:0),time:(from:'2017-10-28T13:23:47-0600',mode:absolute,to:'2017-10-28T16:06:12-0600'))&amp;_a=(columns:!('Message%20ID',Summary),filters:!(),index:'emp_*',interval:auto,query:(query_string:(analyze_wildcard:!t,query:'%22rtdc.l.rtdc.4064%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632</v>
      </c>
      <c r="B100" s="7">
        <v>4063</v>
      </c>
      <c r="C100" s="21" t="s">
        <v>194</v>
      </c>
      <c r="D100" s="21" t="s">
        <v>1003</v>
      </c>
      <c r="E100" s="13">
        <v>43036.641550925924</v>
      </c>
      <c r="F100" s="13">
        <v>43036.643969907411</v>
      </c>
      <c r="G100" s="7">
        <v>73</v>
      </c>
      <c r="H100" s="21" t="s">
        <v>580</v>
      </c>
      <c r="I100" s="13">
        <v>43036.672407407408</v>
      </c>
      <c r="J100" s="7">
        <v>0</v>
      </c>
      <c r="K100" s="89" t="str">
        <f t="shared" si="31"/>
        <v>4063/4064</v>
      </c>
      <c r="L100" s="185" t="str">
        <f>VLOOKUP(A100,'Trips&amp;Operators'!$C$1:$G$99911,5,FALSE)</f>
        <v>HOLCOMB KAMDEN</v>
      </c>
      <c r="M100" s="6">
        <f t="shared" si="32"/>
        <v>2.8437499997380655E-2</v>
      </c>
      <c r="N100" s="7">
        <f t="shared" si="47"/>
        <v>40.949999996228144</v>
      </c>
      <c r="O100" s="7"/>
      <c r="P100" s="7"/>
      <c r="Q100" s="22"/>
      <c r="R100" s="174"/>
      <c r="S100" s="221">
        <f t="shared" si="48"/>
        <v>1</v>
      </c>
      <c r="T100" s="174" t="str">
        <f t="shared" si="33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4"/>
        <v>https://d0f6bd738d7f1b3e5a7ca70fe4ff75f0.us-east-1.aws.found.io/app/kibana#/discover/Steve-Slow-Train-Analysis-(2080s-and-2083s)?_g=(refreshInterval:(display:Off,pause:!f,section:0,value:0),time:(from:'2017-10-28T14:23:50-0600',mode:absolute,to:'2017-10-28T17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204" t="str">
        <f>IF(AA100&lt;VLOOKUP(AG100,Variables!$AC$3:$AD$8,2,FALSE),"Y","N")</f>
        <v>N</v>
      </c>
      <c r="X100" s="204">
        <f t="shared" si="30"/>
        <v>1</v>
      </c>
      <c r="Y100" s="204">
        <f t="shared" si="35"/>
        <v>23.288399999999999</v>
      </c>
      <c r="Z100" s="204">
        <f t="shared" si="36"/>
        <v>2.6200000000000001E-2</v>
      </c>
      <c r="AA100" s="204">
        <f t="shared" si="37"/>
        <v>23.2622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8"/>
        <v>188</v>
      </c>
      <c r="AE100" s="77" t="str">
        <f t="shared" si="39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100" s="74" t="str">
        <f t="shared" si="40"/>
        <v>"C:\Program Files (x86)\AstroGrep\AstroGrep.exe" /e /r /s /spath="%USERPROFILE%\AppData\Local\Temp\OnboardLogs" /stypes="app*4063*20171028*" /stext=" 22:.+((SYSTEM_STATE.+slice.+state.+changed )|(ment ac)|(multiple cpu faults)|(system.+state.+changed )|(\[timeout)|(PRM\|1\|D)|(kpr)|(kdp)|(train st.+moving)|(\|lc)|(penalty))"</v>
      </c>
      <c r="AG100" s="182" t="str">
        <f t="shared" si="41"/>
        <v>EC</v>
      </c>
      <c r="AH100" s="78" t="str">
        <f t="shared" si="42"/>
        <v>"%USERPROFILE%\Documents\GitHub\eaglep3\Utilities\RefineRTDCRunTimes.py" --tripid 188-28 --locoid 4063 --swversion DE.1.0.9.0 --startMP 204:232884 --initTime 2017-10-28T15:23:50 --startdatetime 2017-10-28T15:27:19 --delay 73 --endMP 204:262 --enddatetime 2017-10-28T16:08:16 --enforcementcount 0 &gt;&gt;%USERPROFILE%\Documents\GitHub\eaglep3-reporting\EC\2017-10-28-refined-times.txt</v>
      </c>
      <c r="AI100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{"issue":{"subject":"","project_id":79,"tracker_id":40,"status_id":1,"priority_id":2,"assigned_to_id":338,"start_date":"2017-10-28","description":"","custom_fields":[{"id":1,"name":"Subdivision","value":"EC"},{"id":4,"name":"Milepost","value":"0.0262"},{"id":17,"name":"Train ID","value":"188-28"},{"id":16,"name":"Locomotive ID","value":"4063"},{"id":130,"name":"Impact","value":""},{"id":150,"name":"Time of Event (Mountain Time)","value":"16:08:16"},{"id":151,"name":"Denver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4"/>
        <v>start /low /b %USERPROFILE%\Documents\GitHub\eaglep3\Utilities\DownloadLogsFromS3.py --loco 4063 --day 2017-10-28</v>
      </c>
      <c r="AN100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6"/>
        <v>https://d0f6bd738d7f1b3e5a7ca70fe4ff75f0.us-east-1.aws.found.io/app/kibana#/discover/Steve-Slow-Train-Analysis-(2080s-and-2083s)?_g=(refreshInterval:(display:Off,pause:!f,section:0,value:0),time:(from:'2017-10-28T14:23:50-0600',mode:absolute,to:'2017-10-28T17:08:16-0600'))&amp;_a=(columns:!('Message%20ID',Summary),filters:!(),index:'emp_*',interval:auto,query:(query_string:(analyze_wildcard:!t,query:'%22rtdc.l.rtdc.4063%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3">
      <c r="A101" s="32" t="s">
        <v>786</v>
      </c>
      <c r="B101" s="7">
        <v>4012</v>
      </c>
      <c r="C101" s="21" t="s">
        <v>194</v>
      </c>
      <c r="D101" s="21" t="s">
        <v>963</v>
      </c>
      <c r="E101" s="13">
        <v>43036.612268518518</v>
      </c>
      <c r="F101" s="13">
        <v>43036.614895833336</v>
      </c>
      <c r="G101" s="7">
        <v>63</v>
      </c>
      <c r="H101" s="21" t="s">
        <v>575</v>
      </c>
      <c r="I101" s="13">
        <v>43036.640694444446</v>
      </c>
      <c r="J101" s="7">
        <v>0</v>
      </c>
      <c r="K101" s="89" t="str">
        <f t="shared" si="31"/>
        <v>4011/4012</v>
      </c>
      <c r="L101" s="185" t="str">
        <f>VLOOKUP(A101,'Trips&amp;Operators'!$C$1:$G$99911,5,FALSE)</f>
        <v>DAVIS MICHAEL</v>
      </c>
      <c r="M101" s="6">
        <f t="shared" si="32"/>
        <v>2.5798611110076308E-2</v>
      </c>
      <c r="N101" s="7">
        <f t="shared" si="47"/>
        <v>37.149999998509884</v>
      </c>
      <c r="O101" s="7"/>
      <c r="P101" s="7"/>
      <c r="Q101" s="22"/>
      <c r="R101" s="174"/>
      <c r="S101" s="221">
        <f t="shared" si="48"/>
        <v>1</v>
      </c>
      <c r="T101" s="174" t="str">
        <f t="shared" si="33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4"/>
        <v>https://d0f6bd738d7f1b3e5a7ca70fe4ff75f0.us-east-1.aws.found.io/app/kibana#/discover/Steve-Slow-Train-Analysis-(2080s-and-2083s)?_g=(refreshInterval:(display:Off,pause:!f,section:0,value:0),time:(from:'2017-10-28T13:41:40-0600',mode:absolute,to:'2017-10-28T16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204" t="str">
        <f>IF(AA101&lt;VLOOKUP(AG101,Variables!$AC$3:$AD$8,2,FALSE),"Y","N")</f>
        <v>N</v>
      </c>
      <c r="X101" s="204">
        <f t="shared" si="30"/>
        <v>1</v>
      </c>
      <c r="Y101" s="204">
        <f t="shared" si="35"/>
        <v>5.1299999999999998E-2</v>
      </c>
      <c r="Z101" s="204">
        <f t="shared" si="36"/>
        <v>23.322299999999998</v>
      </c>
      <c r="AA101" s="204">
        <f t="shared" si="37"/>
        <v>23.270999999999997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8"/>
        <v>189</v>
      </c>
      <c r="AE101" s="77" t="str">
        <f t="shared" si="39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101" s="74" t="str">
        <f t="shared" si="40"/>
        <v>"C:\Program Files (x86)\AstroGrep\AstroGrep.exe" /e /r /s /spath="%USERPROFILE%\AppData\Local\Temp\OnboardLogs" /stypes="app*4012*20171028*" /stext=" 21:.+((SYSTEM_STATE.+slice.+state.+changed )|(ment ac)|(multiple cpu faults)|(system.+state.+changed )|(\[timeout)|(PRM\|1\|D)|(kpr)|(kdp)|(train st.+moving)|(\|lc)|(penalty))"</v>
      </c>
      <c r="AG101" s="182" t="str">
        <f t="shared" si="41"/>
        <v>EC</v>
      </c>
      <c r="AH101" s="78" t="str">
        <f t="shared" si="42"/>
        <v>"%USERPROFILE%\Documents\GitHub\eaglep3\Utilities\RefineRTDCRunTimes.py" --tripid 189-28 --locoid 4012 --swversion DE.1.0.9.0 --startMP 204:513 --initTime 2017-10-28T14:41:40 --startdatetime 2017-10-28T14:45:27 --delay 63 --endMP 204:233223 --enddatetime 2017-10-28T15:22:36 --enforcementcount 0 &gt;&gt;%USERPROFILE%\Documents\GitHub\eaglep3-reporting\EC\2017-10-28-refined-times.txt</v>
      </c>
      <c r="AI101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{"issue":{"subject":"","project_id":79,"tracker_id":40,"status_id":1,"priority_id":2,"assigned_to_id":338,"start_date":"2017-10-28","description":"","custom_fields":[{"id":1,"name":"Subdivision","value":"EC"},{"id":4,"name":"Milepost","value":"23.3223"},{"id":17,"name":"Train ID","value":"189-28"},{"id":16,"name":"Locomotive ID","value":"4012"},{"id":130,"name":"Impact","value":""},{"id":150,"name":"Time of Event (Mountain Time)","value":"15:22:36"},{"id":151,"name":"Denver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44"/>
        <v>start /low /b %USERPROFILE%\Documents\GitHub\eaglep3\Utilities\DownloadLogsFromS3.py --loco 4012 --day 2017-10-28</v>
      </c>
      <c r="AN101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6"/>
        <v>https://d0f6bd738d7f1b3e5a7ca70fe4ff75f0.us-east-1.aws.found.io/app/kibana#/discover/Steve-Slow-Train-Analysis-(2080s-and-2083s)?_g=(refreshInterval:(display:Off,pause:!f,section:0,value:0),time:(from:'2017-10-28T13:41:40-0600',mode:absolute,to:'2017-10-28T16:22:36-0600'))&amp;_a=(columns:!('Message%20ID',Summary),filters:!(),index:'emp_*',interval:auto,query:(query_string:(analyze_wildcard:!t,query:'%22rtdc.l.rtdc.4012%22')),sort:!(Time.ISO8601,asc))</v>
      </c>
    </row>
    <row r="102" spans="1:91" s="20" customFormat="1" x14ac:dyDescent="0.3">
      <c r="A102" s="32" t="s">
        <v>796</v>
      </c>
      <c r="B102" s="7">
        <v>4011</v>
      </c>
      <c r="C102" s="21" t="s">
        <v>194</v>
      </c>
      <c r="D102" s="21" t="s">
        <v>564</v>
      </c>
      <c r="E102" s="13">
        <v>43036.652187500003</v>
      </c>
      <c r="F102" s="13">
        <v>43036.654953703706</v>
      </c>
      <c r="G102" s="7">
        <v>58</v>
      </c>
      <c r="H102" s="21" t="s">
        <v>582</v>
      </c>
      <c r="I102" s="13">
        <v>43036.682233796295</v>
      </c>
      <c r="J102" s="7">
        <v>0</v>
      </c>
      <c r="K102" s="89" t="str">
        <f t="shared" si="31"/>
        <v>4011/4012</v>
      </c>
      <c r="L102" s="185" t="str">
        <f>VLOOKUP(A102,'Trips&amp;Operators'!$C$1:$G$99911,5,FALSE)</f>
        <v>DAVIS MICHAEL</v>
      </c>
      <c r="M102" s="6">
        <f t="shared" si="32"/>
        <v>2.7280092588625848E-2</v>
      </c>
      <c r="N102" s="7">
        <f t="shared" si="47"/>
        <v>39.283333327621222</v>
      </c>
      <c r="O102" s="7"/>
      <c r="P102" s="7"/>
      <c r="Q102" s="22"/>
      <c r="R102" s="174"/>
      <c r="S102" s="221">
        <f t="shared" si="48"/>
        <v>1</v>
      </c>
      <c r="T102" s="174" t="str">
        <f t="shared" si="33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4"/>
        <v>https://d0f6bd738d7f1b3e5a7ca70fe4ff75f0.us-east-1.aws.found.io/app/kibana#/discover/Steve-Slow-Train-Analysis-(2080s-and-2083s)?_g=(refreshInterval:(display:Off,pause:!f,section:0,value:0),time:(from:'2017-10-28T14:39:09-0600',mode:absolute,to:'2017-10-28T17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204" t="str">
        <f>IF(AA102&lt;VLOOKUP(AG102,Variables!$AC$3:$AD$8,2,FALSE),"Y","N")</f>
        <v>N</v>
      </c>
      <c r="X102" s="204">
        <f t="shared" si="30"/>
        <v>1</v>
      </c>
      <c r="Y102" s="204">
        <f t="shared" si="35"/>
        <v>23.29</v>
      </c>
      <c r="Z102" s="204">
        <f t="shared" si="36"/>
        <v>2.1999999999999999E-2</v>
      </c>
      <c r="AA102" s="204">
        <f t="shared" si="37"/>
        <v>23.268000000000001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8"/>
        <v>190</v>
      </c>
      <c r="AE102" s="77" t="str">
        <f t="shared" si="39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102" s="74" t="str">
        <f t="shared" si="40"/>
        <v>"C:\Program Files (x86)\AstroGrep\AstroGrep.exe" /e /r /s /spath="%USERPROFILE%\AppData\Local\Temp\OnboardLogs" /stypes="app*4011*20171028*" /stext=" 22:.+((SYSTEM_STATE.+slice.+state.+changed )|(ment ac)|(multiple cpu faults)|(system.+state.+changed )|(\[timeout)|(PRM\|1\|D)|(kpr)|(kdp)|(train st.+moving)|(\|lc)|(penalty))"</v>
      </c>
      <c r="AG102" s="182" t="str">
        <f t="shared" si="41"/>
        <v>EC</v>
      </c>
      <c r="AH102" s="78" t="str">
        <f t="shared" si="42"/>
        <v>"%USERPROFILE%\Documents\GitHub\eaglep3\Utilities\RefineRTDCRunTimes.py" --tripid 190-28 --locoid 4011 --swversion DE.1.0.9.0 --startMP 204:232900 --initTime 2017-10-28T15:39:09 --startdatetime 2017-10-28T15:43:08 --delay 58 --endMP 204:220 --enddatetime 2017-10-28T16:22:25 --enforcementcount 0 &gt;&gt;%USERPROFILE%\Documents\GitHub\eaglep3-reporting\EC\2017-10-28-refined-times.txt</v>
      </c>
      <c r="AI102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{"issue":{"subject":"","project_id":79,"tracker_id":40,"status_id":1,"priority_id":2,"assigned_to_id":338,"start_date":"2017-10-28","description":"","custom_fields":[{"id":1,"name":"Subdivision","value":"EC"},{"id":4,"name":"Milepost","value":"0.022"},{"id":17,"name":"Train ID","value":"190-28"},{"id":16,"name":"Locomotive ID","value":"4011"},{"id":130,"name":"Impact","value":""},{"id":150,"name":"Time of Event (Mountain Time)","value":"16:22:25"},{"id":151,"name":"Denver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4011 --day 2017-10-28</v>
      </c>
      <c r="AN102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6"/>
        <v>https://d0f6bd738d7f1b3e5a7ca70fe4ff75f0.us-east-1.aws.found.io/app/kibana#/discover/Steve-Slow-Train-Analysis-(2080s-and-2083s)?_g=(refreshInterval:(display:Off,pause:!f,section:0,value:0),time:(from:'2017-10-28T14:39:09-0600',mode:absolute,to:'2017-10-28T17:22:25-0600'))&amp;_a=(columns:!('Message%20ID',Summary),filters:!(),index:'emp_*',interval:auto,query:(query_string:(analyze_wildcard:!t,query:'%22rtdc.l.rtdc.4011%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788</v>
      </c>
      <c r="B103" s="7">
        <v>4004</v>
      </c>
      <c r="C103" s="21" t="s">
        <v>194</v>
      </c>
      <c r="D103" s="21" t="s">
        <v>518</v>
      </c>
      <c r="E103" s="13">
        <v>43036.621331018519</v>
      </c>
      <c r="F103" s="13">
        <v>43036.625219907408</v>
      </c>
      <c r="G103" s="7">
        <v>118</v>
      </c>
      <c r="H103" s="21" t="s">
        <v>1008</v>
      </c>
      <c r="I103" s="13">
        <v>43036.652129629627</v>
      </c>
      <c r="J103" s="7">
        <v>0</v>
      </c>
      <c r="K103" s="89" t="str">
        <f t="shared" si="31"/>
        <v>4003/4004</v>
      </c>
      <c r="L103" s="185" t="str">
        <f>VLOOKUP(A103,'Trips&amp;Operators'!$C$1:$G$99911,5,FALSE)</f>
        <v>SAFIEF AEIMEN</v>
      </c>
      <c r="M103" s="6">
        <f t="shared" si="32"/>
        <v>2.6909722218988463E-2</v>
      </c>
      <c r="N103" s="7">
        <f t="shared" si="47"/>
        <v>38.749999995343387</v>
      </c>
      <c r="O103" s="7"/>
      <c r="P103" s="7"/>
      <c r="Q103" s="22"/>
      <c r="R103" s="174"/>
      <c r="S103" s="221">
        <f t="shared" si="48"/>
        <v>1</v>
      </c>
      <c r="T103" s="174" t="str">
        <f t="shared" si="33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4"/>
        <v>https://d0f6bd738d7f1b3e5a7ca70fe4ff75f0.us-east-1.aws.found.io/app/kibana#/discover/Steve-Slow-Train-Analysis-(2080s-and-2083s)?_g=(refreshInterval:(display:Off,pause:!f,section:0,value:0),time:(from:'2017-10-28T13:54:43-0600',mode:absolute,to:'2017-10-28T16:39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204" t="str">
        <f>IF(AA103&lt;VLOOKUP(AG103,Variables!$AC$3:$AD$8,2,FALSE),"Y","N")</f>
        <v>N</v>
      </c>
      <c r="X103" s="204">
        <f t="shared" si="30"/>
        <v>1</v>
      </c>
      <c r="Y103" s="204">
        <f t="shared" si="35"/>
        <v>4.82E-2</v>
      </c>
      <c r="Z103" s="204">
        <f t="shared" si="36"/>
        <v>23.322399999999998</v>
      </c>
      <c r="AA103" s="204">
        <f t="shared" si="37"/>
        <v>23.274199999999997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8"/>
        <v>191</v>
      </c>
      <c r="AE103" s="77" t="str">
        <f t="shared" si="39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103" s="74" t="str">
        <f t="shared" si="40"/>
        <v>"C:\Program Files (x86)\AstroGrep\AstroGrep.exe" /e /r /s /spath="%USERPROFILE%\AppData\Local\Temp\OnboardLogs" /stypes="app*4004*20171028*" /stext=" 21:.+((SYSTEM_STATE.+slice.+state.+changed )|(ment ac)|(multiple cpu faults)|(system.+state.+changed )|(\[timeout)|(PRM\|1\|D)|(kpr)|(kdp)|(train st.+moving)|(\|lc)|(penalty))"</v>
      </c>
      <c r="AG103" s="182" t="str">
        <f t="shared" si="41"/>
        <v>EC</v>
      </c>
      <c r="AH103" s="78" t="str">
        <f t="shared" si="42"/>
        <v>"%USERPROFILE%\Documents\GitHub\eaglep3\Utilities\RefineRTDCRunTimes.py" --tripid 191-28 --locoid 4004 --swversion DE.1.0.9.0 --startMP 204:482 --initTime 2017-10-28T14:54:43 --startdatetime 2017-10-28T15:00:19 --delay 118 --endMP 204:233224 --enddatetime 2017-10-28T15:39:04 --enforcementcount 0 &gt;&gt;%USERPROFILE%\Documents\GitHub\eaglep3-reporting\EC\2017-10-28-refined-times.txt</v>
      </c>
      <c r="AI103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{"issue":{"subject":"","project_id":79,"tracker_id":40,"status_id":1,"priority_id":2,"assigned_to_id":338,"start_date":"2017-10-28","description":"","custom_fields":[{"id":1,"name":"Subdivision","value":"EC"},{"id":4,"name":"Milepost","value":"23.3224"},{"id":17,"name":"Train ID","value":"191-28"},{"id":16,"name":"Locomotive ID","value":"4004"},{"id":130,"name":"Impact","value":""},{"id":150,"name":"Time of Event (Mountain Time)","value":"15:39:04"},{"id":151,"name":"Denver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4004 --day 2017-10-28</v>
      </c>
      <c r="AN103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6"/>
        <v>https://d0f6bd738d7f1b3e5a7ca70fe4ff75f0.us-east-1.aws.found.io/app/kibana#/discover/Steve-Slow-Train-Analysis-(2080s-and-2083s)?_g=(refreshInterval:(display:Off,pause:!f,section:0,value:0),time:(from:'2017-10-28T13:54:43-0600',mode:absolute,to:'2017-10-28T16:39:04-0600'))&amp;_a=(columns:!('Message%20ID',Summary),filters:!(),index:'emp_*',interval:auto,query:(query_string:(analyze_wildcard:!t,query:'%22rtdc.l.rtdc.4004%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798</v>
      </c>
      <c r="B104" s="7">
        <v>4003</v>
      </c>
      <c r="C104" s="21" t="s">
        <v>194</v>
      </c>
      <c r="D104" s="21" t="s">
        <v>522</v>
      </c>
      <c r="E104" s="13">
        <v>43036.655162037037</v>
      </c>
      <c r="F104" s="13">
        <v>43036.66479166667</v>
      </c>
      <c r="G104" s="7">
        <v>71</v>
      </c>
      <c r="H104" s="21" t="s">
        <v>929</v>
      </c>
      <c r="I104" s="13">
        <v>43036.69023148148</v>
      </c>
      <c r="J104" s="7">
        <v>0</v>
      </c>
      <c r="K104" s="89" t="str">
        <f t="shared" si="31"/>
        <v>4003/4004</v>
      </c>
      <c r="L104" s="185" t="str">
        <f>VLOOKUP(A104,'Trips&amp;Operators'!$C$1:$G$99911,5,FALSE)</f>
        <v>SAFIEF AEIMEN</v>
      </c>
      <c r="M104" s="6">
        <f t="shared" si="32"/>
        <v>2.5439814809942618E-2</v>
      </c>
      <c r="N104" s="7">
        <f t="shared" si="47"/>
        <v>36.63333332631737</v>
      </c>
      <c r="O104" s="7"/>
      <c r="P104" s="7"/>
      <c r="Q104" s="22"/>
      <c r="R104" s="174"/>
      <c r="S104" s="221">
        <f t="shared" si="48"/>
        <v>1</v>
      </c>
      <c r="T104" s="174" t="str">
        <f t="shared" si="33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4"/>
        <v>https://d0f6bd738d7f1b3e5a7ca70fe4ff75f0.us-east-1.aws.found.io/app/kibana#/discover/Steve-Slow-Train-Analysis-(2080s-and-2083s)?_g=(refreshInterval:(display:Off,pause:!f,section:0,value:0),time:(from:'2017-10-28T14:43:26-0600',mode:absolute,to:'2017-10-28T17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204" t="str">
        <f>IF(AA104&lt;VLOOKUP(AG104,Variables!$AC$3:$AD$8,2,FALSE),"Y","N")</f>
        <v>N</v>
      </c>
      <c r="X104" s="204">
        <f t="shared" ref="X104:X135" si="49">VALUE(LEFT(AD104,4))-VALUE(LEFT(AD103,4))</f>
        <v>1</v>
      </c>
      <c r="Y104" s="204">
        <f t="shared" si="35"/>
        <v>23.290199999999999</v>
      </c>
      <c r="Z104" s="204">
        <f t="shared" si="36"/>
        <v>2.1600000000000001E-2</v>
      </c>
      <c r="AA104" s="204">
        <f t="shared" si="37"/>
        <v>23.268599999999999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8"/>
        <v>192</v>
      </c>
      <c r="AE104" s="77" t="str">
        <f t="shared" si="39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104" s="74" t="str">
        <f t="shared" si="40"/>
        <v>"C:\Program Files (x86)\AstroGrep\AstroGrep.exe" /e /r /s /spath="%USERPROFILE%\AppData\Local\Temp\OnboardLogs" /stypes="app*4003*20171028*" /stext=" 22:.+((SYSTEM_STATE.+slice.+state.+changed )|(ment ac)|(multiple cpu faults)|(system.+state.+changed )|(\[timeout)|(PRM\|1\|D)|(kpr)|(kdp)|(train st.+moving)|(\|lc)|(penalty))"</v>
      </c>
      <c r="AG104" s="182" t="str">
        <f t="shared" si="41"/>
        <v>EC</v>
      </c>
      <c r="AH104" s="78" t="str">
        <f t="shared" si="42"/>
        <v>"%USERPROFILE%\Documents\GitHub\eaglep3\Utilities\RefineRTDCRunTimes.py" --tripid 192-28 --locoid 4003 --swversion DE.1.0.9.0 --startMP 204:232902 --initTime 2017-10-28T15:43:26 --startdatetime 2017-10-28T15:57:18 --delay 71 --endMP 204:216 --enddatetime 2017-10-28T16:33:56 --enforcementcount 0 &gt;&gt;%USERPROFILE%\Documents\GitHub\eaglep3-reporting\EC\2017-10-28-refined-times.txt</v>
      </c>
      <c r="AI104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{"issue":{"subject":"","project_id":79,"tracker_id":40,"status_id":1,"priority_id":2,"assigned_to_id":338,"start_date":"2017-10-28","description":"","custom_fields":[{"id":1,"name":"Subdivision","value":"EC"},{"id":4,"name":"Milepost","value":"0.0216"},{"id":17,"name":"Train ID","value":"192-28"},{"id":16,"name":"Locomotive ID","value":"4003"},{"id":130,"name":"Impact","value":""},{"id":150,"name":"Time of Event (Mountain Time)","value":"16:33:56"},{"id":151,"name":"Denver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4003 --day 2017-10-28</v>
      </c>
      <c r="AN104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6"/>
        <v>https://d0f6bd738d7f1b3e5a7ca70fe4ff75f0.us-east-1.aws.found.io/app/kibana#/discover/Steve-Slow-Train-Analysis-(2080s-and-2083s)?_g=(refreshInterval:(display:Off,pause:!f,section:0,value:0),time:(from:'2017-10-28T14:43:26-0600',mode:absolute,to:'2017-10-28T17:33:56-0600'))&amp;_a=(columns:!('Message%20ID',Summary),filters:!(),index:'emp_*',interval:auto,query:(query_string:(analyze_wildcard:!t,query:'%22rtdc.l.rtdc.4003%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793</v>
      </c>
      <c r="B105" s="7">
        <v>4010</v>
      </c>
      <c r="C105" s="21" t="s">
        <v>194</v>
      </c>
      <c r="D105" s="21" t="s">
        <v>522</v>
      </c>
      <c r="E105" s="13">
        <v>43036.655162037037</v>
      </c>
      <c r="F105" s="13">
        <v>43036.635601851849</v>
      </c>
      <c r="G105" s="7">
        <v>71</v>
      </c>
      <c r="H105" s="21" t="s">
        <v>929</v>
      </c>
      <c r="I105" s="13">
        <v>43036.660624999997</v>
      </c>
      <c r="J105" s="7">
        <v>0</v>
      </c>
      <c r="K105" s="89" t="str">
        <f t="shared" si="31"/>
        <v>4009/4010</v>
      </c>
      <c r="L105" s="185" t="str">
        <f>VLOOKUP(A105,'Trips&amp;Operators'!$C$1:$G$99911,5,FALSE)</f>
        <v>GUZMAN DANNY</v>
      </c>
      <c r="M105" s="6">
        <f t="shared" si="32"/>
        <v>2.5023148147738539E-2</v>
      </c>
      <c r="N105" s="7">
        <f t="shared" si="47"/>
        <v>36.033333332743496</v>
      </c>
      <c r="O105" s="7"/>
      <c r="P105" s="7"/>
      <c r="Q105" s="22"/>
      <c r="R105" s="174"/>
      <c r="S105" s="221">
        <f t="shared" si="48"/>
        <v>1</v>
      </c>
      <c r="T105" s="174" t="str">
        <f t="shared" si="33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4"/>
        <v>https://d0f6bd738d7f1b3e5a7ca70fe4ff75f0.us-east-1.aws.found.io/app/kibana#/discover/Steve-Slow-Train-Analysis-(2080s-and-2083s)?_g=(refreshInterval:(display:Off,pause:!f,section:0,value:0),time:(from:'2017-10-28T14:43:26-0600',mode:absolute,to:'2017-10-28T16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204" t="str">
        <f>IF(AA105&lt;VLOOKUP(AG105,Variables!$AC$3:$AD$8,2,FALSE),"Y","N")</f>
        <v>N</v>
      </c>
      <c r="X105" s="204">
        <f t="shared" si="49"/>
        <v>1</v>
      </c>
      <c r="Y105" s="204">
        <v>4.82E-2</v>
      </c>
      <c r="Z105" s="204">
        <v>23.322399999999998</v>
      </c>
      <c r="AA105" s="204">
        <f t="shared" si="37"/>
        <v>23.274199999999997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8"/>
        <v>193</v>
      </c>
      <c r="AE105" s="77" t="str">
        <f t="shared" si="39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105" s="74" t="str">
        <f t="shared" si="40"/>
        <v>"C:\Program Files (x86)\AstroGrep\AstroGrep.exe" /e /r /s /spath="%USERPROFILE%\AppData\Local\Temp\OnboardLogs" /stypes="app*4010*20171028*" /stext=" 21:.+((SYSTEM_STATE.+slice.+state.+changed )|(ment ac)|(multiple cpu faults)|(system.+state.+changed )|(\[timeout)|(PRM\|1\|D)|(kpr)|(kdp)|(train st.+moving)|(\|lc)|(penalty))"</v>
      </c>
      <c r="AG105" s="182" t="str">
        <f t="shared" si="41"/>
        <v>EC</v>
      </c>
      <c r="AH105" s="78" t="str">
        <f t="shared" ref="AH105" si="50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193-28 --locoid 4010 --swversion DE.1.0.9.0 --startMP 204:232902 --initTime 2017-10-28T15:43:26 --startdatetime 2017-10-28T15:15:16 --delay 71 --endMP 204:216 --enddatetime 2017-10-28T15:51:18 --enforcementcount 0 &gt;&gt;%USERPROFILE%\Documents\GitHub\eaglep3-reporting\EC\2017-10-28-refined-times.txt</v>
      </c>
      <c r="AI105" s="96" t="str">
        <f t="shared" ref="AI105" si="51"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Z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{"issue":{"subject":"","project_id":79,"tracker_id":40,"status_id":1,"priority_id":2,"assigned_to_id":338,"start_date":"2017-10-28","description":"","custom_fields":[{"id":1,"name":"Subdivision","value":"EC"},{"id":4,"name":"Milepost","value":"23.3224"},{"id":17,"name":"Train ID","value":"193-28"},{"id":16,"name":"Locomotive ID","value":"4010"},{"id":130,"name":"Impact","value":""},{"id":150,"name":"Time of Event (Mountain Time)","value":"15:51:18"},{"id":151,"name":"Denver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ref="AM105" si="52">"start /low /b "&amp;dls3logs&amp;" --loco "&amp;B105&amp;" --day "&amp;TEXT(F105,"YYYY-MM-DD")</f>
        <v>start /low /b %USERPROFILE%\Documents\GitHub\eaglep3\Utilities\DownloadLogsFromS3.py --loco 4010 --day 2017-10-28</v>
      </c>
      <c r="AN105" s="151" t="str">
        <f t="shared" ref="AN105" si="53">"echo {""issue"":{""subject"":"""&amp;R105&amp;""",""project_id"":30,""tracker_id"":4,""status_id"":"&amp;redmine_status_wcr&amp;",""priority_id"":"&amp;redmine_priority_wcr&amp;",""assigned_to_id"":"&amp;redmine_assignee_wcr&amp;",""start_date"":"""&amp;TEXT(I105-utc_offset/24,"YYYY-mm-dd")&amp;""",""description"":"""&amp;AJ105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ref="AO105" si="54"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Message%20ID',Summary),filters:!(),index:'emp_*',interval:auto,query:"&amp;"(query_string:(analyze_wildcard:!t,query:'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-28T14:43:26-0600',mode:absolute,to:'2017-10-28T16:51:18-0600'))&amp;_a=(columns:!('Message%20ID',Summary),filters:!(),index:'emp_*',interval:auto,query:(query_string:(analyze_wildcard:!t,query:'%22rtdc.l.rtdc.4010%22')),sort:!(Time.ISO8601,asc))</v>
      </c>
    </row>
    <row r="106" spans="1:91" s="20" customFormat="1" x14ac:dyDescent="0.3">
      <c r="A106" s="32" t="s">
        <v>799</v>
      </c>
      <c r="B106" s="7">
        <v>4009</v>
      </c>
      <c r="C106" s="21" t="s">
        <v>194</v>
      </c>
      <c r="D106" s="21" t="s">
        <v>1001</v>
      </c>
      <c r="E106" s="13">
        <v>43036.662164351852</v>
      </c>
      <c r="F106" s="13">
        <v>43036.675185185188</v>
      </c>
      <c r="G106" s="7">
        <v>45</v>
      </c>
      <c r="H106" s="21" t="s">
        <v>591</v>
      </c>
      <c r="I106" s="13">
        <v>43036.701041666667</v>
      </c>
      <c r="J106" s="7">
        <v>0</v>
      </c>
      <c r="K106" s="89" t="str">
        <f t="shared" si="31"/>
        <v>4009/4010</v>
      </c>
      <c r="L106" s="185" t="str">
        <f>VLOOKUP(A106,'Trips&amp;Operators'!$C$1:$G$99911,5,FALSE)</f>
        <v>GUZMAN DANNY</v>
      </c>
      <c r="M106" s="6">
        <f t="shared" si="32"/>
        <v>2.5856481479422655E-2</v>
      </c>
      <c r="N106" s="7">
        <f t="shared" si="47"/>
        <v>37.233333330368623</v>
      </c>
      <c r="O106" s="7"/>
      <c r="P106" s="7"/>
      <c r="Q106" s="22"/>
      <c r="R106" s="174"/>
      <c r="S106" s="221">
        <f t="shared" si="48"/>
        <v>1</v>
      </c>
      <c r="T106" s="174" t="str">
        <f t="shared" si="33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4"/>
        <v>https://d0f6bd738d7f1b3e5a7ca70fe4ff75f0.us-east-1.aws.found.io/app/kibana#/discover/Steve-Slow-Train-Analysis-(2080s-and-2083s)?_g=(refreshInterval:(display:Off,pause:!f,section:0,value:0),time:(from:'2017-10-28T14:53:31-0600',mode:absolute,to:'2017-10-28T17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204" t="str">
        <f>IF(AA106&lt;VLOOKUP(AG106,Variables!$AC$3:$AD$8,2,FALSE),"Y","N")</f>
        <v>N</v>
      </c>
      <c r="X106" s="204">
        <f t="shared" si="49"/>
        <v>1</v>
      </c>
      <c r="Y106" s="204">
        <f t="shared" ref="Y106:Y137" si="55">RIGHT(D106,LEN(D106)-4)/10000</f>
        <v>23.290800000000001</v>
      </c>
      <c r="Z106" s="204">
        <f t="shared" ref="Z106:Z137" si="56">RIGHT(H106,LEN(H106)-4)/10000</f>
        <v>2.5399999999999999E-2</v>
      </c>
      <c r="AA106" s="204">
        <f t="shared" si="37"/>
        <v>23.2654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8"/>
        <v>194</v>
      </c>
      <c r="AE106" s="77" t="str">
        <f t="shared" si="39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106" s="74" t="str">
        <f t="shared" si="40"/>
        <v>"C:\Program Files (x86)\AstroGrep\AstroGrep.exe" /e /r /s /spath="%USERPROFILE%\AppData\Local\Temp\OnboardLogs" /stypes="app*4009*20171028*" /stext=" 22:.+((SYSTEM_STATE.+slice.+state.+changed )|(ment ac)|(multiple cpu faults)|(system.+state.+changed )|(\[timeout)|(PRM\|1\|D)|(kpr)|(kdp)|(train st.+moving)|(\|lc)|(penalty))"</v>
      </c>
      <c r="AG106" s="182" t="str">
        <f t="shared" si="41"/>
        <v>EC</v>
      </c>
      <c r="AH106" s="78" t="str">
        <f t="shared" si="42"/>
        <v>"%USERPROFILE%\Documents\GitHub\eaglep3\Utilities\RefineRTDCRunTimes.py" --tripid 194-28 --locoid 4009 --swversion DE.1.0.9.0 --startMP 204:232908 --initTime 2017-10-28T15:53:31 --startdatetime 2017-10-28T16:12:16 --delay 45 --endMP 204:254 --enddatetime 2017-10-28T16:49:30 --enforcementcount 0 &gt;&gt;%USERPROFILE%\Documents\GitHub\eaglep3-reporting\EC\2017-10-28-refined-times.txt</v>
      </c>
      <c r="AI106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{"issue":{"subject":"","project_id":79,"tracker_id":40,"status_id":1,"priority_id":2,"assigned_to_id":338,"start_date":"2017-10-28","description":"","custom_fields":[{"id":1,"name":"Subdivision","value":"EC"},{"id":4,"name":"Milepost","value":"0.0254"},{"id":17,"name":"Train ID","value":"194-28"},{"id":16,"name":"Locomotive ID","value":"4009"},{"id":130,"name":"Impact","value":""},{"id":150,"name":"Time of Event (Mountain Time)","value":"16:49:30"},{"id":151,"name":"Denver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4009 --day 2017-10-28</v>
      </c>
      <c r="AN106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6"/>
        <v>https://d0f6bd738d7f1b3e5a7ca70fe4ff75f0.us-east-1.aws.found.io/app/kibana#/discover/Steve-Slow-Train-Analysis-(2080s-and-2083s)?_g=(refreshInterval:(display:Off,pause:!f,section:0,value:0),time:(from:'2017-10-28T14:53:31-0600',mode:absolute,to:'2017-10-28T17:49:30-0600'))&amp;_a=(columns:!('Message%20ID',Summary),filters:!(),index:'emp_*',interval:auto,query:(query_string:(analyze_wildcard:!t,query:'%22rtdc.l.rtdc.4009%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794</v>
      </c>
      <c r="B107" s="7">
        <v>4042</v>
      </c>
      <c r="C107" s="21" t="s">
        <v>194</v>
      </c>
      <c r="D107" s="21" t="s">
        <v>529</v>
      </c>
      <c r="E107" s="13">
        <v>43036.641319444447</v>
      </c>
      <c r="F107" s="13">
        <v>43036.645995370367</v>
      </c>
      <c r="G107" s="7">
        <v>96</v>
      </c>
      <c r="H107" s="21" t="s">
        <v>568</v>
      </c>
      <c r="I107" s="13">
        <v>43036.671435185184</v>
      </c>
      <c r="J107" s="7">
        <v>0</v>
      </c>
      <c r="K107" s="89" t="str">
        <f t="shared" si="31"/>
        <v>4041/4042</v>
      </c>
      <c r="L107" s="185" t="str">
        <f>VLOOKUP(A107,'Trips&amp;Operators'!$C$1:$G$99911,5,FALSE)</f>
        <v>BADERTSCHER DIANE</v>
      </c>
      <c r="M107" s="6">
        <f t="shared" si="32"/>
        <v>2.5439814817218576E-2</v>
      </c>
      <c r="N107" s="7">
        <f t="shared" si="47"/>
        <v>36.633333336794749</v>
      </c>
      <c r="O107" s="7"/>
      <c r="P107" s="7"/>
      <c r="Q107" s="22"/>
      <c r="R107" s="174"/>
      <c r="S107" s="221">
        <f t="shared" si="48"/>
        <v>1</v>
      </c>
      <c r="T107" s="174" t="str">
        <f t="shared" si="33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4"/>
        <v>https://d0f6bd738d7f1b3e5a7ca70fe4ff75f0.us-east-1.aws.found.io/app/kibana#/discover/Steve-Slow-Train-Analysis-(2080s-and-2083s)?_g=(refreshInterval:(display:Off,pause:!f,section:0,value:0),time:(from:'2017-10-28T14:23:30-0600',mode:absolute,to:'2017-10-28T17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04" t="str">
        <f>IF(AA107&lt;VLOOKUP(AG107,Variables!$AC$3:$AD$8,2,FALSE),"Y","N")</f>
        <v>N</v>
      </c>
      <c r="X107" s="204">
        <f t="shared" si="49"/>
        <v>1</v>
      </c>
      <c r="Y107" s="204">
        <f t="shared" si="55"/>
        <v>5.2900000000000003E-2</v>
      </c>
      <c r="Z107" s="204">
        <f t="shared" si="56"/>
        <v>23.3215</v>
      </c>
      <c r="AA107" s="204">
        <f t="shared" si="37"/>
        <v>23.268599999999999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8"/>
        <v>195</v>
      </c>
      <c r="AE107" s="77" t="str">
        <f t="shared" si="39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107" s="74" t="str">
        <f t="shared" si="40"/>
        <v>"C:\Program Files (x86)\AstroGrep\AstroGrep.exe" /e /r /s /spath="%USERPROFILE%\AppData\Local\Temp\OnboardLogs" /stypes="app*4042*20171028*" /stext=" 22:.+((SYSTEM_STATE.+slice.+state.+changed )|(ment ac)|(multiple cpu faults)|(system.+state.+changed )|(\[timeout)|(PRM\|1\|D)|(kpr)|(kdp)|(train st.+moving)|(\|lc)|(penalty))"</v>
      </c>
      <c r="AG107" s="182" t="str">
        <f t="shared" si="41"/>
        <v>EC</v>
      </c>
      <c r="AH107" s="78" t="str">
        <f t="shared" si="42"/>
        <v>"%USERPROFILE%\Documents\GitHub\eaglep3\Utilities\RefineRTDCRunTimes.py" --tripid 195-28 --locoid 4042 --swversion DE.1.0.9.0 --startMP 204:529 --initTime 2017-10-28T15:23:30 --startdatetime 2017-10-28T15:30:14 --delay 96 --endMP 204:233215 --enddatetime 2017-10-28T16:06:52 --enforcementcount 0 &gt;&gt;%USERPROFILE%\Documents\GitHub\eaglep3-reporting\EC\2017-10-28-refined-times.txt</v>
      </c>
      <c r="AI107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{"issue":{"subject":"","project_id":79,"tracker_id":40,"status_id":1,"priority_id":2,"assigned_to_id":338,"start_date":"2017-10-28","description":"","custom_fields":[{"id":1,"name":"Subdivision","value":"EC"},{"id":4,"name":"Milepost","value":"23.3215"},{"id":17,"name":"Train ID","value":"195-28"},{"id":16,"name":"Locomotive ID","value":"4042"},{"id":130,"name":"Impact","value":""},{"id":150,"name":"Time of Event (Mountain Time)","value":"16:06:52"},{"id":151,"name":"Denver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4042 --day 2017-10-28</v>
      </c>
      <c r="AN107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6"/>
        <v>https://d0f6bd738d7f1b3e5a7ca70fe4ff75f0.us-east-1.aws.found.io/app/kibana#/discover/Steve-Slow-Train-Analysis-(2080s-and-2083s)?_g=(refreshInterval:(display:Off,pause:!f,section:0,value:0),time:(from:'2017-10-28T14:23:30-0600',mode:absolute,to:'2017-10-28T17:06:52-0600'))&amp;_a=(columns:!('Message%20ID',Summary),filters:!(),index:'emp_*',interval:auto,query:(query_string:(analyze_wildcard:!t,query:'%22rtdc.l.rtdc.4042%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804</v>
      </c>
      <c r="B108" s="7">
        <v>4041</v>
      </c>
      <c r="C108" s="21" t="s">
        <v>194</v>
      </c>
      <c r="D108" s="21" t="s">
        <v>567</v>
      </c>
      <c r="E108" s="13">
        <v>43036.680196759262</v>
      </c>
      <c r="F108" s="13">
        <v>43036.685636574075</v>
      </c>
      <c r="G108" s="7">
        <v>49</v>
      </c>
      <c r="H108" s="21" t="s">
        <v>900</v>
      </c>
      <c r="I108" s="13">
        <v>43036.712870370371</v>
      </c>
      <c r="J108" s="7">
        <v>0</v>
      </c>
      <c r="K108" s="89" t="str">
        <f t="shared" si="31"/>
        <v>4041/4042</v>
      </c>
      <c r="L108" s="185" t="str">
        <f>VLOOKUP(A108,'Trips&amp;Operators'!$C$1:$G$99911,5,FALSE)</f>
        <v>BADERTSCHER DIANE</v>
      </c>
      <c r="M108" s="6">
        <f t="shared" si="32"/>
        <v>2.7233796296059154E-2</v>
      </c>
      <c r="N108" s="7">
        <f t="shared" si="47"/>
        <v>39.216666666325182</v>
      </c>
      <c r="O108" s="7"/>
      <c r="P108" s="7"/>
      <c r="Q108" s="22"/>
      <c r="R108" s="174"/>
      <c r="S108" s="221">
        <f t="shared" si="48"/>
        <v>1</v>
      </c>
      <c r="T108" s="174" t="str">
        <f t="shared" si="33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4"/>
        <v>https://d0f6bd738d7f1b3e5a7ca70fe4ff75f0.us-east-1.aws.found.io/app/kibana#/discover/Steve-Slow-Train-Analysis-(2080s-and-2083s)?_g=(refreshInterval:(display:Off,pause:!f,section:0,value:0),time:(from:'2017-10-28T15:19:29-0600',mode:absolute,to:'2017-10-28T18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04" t="str">
        <f>IF(AA108&lt;VLOOKUP(AG108,Variables!$AC$3:$AD$8,2,FALSE),"Y","N")</f>
        <v>N</v>
      </c>
      <c r="X108" s="204">
        <f t="shared" si="49"/>
        <v>1</v>
      </c>
      <c r="Y108" s="204">
        <f t="shared" si="55"/>
        <v>23.289400000000001</v>
      </c>
      <c r="Z108" s="204">
        <f t="shared" si="56"/>
        <v>2.4E-2</v>
      </c>
      <c r="AA108" s="204">
        <f t="shared" si="37"/>
        <v>23.2654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8"/>
        <v>196</v>
      </c>
      <c r="AE108" s="77" t="str">
        <f t="shared" si="39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108" s="74" t="str">
        <f t="shared" si="40"/>
        <v>"C:\Program Files (x86)\AstroGrep\AstroGrep.exe" /e /r /s /spath="%USERPROFILE%\AppData\Local\Temp\OnboardLogs" /stypes="app*4041*20171028*" /stext=" 23:.+((SYSTEM_STATE.+slice.+state.+changed )|(ment ac)|(multiple cpu faults)|(system.+state.+changed )|(\[timeout)|(PRM\|1\|D)|(kpr)|(kdp)|(train st.+moving)|(\|lc)|(penalty))"</v>
      </c>
      <c r="AG108" s="182" t="str">
        <f t="shared" si="41"/>
        <v>EC</v>
      </c>
      <c r="AH108" s="78" t="str">
        <f t="shared" si="42"/>
        <v>"%USERPROFILE%\Documents\GitHub\eaglep3\Utilities\RefineRTDCRunTimes.py" --tripid 196-28 --locoid 4041 --swversion DE.1.0.9.0 --startMP 204:232894 --initTime 2017-10-28T16:19:29 --startdatetime 2017-10-28T16:27:19 --delay 49 --endMP 204:240 --enddatetime 2017-10-28T17:06:32 --enforcementcount 0 &gt;&gt;%USERPROFILE%\Documents\GitHub\eaglep3-reporting\EC\2017-10-28-refined-times.txt</v>
      </c>
      <c r="AI108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{"issue":{"subject":"","project_id":79,"tracker_id":40,"status_id":1,"priority_id":2,"assigned_to_id":338,"start_date":"2017-10-28","description":"","custom_fields":[{"id":1,"name":"Subdivision","value":"EC"},{"id":4,"name":"Milepost","value":"0.024"},{"id":17,"name":"Train ID","value":"196-28"},{"id":16,"name":"Locomotive ID","value":"4041"},{"id":130,"name":"Impact","value":""},{"id":150,"name":"Time of Event (Mountain Time)","value":"17:06:32"},{"id":151,"name":"Denver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4041 --day 2017-10-28</v>
      </c>
      <c r="AN108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6"/>
        <v>https://d0f6bd738d7f1b3e5a7ca70fe4ff75f0.us-east-1.aws.found.io/app/kibana#/discover/Steve-Slow-Train-Analysis-(2080s-and-2083s)?_g=(refreshInterval:(display:Off,pause:!f,section:0,value:0),time:(from:'2017-10-28T15:19:29-0600',mode:absolute,to:'2017-10-28T18:06:32-0600'))&amp;_a=(columns:!('Message%20ID',Summary),filters:!(),index:'emp_*',interval:auto,query:(query_string:(analyze_wildcard:!t,query:'%22rtdc.l.rtdc.4041%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797</v>
      </c>
      <c r="B109" s="7">
        <v>4032</v>
      </c>
      <c r="C109" s="21" t="s">
        <v>194</v>
      </c>
      <c r="D109" s="21" t="s">
        <v>585</v>
      </c>
      <c r="E109" s="13">
        <v>43036.652187500003</v>
      </c>
      <c r="F109" s="13">
        <v>43036.656400462962</v>
      </c>
      <c r="G109" s="7">
        <v>71</v>
      </c>
      <c r="H109" s="21" t="s">
        <v>1009</v>
      </c>
      <c r="I109" s="13">
        <v>43036.681307870371</v>
      </c>
      <c r="J109" s="7">
        <v>0</v>
      </c>
      <c r="K109" s="89" t="str">
        <f t="shared" si="31"/>
        <v>4031/4032</v>
      </c>
      <c r="L109" s="185" t="str">
        <f>VLOOKUP(A109,'Trips&amp;Operators'!$C$1:$G$99911,5,FALSE)</f>
        <v>BERLING GARY</v>
      </c>
      <c r="M109" s="6">
        <f t="shared" si="32"/>
        <v>2.4907407409045845E-2</v>
      </c>
      <c r="N109" s="7">
        <f t="shared" si="47"/>
        <v>35.866666669026017</v>
      </c>
      <c r="O109" s="7"/>
      <c r="P109" s="7"/>
      <c r="Q109" s="22"/>
      <c r="R109" s="174"/>
      <c r="S109" s="221">
        <f t="shared" si="48"/>
        <v>1</v>
      </c>
      <c r="T109" s="174" t="str">
        <f t="shared" si="33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4"/>
        <v>https://d0f6bd738d7f1b3e5a7ca70fe4ff75f0.us-east-1.aws.found.io/app/kibana#/discover/Steve-Slow-Train-Analysis-(2080s-and-2083s)?_g=(refreshInterval:(display:Off,pause:!f,section:0,value:0),time:(from:'2017-10-28T14:39:09-0600',mode:absolute,to:'2017-10-28T17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9" s="204" t="str">
        <f>IF(AA109&lt;VLOOKUP(AG109,Variables!$AC$3:$AD$8,2,FALSE),"Y","N")</f>
        <v>N</v>
      </c>
      <c r="X109" s="204">
        <f t="shared" si="49"/>
        <v>1</v>
      </c>
      <c r="Y109" s="204">
        <f t="shared" si="55"/>
        <v>5.1999999999999998E-2</v>
      </c>
      <c r="Z109" s="204">
        <f t="shared" si="56"/>
        <v>23.3217</v>
      </c>
      <c r="AA109" s="204">
        <f t="shared" si="37"/>
        <v>23.2697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8"/>
        <v>197</v>
      </c>
      <c r="AE109" s="77" t="str">
        <f t="shared" si="39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109" s="74" t="str">
        <f t="shared" si="40"/>
        <v>"C:\Program Files (x86)\AstroGrep\AstroGrep.exe" /e /r /s /spath="%USERPROFILE%\AppData\Local\Temp\OnboardLogs" /stypes="app*4032*20171028*" /stext=" 22:.+((SYSTEM_STATE.+slice.+state.+changed )|(ment ac)|(multiple cpu faults)|(system.+state.+changed )|(\[timeout)|(PRM\|1\|D)|(kpr)|(kdp)|(train st.+moving)|(\|lc)|(penalty))"</v>
      </c>
      <c r="AG109" s="182" t="str">
        <f t="shared" si="41"/>
        <v>EC</v>
      </c>
      <c r="AH109" s="78" t="str">
        <f t="shared" si="42"/>
        <v>"%USERPROFILE%\Documents\GitHub\eaglep3\Utilities\RefineRTDCRunTimes.py" --tripid 197-28 --locoid 4032 --swversion DE.1.0.9.0 --startMP 204:520 --initTime 2017-10-28T15:39:09 --startdatetime 2017-10-28T15:45:13 --delay 71 --endMP 204:233217 --enddatetime 2017-10-28T16:21:05 --enforcementcount 0 &gt;&gt;%USERPROFILE%\Documents\GitHub\eaglep3-reporting\EC\2017-10-28-refined-times.txt</v>
      </c>
      <c r="AI109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{"issue":{"subject":"","project_id":79,"tracker_id":40,"status_id":1,"priority_id":2,"assigned_to_id":338,"start_date":"2017-10-28","description":"","custom_fields":[{"id":1,"name":"Subdivision","value":"EC"},{"id":4,"name":"Milepost","value":"23.3217"},{"id":17,"name":"Train ID","value":"197-28"},{"id":16,"name":"Locomotive ID","value":"4032"},{"id":130,"name":"Impact","value":""},{"id":150,"name":"Time of Event (Mountain Time)","value":"16:21:05"},{"id":151,"name":"Denver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4032 --day 2017-10-28</v>
      </c>
      <c r="AN109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6"/>
        <v>https://d0f6bd738d7f1b3e5a7ca70fe4ff75f0.us-east-1.aws.found.io/app/kibana#/discover/Steve-Slow-Train-Analysis-(2080s-and-2083s)?_g=(refreshInterval:(display:Off,pause:!f,section:0,value:0),time:(from:'2017-10-28T14:39:09-0600',mode:absolute,to:'2017-10-28T17:21:05-0600'))&amp;_a=(columns:!('Message%20ID',Summary),filters:!(),index:'emp_*',interval:auto,query:(query_string:(analyze_wildcard:!t,query:'%22rtdc.l.rtdc.4032%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807</v>
      </c>
      <c r="B110" s="7">
        <v>4031</v>
      </c>
      <c r="C110" s="21" t="s">
        <v>194</v>
      </c>
      <c r="D110" s="21" t="s">
        <v>576</v>
      </c>
      <c r="E110" s="13">
        <v>43036.688819444447</v>
      </c>
      <c r="F110" s="13">
        <v>43036.695983796293</v>
      </c>
      <c r="G110" s="7">
        <v>55</v>
      </c>
      <c r="H110" s="21" t="s">
        <v>1010</v>
      </c>
      <c r="I110" s="13">
        <v>43036.722395833334</v>
      </c>
      <c r="J110" s="7">
        <v>0</v>
      </c>
      <c r="K110" s="89" t="str">
        <f t="shared" si="31"/>
        <v>4031/4032</v>
      </c>
      <c r="L110" s="185" t="str">
        <f>VLOOKUP(A110,'Trips&amp;Operators'!$C$1:$G$99911,5,FALSE)</f>
        <v>BERLING GARY</v>
      </c>
      <c r="M110" s="6">
        <f t="shared" si="32"/>
        <v>2.641203704115469E-2</v>
      </c>
      <c r="N110" s="7">
        <f t="shared" ref="N110:N141" si="57">24*60*SUM($M110:$M110)</f>
        <v>38.033333339262754</v>
      </c>
      <c r="O110" s="7"/>
      <c r="P110" s="7"/>
      <c r="Q110" s="22"/>
      <c r="R110" s="174"/>
      <c r="S110" s="221">
        <f t="shared" ref="S110:S141" si="58">1/IF(AG110="EC",12,1)*SUM(U110:U110)</f>
        <v>1</v>
      </c>
      <c r="T110" s="174" t="str">
        <f t="shared" si="33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4"/>
        <v>https://d0f6bd738d7f1b3e5a7ca70fe4ff75f0.us-east-1.aws.found.io/app/kibana#/discover/Steve-Slow-Train-Analysis-(2080s-and-2083s)?_g=(refreshInterval:(display:Off,pause:!f,section:0,value:0),time:(from:'2017-10-28T15:31:54-0600',mode:absolute,to:'2017-10-28T18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0" s="204" t="str">
        <f>IF(AA110&lt;VLOOKUP(AG110,Variables!$AC$3:$AD$8,2,FALSE),"Y","N")</f>
        <v>N</v>
      </c>
      <c r="X110" s="204">
        <f t="shared" si="49"/>
        <v>1</v>
      </c>
      <c r="Y110" s="204">
        <f t="shared" si="55"/>
        <v>23.290400000000002</v>
      </c>
      <c r="Z110" s="204">
        <f t="shared" si="56"/>
        <v>3.2199999999999999E-2</v>
      </c>
      <c r="AA110" s="204">
        <f t="shared" si="37"/>
        <v>23.258200000000002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8"/>
        <v>198</v>
      </c>
      <c r="AE110" s="77" t="str">
        <f t="shared" si="39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110" s="74" t="str">
        <f t="shared" si="40"/>
        <v>"C:\Program Files (x86)\AstroGrep\AstroGrep.exe" /e /r /s /spath="%USERPROFILE%\AppData\Local\Temp\OnboardLogs" /stypes="app*4031*20171028*" /stext=" 23:.+((SYSTEM_STATE.+slice.+state.+changed )|(ment ac)|(multiple cpu faults)|(system.+state.+changed )|(\[timeout)|(PRM\|1\|D)|(kpr)|(kdp)|(train st.+moving)|(\|lc)|(penalty))"</v>
      </c>
      <c r="AG110" s="182" t="str">
        <f t="shared" si="41"/>
        <v>EC</v>
      </c>
      <c r="AH110" s="78" t="str">
        <f t="shared" si="42"/>
        <v>"%USERPROFILE%\Documents\GitHub\eaglep3\Utilities\RefineRTDCRunTimes.py" --tripid 198-28 --locoid 4031 --swversion DE.1.0.9.0 --startMP 204:232904 --initTime 2017-10-28T16:31:54 --startdatetime 2017-10-28T16:42:13 --delay 55 --endMP 204:322 --enddatetime 2017-10-28T17:20:15 --enforcementcount 0 &gt;&gt;%USERPROFILE%\Documents\GitHub\eaglep3-reporting\EC\2017-10-28-refined-times.txt</v>
      </c>
      <c r="AI110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{"issue":{"subject":"","project_id":79,"tracker_id":40,"status_id":1,"priority_id":2,"assigned_to_id":338,"start_date":"2017-10-28","description":"","custom_fields":[{"id":1,"name":"Subdivision","value":"EC"},{"id":4,"name":"Milepost","value":"0.0322"},{"id":17,"name":"Train ID","value":"198-28"},{"id":16,"name":"Locomotive ID","value":"4031"},{"id":130,"name":"Impact","value":""},{"id":150,"name":"Time of Event (Mountain Time)","value":"17:20:15"},{"id":151,"name":"Denver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4031 --day 2017-10-28</v>
      </c>
      <c r="AN110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6"/>
        <v>https://d0f6bd738d7f1b3e5a7ca70fe4ff75f0.us-east-1.aws.found.io/app/kibana#/discover/Steve-Slow-Train-Analysis-(2080s-and-2083s)?_g=(refreshInterval:(display:Off,pause:!f,section:0,value:0),time:(from:'2017-10-28T15:31:54-0600',mode:absolute,to:'2017-10-28T18:20:15-0600'))&amp;_a=(columns:!('Message%20ID',Summary),filters:!(),index:'emp_*',interval:auto,query:(query_string:(analyze_wildcard:!t,query:'%22rtdc.l.rtdc.4031%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800</v>
      </c>
      <c r="B111" s="7">
        <v>4024</v>
      </c>
      <c r="C111" s="21" t="s">
        <v>194</v>
      </c>
      <c r="D111" s="21" t="s">
        <v>596</v>
      </c>
      <c r="E111" s="13">
        <v>43036.662175925929</v>
      </c>
      <c r="F111" s="13">
        <v>43036.66684027778</v>
      </c>
      <c r="G111" s="7">
        <v>82</v>
      </c>
      <c r="H111" s="21" t="s">
        <v>946</v>
      </c>
      <c r="I111" s="13">
        <v>43036.691655092596</v>
      </c>
      <c r="J111" s="7">
        <v>0</v>
      </c>
      <c r="K111" s="89" t="str">
        <f t="shared" si="31"/>
        <v>4023/4024</v>
      </c>
      <c r="L111" s="185" t="str">
        <f>VLOOKUP(A111,'Trips&amp;Operators'!$C$1:$G$99911,5,FALSE)</f>
        <v>BRUDER RICHARD</v>
      </c>
      <c r="M111" s="6">
        <f t="shared" si="32"/>
        <v>2.4814814816636499E-2</v>
      </c>
      <c r="N111" s="7">
        <f t="shared" si="57"/>
        <v>35.733333335956559</v>
      </c>
      <c r="O111" s="7"/>
      <c r="P111" s="7"/>
      <c r="Q111" s="22"/>
      <c r="R111" s="174"/>
      <c r="S111" s="221">
        <f t="shared" si="58"/>
        <v>1</v>
      </c>
      <c r="T111" s="174" t="str">
        <f t="shared" si="33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4"/>
        <v>https://d0f6bd738d7f1b3e5a7ca70fe4ff75f0.us-east-1.aws.found.io/app/kibana#/discover/Steve-Slow-Train-Analysis-(2080s-and-2083s)?_g=(refreshInterval:(display:Off,pause:!f,section:0,value:0),time:(from:'2017-10-28T14:53:32-0600',mode:absolute,to:'2017-10-28T17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1" s="204" t="str">
        <f>IF(AA111&lt;VLOOKUP(AG111,Variables!$AC$3:$AD$8,2,FALSE),"Y","N")</f>
        <v>N</v>
      </c>
      <c r="X111" s="204">
        <f t="shared" si="49"/>
        <v>1</v>
      </c>
      <c r="Y111" s="204">
        <f t="shared" si="55"/>
        <v>5.3999999999999999E-2</v>
      </c>
      <c r="Z111" s="204">
        <f t="shared" si="56"/>
        <v>23.321100000000001</v>
      </c>
      <c r="AA111" s="204">
        <f t="shared" si="37"/>
        <v>23.267100000000003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8"/>
        <v>199</v>
      </c>
      <c r="AE111" s="77" t="str">
        <f t="shared" si="39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111" s="74" t="str">
        <f t="shared" si="40"/>
        <v>"C:\Program Files (x86)\AstroGrep\AstroGrep.exe" /e /r /s /spath="%USERPROFILE%\AppData\Local\Temp\OnboardLogs" /stypes="app*4024*20171028*" /stext=" 22:.+((SYSTEM_STATE.+slice.+state.+changed )|(ment ac)|(multiple cpu faults)|(system.+state.+changed )|(\[timeout)|(PRM\|1\|D)|(kpr)|(kdp)|(train st.+moving)|(\|lc)|(penalty))"</v>
      </c>
      <c r="AG111" s="182" t="str">
        <f t="shared" si="41"/>
        <v>EC</v>
      </c>
      <c r="AH111" s="78" t="str">
        <f t="shared" si="42"/>
        <v>"%USERPROFILE%\Documents\GitHub\eaglep3\Utilities\RefineRTDCRunTimes.py" --tripid 199-28 --locoid 4024 --swversion DE.1.0.9.0 --startMP 204:540 --initTime 2017-10-28T15:53:32 --startdatetime 2017-10-28T16:00:15 --delay 82 --endMP 204:233211 --enddatetime 2017-10-28T16:35:59 --enforcementcount 0 &gt;&gt;%USERPROFILE%\Documents\GitHub\eaglep3-reporting\EC\2017-10-28-refined-times.txt</v>
      </c>
      <c r="AI111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{"issue":{"subject":"","project_id":79,"tracker_id":40,"status_id":1,"priority_id":2,"assigned_to_id":338,"start_date":"2017-10-28","description":"","custom_fields":[{"id":1,"name":"Subdivision","value":"EC"},{"id":4,"name":"Milepost","value":"23.3211"},{"id":17,"name":"Train ID","value":"199-28"},{"id":16,"name":"Locomotive ID","value":"4024"},{"id":130,"name":"Impact","value":""},{"id":150,"name":"Time of Event (Mountain Time)","value":"16:35:59"},{"id":151,"name":"Denver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4024 --day 2017-10-28</v>
      </c>
      <c r="AN111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6"/>
        <v>https://d0f6bd738d7f1b3e5a7ca70fe4ff75f0.us-east-1.aws.found.io/app/kibana#/discover/Steve-Slow-Train-Analysis-(2080s-and-2083s)?_g=(refreshInterval:(display:Off,pause:!f,section:0,value:0),time:(from:'2017-10-28T14:53:32-0600',mode:absolute,to:'2017-10-28T17:35:59-0600'))&amp;_a=(columns:!('Message%20ID',Summary),filters:!(),index:'emp_*',interval:auto,query:(query_string:(analyze_wildcard:!t,query:'%22rtdc.l.rtdc.4024%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810</v>
      </c>
      <c r="B112" s="7">
        <v>4023</v>
      </c>
      <c r="C112" s="21" t="s">
        <v>194</v>
      </c>
      <c r="D112" s="21" t="s">
        <v>1003</v>
      </c>
      <c r="E112" s="13">
        <v>43036.702939814815</v>
      </c>
      <c r="F112" s="13">
        <v>43036.706435185188</v>
      </c>
      <c r="G112" s="7">
        <v>101</v>
      </c>
      <c r="H112" s="21" t="s">
        <v>516</v>
      </c>
      <c r="I112" s="13">
        <v>43036.732303240744</v>
      </c>
      <c r="J112" s="7">
        <v>0</v>
      </c>
      <c r="K112" s="89" t="str">
        <f t="shared" si="31"/>
        <v>4023/4024</v>
      </c>
      <c r="L112" s="185" t="str">
        <f>VLOOKUP(A112,'Trips&amp;Operators'!$C$1:$G$99911,5,FALSE)</f>
        <v>BRUDER RICHARD</v>
      </c>
      <c r="M112" s="6">
        <f t="shared" si="32"/>
        <v>2.5868055556202307E-2</v>
      </c>
      <c r="N112" s="7">
        <f t="shared" si="57"/>
        <v>37.250000000931323</v>
      </c>
      <c r="O112" s="7"/>
      <c r="P112" s="7"/>
      <c r="Q112" s="22"/>
      <c r="R112" s="174"/>
      <c r="S112" s="221">
        <f t="shared" si="58"/>
        <v>1</v>
      </c>
      <c r="T112" s="174" t="str">
        <f t="shared" si="33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4"/>
        <v>https://d0f6bd738d7f1b3e5a7ca70fe4ff75f0.us-east-1.aws.found.io/app/kibana#/discover/Steve-Slow-Train-Analysis-(2080s-and-2083s)?_g=(refreshInterval:(display:Off,pause:!f,section:0,value:0),time:(from:'2017-10-28T15:52:14-0600',mode:absolute,to:'2017-10-28T18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2" s="204" t="str">
        <f>IF(AA112&lt;VLOOKUP(AG112,Variables!$AC$3:$AD$8,2,FALSE),"Y","N")</f>
        <v>N</v>
      </c>
      <c r="X112" s="204">
        <f t="shared" si="49"/>
        <v>1</v>
      </c>
      <c r="Y112" s="204">
        <f t="shared" si="55"/>
        <v>23.288399999999999</v>
      </c>
      <c r="Z112" s="204">
        <f t="shared" si="56"/>
        <v>2.3800000000000002E-2</v>
      </c>
      <c r="AA112" s="204">
        <f t="shared" si="37"/>
        <v>23.264599999999998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8"/>
        <v>200</v>
      </c>
      <c r="AE112" s="77" t="str">
        <f t="shared" si="39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112" s="74" t="str">
        <f t="shared" si="40"/>
        <v>"C:\Program Files (x86)\AstroGrep\AstroGrep.exe" /e /r /s /spath="%USERPROFILE%\AppData\Local\Temp\OnboardLogs" /stypes="app*4023*20171028*" /stext=" 23:.+((SYSTEM_STATE.+slice.+state.+changed )|(ment ac)|(multiple cpu faults)|(system.+state.+changed )|(\[timeout)|(PRM\|1\|D)|(kpr)|(kdp)|(train st.+moving)|(\|lc)|(penalty))"</v>
      </c>
      <c r="AG112" s="182" t="str">
        <f t="shared" si="41"/>
        <v>EC</v>
      </c>
      <c r="AH112" s="78" t="str">
        <f t="shared" si="42"/>
        <v>"%USERPROFILE%\Documents\GitHub\eaglep3\Utilities\RefineRTDCRunTimes.py" --tripid 200-28 --locoid 4023 --swversion DE.1.0.9.0 --startMP 204:232884 --initTime 2017-10-28T16:52:14 --startdatetime 2017-10-28T16:57:16 --delay 101 --endMP 204:238 --enddatetime 2017-10-28T17:34:31 --enforcementcount 0 &gt;&gt;%USERPROFILE%\Documents\GitHub\eaglep3-reporting\EC\2017-10-28-refined-times.txt</v>
      </c>
      <c r="AI112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{"issue":{"subject":"","project_id":79,"tracker_id":40,"status_id":1,"priority_id":2,"assigned_to_id":338,"start_date":"2017-10-28","description":"","custom_fields":[{"id":1,"name":"Subdivision","value":"EC"},{"id":4,"name":"Milepost","value":"0.0238"},{"id":17,"name":"Train ID","value":"200-28"},{"id":16,"name":"Locomotive ID","value":"4023"},{"id":130,"name":"Impact","value":""},{"id":150,"name":"Time of Event (Mountain Time)","value":"17:34:31"},{"id":151,"name":"Denver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4023 --day 2017-10-28</v>
      </c>
      <c r="AN112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6"/>
        <v>https://d0f6bd738d7f1b3e5a7ca70fe4ff75f0.us-east-1.aws.found.io/app/kibana#/discover/Steve-Slow-Train-Analysis-(2080s-and-2083s)?_g=(refreshInterval:(display:Off,pause:!f,section:0,value:0),time:(from:'2017-10-28T15:52:14-0600',mode:absolute,to:'2017-10-28T18:34:31-0600'))&amp;_a=(columns:!('Message%20ID',Summary),filters:!(),index:'emp_*',interval:auto,query:(query_string:(analyze_wildcard:!t,query:'%22rtdc.l.rtdc.4023%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803</v>
      </c>
      <c r="B113" s="7">
        <v>4064</v>
      </c>
      <c r="C113" s="21" t="s">
        <v>194</v>
      </c>
      <c r="D113" s="21" t="s">
        <v>500</v>
      </c>
      <c r="E113" s="13">
        <v>43036.673518518517</v>
      </c>
      <c r="F113" s="13">
        <v>43036.677268518521</v>
      </c>
      <c r="G113" s="7">
        <v>48</v>
      </c>
      <c r="H113" s="21" t="s">
        <v>1011</v>
      </c>
      <c r="I113" s="13">
        <v>43036.701527777775</v>
      </c>
      <c r="J113" s="7">
        <v>0</v>
      </c>
      <c r="K113" s="89" t="str">
        <f t="shared" si="31"/>
        <v>4063/4064</v>
      </c>
      <c r="L113" s="185" t="str">
        <f>VLOOKUP(A113,'Trips&amp;Operators'!$C$1:$G$99911,5,FALSE)</f>
        <v>HOLCOMB KAMDEN</v>
      </c>
      <c r="M113" s="6">
        <f t="shared" si="32"/>
        <v>2.4259259254904464E-2</v>
      </c>
      <c r="N113" s="7">
        <f t="shared" si="57"/>
        <v>34.933333327062428</v>
      </c>
      <c r="O113" s="7"/>
      <c r="P113" s="7"/>
      <c r="Q113" s="22"/>
      <c r="R113" s="174"/>
      <c r="S113" s="221">
        <f t="shared" si="58"/>
        <v>1</v>
      </c>
      <c r="T113" s="174" t="str">
        <f t="shared" si="33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4"/>
        <v>https://d0f6bd738d7f1b3e5a7ca70fe4ff75f0.us-east-1.aws.found.io/app/kibana#/discover/Steve-Slow-Train-Analysis-(2080s-and-2083s)?_g=(refreshInterval:(display:Off,pause:!f,section:0,value:0),time:(from:'2017-10-28T15:09:52-0600',mode:absolute,to:'2017-10-28T17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204" t="str">
        <f>IF(AA113&lt;VLOOKUP(AG113,Variables!$AC$3:$AD$8,2,FALSE),"Y","N")</f>
        <v>N</v>
      </c>
      <c r="X113" s="204">
        <f t="shared" si="49"/>
        <v>1</v>
      </c>
      <c r="Y113" s="204">
        <f t="shared" si="55"/>
        <v>5.4600000000000003E-2</v>
      </c>
      <c r="Z113" s="204">
        <f t="shared" si="56"/>
        <v>23.317399999999999</v>
      </c>
      <c r="AA113" s="204">
        <f t="shared" si="37"/>
        <v>23.262799999999999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8"/>
        <v>201</v>
      </c>
      <c r="AE113" s="77" t="str">
        <f t="shared" si="39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113" s="74" t="str">
        <f t="shared" si="40"/>
        <v>"C:\Program Files (x86)\AstroGrep\AstroGrep.exe" /e /r /s /spath="%USERPROFILE%\AppData\Local\Temp\OnboardLogs" /stypes="app*4064*20171028*" /stext=" 22:.+((SYSTEM_STATE.+slice.+state.+changed )|(ment ac)|(multiple cpu faults)|(system.+state.+changed )|(\[timeout)|(PRM\|1\|D)|(kpr)|(kdp)|(train st.+moving)|(\|lc)|(penalty))"</v>
      </c>
      <c r="AG113" s="182" t="str">
        <f t="shared" si="41"/>
        <v>EC</v>
      </c>
      <c r="AH113" s="78" t="str">
        <f t="shared" si="42"/>
        <v>"%USERPROFILE%\Documents\GitHub\eaglep3\Utilities\RefineRTDCRunTimes.py" --tripid 201-28 --locoid 4064 --swversion DE.1.0.9.0 --startMP 204:546 --initTime 2017-10-28T16:09:52 --startdatetime 2017-10-28T16:15:16 --delay 48 --endMP 204:233174 --enddatetime 2017-10-28T16:50:12 --enforcementcount 0 &gt;&gt;%USERPROFILE%\Documents\GitHub\eaglep3-reporting\EC\2017-10-28-refined-times.txt</v>
      </c>
      <c r="AI113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{"issue":{"subject":"","project_id":79,"tracker_id":40,"status_id":1,"priority_id":2,"assigned_to_id":338,"start_date":"2017-10-28","description":"","custom_fields":[{"id":1,"name":"Subdivision","value":"EC"},{"id":4,"name":"Milepost","value":"23.3174"},{"id":17,"name":"Train ID","value":"201-28"},{"id":16,"name":"Locomotive ID","value":"4064"},{"id":130,"name":"Impact","value":""},{"id":150,"name":"Time of Event (Mountain Time)","value":"16:50:12"},{"id":151,"name":"Denver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4064 --day 2017-10-28</v>
      </c>
      <c r="AN113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6"/>
        <v>https://d0f6bd738d7f1b3e5a7ca70fe4ff75f0.us-east-1.aws.found.io/app/kibana#/discover/Steve-Slow-Train-Analysis-(2080s-and-2083s)?_g=(refreshInterval:(display:Off,pause:!f,section:0,value:0),time:(from:'2017-10-28T15:09:52-0600',mode:absolute,to:'2017-10-28T17:50:12-0600'))&amp;_a=(columns:!('Message%20ID',Summary),filters:!(),index:'emp_*',interval:auto,query:(query_string:(analyze_wildcard:!t,query:'%22rtdc.l.rtdc.4064%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812</v>
      </c>
      <c r="B114" s="7">
        <v>4063</v>
      </c>
      <c r="C114" s="21" t="s">
        <v>194</v>
      </c>
      <c r="D114" s="21" t="s">
        <v>1012</v>
      </c>
      <c r="E114" s="13">
        <v>43036.713622685187</v>
      </c>
      <c r="F114" s="13">
        <v>43036.716874999998</v>
      </c>
      <c r="G114" s="7">
        <v>55</v>
      </c>
      <c r="H114" s="21" t="s">
        <v>1013</v>
      </c>
      <c r="I114" s="13">
        <v>43036.743761574071</v>
      </c>
      <c r="J114" s="7">
        <v>0</v>
      </c>
      <c r="K114" s="89" t="str">
        <f t="shared" si="31"/>
        <v>4063/4064</v>
      </c>
      <c r="L114" s="185" t="str">
        <f>VLOOKUP(A114,'Trips&amp;Operators'!$C$1:$G$99911,5,FALSE)</f>
        <v>HOLCOMB KAMDEN</v>
      </c>
      <c r="M114" s="6">
        <f t="shared" si="32"/>
        <v>2.6886574072705116E-2</v>
      </c>
      <c r="N114" s="7">
        <f t="shared" si="57"/>
        <v>38.716666664695367</v>
      </c>
      <c r="O114" s="7"/>
      <c r="P114" s="7"/>
      <c r="Q114" s="22"/>
      <c r="R114" s="174"/>
      <c r="S114" s="221">
        <f t="shared" si="58"/>
        <v>1</v>
      </c>
      <c r="T114" s="174" t="str">
        <f t="shared" si="33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4"/>
        <v>https://d0f6bd738d7f1b3e5a7ca70fe4ff75f0.us-east-1.aws.found.io/app/kibana#/discover/Steve-Slow-Train-Analysis-(2080s-and-2083s)?_g=(refreshInterval:(display:Off,pause:!f,section:0,value:0),time:(from:'2017-10-28T16:07:37-0600',mode:absolute,to:'2017-10-28T18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204" t="str">
        <f>IF(AA114&lt;VLOOKUP(AG114,Variables!$AC$3:$AD$8,2,FALSE),"Y","N")</f>
        <v>N</v>
      </c>
      <c r="X114" s="204">
        <f t="shared" si="49"/>
        <v>1</v>
      </c>
      <c r="Y114" s="204">
        <f t="shared" si="55"/>
        <v>23.2851</v>
      </c>
      <c r="Z114" s="204">
        <f t="shared" si="56"/>
        <v>2.8000000000000001E-2</v>
      </c>
      <c r="AA114" s="204">
        <f t="shared" si="37"/>
        <v>23.257100000000001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8"/>
        <v>202</v>
      </c>
      <c r="AE114" s="77" t="str">
        <f t="shared" si="39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114" s="74" t="str">
        <f t="shared" si="40"/>
        <v>"C:\Program Files (x86)\AstroGrep\AstroGrep.exe" /e /r /s /spath="%USERPROFILE%\AppData\Local\Temp\OnboardLogs" /stypes="app*4063*20171028*" /stext=" 23:.+((SYSTEM_STATE.+slice.+state.+changed )|(ment ac)|(multiple cpu faults)|(system.+state.+changed )|(\[timeout)|(PRM\|1\|D)|(kpr)|(kdp)|(train st.+moving)|(\|lc)|(penalty))"</v>
      </c>
      <c r="AG114" s="182" t="str">
        <f t="shared" si="41"/>
        <v>EC</v>
      </c>
      <c r="AH114" s="78" t="str">
        <f t="shared" si="42"/>
        <v>"%USERPROFILE%\Documents\GitHub\eaglep3\Utilities\RefineRTDCRunTimes.py" --tripid 202-28 --locoid 4063 --swversion DE.1.0.9.0 --startMP 204:232851 --initTime 2017-10-28T17:07:37 --startdatetime 2017-10-28T17:12:18 --delay 55 --endMP 204:280 --enddatetime 2017-10-28T17:51:01 --enforcementcount 0 &gt;&gt;%USERPROFILE%\Documents\GitHub\eaglep3-reporting\EC\2017-10-28-refined-times.txt</v>
      </c>
      <c r="AI114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{"issue":{"subject":"","project_id":79,"tracker_id":40,"status_id":1,"priority_id":2,"assigned_to_id":338,"start_date":"2017-10-28","description":"","custom_fields":[{"id":1,"name":"Subdivision","value":"EC"},{"id":4,"name":"Milepost","value":"0.028"},{"id":17,"name":"Train ID","value":"202-28"},{"id":16,"name":"Locomotive ID","value":"4063"},{"id":130,"name":"Impact","value":""},{"id":150,"name":"Time of Event (Mountain Time)","value":"17:51:01"},{"id":151,"name":"Denver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4063 --day 2017-10-28</v>
      </c>
      <c r="AN114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6"/>
        <v>https://d0f6bd738d7f1b3e5a7ca70fe4ff75f0.us-east-1.aws.found.io/app/kibana#/discover/Steve-Slow-Train-Analysis-(2080s-and-2083s)?_g=(refreshInterval:(display:Off,pause:!f,section:0,value:0),time:(from:'2017-10-28T16:07:37-0600',mode:absolute,to:'2017-10-28T18:51:01-0600'))&amp;_a=(columns:!('Message%20ID',Summary),filters:!(),index:'emp_*',interval:auto,query:(query_string:(analyze_wildcard:!t,query:'%22rtdc.l.rtdc.4063%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805</v>
      </c>
      <c r="B115" s="7">
        <v>4012</v>
      </c>
      <c r="C115" s="21" t="s">
        <v>194</v>
      </c>
      <c r="D115" s="21" t="s">
        <v>526</v>
      </c>
      <c r="E115" s="13">
        <v>43036.685162037036</v>
      </c>
      <c r="F115" s="13">
        <v>43036.688113425924</v>
      </c>
      <c r="G115" s="7">
        <v>49</v>
      </c>
      <c r="H115" s="21" t="s">
        <v>501</v>
      </c>
      <c r="I115" s="13">
        <v>43036.713819444441</v>
      </c>
      <c r="J115" s="7">
        <v>0</v>
      </c>
      <c r="K115" s="89" t="str">
        <f t="shared" si="31"/>
        <v>4011/4012</v>
      </c>
      <c r="L115" s="185" t="str">
        <f>VLOOKUP(A115,'Trips&amp;Operators'!$C$1:$G$99911,5,FALSE)</f>
        <v>DAVIS MICHAEL</v>
      </c>
      <c r="M115" s="6">
        <f t="shared" si="32"/>
        <v>2.5706018517666962E-2</v>
      </c>
      <c r="N115" s="7">
        <f t="shared" si="57"/>
        <v>37.016666665440425</v>
      </c>
      <c r="O115" s="7"/>
      <c r="P115" s="7"/>
      <c r="Q115" s="22"/>
      <c r="R115" s="174"/>
      <c r="S115" s="221">
        <f t="shared" si="58"/>
        <v>1</v>
      </c>
      <c r="T115" s="174" t="str">
        <f t="shared" si="33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4"/>
        <v>https://d0f6bd738d7f1b3e5a7ca70fe4ff75f0.us-east-1.aws.found.io/app/kibana#/discover/Steve-Slow-Train-Analysis-(2080s-and-2083s)?_g=(refreshInterval:(display:Off,pause:!f,section:0,value:0),time:(from:'2017-10-28T15:26:38-0600',mode:absolute,to:'2017-10-28T18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204" t="str">
        <f>IF(AA115&lt;VLOOKUP(AG115,Variables!$AC$3:$AD$8,2,FALSE),"Y","N")</f>
        <v>N</v>
      </c>
      <c r="X115" s="204">
        <f t="shared" si="49"/>
        <v>1</v>
      </c>
      <c r="Y115" s="204">
        <f t="shared" si="55"/>
        <v>5.1900000000000002E-2</v>
      </c>
      <c r="Z115" s="204">
        <f t="shared" si="56"/>
        <v>23.317</v>
      </c>
      <c r="AA115" s="204">
        <f t="shared" si="37"/>
        <v>23.2651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8"/>
        <v>203</v>
      </c>
      <c r="AE115" s="77" t="str">
        <f t="shared" si="39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115" s="74" t="str">
        <f t="shared" si="40"/>
        <v>"C:\Program Files (x86)\AstroGrep\AstroGrep.exe" /e /r /s /spath="%USERPROFILE%\AppData\Local\Temp\OnboardLogs" /stypes="app*4012*20171028*" /stext=" 23:.+((SYSTEM_STATE.+slice.+state.+changed )|(ment ac)|(multiple cpu faults)|(system.+state.+changed )|(\[timeout)|(PRM\|1\|D)|(kpr)|(kdp)|(train st.+moving)|(\|lc)|(penalty))"</v>
      </c>
      <c r="AG115" s="182" t="str">
        <f t="shared" si="41"/>
        <v>EC</v>
      </c>
      <c r="AH115" s="78" t="str">
        <f t="shared" si="42"/>
        <v>"%USERPROFILE%\Documents\GitHub\eaglep3\Utilities\RefineRTDCRunTimes.py" --tripid 203-28 --locoid 4012 --swversion DE.1.0.9.0 --startMP 204:519 --initTime 2017-10-28T16:26:38 --startdatetime 2017-10-28T16:30:53 --delay 49 --endMP 204:233170 --enddatetime 2017-10-28T17:07:54 --enforcementcount 0 &gt;&gt;%USERPROFILE%\Documents\GitHub\eaglep3-reporting\EC\2017-10-28-refined-times.txt</v>
      </c>
      <c r="AI115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{"issue":{"subject":"","project_id":79,"tracker_id":40,"status_id":1,"priority_id":2,"assigned_to_id":338,"start_date":"2017-10-28","description":"","custom_fields":[{"id":1,"name":"Subdivision","value":"EC"},{"id":4,"name":"Milepost","value":"23.317"},{"id":17,"name":"Train ID","value":"203-28"},{"id":16,"name":"Locomotive ID","value":"4012"},{"id":130,"name":"Impact","value":""},{"id":150,"name":"Time of Event (Mountain Time)","value":"17:07:54"},{"id":151,"name":"Denver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4012 --day 2017-10-28</v>
      </c>
      <c r="AN115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6"/>
        <v>https://d0f6bd738d7f1b3e5a7ca70fe4ff75f0.us-east-1.aws.found.io/app/kibana#/discover/Steve-Slow-Train-Analysis-(2080s-and-2083s)?_g=(refreshInterval:(display:Off,pause:!f,section:0,value:0),time:(from:'2017-10-28T15:26:38-0600',mode:absolute,to:'2017-10-28T18:07:54-0600'))&amp;_a=(columns:!('Message%20ID',Summary),filters:!(),index:'emp_*',interval:auto,query:(query_string:(analyze_wildcard:!t,query:'%22rtdc.l.rtdc.4012%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815</v>
      </c>
      <c r="B116" s="7">
        <v>4011</v>
      </c>
      <c r="C116" s="21" t="s">
        <v>194</v>
      </c>
      <c r="D116" s="21" t="s">
        <v>528</v>
      </c>
      <c r="E116" s="13">
        <v>43036.723900462966</v>
      </c>
      <c r="F116" s="13">
        <v>43036.727418981478</v>
      </c>
      <c r="G116" s="7">
        <v>63</v>
      </c>
      <c r="H116" s="21" t="s">
        <v>592</v>
      </c>
      <c r="I116" s="13">
        <v>43036.755046296297</v>
      </c>
      <c r="J116" s="7">
        <v>0</v>
      </c>
      <c r="K116" s="89" t="str">
        <f t="shared" si="31"/>
        <v>4011/4012</v>
      </c>
      <c r="L116" s="185" t="str">
        <f>VLOOKUP(A116,'Trips&amp;Operators'!$C$1:$G$99911,5,FALSE)</f>
        <v>DAVIS MICHAEL</v>
      </c>
      <c r="M116" s="6">
        <f t="shared" si="32"/>
        <v>2.7627314819255844E-2</v>
      </c>
      <c r="N116" s="7">
        <f t="shared" si="57"/>
        <v>39.783333339728415</v>
      </c>
      <c r="O116" s="7"/>
      <c r="P116" s="7"/>
      <c r="Q116" s="22"/>
      <c r="R116" s="174"/>
      <c r="S116" s="221">
        <f t="shared" si="58"/>
        <v>1</v>
      </c>
      <c r="T116" s="174" t="str">
        <f t="shared" si="33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4"/>
        <v>https://d0f6bd738d7f1b3e5a7ca70fe4ff75f0.us-east-1.aws.found.io/app/kibana#/discover/Steve-Slow-Train-Analysis-(2080s-and-2083s)?_g=(refreshInterval:(display:Off,pause:!f,section:0,value:0),time:(from:'2017-10-28T16:22:25-0600',mode:absolute,to:'2017-10-28T19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204" t="str">
        <f>IF(AA116&lt;VLOOKUP(AG116,Variables!$AC$3:$AD$8,2,FALSE),"Y","N")</f>
        <v>N</v>
      </c>
      <c r="X116" s="204">
        <f t="shared" si="49"/>
        <v>1</v>
      </c>
      <c r="Y116" s="204">
        <f t="shared" si="55"/>
        <v>23.287500000000001</v>
      </c>
      <c r="Z116" s="204">
        <f t="shared" si="56"/>
        <v>2.3099999999999999E-2</v>
      </c>
      <c r="AA116" s="204">
        <f t="shared" si="37"/>
        <v>23.264400000000002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8"/>
        <v>204</v>
      </c>
      <c r="AE116" s="77" t="str">
        <f t="shared" si="39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116" s="74" t="str">
        <f t="shared" si="40"/>
        <v>"C:\Program Files (x86)\AstroGrep\AstroGrep.exe" /e /r /s /spath="%USERPROFILE%\AppData\Local\Temp\OnboardLogs" /stypes="app*4011*20171029*" /stext=" 00:.+((SYSTEM_STATE.+slice.+state.+changed )|(ment ac)|(multiple cpu faults)|(system.+state.+changed )|(\[timeout)|(PRM\|1\|D)|(kpr)|(kdp)|(train st.+moving)|(\|lc)|(penalty))"</v>
      </c>
      <c r="AG116" s="182" t="str">
        <f t="shared" si="41"/>
        <v>EC</v>
      </c>
      <c r="AH116" s="78" t="str">
        <f t="shared" si="42"/>
        <v>"%USERPROFILE%\Documents\GitHub\eaglep3\Utilities\RefineRTDCRunTimes.py" --tripid 204-28 --locoid 4011 --swversion DE.1.0.9.0 --startMP 204:232875 --initTime 2017-10-28T17:22:25 --startdatetime 2017-10-28T17:27:29 --delay 63 --endMP 204:231 --enddatetime 2017-10-28T18:07:16 --enforcementcount 0 &gt;&gt;%USERPROFILE%\Documents\GitHub\eaglep3-reporting\EC\2017-10-28-refined-times.txt</v>
      </c>
      <c r="AI116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{"issue":{"subject":"","project_id":79,"tracker_id":40,"status_id":1,"priority_id":2,"assigned_to_id":338,"start_date":"2017-10-28","description":"","custom_fields":[{"id":1,"name":"Subdivision","value":"EC"},{"id":4,"name":"Milepost","value":"0.0231"},{"id":17,"name":"Train ID","value":"204-28"},{"id":16,"name":"Locomotive ID","value":"4011"},{"id":130,"name":"Impact","value":""},{"id":150,"name":"Time of Event (Mountain Time)","value":"18:07:16"},{"id":151,"name":"Denver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4011 --day 2017-10-28</v>
      </c>
      <c r="AN116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6"/>
        <v>https://d0f6bd738d7f1b3e5a7ca70fe4ff75f0.us-east-1.aws.found.io/app/kibana#/discover/Steve-Slow-Train-Analysis-(2080s-and-2083s)?_g=(refreshInterval:(display:Off,pause:!f,section:0,value:0),time:(from:'2017-10-28T16:22:25-0600',mode:absolute,to:'2017-10-28T19:07:16-0600'))&amp;_a=(columns:!('Message%20ID',Summary),filters:!(),index:'emp_*',interval:auto,query:(query_string:(analyze_wildcard:!t,query:'%22rtdc.l.rtdc.4011%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808</v>
      </c>
      <c r="B117" s="7">
        <v>4004</v>
      </c>
      <c r="C117" s="21" t="s">
        <v>194</v>
      </c>
      <c r="D117" s="21" t="s">
        <v>894</v>
      </c>
      <c r="E117" s="13">
        <v>43036.693171296298</v>
      </c>
      <c r="F117" s="13">
        <v>43036.698101851849</v>
      </c>
      <c r="G117" s="7">
        <v>96</v>
      </c>
      <c r="H117" s="21" t="s">
        <v>1009</v>
      </c>
      <c r="I117" s="13">
        <v>43036.726261574076</v>
      </c>
      <c r="J117" s="7">
        <v>0</v>
      </c>
      <c r="K117" s="89" t="str">
        <f t="shared" si="31"/>
        <v>4003/4004</v>
      </c>
      <c r="L117" s="185" t="str">
        <f>VLOOKUP(A117,'Trips&amp;Operators'!$C$1:$G$99911,5,FALSE)</f>
        <v>SAFIEF AEIMEN</v>
      </c>
      <c r="M117" s="6">
        <f t="shared" si="32"/>
        <v>2.8159722227428574E-2</v>
      </c>
      <c r="N117" s="7">
        <f t="shared" si="57"/>
        <v>40.550000007497147</v>
      </c>
      <c r="O117" s="7"/>
      <c r="P117" s="7"/>
      <c r="Q117" s="22"/>
      <c r="R117" s="174"/>
      <c r="S117" s="221">
        <f t="shared" si="58"/>
        <v>1</v>
      </c>
      <c r="T117" s="174" t="str">
        <f t="shared" si="33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4"/>
        <v>https://d0f6bd738d7f1b3e5a7ca70fe4ff75f0.us-east-1.aws.found.io/app/kibana#/discover/Steve-Slow-Train-Analysis-(2080s-and-2083s)?_g=(refreshInterval:(display:Off,pause:!f,section:0,value:0),time:(from:'2017-10-28T15:38:10-0600',mode:absolute,to:'2017-10-28T18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204" t="str">
        <f>IF(AA117&lt;VLOOKUP(AG117,Variables!$AC$3:$AD$8,2,FALSE),"Y","N")</f>
        <v>N</v>
      </c>
      <c r="X117" s="204">
        <f t="shared" si="49"/>
        <v>1</v>
      </c>
      <c r="Y117" s="204">
        <f t="shared" si="55"/>
        <v>5.4899999999999997E-2</v>
      </c>
      <c r="Z117" s="204">
        <f t="shared" si="56"/>
        <v>23.3217</v>
      </c>
      <c r="AA117" s="204">
        <f t="shared" si="37"/>
        <v>23.2668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8"/>
        <v>205</v>
      </c>
      <c r="AE117" s="77" t="str">
        <f t="shared" si="39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117" s="74" t="str">
        <f t="shared" si="40"/>
        <v>"C:\Program Files (x86)\AstroGrep\AstroGrep.exe" /e /r /s /spath="%USERPROFILE%\AppData\Local\Temp\OnboardLogs" /stypes="app*4004*20171028*" /stext=" 23:.+((SYSTEM_STATE.+slice.+state.+changed )|(ment ac)|(multiple cpu faults)|(system.+state.+changed )|(\[timeout)|(PRM\|1\|D)|(kpr)|(kdp)|(train st.+moving)|(\|lc)|(penalty))"</v>
      </c>
      <c r="AG117" s="182" t="str">
        <f t="shared" si="41"/>
        <v>EC</v>
      </c>
      <c r="AH117" s="78" t="str">
        <f t="shared" si="42"/>
        <v>"%USERPROFILE%\Documents\GitHub\eaglep3\Utilities\RefineRTDCRunTimes.py" --tripid 205-28 --locoid 4004 --swversion DE.1.0.9.0 --startMP 204:549 --initTime 2017-10-28T16:38:10 --startdatetime 2017-10-28T16:45:16 --delay 96 --endMP 204:233217 --enddatetime 2017-10-28T17:25:49 --enforcementcount 0 &gt;&gt;%USERPROFILE%\Documents\GitHub\eaglep3-reporting\EC\2017-10-28-refined-times.txt</v>
      </c>
      <c r="AI117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{"issue":{"subject":"","project_id":79,"tracker_id":40,"status_id":1,"priority_id":2,"assigned_to_id":338,"start_date":"2017-10-28","description":"","custom_fields":[{"id":1,"name":"Subdivision","value":"EC"},{"id":4,"name":"Milepost","value":"23.3217"},{"id":17,"name":"Train ID","value":"205-28"},{"id":16,"name":"Locomotive ID","value":"4004"},{"id":130,"name":"Impact","value":""},{"id":150,"name":"Time of Event (Mountain Time)","value":"17:25:49"},{"id":151,"name":"Denver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4004 --day 2017-10-28</v>
      </c>
      <c r="AN117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6"/>
        <v>https://d0f6bd738d7f1b3e5a7ca70fe4ff75f0.us-east-1.aws.found.io/app/kibana#/discover/Steve-Slow-Train-Analysis-(2080s-and-2083s)?_g=(refreshInterval:(display:Off,pause:!f,section:0,value:0),time:(from:'2017-10-28T15:38:10-0600',mode:absolute,to:'2017-10-28T18:25:49-0600'))&amp;_a=(columns:!('Message%20ID',Summary),filters:!(),index:'emp_*',interval:auto,query:(query_string:(analyze_wildcard:!t,query:'%22rtdc.l.rtdc.4004%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817</v>
      </c>
      <c r="B118" s="7">
        <v>4003</v>
      </c>
      <c r="C118" s="21" t="s">
        <v>194</v>
      </c>
      <c r="D118" s="21" t="s">
        <v>1014</v>
      </c>
      <c r="E118" s="13">
        <v>43036.727789351855</v>
      </c>
      <c r="F118" s="13">
        <v>43036.737824074073</v>
      </c>
      <c r="G118" s="7">
        <v>81</v>
      </c>
      <c r="H118" s="21" t="s">
        <v>583</v>
      </c>
      <c r="I118" s="13">
        <v>43036.764398148145</v>
      </c>
      <c r="J118" s="7">
        <v>0</v>
      </c>
      <c r="K118" s="89" t="str">
        <f t="shared" si="31"/>
        <v>4003/4004</v>
      </c>
      <c r="L118" s="185" t="str">
        <f>VLOOKUP(A118,'Trips&amp;Operators'!$C$1:$G$99911,5,FALSE)</f>
        <v>SAFIEF AEIMEN</v>
      </c>
      <c r="M118" s="6">
        <f t="shared" si="32"/>
        <v>2.6574074072414078E-2</v>
      </c>
      <c r="N118" s="7">
        <f t="shared" si="57"/>
        <v>38.266666664276272</v>
      </c>
      <c r="O118" s="7"/>
      <c r="P118" s="7"/>
      <c r="Q118" s="22"/>
      <c r="R118" s="174"/>
      <c r="S118" s="221">
        <f t="shared" si="58"/>
        <v>1</v>
      </c>
      <c r="T118" s="174" t="str">
        <f t="shared" si="33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4"/>
        <v>https://d0f6bd738d7f1b3e5a7ca70fe4ff75f0.us-east-1.aws.found.io/app/kibana#/discover/Steve-Slow-Train-Analysis-(2080s-and-2083s)?_g=(refreshInterval:(display:Off,pause:!f,section:0,value:0),time:(from:'2017-10-28T16:28:01-0600',mode:absolute,to:'2017-10-28T19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204" t="str">
        <f>IF(AA118&lt;VLOOKUP(AG118,Variables!$AC$3:$AD$8,2,FALSE),"Y","N")</f>
        <v>N</v>
      </c>
      <c r="X118" s="204">
        <f t="shared" si="49"/>
        <v>1</v>
      </c>
      <c r="Y118" s="204">
        <f t="shared" si="55"/>
        <v>23.288499999999999</v>
      </c>
      <c r="Z118" s="204">
        <f t="shared" si="56"/>
        <v>2.3400000000000001E-2</v>
      </c>
      <c r="AA118" s="204">
        <f t="shared" si="37"/>
        <v>23.2651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8"/>
        <v>206</v>
      </c>
      <c r="AE118" s="77" t="str">
        <f t="shared" si="39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118" s="74" t="str">
        <f t="shared" si="40"/>
        <v>"C:\Program Files (x86)\AstroGrep\AstroGrep.exe" /e /r /s /spath="%USERPROFILE%\AppData\Local\Temp\OnboardLogs" /stypes="app*4003*20171029*" /stext=" 00:.+((SYSTEM_STATE.+slice.+state.+changed )|(ment ac)|(multiple cpu faults)|(system.+state.+changed )|(\[timeout)|(PRM\|1\|D)|(kpr)|(kdp)|(train st.+moving)|(\|lc)|(penalty))"</v>
      </c>
      <c r="AG118" s="182" t="str">
        <f t="shared" si="41"/>
        <v>EC</v>
      </c>
      <c r="AH118" s="78" t="str">
        <f t="shared" si="42"/>
        <v>"%USERPROFILE%\Documents\GitHub\eaglep3\Utilities\RefineRTDCRunTimes.py" --tripid 206-28 --locoid 4003 --swversion DE.1.0.9.0 --startMP 204:232885 --initTime 2017-10-28T17:28:01 --startdatetime 2017-10-28T17:42:28 --delay 81 --endMP 204:234 --enddatetime 2017-10-28T18:20:44 --enforcementcount 0 &gt;&gt;%USERPROFILE%\Documents\GitHub\eaglep3-reporting\EC\2017-10-28-refined-times.txt</v>
      </c>
      <c r="AI118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{"issue":{"subject":"","project_id":79,"tracker_id":40,"status_id":1,"priority_id":2,"assigned_to_id":338,"start_date":"2017-10-28","description":"","custom_fields":[{"id":1,"name":"Subdivision","value":"EC"},{"id":4,"name":"Milepost","value":"0.0234"},{"id":17,"name":"Train ID","value":"206-28"},{"id":16,"name":"Locomotive ID","value":"4003"},{"id":130,"name":"Impact","value":""},{"id":150,"name":"Time of Event (Mountain Time)","value":"18:20:44"},{"id":151,"name":"Denver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4003 --day 2017-10-28</v>
      </c>
      <c r="AN118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6"/>
        <v>https://d0f6bd738d7f1b3e5a7ca70fe4ff75f0.us-east-1.aws.found.io/app/kibana#/discover/Steve-Slow-Train-Analysis-(2080s-and-2083s)?_g=(refreshInterval:(display:Off,pause:!f,section:0,value:0),time:(from:'2017-10-28T16:28:01-0600',mode:absolute,to:'2017-10-28T19:20:44-0600'))&amp;_a=(columns:!('Message%20ID',Summary),filters:!(),index:'emp_*',interval:auto,query:(query_string:(analyze_wildcard:!t,query:'%22rtdc.l.rtdc.4003%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809</v>
      </c>
      <c r="B119" s="7">
        <v>4010</v>
      </c>
      <c r="C119" s="21" t="s">
        <v>194</v>
      </c>
      <c r="D119" s="21" t="s">
        <v>1015</v>
      </c>
      <c r="E119" s="13">
        <v>43036.703101851854</v>
      </c>
      <c r="F119" s="13">
        <v>43036.708518518521</v>
      </c>
      <c r="G119" s="7">
        <v>47</v>
      </c>
      <c r="H119" s="21" t="s">
        <v>566</v>
      </c>
      <c r="I119" s="13">
        <v>43036.733888888892</v>
      </c>
      <c r="J119" s="7">
        <v>0</v>
      </c>
      <c r="K119" s="89" t="str">
        <f t="shared" si="31"/>
        <v>4009/4010</v>
      </c>
      <c r="L119" s="185" t="str">
        <f>VLOOKUP(A119,'Trips&amp;Operators'!$C$1:$G$99911,5,FALSE)</f>
        <v>GUZMAN DANNY</v>
      </c>
      <c r="M119" s="6">
        <f t="shared" si="32"/>
        <v>2.5370370371092577E-2</v>
      </c>
      <c r="N119" s="7">
        <f t="shared" si="57"/>
        <v>36.53333333437331</v>
      </c>
      <c r="O119" s="7"/>
      <c r="P119" s="7"/>
      <c r="Q119" s="22"/>
      <c r="R119" s="174"/>
      <c r="S119" s="221">
        <f t="shared" si="58"/>
        <v>1</v>
      </c>
      <c r="T119" s="174" t="str">
        <f t="shared" si="33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4"/>
        <v>https://d0f6bd738d7f1b3e5a7ca70fe4ff75f0.us-east-1.aws.found.io/app/kibana#/discover/Steve-Slow-Train-Analysis-(2080s-and-2083s)?_g=(refreshInterval:(display:Off,pause:!f,section:0,value:0),time:(from:'2017-10-28T15:52:28-0600',mode:absolute,to:'2017-10-28T18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204" t="str">
        <f>IF(AA119&lt;VLOOKUP(AG119,Variables!$AC$3:$AD$8,2,FALSE),"Y","N")</f>
        <v>N</v>
      </c>
      <c r="X119" s="204">
        <f t="shared" si="49"/>
        <v>1</v>
      </c>
      <c r="Y119" s="204">
        <f t="shared" si="55"/>
        <v>5.5899999999999998E-2</v>
      </c>
      <c r="Z119" s="204">
        <f t="shared" si="56"/>
        <v>23.3186</v>
      </c>
      <c r="AA119" s="204">
        <f t="shared" si="37"/>
        <v>23.262699999999999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8"/>
        <v>207</v>
      </c>
      <c r="AE119" s="77" t="str">
        <f t="shared" si="39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119" s="74" t="str">
        <f t="shared" si="40"/>
        <v>"C:\Program Files (x86)\AstroGrep\AstroGrep.exe" /e /r /s /spath="%USERPROFILE%\AppData\Local\Temp\OnboardLogs" /stypes="app*4010*20171028*" /stext=" 23:.+((SYSTEM_STATE.+slice.+state.+changed )|(ment ac)|(multiple cpu faults)|(system.+state.+changed )|(\[timeout)|(PRM\|1\|D)|(kpr)|(kdp)|(train st.+moving)|(\|lc)|(penalty))"</v>
      </c>
      <c r="AG119" s="182" t="str">
        <f t="shared" si="41"/>
        <v>EC</v>
      </c>
      <c r="AH119" s="78" t="str">
        <f t="shared" si="42"/>
        <v>"%USERPROFILE%\Documents\GitHub\eaglep3\Utilities\RefineRTDCRunTimes.py" --tripid 207-28 --locoid 4010 --swversion DE.1.0.9.0 --startMP 204:559 --initTime 2017-10-28T16:52:28 --startdatetime 2017-10-28T17:00:16 --delay 47 --endMP 204:233186 --enddatetime 2017-10-28T17:36:48 --enforcementcount 0 &gt;&gt;%USERPROFILE%\Documents\GitHub\eaglep3-reporting\EC\2017-10-28-refined-times.txt</v>
      </c>
      <c r="AI119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{"issue":{"subject":"","project_id":79,"tracker_id":40,"status_id":1,"priority_id":2,"assigned_to_id":338,"start_date":"2017-10-28","description":"","custom_fields":[{"id":1,"name":"Subdivision","value":"EC"},{"id":4,"name":"Milepost","value":"23.3186"},{"id":17,"name":"Train ID","value":"207-28"},{"id":16,"name":"Locomotive ID","value":"4010"},{"id":130,"name":"Impact","value":""},{"id":150,"name":"Time of Event (Mountain Time)","value":"17:36:48"},{"id":151,"name":"Denver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4010 --day 2017-10-28</v>
      </c>
      <c r="AN119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6"/>
        <v>https://d0f6bd738d7f1b3e5a7ca70fe4ff75f0.us-east-1.aws.found.io/app/kibana#/discover/Steve-Slow-Train-Analysis-(2080s-and-2083s)?_g=(refreshInterval:(display:Off,pause:!f,section:0,value:0),time:(from:'2017-10-28T15:52:28-0600',mode:absolute,to:'2017-10-28T18:36:48-0600'))&amp;_a=(columns:!('Message%20ID',Summary),filters:!(),index:'emp_*',interval:auto,query:(query_string:(analyze_wildcard:!t,query:'%22rtdc.l.rtdc.4010%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822</v>
      </c>
      <c r="B120" s="7">
        <v>4009</v>
      </c>
      <c r="C120" s="21" t="s">
        <v>194</v>
      </c>
      <c r="D120" s="21" t="s">
        <v>499</v>
      </c>
      <c r="E120" s="13">
        <v>43036.736203703702</v>
      </c>
      <c r="F120" s="13">
        <v>43036.748090277775</v>
      </c>
      <c r="G120" s="7">
        <v>83</v>
      </c>
      <c r="H120" s="21" t="s">
        <v>592</v>
      </c>
      <c r="I120" s="13">
        <v>43036.775254629632</v>
      </c>
      <c r="J120" s="7">
        <v>0</v>
      </c>
      <c r="K120" s="89" t="str">
        <f t="shared" si="31"/>
        <v>4009/4010</v>
      </c>
      <c r="L120" s="185" t="str">
        <f>VLOOKUP(A120,'Trips&amp;Operators'!$C$1:$G$99911,5,FALSE)</f>
        <v>GUZMAN DANNY</v>
      </c>
      <c r="M120" s="6">
        <f t="shared" si="32"/>
        <v>2.7164351857209112E-2</v>
      </c>
      <c r="N120" s="7">
        <f t="shared" si="57"/>
        <v>39.116666674381122</v>
      </c>
      <c r="O120" s="7"/>
      <c r="P120" s="7"/>
      <c r="Q120" s="22"/>
      <c r="R120" s="174"/>
      <c r="S120" s="221">
        <f t="shared" si="58"/>
        <v>1</v>
      </c>
      <c r="T120" s="174" t="str">
        <f t="shared" si="33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4"/>
        <v>https://d0f6bd738d7f1b3e5a7ca70fe4ff75f0.us-east-1.aws.found.io/app/kibana#/discover/Steve-Slow-Train-Analysis-(2080s-and-2083s)?_g=(refreshInterval:(display:Off,pause:!f,section:0,value:0),time:(from:'2017-10-28T16:40:08-0600',mode:absolute,to:'2017-10-28T19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204" t="str">
        <f>IF(AA120&lt;VLOOKUP(AG120,Variables!$AC$3:$AD$8,2,FALSE),"Y","N")</f>
        <v>N</v>
      </c>
      <c r="X120" s="204">
        <f t="shared" si="49"/>
        <v>1</v>
      </c>
      <c r="Y120" s="204">
        <f t="shared" si="55"/>
        <v>23.2879</v>
      </c>
      <c r="Z120" s="204">
        <f t="shared" si="56"/>
        <v>2.3099999999999999E-2</v>
      </c>
      <c r="AA120" s="204">
        <f t="shared" si="37"/>
        <v>23.264800000000001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8"/>
        <v>208</v>
      </c>
      <c r="AE120" s="77" t="str">
        <f t="shared" si="39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120" s="74" t="str">
        <f t="shared" si="40"/>
        <v>"C:\Program Files (x86)\AstroGrep\AstroGrep.exe" /e /r /s /spath="%USERPROFILE%\AppData\Local\Temp\OnboardLogs" /stypes="app*4009*20171029*" /stext=" 00:.+((SYSTEM_STATE.+slice.+state.+changed )|(ment ac)|(multiple cpu faults)|(system.+state.+changed )|(\[timeout)|(PRM\|1\|D)|(kpr)|(kdp)|(train st.+moving)|(\|lc)|(penalty))"</v>
      </c>
      <c r="AG120" s="182" t="str">
        <f t="shared" si="41"/>
        <v>EC</v>
      </c>
      <c r="AH120" s="78" t="str">
        <f t="shared" si="42"/>
        <v>"%USERPROFILE%\Documents\GitHub\eaglep3\Utilities\RefineRTDCRunTimes.py" --tripid 208-28 --locoid 4009 --swversion DE.1.0.9.0 --startMP 204:232879 --initTime 2017-10-28T17:40:08 --startdatetime 2017-10-28T17:57:15 --delay 83 --endMP 204:231 --enddatetime 2017-10-28T18:36:22 --enforcementcount 0 &gt;&gt;%USERPROFILE%\Documents\GitHub\eaglep3-reporting\EC\2017-10-28-refined-times.txt</v>
      </c>
      <c r="AI120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{"issue":{"subject":"","project_id":79,"tracker_id":40,"status_id":1,"priority_id":2,"assigned_to_id":338,"start_date":"2017-10-28","description":"","custom_fields":[{"id":1,"name":"Subdivision","value":"EC"},{"id":4,"name":"Milepost","value":"0.0231"},{"id":17,"name":"Train ID","value":"208-28"},{"id":16,"name":"Locomotive ID","value":"4009"},{"id":130,"name":"Impact","value":""},{"id":150,"name":"Time of Event (Mountain Time)","value":"18:36:22"},{"id":151,"name":"Denver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4009 --day 2017-10-28</v>
      </c>
      <c r="AN120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6"/>
        <v>https://d0f6bd738d7f1b3e5a7ca70fe4ff75f0.us-east-1.aws.found.io/app/kibana#/discover/Steve-Slow-Train-Analysis-(2080s-and-2083s)?_g=(refreshInterval:(display:Off,pause:!f,section:0,value:0),time:(from:'2017-10-28T16:40:08-0600',mode:absolute,to:'2017-10-28T19:36:22-0600'))&amp;_a=(columns:!('Message%20ID',Summary),filters:!(),index:'emp_*',interval:auto,query:(query_string:(analyze_wildcard:!t,query:'%22rtdc.l.rtdc.4009%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813</v>
      </c>
      <c r="B121" s="7">
        <v>4042</v>
      </c>
      <c r="C121" s="21" t="s">
        <v>194</v>
      </c>
      <c r="D121" s="21" t="s">
        <v>526</v>
      </c>
      <c r="E121" s="13">
        <v>43036.715173611112</v>
      </c>
      <c r="F121" s="13">
        <v>43036.718912037039</v>
      </c>
      <c r="G121" s="7">
        <v>58</v>
      </c>
      <c r="H121" s="21" t="s">
        <v>1009</v>
      </c>
      <c r="I121" s="13">
        <v>43036.744108796294</v>
      </c>
      <c r="J121" s="7">
        <v>0</v>
      </c>
      <c r="K121" s="89" t="str">
        <f t="shared" si="31"/>
        <v>4041/4042</v>
      </c>
      <c r="L121" s="185" t="str">
        <f>VLOOKUP(A121,'Trips&amp;Operators'!$C$1:$G$99911,5,FALSE)</f>
        <v>BADERTSCHER DIANE</v>
      </c>
      <c r="M121" s="6">
        <f t="shared" si="32"/>
        <v>2.5196759255777579E-2</v>
      </c>
      <c r="N121" s="7">
        <f t="shared" si="57"/>
        <v>36.283333328319713</v>
      </c>
      <c r="O121" s="7"/>
      <c r="P121" s="7"/>
      <c r="Q121" s="22"/>
      <c r="R121" s="174"/>
      <c r="S121" s="221">
        <f t="shared" si="58"/>
        <v>1</v>
      </c>
      <c r="T121" s="174" t="str">
        <f t="shared" si="33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4"/>
        <v>https://d0f6bd738d7f1b3e5a7ca70fe4ff75f0.us-east-1.aws.found.io/app/kibana#/discover/Steve-Slow-Train-Analysis-(2080s-and-2083s)?_g=(refreshInterval:(display:Off,pause:!f,section:0,value:0),time:(from:'2017-10-28T16:09:51-0600',mode:absolute,to:'2017-10-28T18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>IF(AA121&lt;VLOOKUP(AG121,Variables!$AC$3:$AD$8,2,FALSE),"Y","N")</f>
        <v>N</v>
      </c>
      <c r="X121" s="204">
        <f t="shared" si="49"/>
        <v>1</v>
      </c>
      <c r="Y121" s="204">
        <f t="shared" si="55"/>
        <v>5.1900000000000002E-2</v>
      </c>
      <c r="Z121" s="204">
        <f t="shared" si="56"/>
        <v>23.3217</v>
      </c>
      <c r="AA121" s="204">
        <f t="shared" si="37"/>
        <v>23.2698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8"/>
        <v>209</v>
      </c>
      <c r="AE121" s="77" t="str">
        <f t="shared" si="39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121" s="74" t="str">
        <f t="shared" si="40"/>
        <v>"C:\Program Files (x86)\AstroGrep\AstroGrep.exe" /e /r /s /spath="%USERPROFILE%\AppData\Local\Temp\OnboardLogs" /stypes="app*4042*20171028*" /stext=" 23:.+((SYSTEM_STATE.+slice.+state.+changed )|(ment ac)|(multiple cpu faults)|(system.+state.+changed )|(\[timeout)|(PRM\|1\|D)|(kpr)|(kdp)|(train st.+moving)|(\|lc)|(penalty))"</v>
      </c>
      <c r="AG121" s="182" t="str">
        <f t="shared" si="41"/>
        <v>EC</v>
      </c>
      <c r="AH121" s="78" t="str">
        <f t="shared" si="42"/>
        <v>"%USERPROFILE%\Documents\GitHub\eaglep3\Utilities\RefineRTDCRunTimes.py" --tripid 209-28 --locoid 4042 --swversion DE.1.0.9.0 --startMP 204:519 --initTime 2017-10-28T17:09:51 --startdatetime 2017-10-28T17:15:14 --delay 58 --endMP 204:233217 --enddatetime 2017-10-28T17:51:31 --enforcementcount 0 &gt;&gt;%USERPROFILE%\Documents\GitHub\eaglep3-reporting\EC\2017-10-28-refined-times.txt</v>
      </c>
      <c r="AI121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{"issue":{"subject":"","project_id":79,"tracker_id":40,"status_id":1,"priority_id":2,"assigned_to_id":338,"start_date":"2017-10-28","description":"","custom_fields":[{"id":1,"name":"Subdivision","value":"EC"},{"id":4,"name":"Milepost","value":"23.3217"},{"id":17,"name":"Train ID","value":"209-28"},{"id":16,"name":"Locomotive ID","value":"4042"},{"id":130,"name":"Impact","value":""},{"id":150,"name":"Time of Event (Mountain Time)","value":"17:51:31"},{"id":151,"name":"Denver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4042 --day 2017-10-28</v>
      </c>
      <c r="AN121" s="151" t="str">
        <f t="shared" si="4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6"/>
        <v>https://d0f6bd738d7f1b3e5a7ca70fe4ff75f0.us-east-1.aws.found.io/app/kibana#/discover/Steve-Slow-Train-Analysis-(2080s-and-2083s)?_g=(refreshInterval:(display:Off,pause:!f,section:0,value:0),time:(from:'2017-10-28T16:09:51-0600',mode:absolute,to:'2017-10-28T18:51:31-0600'))&amp;_a=(columns:!('Message%20ID',Summary),filters:!(),index:'emp_*',interval:auto,query:(query_string:(analyze_wildcard:!t,query:'%22rtdc.l.rtdc.4042%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825</v>
      </c>
      <c r="B122" s="7">
        <v>4041</v>
      </c>
      <c r="C122" s="21" t="s">
        <v>194</v>
      </c>
      <c r="D122" s="21" t="s">
        <v>1016</v>
      </c>
      <c r="E122" s="13">
        <v>43036.753344907411</v>
      </c>
      <c r="F122" s="13">
        <v>43036.758506944447</v>
      </c>
      <c r="G122" s="7">
        <v>79</v>
      </c>
      <c r="H122" s="21" t="s">
        <v>932</v>
      </c>
      <c r="I122" s="13">
        <v>43036.785902777781</v>
      </c>
      <c r="J122" s="7">
        <v>0</v>
      </c>
      <c r="K122" s="89" t="str">
        <f t="shared" si="31"/>
        <v>4041/4042</v>
      </c>
      <c r="L122" s="185" t="str">
        <f>VLOOKUP(A122,'Trips&amp;Operators'!$C$1:$G$99911,5,FALSE)</f>
        <v>BADERTSCHER DIANE</v>
      </c>
      <c r="M122" s="6">
        <f t="shared" si="32"/>
        <v>2.7395833334594499E-2</v>
      </c>
      <c r="N122" s="7">
        <f t="shared" si="57"/>
        <v>39.450000001816079</v>
      </c>
      <c r="O122" s="7"/>
      <c r="P122" s="7"/>
      <c r="Q122" s="22"/>
      <c r="R122" s="174"/>
      <c r="S122" s="221">
        <f t="shared" si="58"/>
        <v>1</v>
      </c>
      <c r="T122" s="174" t="str">
        <f t="shared" si="33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4"/>
        <v>https://d0f6bd738d7f1b3e5a7ca70fe4ff75f0.us-east-1.aws.found.io/app/kibana#/discover/Steve-Slow-Train-Analysis-(2080s-and-2083s)?_g=(refreshInterval:(display:Off,pause:!f,section:0,value:0),time:(from:'2017-10-28T17:04:49-0600',mode:absolute,to:'2017-10-28T19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>IF(AA122&lt;VLOOKUP(AG122,Variables!$AC$3:$AD$8,2,FALSE),"Y","N")</f>
        <v>N</v>
      </c>
      <c r="X122" s="204">
        <f t="shared" si="49"/>
        <v>1</v>
      </c>
      <c r="Y122" s="204">
        <f t="shared" si="55"/>
        <v>23.291499999999999</v>
      </c>
      <c r="Z122" s="204">
        <f t="shared" si="56"/>
        <v>2.47E-2</v>
      </c>
      <c r="AA122" s="204">
        <f t="shared" si="37"/>
        <v>23.2668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8"/>
        <v>210</v>
      </c>
      <c r="AE122" s="77" t="str">
        <f t="shared" si="39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122" s="74" t="str">
        <f t="shared" si="40"/>
        <v>"C:\Program Files (x86)\AstroGrep\AstroGrep.exe" /e /r /s /spath="%USERPROFILE%\AppData\Local\Temp\OnboardLogs" /stypes="app*4041*20171029*" /stext=" 00:.+((SYSTEM_STATE.+slice.+state.+changed )|(ment ac)|(multiple cpu faults)|(system.+state.+changed )|(\[timeout)|(PRM\|1\|D)|(kpr)|(kdp)|(train st.+moving)|(\|lc)|(penalty))"</v>
      </c>
      <c r="AG122" s="182" t="str">
        <f t="shared" si="41"/>
        <v>EC</v>
      </c>
      <c r="AH122" s="78" t="str">
        <f t="shared" si="42"/>
        <v>"%USERPROFILE%\Documents\GitHub\eaglep3\Utilities\RefineRTDCRunTimes.py" --tripid 210-28 --locoid 4041 --swversion DE.1.0.9.0 --startMP 204:232915 --initTime 2017-10-28T18:04:49 --startdatetime 2017-10-28T18:12:15 --delay 79 --endMP 204:247 --enddatetime 2017-10-28T18:51:42 --enforcementcount 0 &gt;&gt;%USERPROFILE%\Documents\GitHub\eaglep3-reporting\EC\2017-10-28-refined-times.txt</v>
      </c>
      <c r="AI122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{"issue":{"subject":"","project_id":79,"tracker_id":40,"status_id":1,"priority_id":2,"assigned_to_id":338,"start_date":"2017-10-28","description":"","custom_fields":[{"id":1,"name":"Subdivision","value":"EC"},{"id":4,"name":"Milepost","value":"0.0247"},{"id":17,"name":"Train ID","value":"210-28"},{"id":16,"name":"Locomotive ID","value":"4041"},{"id":130,"name":"Impact","value":""},{"id":150,"name":"Time of Event (Mountain Time)","value":"18:51:42"},{"id":151,"name":"Denver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4041 --day 2017-10-28</v>
      </c>
      <c r="AN122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6"/>
        <v>https://d0f6bd738d7f1b3e5a7ca70fe4ff75f0.us-east-1.aws.found.io/app/kibana#/discover/Steve-Slow-Train-Analysis-(2080s-and-2083s)?_g=(refreshInterval:(display:Off,pause:!f,section:0,value:0),time:(from:'2017-10-28T17:04:49-0600',mode:absolute,to:'2017-10-28T19:51:42-0600'))&amp;_a=(columns:!('Message%20ID',Summary),filters:!(),index:'emp_*',interval:auto,query:(query_string:(analyze_wildcard:!t,query:'%22rtdc.l.rtdc.4041%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633</v>
      </c>
      <c r="B123" s="7">
        <v>4032</v>
      </c>
      <c r="C123" s="21" t="s">
        <v>194</v>
      </c>
      <c r="D123" s="21" t="s">
        <v>1017</v>
      </c>
      <c r="E123" s="13">
        <v>43036.724606481483</v>
      </c>
      <c r="F123" s="13">
        <v>43036.729317129626</v>
      </c>
      <c r="G123" s="7">
        <v>85</v>
      </c>
      <c r="H123" s="21" t="s">
        <v>904</v>
      </c>
      <c r="I123" s="13">
        <v>43036.755729166667</v>
      </c>
      <c r="J123" s="7">
        <v>0</v>
      </c>
      <c r="K123" s="89" t="str">
        <f t="shared" si="31"/>
        <v>4031/4032</v>
      </c>
      <c r="L123" s="185" t="str">
        <f>VLOOKUP(A123,'Trips&amp;Operators'!$C$1:$G$99911,5,FALSE)</f>
        <v>BERLING GARY</v>
      </c>
      <c r="M123" s="6">
        <f t="shared" si="32"/>
        <v>2.641203704115469E-2</v>
      </c>
      <c r="N123" s="7">
        <f t="shared" si="57"/>
        <v>38.033333339262754</v>
      </c>
      <c r="O123" s="7"/>
      <c r="P123" s="7"/>
      <c r="Q123" s="22"/>
      <c r="R123" s="174"/>
      <c r="S123" s="221">
        <f t="shared" si="58"/>
        <v>1</v>
      </c>
      <c r="T123" s="174" t="str">
        <f t="shared" si="33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4"/>
        <v>https://d0f6bd738d7f1b3e5a7ca70fe4ff75f0.us-east-1.aws.found.io/app/kibana#/discover/Steve-Slow-Train-Analysis-(2080s-and-2083s)?_g=(refreshInterval:(display:Off,pause:!f,section:0,value:0),time:(from:'2017-10-28T16:23:26-0600',mode:absolute,to:'2017-10-28T19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3" s="204" t="str">
        <f>IF(AA123&lt;VLOOKUP(AG123,Variables!$AC$3:$AD$8,2,FALSE),"Y","N")</f>
        <v>N</v>
      </c>
      <c r="X123" s="204">
        <f t="shared" si="49"/>
        <v>1</v>
      </c>
      <c r="Y123" s="204">
        <f t="shared" si="55"/>
        <v>6.1699999999999998E-2</v>
      </c>
      <c r="Z123" s="204">
        <f t="shared" si="56"/>
        <v>23.322600000000001</v>
      </c>
      <c r="AA123" s="204">
        <f t="shared" si="37"/>
        <v>23.260900000000003</v>
      </c>
      <c r="AB123" s="54" t="str">
        <f>VLOOKUP(A123,Enforcements!$C$7:$K$11,8,0)</f>
        <v>Bulletin (2)</v>
      </c>
      <c r="AC123" s="51" t="str">
        <f>VLOOKUP(A123,Enforcements!$C$7:$E$11,3,0)</f>
        <v>GRADE CROSSING</v>
      </c>
      <c r="AD123" s="179">
        <f t="shared" si="38"/>
        <v>211</v>
      </c>
      <c r="AE123" s="77" t="str">
        <f t="shared" si="39"/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AF123" s="74" t="str">
        <f t="shared" si="40"/>
        <v>"C:\Program Files (x86)\AstroGrep\AstroGrep.exe" /e /r /s /spath="%USERPROFILE%\AppData\Local\Temp\OnboardLogs" /stypes="app*4032*20171029*" /stext=" 00:.+((SYSTEM_STATE.+slice.+state.+changed )|(ment ac)|(multiple cpu faults)|(system.+state.+changed )|(\[timeout)|(PRM\|1\|D)|(kpr)|(kdp)|(train st.+moving)|(\|lc)|(penalty))"</v>
      </c>
      <c r="AG123" s="182" t="str">
        <f t="shared" si="41"/>
        <v>EC</v>
      </c>
      <c r="AH123" s="78" t="str">
        <f t="shared" si="42"/>
        <v>"%USERPROFILE%\Documents\GitHub\eaglep3\Utilities\RefineRTDCRunTimes.py" --tripid 211-28 --locoid 4032 --swversion DE.1.0.9.0 --startMP 204:617 --initTime 2017-10-28T17:23:26 --startdatetime 2017-10-28T17:30:13 --delay 85 --endMP 204:233226 --enddatetime 2017-10-28T18:08:15 --enforcementcount 0 &gt;&gt;%USERPROFILE%\Documents\GitHub\eaglep3-reporting\EC\2017-10-28-refined-times.txt</v>
      </c>
      <c r="AI123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{"issue":{"subject":"","project_id":79,"tracker_id":40,"status_id":1,"priority_id":2,"assigned_to_id":338,"start_date":"2017-10-28","description":"","custom_fields":[{"id":1,"name":"Subdivision","value":"EC"},{"id":4,"name":"Milepost","value":"23.3226"},{"id":17,"name":"Train ID","value":"211-28"},{"id":16,"name":"Locomotive ID","value":"4032"},{"id":130,"name":"Impact","value":""},{"id":150,"name":"Time of Event (Mountain Time)","value":"18:08:15"},{"id":151,"name":"Denver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4032 --day 2017-10-28</v>
      </c>
      <c r="AN123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46"/>
        <v>https://d0f6bd738d7f1b3e5a7ca70fe4ff75f0.us-east-1.aws.found.io/app/kibana#/discover/Steve-Slow-Train-Analysis-(2080s-and-2083s)?_g=(refreshInterval:(display:Off,pause:!f,section:0,value:0),time:(from:'2017-10-28T16:23:26-0600',mode:absolute,to:'2017-10-28T19:08:15-0600'))&amp;_a=(columns:!('Message%20ID',Summary),filters:!(),index:'emp_*',interval:auto,query:(query_string:(analyze_wildcard:!t,query:'%22rtdc.l.rtdc.4032%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634</v>
      </c>
      <c r="B124" s="7">
        <v>4031</v>
      </c>
      <c r="C124" s="21" t="s">
        <v>194</v>
      </c>
      <c r="D124" s="21" t="s">
        <v>522</v>
      </c>
      <c r="E124" s="13">
        <v>43036.763402777775</v>
      </c>
      <c r="F124" s="13">
        <v>43036.769305555557</v>
      </c>
      <c r="G124" s="7">
        <v>76</v>
      </c>
      <c r="H124" s="21" t="s">
        <v>1018</v>
      </c>
      <c r="I124" s="13">
        <v>43036.796273148146</v>
      </c>
      <c r="J124" s="7">
        <v>0</v>
      </c>
      <c r="K124" s="89" t="str">
        <f t="shared" si="31"/>
        <v>4031/4032</v>
      </c>
      <c r="L124" s="185" t="str">
        <f>VLOOKUP(A124,'Trips&amp;Operators'!$C$1:$G$99911,5,FALSE)</f>
        <v>BERLING GARY</v>
      </c>
      <c r="M124" s="6">
        <f t="shared" si="32"/>
        <v>2.696759258833481E-2</v>
      </c>
      <c r="N124" s="7">
        <f t="shared" si="57"/>
        <v>38.833333327202126</v>
      </c>
      <c r="O124" s="7"/>
      <c r="P124" s="7"/>
      <c r="Q124" s="22"/>
      <c r="R124" s="174"/>
      <c r="S124" s="221">
        <f t="shared" si="58"/>
        <v>1</v>
      </c>
      <c r="T124" s="174" t="str">
        <f t="shared" si="33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4"/>
        <v>https://d0f6bd738d7f1b3e5a7ca70fe4ff75f0.us-east-1.aws.found.io/app/kibana#/discover/Steve-Slow-Train-Analysis-(2080s-and-2083s)?_g=(refreshInterval:(display:Off,pause:!f,section:0,value:0),time:(from:'2017-10-28T17:19:18-0600',mode:absolute,to:'2017-10-28T20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4" s="204" t="str">
        <f>IF(AA124&lt;VLOOKUP(AG124,Variables!$AC$3:$AD$8,2,FALSE),"Y","N")</f>
        <v>N</v>
      </c>
      <c r="X124" s="204">
        <f t="shared" si="49"/>
        <v>1</v>
      </c>
      <c r="Y124" s="204">
        <f t="shared" si="55"/>
        <v>23.290199999999999</v>
      </c>
      <c r="Z124" s="204">
        <f t="shared" si="56"/>
        <v>8.8999999999999996E-2</v>
      </c>
      <c r="AA124" s="204">
        <f t="shared" si="37"/>
        <v>23.2012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8"/>
        <v>212</v>
      </c>
      <c r="AE124" s="77" t="str">
        <f t="shared" si="39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124" s="74" t="str">
        <f t="shared" si="40"/>
        <v>"C:\Program Files (x86)\AstroGrep\AstroGrep.exe" /e /r /s /spath="%USERPROFILE%\AppData\Local\Temp\OnboardLogs" /stypes="app*4031*20171029*" /stext=" 01:.+((SYSTEM_STATE.+slice.+state.+changed )|(ment ac)|(multiple cpu faults)|(system.+state.+changed )|(\[timeout)|(PRM\|1\|D)|(kpr)|(kdp)|(train st.+moving)|(\|lc)|(penalty))"</v>
      </c>
      <c r="AG124" s="182" t="str">
        <f t="shared" si="41"/>
        <v>EC</v>
      </c>
      <c r="AH124" s="78" t="str">
        <f t="shared" si="42"/>
        <v>"%USERPROFILE%\Documents\GitHub\eaglep3\Utilities\RefineRTDCRunTimes.py" --tripid 212-28 --locoid 4031 --swversion DE.1.0.9.0 --startMP 204:232902 --initTime 2017-10-28T18:19:18 --startdatetime 2017-10-28T18:27:48 --delay 76 --endMP 204:890 --enddatetime 2017-10-28T19:06:38 --enforcementcount 0 &gt;&gt;%USERPROFILE%\Documents\GitHub\eaglep3-reporting\EC\2017-10-28-refined-times.txt</v>
      </c>
      <c r="AI124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{"issue":{"subject":"","project_id":79,"tracker_id":40,"status_id":1,"priority_id":2,"assigned_to_id":338,"start_date":"2017-10-28","description":"","custom_fields":[{"id":1,"name":"Subdivision","value":"EC"},{"id":4,"name":"Milepost","value":"0.089"},{"id":17,"name":"Train ID","value":"212-28"},{"id":16,"name":"Locomotive ID","value":"4031"},{"id":130,"name":"Impact","value":""},{"id":150,"name":"Time of Event (Mountain Time)","value":"19:06:38"},{"id":151,"name":"Denver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4031 --day 2017-10-28</v>
      </c>
      <c r="AN124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6"/>
        <v>https://d0f6bd738d7f1b3e5a7ca70fe4ff75f0.us-east-1.aws.found.io/app/kibana#/discover/Steve-Slow-Train-Analysis-(2080s-and-2083s)?_g=(refreshInterval:(display:Off,pause:!f,section:0,value:0),time:(from:'2017-10-28T17:19:18-0600',mode:absolute,to:'2017-10-28T20:06:38-0600'))&amp;_a=(columns:!('Message%20ID',Summary),filters:!(),index:'emp_*',interval:auto,query:(query_string:(analyze_wildcard:!t,query:'%22rtdc.l.rtdc.4031%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821</v>
      </c>
      <c r="B125" s="7">
        <v>4024</v>
      </c>
      <c r="C125" s="21" t="s">
        <v>194</v>
      </c>
      <c r="D125" s="21" t="s">
        <v>1019</v>
      </c>
      <c r="E125" s="13">
        <v>43036.735555555555</v>
      </c>
      <c r="F125" s="13">
        <v>43036.739768518521</v>
      </c>
      <c r="G125" s="7">
        <v>67</v>
      </c>
      <c r="H125" s="21" t="s">
        <v>575</v>
      </c>
      <c r="I125" s="13">
        <v>43036.764756944445</v>
      </c>
      <c r="J125" s="7">
        <v>0</v>
      </c>
      <c r="K125" s="89" t="str">
        <f t="shared" si="31"/>
        <v>4023/4024</v>
      </c>
      <c r="L125" s="185" t="str">
        <f>VLOOKUP(A125,'Trips&amp;Operators'!$C$1:$G$99911,5,FALSE)</f>
        <v>FORTUNATO FRANK</v>
      </c>
      <c r="M125" s="6">
        <f t="shared" si="32"/>
        <v>2.4988425924675539E-2</v>
      </c>
      <c r="N125" s="7">
        <f t="shared" si="57"/>
        <v>35.983333331532776</v>
      </c>
      <c r="O125" s="7"/>
      <c r="P125" s="7"/>
      <c r="Q125" s="22"/>
      <c r="R125" s="174"/>
      <c r="S125" s="221">
        <f t="shared" si="58"/>
        <v>1</v>
      </c>
      <c r="T125" s="174" t="str">
        <f t="shared" si="33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4"/>
        <v>https://d0f6bd738d7f1b3e5a7ca70fe4ff75f0.us-east-1.aws.found.io/app/kibana#/discover/Steve-Slow-Train-Analysis-(2080s-and-2083s)?_g=(refreshInterval:(display:Off,pause:!f,section:0,value:0),time:(from:'2017-10-28T16:39:12-0600',mode:absolute,to:'2017-10-28T19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5" s="204" t="str">
        <f>IF(AA125&lt;VLOOKUP(AG125,Variables!$AC$3:$AD$8,2,FALSE),"Y","N")</f>
        <v>N</v>
      </c>
      <c r="X125" s="204">
        <f t="shared" si="49"/>
        <v>1</v>
      </c>
      <c r="Y125" s="204">
        <f t="shared" si="55"/>
        <v>5.5300000000000002E-2</v>
      </c>
      <c r="Z125" s="204">
        <f t="shared" si="56"/>
        <v>23.322299999999998</v>
      </c>
      <c r="AA125" s="204">
        <f t="shared" si="37"/>
        <v>23.266999999999999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8"/>
        <v>213</v>
      </c>
      <c r="AE125" s="77" t="str">
        <f t="shared" si="39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125" s="74" t="str">
        <f t="shared" si="40"/>
        <v>"C:\Program Files (x86)\AstroGrep\AstroGrep.exe" /e /r /s /spath="%USERPROFILE%\AppData\Local\Temp\OnboardLogs" /stypes="app*4024*20171029*" /stext=" 00:.+((SYSTEM_STATE.+slice.+state.+changed )|(ment ac)|(multiple cpu faults)|(system.+state.+changed )|(\[timeout)|(PRM\|1\|D)|(kpr)|(kdp)|(train st.+moving)|(\|lc)|(penalty))"</v>
      </c>
      <c r="AG125" s="182" t="str">
        <f t="shared" si="41"/>
        <v>EC</v>
      </c>
      <c r="AH125" s="78" t="str">
        <f t="shared" si="42"/>
        <v>"%USERPROFILE%\Documents\GitHub\eaglep3\Utilities\RefineRTDCRunTimes.py" --tripid 213-28 --locoid 4024 --swversion DE.1.0.9.0 --startMP 204:553 --initTime 2017-10-28T17:39:12 --startdatetime 2017-10-28T17:45:16 --delay 67 --endMP 204:233223 --enddatetime 2017-10-28T18:21:15 --enforcementcount 0 &gt;&gt;%USERPROFILE%\Documents\GitHub\eaglep3-reporting\EC\2017-10-28-refined-times.txt</v>
      </c>
      <c r="AI125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{"issue":{"subject":"","project_id":79,"tracker_id":40,"status_id":1,"priority_id":2,"assigned_to_id":338,"start_date":"2017-10-28","description":"","custom_fields":[{"id":1,"name":"Subdivision","value":"EC"},{"id":4,"name":"Milepost","value":"23.3223"},{"id":17,"name":"Train ID","value":"213-28"},{"id":16,"name":"Locomotive ID","value":"4024"},{"id":130,"name":"Impact","value":""},{"id":150,"name":"Time of Event (Mountain Time)","value":"18:21:15"},{"id":151,"name":"Denver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4024 --day 2017-10-28</v>
      </c>
      <c r="AN125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46"/>
        <v>https://d0f6bd738d7f1b3e5a7ca70fe4ff75f0.us-east-1.aws.found.io/app/kibana#/discover/Steve-Slow-Train-Analysis-(2080s-and-2083s)?_g=(refreshInterval:(display:Off,pause:!f,section:0,value:0),time:(from:'2017-10-28T16:39:12-0600',mode:absolute,to:'2017-10-28T19:21:15-0600'))&amp;_a=(columns:!('Message%20ID',Summary),filters:!(),index:'emp_*',interval:auto,query:(query_string:(analyze_wildcard:!t,query:'%22rtdc.l.rtdc.4024%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829</v>
      </c>
      <c r="B126" s="7">
        <v>4023</v>
      </c>
      <c r="C126" s="21" t="s">
        <v>194</v>
      </c>
      <c r="D126" s="21" t="s">
        <v>1020</v>
      </c>
      <c r="E126" s="13">
        <v>43036.769479166665</v>
      </c>
      <c r="F126" s="13">
        <v>43036.779444444444</v>
      </c>
      <c r="G126" s="7">
        <v>71</v>
      </c>
      <c r="H126" s="21" t="s">
        <v>357</v>
      </c>
      <c r="I126" s="13">
        <v>43036.806145833332</v>
      </c>
      <c r="J126" s="7">
        <v>0</v>
      </c>
      <c r="K126" s="89" t="str">
        <f t="shared" si="31"/>
        <v>4023/4024</v>
      </c>
      <c r="L126" s="185" t="str">
        <f>VLOOKUP(A126,'Trips&amp;Operators'!$C$1:$G$99911,5,FALSE)</f>
        <v>FORTUNATO FRANK</v>
      </c>
      <c r="M126" s="6">
        <f t="shared" si="32"/>
        <v>2.6701388887886424E-2</v>
      </c>
      <c r="N126" s="7">
        <f t="shared" si="57"/>
        <v>38.44999999855645</v>
      </c>
      <c r="O126" s="7"/>
      <c r="P126" s="7"/>
      <c r="Q126" s="22"/>
      <c r="R126" s="174"/>
      <c r="S126" s="221">
        <f t="shared" si="58"/>
        <v>1</v>
      </c>
      <c r="T126" s="174" t="str">
        <f t="shared" si="33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4"/>
        <v>https://d0f6bd738d7f1b3e5a7ca70fe4ff75f0.us-east-1.aws.found.io/app/kibana#/discover/Steve-Slow-Train-Analysis-(2080s-and-2083s)?_g=(refreshInterval:(display:Off,pause:!f,section:0,value:0),time:(from:'2017-10-28T17:28:03-0600',mode:absolute,to:'2017-10-28T20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6" s="204" t="str">
        <f>IF(AA126&lt;VLOOKUP(AG126,Variables!$AC$3:$AD$8,2,FALSE),"Y","N")</f>
        <v>N</v>
      </c>
      <c r="X126" s="204">
        <f t="shared" si="49"/>
        <v>1</v>
      </c>
      <c r="Y126" s="204">
        <f t="shared" si="55"/>
        <v>23.290600000000001</v>
      </c>
      <c r="Z126" s="204">
        <f t="shared" si="56"/>
        <v>1.3899999999999999E-2</v>
      </c>
      <c r="AA126" s="204">
        <f t="shared" si="37"/>
        <v>23.276700000000002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8"/>
        <v>214</v>
      </c>
      <c r="AE126" s="77" t="str">
        <f t="shared" si="39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126" s="74" t="str">
        <f t="shared" si="40"/>
        <v>"C:\Program Files (x86)\AstroGrep\AstroGrep.exe" /e /r /s /spath="%USERPROFILE%\AppData\Local\Temp\OnboardLogs" /stypes="app*4023*20171029*" /stext=" 01:.+((SYSTEM_STATE.+slice.+state.+changed )|(ment ac)|(multiple cpu faults)|(system.+state.+changed )|(\[timeout)|(PRM\|1\|D)|(kpr)|(kdp)|(train st.+moving)|(\|lc)|(penalty))"</v>
      </c>
      <c r="AG126" s="182" t="str">
        <f t="shared" si="41"/>
        <v>EC</v>
      </c>
      <c r="AH126" s="78" t="str">
        <f t="shared" si="42"/>
        <v>"%USERPROFILE%\Documents\GitHub\eaglep3\Utilities\RefineRTDCRunTimes.py" --tripid 214-28 --locoid 4023 --swversion DE.1.0.9.0 --startMP 204:232906 --initTime 2017-10-28T18:28:03 --startdatetime 2017-10-28T18:42:24 --delay 71 --endMP 204:139 --enddatetime 2017-10-28T19:20:51 --enforcementcount 0 &gt;&gt;%USERPROFILE%\Documents\GitHub\eaglep3-reporting\EC\2017-10-28-refined-times.txt</v>
      </c>
      <c r="AI126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{"issue":{"subject":"","project_id":79,"tracker_id":40,"status_id":1,"priority_id":2,"assigned_to_id":338,"start_date":"2017-10-28","description":"","custom_fields":[{"id":1,"name":"Subdivision","value":"EC"},{"id":4,"name":"Milepost","value":"0.0139"},{"id":17,"name":"Train ID","value":"214-28"},{"id":16,"name":"Locomotive ID","value":"4023"},{"id":130,"name":"Impact","value":""},{"id":150,"name":"Time of Event (Mountain Time)","value":"19:20:51"},{"id":151,"name":"Denver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4023 --day 2017-10-28</v>
      </c>
      <c r="AN126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6"/>
        <v>https://d0f6bd738d7f1b3e5a7ca70fe4ff75f0.us-east-1.aws.found.io/app/kibana#/discover/Steve-Slow-Train-Analysis-(2080s-and-2083s)?_g=(refreshInterval:(display:Off,pause:!f,section:0,value:0),time:(from:'2017-10-28T17:28:03-0600',mode:absolute,to:'2017-10-28T20:20:51-0600'))&amp;_a=(columns:!('Message%20ID',Summary),filters:!(),index:'emp_*',interval:auto,query:(query_string:(analyze_wildcard:!t,query:'%22rtdc.l.rtdc.4023%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823</v>
      </c>
      <c r="B127" s="7">
        <v>4064</v>
      </c>
      <c r="C127" s="21" t="s">
        <v>194</v>
      </c>
      <c r="D127" s="21" t="s">
        <v>1021</v>
      </c>
      <c r="E127" s="13">
        <v>43036.744791666664</v>
      </c>
      <c r="F127" s="13">
        <v>43036.750289351854</v>
      </c>
      <c r="G127" s="7">
        <v>47</v>
      </c>
      <c r="H127" s="21" t="s">
        <v>571</v>
      </c>
      <c r="I127" s="13">
        <v>43036.775081018517</v>
      </c>
      <c r="J127" s="7">
        <v>0</v>
      </c>
      <c r="K127" s="89" t="str">
        <f t="shared" si="31"/>
        <v>4063/4064</v>
      </c>
      <c r="L127" s="185" t="str">
        <f>VLOOKUP(A127,'Trips&amp;Operators'!$C$1:$G$99911,5,FALSE)</f>
        <v>HOLCOMB KAMDEN</v>
      </c>
      <c r="M127" s="6">
        <f t="shared" si="32"/>
        <v>2.4791666663077194E-2</v>
      </c>
      <c r="N127" s="7">
        <f t="shared" si="57"/>
        <v>35.69999999483116</v>
      </c>
      <c r="O127" s="7"/>
      <c r="P127" s="7"/>
      <c r="Q127" s="22"/>
      <c r="R127" s="174"/>
      <c r="S127" s="221">
        <f t="shared" si="58"/>
        <v>1</v>
      </c>
      <c r="T127" s="174" t="str">
        <f t="shared" si="33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4"/>
        <v>https://d0f6bd738d7f1b3e5a7ca70fe4ff75f0.us-east-1.aws.found.io/app/kibana#/discover/Steve-Slow-Train-Analysis-(2080s-and-2083s)?_g=(refreshInterval:(display:Off,pause:!f,section:0,value:0),time:(from:'2017-10-28T16:52:30-0600',mode:absolute,to:'2017-10-28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204" t="str">
        <f>IF(AA127&lt;VLOOKUP(AG127,Variables!$AC$3:$AD$8,2,FALSE),"Y","N")</f>
        <v>N</v>
      </c>
      <c r="X127" s="204">
        <f t="shared" si="49"/>
        <v>1</v>
      </c>
      <c r="Y127" s="204">
        <f t="shared" si="55"/>
        <v>6.0100000000000001E-2</v>
      </c>
      <c r="Z127" s="204">
        <f t="shared" si="56"/>
        <v>23.319199999999999</v>
      </c>
      <c r="AA127" s="204">
        <f t="shared" si="37"/>
        <v>23.2591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8"/>
        <v>215</v>
      </c>
      <c r="AE127" s="77" t="str">
        <f t="shared" si="39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127" s="74" t="str">
        <f t="shared" si="40"/>
        <v>"C:\Program Files (x86)\AstroGrep\AstroGrep.exe" /e /r /s /spath="%USERPROFILE%\AppData\Local\Temp\OnboardLogs" /stypes="app*4064*20171029*" /stext=" 00:.+((SYSTEM_STATE.+slice.+state.+changed )|(ment ac)|(multiple cpu faults)|(system.+state.+changed )|(\[timeout)|(PRM\|1\|D)|(kpr)|(kdp)|(train st.+moving)|(\|lc)|(penalty))"</v>
      </c>
      <c r="AG127" s="182" t="str">
        <f t="shared" si="41"/>
        <v>EC</v>
      </c>
      <c r="AH127" s="78" t="str">
        <f t="shared" si="42"/>
        <v>"%USERPROFILE%\Documents\GitHub\eaglep3\Utilities\RefineRTDCRunTimes.py" --tripid 215-28 --locoid 4064 --swversion DE.1.0.9.0 --startMP 204:601 --initTime 2017-10-28T17:52:30 --startdatetime 2017-10-28T18:00:25 --delay 47 --endMP 204:233192 --enddatetime 2017-10-28T18:36:07 --enforcementcount 0 &gt;&gt;%USERPROFILE%\Documents\GitHub\eaglep3-reporting\EC\2017-10-28-refined-times.txt</v>
      </c>
      <c r="AI127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{"issue":{"subject":"","project_id":79,"tracker_id":40,"status_id":1,"priority_id":2,"assigned_to_id":338,"start_date":"2017-10-28","description":"","custom_fields":[{"id":1,"name":"Subdivision","value":"EC"},{"id":4,"name":"Milepost","value":"23.3192"},{"id":17,"name":"Train ID","value":"215-28"},{"id":16,"name":"Locomotive ID","value":"4064"},{"id":130,"name":"Impact","value":""},{"id":150,"name":"Time of Event (Mountain Time)","value":"18:36:07"},{"id":151,"name":"Denver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4064 --day 2017-10-28</v>
      </c>
      <c r="AN127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6"/>
        <v>https://d0f6bd738d7f1b3e5a7ca70fe4ff75f0.us-east-1.aws.found.io/app/kibana#/discover/Steve-Slow-Train-Analysis-(2080s-and-2083s)?_g=(refreshInterval:(display:Off,pause:!f,section:0,value:0),time:(from:'2017-10-28T16:52:30-0600',mode:absolute,to:'2017-10-28T19:36:07-0600'))&amp;_a=(columns:!('Message%20ID',Summary),filters:!(),index:'emp_*',interval:auto,query:(query_string:(analyze_wildcard:!t,query:'%22rtdc.l.rtdc.4064%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831</v>
      </c>
      <c r="B128" s="7">
        <v>4063</v>
      </c>
      <c r="C128" s="21" t="s">
        <v>194</v>
      </c>
      <c r="D128" s="21" t="s">
        <v>1022</v>
      </c>
      <c r="E128" s="13">
        <v>43036.786736111113</v>
      </c>
      <c r="F128" s="13">
        <v>43036.789965277778</v>
      </c>
      <c r="G128" s="7">
        <v>51</v>
      </c>
      <c r="H128" s="21" t="s">
        <v>1023</v>
      </c>
      <c r="I128" s="13">
        <v>43036.816666666666</v>
      </c>
      <c r="J128" s="7">
        <v>0</v>
      </c>
      <c r="K128" s="89" t="str">
        <f t="shared" si="31"/>
        <v>4063/4064</v>
      </c>
      <c r="L128" s="185" t="str">
        <f>VLOOKUP(A128,'Trips&amp;Operators'!$C$1:$G$99911,5,FALSE)</f>
        <v>HOLCOMB KAMDEN</v>
      </c>
      <c r="M128" s="6">
        <f t="shared" si="32"/>
        <v>2.6701388887886424E-2</v>
      </c>
      <c r="N128" s="7">
        <f t="shared" si="57"/>
        <v>38.44999999855645</v>
      </c>
      <c r="O128" s="7"/>
      <c r="P128" s="7"/>
      <c r="Q128" s="22"/>
      <c r="R128" s="174"/>
      <c r="S128" s="221">
        <f t="shared" si="58"/>
        <v>1</v>
      </c>
      <c r="T128" s="174" t="str">
        <f t="shared" si="33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4"/>
        <v>https://d0f6bd738d7f1b3e5a7ca70fe4ff75f0.us-east-1.aws.found.io/app/kibana#/discover/Steve-Slow-Train-Analysis-(2080s-and-2083s)?_g=(refreshInterval:(display:Off,pause:!f,section:0,value:0),time:(from:'2017-10-28T17:52:54-0600',mode:absolute,to:'2017-10-28T20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204" t="str">
        <f>IF(AA128&lt;VLOOKUP(AG128,Variables!$AC$3:$AD$8,2,FALSE),"Y","N")</f>
        <v>N</v>
      </c>
      <c r="X128" s="204">
        <f t="shared" si="49"/>
        <v>1</v>
      </c>
      <c r="Y128" s="204">
        <f t="shared" si="55"/>
        <v>23.286300000000001</v>
      </c>
      <c r="Z128" s="204">
        <f t="shared" si="56"/>
        <v>0.17660000000000001</v>
      </c>
      <c r="AA128" s="204">
        <f t="shared" si="37"/>
        <v>23.1097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8"/>
        <v>216</v>
      </c>
      <c r="AE128" s="77" t="str">
        <f t="shared" si="39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128" s="74" t="str">
        <f t="shared" si="40"/>
        <v>"C:\Program Files (x86)\AstroGrep\AstroGrep.exe" /e /r /s /spath="%USERPROFILE%\AppData\Local\Temp\OnboardLogs" /stypes="app*4063*20171029*" /stext=" 01:.+((SYSTEM_STATE.+slice.+state.+changed )|(ment ac)|(multiple cpu faults)|(system.+state.+changed )|(\[timeout)|(PRM\|1\|D)|(kpr)|(kdp)|(train st.+moving)|(\|lc)|(penalty))"</v>
      </c>
      <c r="AG128" s="182" t="str">
        <f t="shared" si="41"/>
        <v>EC</v>
      </c>
      <c r="AH128" s="78" t="str">
        <f t="shared" si="42"/>
        <v>"%USERPROFILE%\Documents\GitHub\eaglep3\Utilities\RefineRTDCRunTimes.py" --tripid 216-28 --locoid 4063 --swversion DE.1.0.9.0 --startMP 204:232863 --initTime 2017-10-28T18:52:54 --startdatetime 2017-10-28T18:57:33 --delay 51 --endMP 204:1766 --enddatetime 2017-10-28T19:36:00 --enforcementcount 0 &gt;&gt;%USERPROFILE%\Documents\GitHub\eaglep3-reporting\EC\2017-10-28-refined-times.txt</v>
      </c>
      <c r="AI128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{"issue":{"subject":"","project_id":79,"tracker_id":40,"status_id":1,"priority_id":2,"assigned_to_id":338,"start_date":"2017-10-28","description":"","custom_fields":[{"id":1,"name":"Subdivision","value":"EC"},{"id":4,"name":"Milepost","value":"0.1766"},{"id":17,"name":"Train ID","value":"216-28"},{"id":16,"name":"Locomotive ID","value":"4063"},{"id":130,"name":"Impact","value":""},{"id":150,"name":"Time of Event (Mountain Time)","value":"19:36:00"},{"id":151,"name":"Denver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4063 --day 2017-10-28</v>
      </c>
      <c r="AN128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6"/>
        <v>https://d0f6bd738d7f1b3e5a7ca70fe4ff75f0.us-east-1.aws.found.io/app/kibana#/discover/Steve-Slow-Train-Analysis-(2080s-and-2083s)?_g=(refreshInterval:(display:Off,pause:!f,section:0,value:0),time:(from:'2017-10-28T17:52:54-0600',mode:absolute,to:'2017-10-28T20:36:00-0600'))&amp;_a=(columns:!('Message%20ID',Summary),filters:!(),index:'emp_*',interval:auto,query:(query_string:(analyze_wildcard:!t,query:'%22rtdc.l.rtdc.4063%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826</v>
      </c>
      <c r="B129" s="7">
        <v>4012</v>
      </c>
      <c r="C129" s="21" t="s">
        <v>194</v>
      </c>
      <c r="D129" s="21" t="s">
        <v>590</v>
      </c>
      <c r="E129" s="13">
        <v>43036.756203703706</v>
      </c>
      <c r="F129" s="13">
        <v>43036.760567129626</v>
      </c>
      <c r="G129" s="7">
        <v>124</v>
      </c>
      <c r="H129" s="21" t="s">
        <v>1024</v>
      </c>
      <c r="I129" s="13">
        <v>43036.785196759258</v>
      </c>
      <c r="J129" s="7">
        <v>0</v>
      </c>
      <c r="K129" s="89" t="str">
        <f t="shared" si="31"/>
        <v>4011/4012</v>
      </c>
      <c r="L129" s="185" t="str">
        <f>VLOOKUP(A129,'Trips&amp;Operators'!$C$1:$G$99911,5,FALSE)</f>
        <v>ELBAUM MIKE</v>
      </c>
      <c r="M129" s="6">
        <f t="shared" si="32"/>
        <v>2.4629629631817807E-2</v>
      </c>
      <c r="N129" s="7">
        <f t="shared" si="57"/>
        <v>35.466666669817641</v>
      </c>
      <c r="O129" s="7"/>
      <c r="P129" s="7"/>
      <c r="Q129" s="22"/>
      <c r="R129" s="174"/>
      <c r="S129" s="221">
        <f t="shared" si="58"/>
        <v>1</v>
      </c>
      <c r="T129" s="174" t="str">
        <f t="shared" si="33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4"/>
        <v>https://d0f6bd738d7f1b3e5a7ca70fe4ff75f0.us-east-1.aws.found.io/app/kibana#/discover/Steve-Slow-Train-Analysis-(2080s-and-2083s)?_g=(refreshInterval:(display:Off,pause:!f,section:0,value:0),time:(from:'2017-10-28T17:08:56-0600',mode:absolute,to:'2017-10-28T19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204" t="str">
        <f>IF(AA129&lt;VLOOKUP(AG129,Variables!$AC$3:$AD$8,2,FALSE),"Y","N")</f>
        <v>N</v>
      </c>
      <c r="X129" s="204">
        <f t="shared" si="49"/>
        <v>1</v>
      </c>
      <c r="Y129" s="204">
        <f t="shared" si="55"/>
        <v>5.5100000000000003E-2</v>
      </c>
      <c r="Z129" s="204">
        <f t="shared" si="56"/>
        <v>23.332100000000001</v>
      </c>
      <c r="AA129" s="204">
        <f t="shared" si="37"/>
        <v>23.277000000000001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8"/>
        <v>217</v>
      </c>
      <c r="AE129" s="77" t="str">
        <f t="shared" si="39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129" s="74" t="str">
        <f t="shared" si="40"/>
        <v>"C:\Program Files (x86)\AstroGrep\AstroGrep.exe" /e /r /s /spath="%USERPROFILE%\AppData\Local\Temp\OnboardLogs" /stypes="app*4012*20171029*" /stext=" 00:.+((SYSTEM_STATE.+slice.+state.+changed )|(ment ac)|(multiple cpu faults)|(system.+state.+changed )|(\[timeout)|(PRM\|1\|D)|(kpr)|(kdp)|(train st.+moving)|(\|lc)|(penalty))"</v>
      </c>
      <c r="AG129" s="182" t="str">
        <f t="shared" si="41"/>
        <v>EC</v>
      </c>
      <c r="AH129" s="78" t="str">
        <f t="shared" si="42"/>
        <v>"%USERPROFILE%\Documents\GitHub\eaglep3\Utilities\RefineRTDCRunTimes.py" --tripid 217-28 --locoid 4012 --swversion DE.1.0.9.0 --startMP 204:551 --initTime 2017-10-28T18:08:56 --startdatetime 2017-10-28T18:15:13 --delay 124 --endMP 204:233321 --enddatetime 2017-10-28T18:50:41 --enforcementcount 0 &gt;&gt;%USERPROFILE%\Documents\GitHub\eaglep3-reporting\EC\2017-10-28-refined-times.txt</v>
      </c>
      <c r="AI129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{"issue":{"subject":"","project_id":79,"tracker_id":40,"status_id":1,"priority_id":2,"assigned_to_id":338,"start_date":"2017-10-28","description":"","custom_fields":[{"id":1,"name":"Subdivision","value":"EC"},{"id":4,"name":"Milepost","value":"23.3321"},{"id":17,"name":"Train ID","value":"217-28"},{"id":16,"name":"Locomotive ID","value":"4012"},{"id":130,"name":"Impact","value":""},{"id":150,"name":"Time of Event (Mountain Time)","value":"18:50:41"},{"id":151,"name":"Denver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4012 --day 2017-10-28</v>
      </c>
      <c r="AN129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6"/>
        <v>https://d0f6bd738d7f1b3e5a7ca70fe4ff75f0.us-east-1.aws.found.io/app/kibana#/discover/Steve-Slow-Train-Analysis-(2080s-and-2083s)?_g=(refreshInterval:(display:Off,pause:!f,section:0,value:0),time:(from:'2017-10-28T17:08:56-0600',mode:absolute,to:'2017-10-28T19:50:41-0600'))&amp;_a=(columns:!('Message%20ID',Summary),filters:!(),index:'emp_*',interval:auto,query:(query_string:(analyze_wildcard:!t,query:'%22rtdc.l.rtdc.4012%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832</v>
      </c>
      <c r="B130" s="7">
        <v>4011</v>
      </c>
      <c r="C130" s="21" t="s">
        <v>194</v>
      </c>
      <c r="D130" s="21" t="s">
        <v>1025</v>
      </c>
      <c r="E130" s="13">
        <v>43036.786643518521</v>
      </c>
      <c r="F130" s="13">
        <v>43036.800138888888</v>
      </c>
      <c r="G130" s="7">
        <v>71</v>
      </c>
      <c r="H130" s="21" t="s">
        <v>1026</v>
      </c>
      <c r="I130" s="13">
        <v>43036.82539351852</v>
      </c>
      <c r="J130" s="7">
        <v>0</v>
      </c>
      <c r="K130" s="89" t="str">
        <f t="shared" si="31"/>
        <v>4011/4012</v>
      </c>
      <c r="L130" s="185" t="str">
        <f>VLOOKUP(A130,'Trips&amp;Operators'!$C$1:$G$99911,5,FALSE)</f>
        <v>ELBAUM MIKE</v>
      </c>
      <c r="M130" s="6">
        <f t="shared" si="32"/>
        <v>2.5254629632399883E-2</v>
      </c>
      <c r="N130" s="7">
        <f t="shared" si="57"/>
        <v>36.366666670655832</v>
      </c>
      <c r="O130" s="7"/>
      <c r="P130" s="7"/>
      <c r="Q130" s="22"/>
      <c r="R130" s="174"/>
      <c r="S130" s="221">
        <f t="shared" si="58"/>
        <v>1</v>
      </c>
      <c r="T130" s="174" t="str">
        <f t="shared" si="33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4"/>
        <v>https://d0f6bd738d7f1b3e5a7ca70fe4ff75f0.us-east-1.aws.found.io/app/kibana#/discover/Steve-Slow-Train-Analysis-(2080s-and-2083s)?_g=(refreshInterval:(display:Off,pause:!f,section:0,value:0),time:(from:'2017-10-28T17:52:46-0600',mode:absolute,to:'2017-10-28T20:48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204" t="str">
        <f>IF(AA130&lt;VLOOKUP(AG130,Variables!$AC$3:$AD$8,2,FALSE),"Y","N")</f>
        <v>N</v>
      </c>
      <c r="X130" s="204">
        <f t="shared" si="49"/>
        <v>1</v>
      </c>
      <c r="Y130" s="204">
        <f t="shared" si="55"/>
        <v>23.299399999999999</v>
      </c>
      <c r="Z130" s="204">
        <f t="shared" si="56"/>
        <v>2.69E-2</v>
      </c>
      <c r="AA130" s="204">
        <f t="shared" si="37"/>
        <v>23.272499999999997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8"/>
        <v>218</v>
      </c>
      <c r="AE130" s="77" t="str">
        <f t="shared" si="39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130" s="74" t="str">
        <f t="shared" si="40"/>
        <v>"C:\Program Files (x86)\AstroGrep\AstroGrep.exe" /e /r /s /spath="%USERPROFILE%\AppData\Local\Temp\OnboardLogs" /stypes="app*4011*20171029*" /stext=" 01:.+((SYSTEM_STATE.+slice.+state.+changed )|(ment ac)|(multiple cpu faults)|(system.+state.+changed )|(\[timeout)|(PRM\|1\|D)|(kpr)|(kdp)|(train st.+moving)|(\|lc)|(penalty))"</v>
      </c>
      <c r="AG130" s="182" t="str">
        <f t="shared" si="41"/>
        <v>EC</v>
      </c>
      <c r="AH130" s="78" t="str">
        <f t="shared" si="42"/>
        <v>"%USERPROFILE%\Documents\GitHub\eaglep3\Utilities\RefineRTDCRunTimes.py" --tripid 218-28 --locoid 4011 --swversion DE.1.0.9.0 --startMP 204:232994 --initTime 2017-10-28T18:52:46 --startdatetime 2017-10-28T19:12:12 --delay 71 --endMP 204:269 --enddatetime 2017-10-28T19:48:34 --enforcementcount 0 &gt;&gt;%USERPROFILE%\Documents\GitHub\eaglep3-reporting\EC\2017-10-28-refined-times.txt</v>
      </c>
      <c r="AI130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{"issue":{"subject":"","project_id":79,"tracker_id":40,"status_id":1,"priority_id":2,"assigned_to_id":338,"start_date":"2017-10-28","description":"","custom_fields":[{"id":1,"name":"Subdivision","value":"EC"},{"id":4,"name":"Milepost","value":"0.0269"},{"id":17,"name":"Train ID","value":"218-28"},{"id":16,"name":"Locomotive ID","value":"4011"},{"id":130,"name":"Impact","value":""},{"id":150,"name":"Time of Event (Mountain Time)","value":"19:48:34"},{"id":151,"name":"Denver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4011 --day 2017-10-28</v>
      </c>
      <c r="AN130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01:48:34"},{"id":29,"name":"Sharepoint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6"/>
        <v>https://d0f6bd738d7f1b3e5a7ca70fe4ff75f0.us-east-1.aws.found.io/app/kibana#/discover/Steve-Slow-Train-Analysis-(2080s-and-2083s)?_g=(refreshInterval:(display:Off,pause:!f,section:0,value:0),time:(from:'2017-10-28T17:52:46-0600',mode:absolute,to:'2017-10-28T20:48:34-0600'))&amp;_a=(columns:!('Message%20ID',Summary),filters:!(),index:'emp_*',interval:auto,query:(query_string:(analyze_wildcard:!t,query:'%22rtdc.l.rtdc.4011%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827</v>
      </c>
      <c r="B131" s="7">
        <v>4004</v>
      </c>
      <c r="C131" s="21" t="s">
        <v>194</v>
      </c>
      <c r="D131" s="21" t="s">
        <v>894</v>
      </c>
      <c r="E131" s="13">
        <v>43036.766423611109</v>
      </c>
      <c r="F131" s="13">
        <v>43036.77107638889</v>
      </c>
      <c r="G131" s="7">
        <v>86</v>
      </c>
      <c r="H131" s="21" t="s">
        <v>566</v>
      </c>
      <c r="I131" s="13">
        <v>43036.796782407408</v>
      </c>
      <c r="J131" s="7">
        <v>0</v>
      </c>
      <c r="K131" s="89" t="str">
        <f t="shared" si="31"/>
        <v>4003/4004</v>
      </c>
      <c r="L131" s="185" t="str">
        <f>VLOOKUP(A131,'Trips&amp;Operators'!$C$1:$G$99911,5,FALSE)</f>
        <v>NICHOLSON WESLEY</v>
      </c>
      <c r="M131" s="6">
        <f t="shared" si="32"/>
        <v>2.5706018517666962E-2</v>
      </c>
      <c r="N131" s="7">
        <f t="shared" si="57"/>
        <v>37.016666665440425</v>
      </c>
      <c r="O131" s="7"/>
      <c r="P131" s="7"/>
      <c r="Q131" s="22"/>
      <c r="R131" s="174"/>
      <c r="S131" s="221">
        <f t="shared" si="58"/>
        <v>1</v>
      </c>
      <c r="T131" s="174" t="str">
        <f t="shared" si="33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4"/>
        <v>https://d0f6bd738d7f1b3e5a7ca70fe4ff75f0.us-east-1.aws.found.io/app/kibana#/discover/Steve-Slow-Train-Analysis-(2080s-and-2083s)?_g=(refreshInterval:(display:Off,pause:!f,section:0,value:0),time:(from:'2017-10-28T17:23:39-0600',mode:absolute,to:'2017-10-28T20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204" t="str">
        <f>IF(AA131&lt;VLOOKUP(AG131,Variables!$AC$3:$AD$8,2,FALSE),"Y","N")</f>
        <v>N</v>
      </c>
      <c r="X131" s="204">
        <f t="shared" si="49"/>
        <v>1</v>
      </c>
      <c r="Y131" s="204">
        <f t="shared" si="55"/>
        <v>5.4899999999999997E-2</v>
      </c>
      <c r="Z131" s="204">
        <f t="shared" si="56"/>
        <v>23.3186</v>
      </c>
      <c r="AA131" s="204">
        <f t="shared" si="37"/>
        <v>23.2637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8"/>
        <v>219</v>
      </c>
      <c r="AE131" s="77" t="str">
        <f t="shared" si="39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131" s="74" t="str">
        <f t="shared" si="40"/>
        <v>"C:\Program Files (x86)\AstroGrep\AstroGrep.exe" /e /r /s /spath="%USERPROFILE%\AppData\Local\Temp\OnboardLogs" /stypes="app*4004*20171029*" /stext=" 01:.+((SYSTEM_STATE.+slice.+state.+changed )|(ment ac)|(multiple cpu faults)|(system.+state.+changed )|(\[timeout)|(PRM\|1\|D)|(kpr)|(kdp)|(train st.+moving)|(\|lc)|(penalty))"</v>
      </c>
      <c r="AG131" s="182" t="str">
        <f t="shared" si="41"/>
        <v>EC</v>
      </c>
      <c r="AH131" s="78" t="str">
        <f t="shared" si="42"/>
        <v>"%USERPROFILE%\Documents\GitHub\eaglep3\Utilities\RefineRTDCRunTimes.py" --tripid 219-28 --locoid 4004 --swversion DE.1.0.9.0 --startMP 204:549 --initTime 2017-10-28T18:23:39 --startdatetime 2017-10-28T18:30:21 --delay 86 --endMP 204:233186 --enddatetime 2017-10-28T19:07:22 --enforcementcount 0 &gt;&gt;%USERPROFILE%\Documents\GitHub\eaglep3-reporting\EC\2017-10-28-refined-times.txt</v>
      </c>
      <c r="AI131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{"issue":{"subject":"","project_id":79,"tracker_id":40,"status_id":1,"priority_id":2,"assigned_to_id":338,"start_date":"2017-10-28","description":"","custom_fields":[{"id":1,"name":"Subdivision","value":"EC"},{"id":4,"name":"Milepost","value":"23.3186"},{"id":17,"name":"Train ID","value":"219-28"},{"id":16,"name":"Locomotive ID","value":"4004"},{"id":130,"name":"Impact","value":""},{"id":150,"name":"Time of Event (Mountain Time)","value":"19:07:22"},{"id":151,"name":"Denver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4004 --day 2017-10-28</v>
      </c>
      <c r="AN131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6"/>
        <v>https://d0f6bd738d7f1b3e5a7ca70fe4ff75f0.us-east-1.aws.found.io/app/kibana#/discover/Steve-Slow-Train-Analysis-(2080s-and-2083s)?_g=(refreshInterval:(display:Off,pause:!f,section:0,value:0),time:(from:'2017-10-28T17:23:39-0600',mode:absolute,to:'2017-10-28T20:07:22-0600'))&amp;_a=(columns:!('Message%20ID',Summary),filters:!(),index:'emp_*',interval:auto,query:(query_string:(analyze_wildcard:!t,query:'%22rtdc.l.rtdc.4004%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837</v>
      </c>
      <c r="B132" s="7">
        <v>4003</v>
      </c>
      <c r="C132" s="21" t="s">
        <v>194</v>
      </c>
      <c r="D132" s="21" t="s">
        <v>1027</v>
      </c>
      <c r="E132" s="13">
        <v>43036.804583333331</v>
      </c>
      <c r="F132" s="13">
        <v>43036.811111111114</v>
      </c>
      <c r="G132" s="7">
        <v>225</v>
      </c>
      <c r="H132" s="21" t="s">
        <v>1028</v>
      </c>
      <c r="I132" s="13">
        <v>43036.837465277778</v>
      </c>
      <c r="J132" s="7">
        <v>0</v>
      </c>
      <c r="K132" s="89" t="str">
        <f t="shared" si="31"/>
        <v>4003/4004</v>
      </c>
      <c r="L132" s="185" t="str">
        <f>VLOOKUP(A132,'Trips&amp;Operators'!$C$1:$G$99911,5,FALSE)</f>
        <v>NICHOLSON WESLEY</v>
      </c>
      <c r="M132" s="6">
        <f t="shared" si="32"/>
        <v>2.6354166664532386E-2</v>
      </c>
      <c r="N132" s="7">
        <f t="shared" si="57"/>
        <v>37.949999996926636</v>
      </c>
      <c r="O132" s="7"/>
      <c r="P132" s="7"/>
      <c r="Q132" s="22"/>
      <c r="R132" s="174"/>
      <c r="S132" s="221">
        <f t="shared" si="58"/>
        <v>1</v>
      </c>
      <c r="T132" s="174" t="str">
        <f t="shared" si="33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4"/>
        <v>https://d0f6bd738d7f1b3e5a7ca70fe4ff75f0.us-east-1.aws.found.io/app/kibana#/discover/Steve-Slow-Train-Analysis-(2080s-and-2083s)?_g=(refreshInterval:(display:Off,pause:!f,section:0,value:0),time:(from:'2017-10-28T18:18:36-0600',mode:absolute,to:'2017-10-28T21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204" t="str">
        <f>IF(AA132&lt;VLOOKUP(AG132,Variables!$AC$3:$AD$8,2,FALSE),"Y","N")</f>
        <v>N</v>
      </c>
      <c r="X132" s="204">
        <f t="shared" si="49"/>
        <v>1</v>
      </c>
      <c r="Y132" s="204">
        <f t="shared" si="55"/>
        <v>23.2867</v>
      </c>
      <c r="Z132" s="204">
        <f t="shared" si="56"/>
        <v>3.27E-2</v>
      </c>
      <c r="AA132" s="204">
        <f t="shared" si="37"/>
        <v>23.254000000000001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8"/>
        <v>220</v>
      </c>
      <c r="AE132" s="77" t="str">
        <f t="shared" si="39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132" s="74" t="str">
        <f t="shared" si="40"/>
        <v>"C:\Program Files (x86)\AstroGrep\AstroGrep.exe" /e /r /s /spath="%USERPROFILE%\AppData\Local\Temp\OnboardLogs" /stypes="app*4003*20171029*" /stext=" 02:.+((SYSTEM_STATE.+slice.+state.+changed )|(ment ac)|(multiple cpu faults)|(system.+state.+changed )|(\[timeout)|(PRM\|1\|D)|(kpr)|(kdp)|(train st.+moving)|(\|lc)|(penalty))"</v>
      </c>
      <c r="AG132" s="182" t="str">
        <f t="shared" si="41"/>
        <v>EC</v>
      </c>
      <c r="AH132" s="78" t="str">
        <f t="shared" si="42"/>
        <v>"%USERPROFILE%\Documents\GitHub\eaglep3\Utilities\RefineRTDCRunTimes.py" --tripid 220-28 --locoid 4003 --swversion DE.1.0.9.0 --startMP 204:232867 --initTime 2017-10-28T19:18:36 --startdatetime 2017-10-28T19:28:00 --delay 225 --endMP 204:327 --enddatetime 2017-10-28T20:05:57 --enforcementcount 0 &gt;&gt;%USERPROFILE%\Documents\GitHub\eaglep3-reporting\EC\2017-10-28-refined-times.txt</v>
      </c>
      <c r="AI132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{"issue":{"subject":"","project_id":79,"tracker_id":40,"status_id":1,"priority_id":2,"assigned_to_id":338,"start_date":"2017-10-28","description":"","custom_fields":[{"id":1,"name":"Subdivision","value":"EC"},{"id":4,"name":"Milepost","value":"0.0327"},{"id":17,"name":"Train ID","value":"220-28"},{"id":16,"name":"Locomotive ID","value":"4003"},{"id":130,"name":"Impact","value":""},{"id":150,"name":"Time of Event (Mountain Time)","value":"20:05:57"},{"id":151,"name":"Denver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4003 --day 2017-10-28</v>
      </c>
      <c r="AN132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46"/>
        <v>https://d0f6bd738d7f1b3e5a7ca70fe4ff75f0.us-east-1.aws.found.io/app/kibana#/discover/Steve-Slow-Train-Analysis-(2080s-and-2083s)?_g=(refreshInterval:(display:Off,pause:!f,section:0,value:0),time:(from:'2017-10-28T18:18:36-0600',mode:absolute,to:'2017-10-28T21:05:57-0600'))&amp;_a=(columns:!('Message%20ID',Summary),filters:!(),index:'emp_*',interval:auto,query:(query_string:(analyze_wildcard:!t,query:'%22rtdc.l.rtdc.4003%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833</v>
      </c>
      <c r="B133" s="7">
        <v>4042</v>
      </c>
      <c r="C133" s="21" t="s">
        <v>194</v>
      </c>
      <c r="D133" s="21" t="s">
        <v>907</v>
      </c>
      <c r="E133" s="13">
        <v>43036.787534722222</v>
      </c>
      <c r="F133" s="13">
        <v>43036.791828703703</v>
      </c>
      <c r="G133" s="7">
        <v>85</v>
      </c>
      <c r="H133" s="21" t="s">
        <v>940</v>
      </c>
      <c r="I133" s="13">
        <v>43036.816805555558</v>
      </c>
      <c r="J133" s="7">
        <v>0</v>
      </c>
      <c r="K133" s="89" t="str">
        <f t="shared" si="31"/>
        <v>4041/4042</v>
      </c>
      <c r="L133" s="185" t="str">
        <f>VLOOKUP(A133,'Trips&amp;Operators'!$C$1:$G$99911,5,FALSE)</f>
        <v>RESPASS AARON</v>
      </c>
      <c r="M133" s="6">
        <f t="shared" si="32"/>
        <v>2.4976851855171844E-2</v>
      </c>
      <c r="N133" s="7">
        <f t="shared" si="57"/>
        <v>35.966666671447456</v>
      </c>
      <c r="O133" s="7"/>
      <c r="P133" s="7"/>
      <c r="Q133" s="22"/>
      <c r="R133" s="174"/>
      <c r="S133" s="221">
        <f t="shared" si="58"/>
        <v>1</v>
      </c>
      <c r="T133" s="174" t="str">
        <f t="shared" si="33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4"/>
        <v>https://d0f6bd738d7f1b3e5a7ca70fe4ff75f0.us-east-1.aws.found.io/app/kibana#/discover/Steve-Slow-Train-Analysis-(2080s-and-2083s)?_g=(refreshInterval:(display:Off,pause:!f,section:0,value:0),time:(from:'2017-10-28T17:54:03-0600',mode:absolute,to:'2017-10-28T20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204" t="str">
        <f>IF(AA133&lt;VLOOKUP(AG133,Variables!$AC$3:$AD$8,2,FALSE),"Y","N")</f>
        <v>N</v>
      </c>
      <c r="X133" s="204">
        <f t="shared" si="49"/>
        <v>1</v>
      </c>
      <c r="Y133" s="204">
        <f t="shared" si="55"/>
        <v>5.5500000000000001E-2</v>
      </c>
      <c r="Z133" s="204">
        <f t="shared" si="56"/>
        <v>23.320900000000002</v>
      </c>
      <c r="AA133" s="204">
        <f t="shared" si="37"/>
        <v>23.265400000000003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8"/>
        <v>221</v>
      </c>
      <c r="AE133" s="77" t="str">
        <f t="shared" si="39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133" s="74" t="str">
        <f t="shared" si="40"/>
        <v>"C:\Program Files (x86)\AstroGrep\AstroGrep.exe" /e /r /s /spath="%USERPROFILE%\AppData\Local\Temp\OnboardLogs" /stypes="app*4042*20171029*" /stext=" 01:.+((SYSTEM_STATE.+slice.+state.+changed )|(ment ac)|(multiple cpu faults)|(system.+state.+changed )|(\[timeout)|(PRM\|1\|D)|(kpr)|(kdp)|(train st.+moving)|(\|lc)|(penalty))"</v>
      </c>
      <c r="AG133" s="182" t="str">
        <f t="shared" si="41"/>
        <v>EC</v>
      </c>
      <c r="AH133" s="78" t="str">
        <f t="shared" si="42"/>
        <v>"%USERPROFILE%\Documents\GitHub\eaglep3\Utilities\RefineRTDCRunTimes.py" --tripid 221-28 --locoid 4042 --swversion DE.1.0.9.0 --startMP 204:555 --initTime 2017-10-28T18:54:03 --startdatetime 2017-10-28T19:00:14 --delay 85 --endMP 204:233209 --enddatetime 2017-10-28T19:36:12 --enforcementcount 0 &gt;&gt;%USERPROFILE%\Documents\GitHub\eaglep3-reporting\EC\2017-10-28-refined-times.txt</v>
      </c>
      <c r="AI133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{"issue":{"subject":"","project_id":79,"tracker_id":40,"status_id":1,"priority_id":2,"assigned_to_id":338,"start_date":"2017-10-28","description":"","custom_fields":[{"id":1,"name":"Subdivision","value":"EC"},{"id":4,"name":"Milepost","value":"23.3209"},{"id":17,"name":"Train ID","value":"221-28"},{"id":16,"name":"Locomotive ID","value":"4042"},{"id":130,"name":"Impact","value":""},{"id":150,"name":"Time of Event (Mountain Time)","value":"19:36:12"},{"id":151,"name":"Denver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4042 --day 2017-10-28</v>
      </c>
      <c r="AN133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6"/>
        <v>https://d0f6bd738d7f1b3e5a7ca70fe4ff75f0.us-east-1.aws.found.io/app/kibana#/discover/Steve-Slow-Train-Analysis-(2080s-and-2083s)?_g=(refreshInterval:(display:Off,pause:!f,section:0,value:0),time:(from:'2017-10-28T17:54:03-0600',mode:absolute,to:'2017-10-28T20:36:12-0600'))&amp;_a=(columns:!('Message%20ID',Summary),filters:!(),index:'emp_*',interval:auto,query:(query_string:(analyze_wildcard:!t,query:'%22rtdc.l.rtdc.4042%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843</v>
      </c>
      <c r="B134" s="7">
        <v>4041</v>
      </c>
      <c r="C134" s="21" t="s">
        <v>194</v>
      </c>
      <c r="D134" s="21" t="s">
        <v>576</v>
      </c>
      <c r="E134" s="13">
        <v>43036.826944444445</v>
      </c>
      <c r="F134" s="13">
        <v>43036.831412037034</v>
      </c>
      <c r="G134" s="7">
        <v>71</v>
      </c>
      <c r="H134" s="21" t="s">
        <v>1029</v>
      </c>
      <c r="I134" s="13">
        <v>43036.858171296299</v>
      </c>
      <c r="J134" s="7">
        <v>0</v>
      </c>
      <c r="K134" s="89" t="str">
        <f t="shared" si="31"/>
        <v>4041/4042</v>
      </c>
      <c r="L134" s="185" t="str">
        <f>VLOOKUP(A134,'Trips&amp;Operators'!$C$1:$G$99911,5,FALSE)</f>
        <v>RESPASS AARON</v>
      </c>
      <c r="M134" s="6">
        <f t="shared" si="32"/>
        <v>2.6759259264508728E-2</v>
      </c>
      <c r="N134" s="7">
        <f t="shared" si="57"/>
        <v>38.533333340892568</v>
      </c>
      <c r="O134" s="7"/>
      <c r="P134" s="7"/>
      <c r="Q134" s="22"/>
      <c r="R134" s="174"/>
      <c r="S134" s="221">
        <f t="shared" si="58"/>
        <v>1</v>
      </c>
      <c r="T134" s="174" t="str">
        <f t="shared" si="33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4"/>
        <v>https://d0f6bd738d7f1b3e5a7ca70fe4ff75f0.us-east-1.aws.found.io/app/kibana#/discover/Steve-Slow-Train-Analysis-(2080s-and-2083s)?_g=(refreshInterval:(display:Off,pause:!f,section:0,value:0),time:(from:'2017-10-28T18:50:48-0600',mode:absolute,to:'2017-10-28T21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204" t="str">
        <f>IF(AA134&lt;VLOOKUP(AG134,Variables!$AC$3:$AD$8,2,FALSE),"Y","N")</f>
        <v>N</v>
      </c>
      <c r="X134" s="204">
        <f t="shared" si="49"/>
        <v>1</v>
      </c>
      <c r="Y134" s="204">
        <f t="shared" si="55"/>
        <v>23.290400000000002</v>
      </c>
      <c r="Z134" s="204">
        <f t="shared" si="56"/>
        <v>2.23E-2</v>
      </c>
      <c r="AA134" s="204">
        <f t="shared" si="37"/>
        <v>23.2681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8"/>
        <v>222</v>
      </c>
      <c r="AE134" s="77" t="str">
        <f t="shared" si="39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134" s="74" t="str">
        <f t="shared" si="40"/>
        <v>"C:\Program Files (x86)\AstroGrep\AstroGrep.exe" /e /r /s /spath="%USERPROFILE%\AppData\Local\Temp\OnboardLogs" /stypes="app*4041*20171029*" /stext=" 02:.+((SYSTEM_STATE.+slice.+state.+changed )|(ment ac)|(multiple cpu faults)|(system.+state.+changed )|(\[timeout)|(PRM\|1\|D)|(kpr)|(kdp)|(train st.+moving)|(\|lc)|(penalty))"</v>
      </c>
      <c r="AG134" s="182" t="str">
        <f t="shared" si="41"/>
        <v>EC</v>
      </c>
      <c r="AH134" s="78" t="str">
        <f t="shared" si="42"/>
        <v>"%USERPROFILE%\Documents\GitHub\eaglep3\Utilities\RefineRTDCRunTimes.py" --tripid 222-28 --locoid 4041 --swversion DE.1.0.9.0 --startMP 204:232904 --initTime 2017-10-28T19:50:48 --startdatetime 2017-10-28T19:57:14 --delay 71 --endMP 204:223 --enddatetime 2017-10-28T20:35:46 --enforcementcount 0 &gt;&gt;%USERPROFILE%\Documents\GitHub\eaglep3-reporting\EC\2017-10-28-refined-times.txt</v>
      </c>
      <c r="AI134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{"issue":{"subject":"","project_id":79,"tracker_id":40,"status_id":1,"priority_id":2,"assigned_to_id":338,"start_date":"2017-10-28","description":"","custom_fields":[{"id":1,"name":"Subdivision","value":"EC"},{"id":4,"name":"Milepost","value":"0.0223"},{"id":17,"name":"Train ID","value":"222-28"},{"id":16,"name":"Locomotive ID","value":"4041"},{"id":130,"name":"Impact","value":""},{"id":150,"name":"Time of Event (Mountain Time)","value":"20:35:46"},{"id":151,"name":"Denver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4041 --day 2017-10-28</v>
      </c>
      <c r="AN134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6"/>
        <v>https://d0f6bd738d7f1b3e5a7ca70fe4ff75f0.us-east-1.aws.found.io/app/kibana#/discover/Steve-Slow-Train-Analysis-(2080s-and-2083s)?_g=(refreshInterval:(display:Off,pause:!f,section:0,value:0),time:(from:'2017-10-28T18:50:48-0600',mode:absolute,to:'2017-10-28T21:35:46-0600'))&amp;_a=(columns:!('Message%20ID',Summary),filters:!(),index:'emp_*',interval:auto,query:(query_string:(analyze_wildcard:!t,query:'%22rtdc.l.rtdc.4041%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839</v>
      </c>
      <c r="B135" s="7">
        <v>4024</v>
      </c>
      <c r="C135" s="21" t="s">
        <v>194</v>
      </c>
      <c r="D135" s="21" t="s">
        <v>477</v>
      </c>
      <c r="E135" s="13">
        <v>43036.810023148151</v>
      </c>
      <c r="F135" s="13">
        <v>43036.812685185185</v>
      </c>
      <c r="G135" s="7">
        <v>61</v>
      </c>
      <c r="H135" s="21" t="s">
        <v>571</v>
      </c>
      <c r="I135" s="13">
        <v>43036.838287037041</v>
      </c>
      <c r="J135" s="7">
        <v>0</v>
      </c>
      <c r="K135" s="89" t="str">
        <f t="shared" si="31"/>
        <v>4023/4024</v>
      </c>
      <c r="L135" s="185" t="str">
        <f>VLOOKUP(A135,'Trips&amp;Operators'!$C$1:$G$99911,5,FALSE)</f>
        <v>FORTUNATO FRANK</v>
      </c>
      <c r="M135" s="6">
        <f t="shared" si="32"/>
        <v>2.5601851855753921E-2</v>
      </c>
      <c r="N135" s="7">
        <f t="shared" si="57"/>
        <v>36.866666672285646</v>
      </c>
      <c r="O135" s="7"/>
      <c r="P135" s="7"/>
      <c r="Q135" s="22"/>
      <c r="R135" s="174"/>
      <c r="S135" s="221">
        <f t="shared" si="58"/>
        <v>1</v>
      </c>
      <c r="T135" s="174" t="str">
        <f t="shared" si="33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4"/>
        <v>https://d0f6bd738d7f1b3e5a7ca70fe4ff75f0.us-east-1.aws.found.io/app/kibana#/discover/Steve-Slow-Train-Analysis-(2080s-and-2083s)?_g=(refreshInterval:(display:Off,pause:!f,section:0,value:0),time:(from:'2017-10-28T18:26:26-0600',mode:absolute,to:'2017-10-28T21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5" s="204" t="str">
        <f>IF(AA135&lt;VLOOKUP(AG135,Variables!$AC$3:$AD$8,2,FALSE),"Y","N")</f>
        <v>N</v>
      </c>
      <c r="X135" s="204">
        <f t="shared" si="49"/>
        <v>1</v>
      </c>
      <c r="Y135" s="204">
        <f t="shared" si="55"/>
        <v>4.4900000000000002E-2</v>
      </c>
      <c r="Z135" s="204">
        <f t="shared" si="56"/>
        <v>23.319199999999999</v>
      </c>
      <c r="AA135" s="204">
        <f t="shared" si="37"/>
        <v>23.2743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8"/>
        <v>223</v>
      </c>
      <c r="AE135" s="77" t="str">
        <f t="shared" si="39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135" s="74" t="str">
        <f t="shared" si="40"/>
        <v>"C:\Program Files (x86)\AstroGrep\AstroGrep.exe" /e /r /s /spath="%USERPROFILE%\AppData\Local\Temp\OnboardLogs" /stypes="app*4024*20171029*" /stext=" 02:.+((SYSTEM_STATE.+slice.+state.+changed )|(ment ac)|(multiple cpu faults)|(system.+state.+changed )|(\[timeout)|(PRM\|1\|D)|(kpr)|(kdp)|(train st.+moving)|(\|lc)|(penalty))"</v>
      </c>
      <c r="AG135" s="182" t="str">
        <f t="shared" si="41"/>
        <v>EC</v>
      </c>
      <c r="AH135" s="78" t="str">
        <f t="shared" si="42"/>
        <v>"%USERPROFILE%\Documents\GitHub\eaglep3\Utilities\RefineRTDCRunTimes.py" --tripid 223-28 --locoid 4024 --swversion DE.1.0.9.0 --startMP 204:449 --initTime 2017-10-28T19:26:26 --startdatetime 2017-10-28T19:30:16 --delay 61 --endMP 204:233192 --enddatetime 2017-10-28T20:07:08 --enforcementcount 0 &gt;&gt;%USERPROFILE%\Documents\GitHub\eaglep3-reporting\EC\2017-10-28-refined-times.txt</v>
      </c>
      <c r="AI135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{"issue":{"subject":"","project_id":79,"tracker_id":40,"status_id":1,"priority_id":2,"assigned_to_id":338,"start_date":"2017-10-28","description":"","custom_fields":[{"id":1,"name":"Subdivision","value":"EC"},{"id":4,"name":"Milepost","value":"23.3192"},{"id":17,"name":"Train ID","value":"223-28"},{"id":16,"name":"Locomotive ID","value":"4024"},{"id":130,"name":"Impact","value":""},{"id":150,"name":"Time of Event (Mountain Time)","value":"20:07:08"},{"id":151,"name":"Denver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4024 --day 2017-10-28</v>
      </c>
      <c r="AN135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6"/>
        <v>https://d0f6bd738d7f1b3e5a7ca70fe4ff75f0.us-east-1.aws.found.io/app/kibana#/discover/Steve-Slow-Train-Analysis-(2080s-and-2083s)?_g=(refreshInterval:(display:Off,pause:!f,section:0,value:0),time:(from:'2017-10-28T18:26:26-0600',mode:absolute,to:'2017-10-28T21:07:08-0600'))&amp;_a=(columns:!('Message%20ID',Summary),filters:!(),index:'emp_*',interval:auto,query:(query_string:(analyze_wildcard:!t,query:'%22rtdc.l.rtdc.4024%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847</v>
      </c>
      <c r="B136" s="7">
        <v>4023</v>
      </c>
      <c r="C136" s="21" t="s">
        <v>194</v>
      </c>
      <c r="D136" s="21" t="s">
        <v>528</v>
      </c>
      <c r="E136" s="13">
        <v>43036.839502314811</v>
      </c>
      <c r="F136" s="13">
        <v>43036.852337962962</v>
      </c>
      <c r="G136" s="7">
        <v>49</v>
      </c>
      <c r="H136" s="21" t="s">
        <v>337</v>
      </c>
      <c r="I136" s="13">
        <v>43036.878206018519</v>
      </c>
      <c r="J136" s="7">
        <v>0</v>
      </c>
      <c r="K136" s="89" t="str">
        <f t="shared" si="31"/>
        <v>4023/4024</v>
      </c>
      <c r="L136" s="185" t="str">
        <f>VLOOKUP(A136,'Trips&amp;Operators'!$C$1:$G$99911,5,FALSE)</f>
        <v>FORTUNATO FRANK</v>
      </c>
      <c r="M136" s="6">
        <f t="shared" si="32"/>
        <v>2.5868055556202307E-2</v>
      </c>
      <c r="N136" s="7">
        <f t="shared" si="57"/>
        <v>37.250000000931323</v>
      </c>
      <c r="O136" s="7"/>
      <c r="P136" s="7"/>
      <c r="Q136" s="22"/>
      <c r="R136" s="174"/>
      <c r="S136" s="221">
        <f t="shared" si="58"/>
        <v>1</v>
      </c>
      <c r="T136" s="174" t="str">
        <f t="shared" si="33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4"/>
        <v>https://d0f6bd738d7f1b3e5a7ca70fe4ff75f0.us-east-1.aws.found.io/app/kibana#/discover/Steve-Slow-Train-Analysis-(2080s-and-2083s)?_g=(refreshInterval:(display:Off,pause:!f,section:0,value:0),time:(from:'2017-10-28T19:08:53-0600',mode:absolute,to:'2017-10-28T22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6" s="204" t="str">
        <f>IF(AA136&lt;VLOOKUP(AG136,Variables!$AC$3:$AD$8,2,FALSE),"Y","N")</f>
        <v>N</v>
      </c>
      <c r="X136" s="204">
        <f t="shared" ref="X136:X167" si="59">VALUE(LEFT(AD136,4))-VALUE(LEFT(AD135,4))</f>
        <v>1</v>
      </c>
      <c r="Y136" s="204">
        <f t="shared" si="55"/>
        <v>23.287500000000001</v>
      </c>
      <c r="Z136" s="204">
        <f t="shared" si="56"/>
        <v>1.43E-2</v>
      </c>
      <c r="AA136" s="204">
        <f t="shared" si="37"/>
        <v>23.273200000000003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8"/>
        <v>224</v>
      </c>
      <c r="AE136" s="77" t="str">
        <f t="shared" si="39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136" s="74" t="str">
        <f t="shared" si="40"/>
        <v>"C:\Program Files (x86)\AstroGrep\AstroGrep.exe" /e /r /s /spath="%USERPROFILE%\AppData\Local\Temp\OnboardLogs" /stypes="app*4023*20171029*" /stext=" 03:.+((SYSTEM_STATE.+slice.+state.+changed )|(ment ac)|(multiple cpu faults)|(system.+state.+changed )|(\[timeout)|(PRM\|1\|D)|(kpr)|(kdp)|(train st.+moving)|(\|lc)|(penalty))"</v>
      </c>
      <c r="AG136" s="182" t="str">
        <f t="shared" si="41"/>
        <v>EC</v>
      </c>
      <c r="AH136" s="78" t="str">
        <f t="shared" si="42"/>
        <v>"%USERPROFILE%\Documents\GitHub\eaglep3\Utilities\RefineRTDCRunTimes.py" --tripid 224-28 --locoid 4023 --swversion DE.1.0.9.0 --startMP 204:232875 --initTime 2017-10-28T20:08:53 --startdatetime 2017-10-28T20:27:22 --delay 49 --endMP 204:143 --enddatetime 2017-10-28T21:04:37 --enforcementcount 0 &gt;&gt;%USERPROFILE%\Documents\GitHub\eaglep3-reporting\EC\2017-10-28-refined-times.txt</v>
      </c>
      <c r="AI136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{"issue":{"subject":"","project_id":79,"tracker_id":40,"status_id":1,"priority_id":2,"assigned_to_id":338,"start_date":"2017-10-28","description":"","custom_fields":[{"id":1,"name":"Subdivision","value":"EC"},{"id":4,"name":"Milepost","value":"0.0143"},{"id":17,"name":"Train ID","value":"224-28"},{"id":16,"name":"Locomotive ID","value":"4023"},{"id":130,"name":"Impact","value":""},{"id":150,"name":"Time of Event (Mountain Time)","value":"21:04:37"},{"id":151,"name":"Denver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4023 --day 2017-10-28</v>
      </c>
      <c r="AN136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6"/>
        <v>https://d0f6bd738d7f1b3e5a7ca70fe4ff75f0.us-east-1.aws.found.io/app/kibana#/discover/Steve-Slow-Train-Analysis-(2080s-and-2083s)?_g=(refreshInterval:(display:Off,pause:!f,section:0,value:0),time:(from:'2017-10-28T19:08:53-0600',mode:absolute,to:'2017-10-28T22:04:37-0600'))&amp;_a=(columns:!('Message%20ID',Summary),filters:!(),index:'emp_*',interval:auto,query:(query_string:(analyze_wildcard:!t,query:'%22rtdc.l.rtdc.4023%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842</v>
      </c>
      <c r="B137" s="7">
        <v>4012</v>
      </c>
      <c r="C137" s="21" t="s">
        <v>194</v>
      </c>
      <c r="D137" s="21" t="s">
        <v>1030</v>
      </c>
      <c r="E137" s="13">
        <v>43036.826469907406</v>
      </c>
      <c r="F137" s="13">
        <v>43036.833506944444</v>
      </c>
      <c r="G137" s="7">
        <v>61</v>
      </c>
      <c r="H137" s="21" t="s">
        <v>1031</v>
      </c>
      <c r="I137" s="13">
        <v>43036.858819444446</v>
      </c>
      <c r="J137" s="7">
        <v>0</v>
      </c>
      <c r="K137" s="89" t="str">
        <f t="shared" si="31"/>
        <v>4011/4012</v>
      </c>
      <c r="L137" s="185" t="str">
        <f>VLOOKUP(A137,'Trips&amp;Operators'!$C$1:$G$99911,5,FALSE)</f>
        <v>ELBAUM MIKE</v>
      </c>
      <c r="M137" s="6">
        <f t="shared" si="32"/>
        <v>2.531250000174623E-2</v>
      </c>
      <c r="N137" s="7">
        <f t="shared" si="57"/>
        <v>36.450000002514571</v>
      </c>
      <c r="O137" s="7"/>
      <c r="P137" s="7"/>
      <c r="Q137" s="22"/>
      <c r="R137" s="174"/>
      <c r="S137" s="221">
        <f t="shared" si="58"/>
        <v>1</v>
      </c>
      <c r="T137" s="174" t="str">
        <f t="shared" si="33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4"/>
        <v>https://d0f6bd738d7f1b3e5a7ca70fe4ff75f0.us-east-1.aws.found.io/app/kibana#/discover/Steve-Slow-Train-Analysis-(2080s-and-2083s)?_g=(refreshInterval:(display:Off,pause:!f,section:0,value:0),time:(from:'2017-10-28T18:50:07-0600',mode:absolute,to:'2017-10-28T21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204" t="str">
        <f>IF(AA137&lt;VLOOKUP(AG137,Variables!$AC$3:$AD$8,2,FALSE),"Y","N")</f>
        <v>N</v>
      </c>
      <c r="X137" s="204">
        <f t="shared" si="59"/>
        <v>1</v>
      </c>
      <c r="Y137" s="204">
        <f t="shared" si="55"/>
        <v>5.57E-2</v>
      </c>
      <c r="Z137" s="204">
        <f t="shared" si="56"/>
        <v>23.328600000000002</v>
      </c>
      <c r="AA137" s="204">
        <f t="shared" si="37"/>
        <v>23.2729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8"/>
        <v>225</v>
      </c>
      <c r="AE137" s="77" t="str">
        <f t="shared" si="39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137" s="74" t="str">
        <f t="shared" si="40"/>
        <v>"C:\Program Files (x86)\AstroGrep\AstroGrep.exe" /e /r /s /spath="%USERPROFILE%\AppData\Local\Temp\OnboardLogs" /stypes="app*4012*20171029*" /stext=" 02:.+((SYSTEM_STATE.+slice.+state.+changed )|(ment ac)|(multiple cpu faults)|(system.+state.+changed )|(\[timeout)|(PRM\|1\|D)|(kpr)|(kdp)|(train st.+moving)|(\|lc)|(penalty))"</v>
      </c>
      <c r="AG137" s="182" t="str">
        <f t="shared" si="41"/>
        <v>EC</v>
      </c>
      <c r="AH137" s="78" t="str">
        <f t="shared" si="42"/>
        <v>"%USERPROFILE%\Documents\GitHub\eaglep3\Utilities\RefineRTDCRunTimes.py" --tripid 225-28 --locoid 4012 --swversion DE.1.0.9.0 --startMP 204:557 --initTime 2017-10-28T19:50:07 --startdatetime 2017-10-28T20:00:15 --delay 61 --endMP 204:233286 --enddatetime 2017-10-28T20:36:42 --enforcementcount 0 &gt;&gt;%USERPROFILE%\Documents\GitHub\eaglep3-reporting\EC\2017-10-28-refined-times.txt</v>
      </c>
      <c r="AI137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{"issue":{"subject":"","project_id":79,"tracker_id":40,"status_id":1,"priority_id":2,"assigned_to_id":338,"start_date":"2017-10-28","description":"","custom_fields":[{"id":1,"name":"Subdivision","value":"EC"},{"id":4,"name":"Milepost","value":"23.3286"},{"id":17,"name":"Train ID","value":"225-28"},{"id":16,"name":"Locomotive ID","value":"4012"},{"id":130,"name":"Impact","value":""},{"id":150,"name":"Time of Event (Mountain Time)","value":"20:36:42"},{"id":151,"name":"Denver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4012 --day 2017-10-28</v>
      </c>
      <c r="AN137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6"/>
        <v>https://d0f6bd738d7f1b3e5a7ca70fe4ff75f0.us-east-1.aws.found.io/app/kibana#/discover/Steve-Slow-Train-Analysis-(2080s-and-2083s)?_g=(refreshInterval:(display:Off,pause:!f,section:0,value:0),time:(from:'2017-10-28T18:50:07-0600',mode:absolute,to:'2017-10-28T21:36:42-0600'))&amp;_a=(columns:!('Message%20ID',Summary),filters:!(),index:'emp_*',interval:auto,query:(query_string:(analyze_wildcard:!t,query:'%22rtdc.l.rtdc.4012%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851</v>
      </c>
      <c r="B138" s="7">
        <v>4011</v>
      </c>
      <c r="C138" s="21" t="s">
        <v>194</v>
      </c>
      <c r="D138" s="21" t="s">
        <v>555</v>
      </c>
      <c r="E138" s="13">
        <v>43036.860127314816</v>
      </c>
      <c r="F138" s="13">
        <v>43036.873055555552</v>
      </c>
      <c r="G138" s="7">
        <v>60</v>
      </c>
      <c r="H138" s="21" t="s">
        <v>573</v>
      </c>
      <c r="I138" s="13">
        <v>43036.898541666669</v>
      </c>
      <c r="J138" s="7">
        <v>0</v>
      </c>
      <c r="K138" s="89" t="str">
        <f t="shared" si="31"/>
        <v>4011/4012</v>
      </c>
      <c r="L138" s="185" t="str">
        <f>VLOOKUP(A138,'Trips&amp;Operators'!$C$1:$G$99911,5,FALSE)</f>
        <v>ELBAUM MIKE</v>
      </c>
      <c r="M138" s="6">
        <f t="shared" si="32"/>
        <v>2.5486111117061228E-2</v>
      </c>
      <c r="N138" s="7">
        <f t="shared" si="57"/>
        <v>36.700000008568168</v>
      </c>
      <c r="O138" s="7"/>
      <c r="P138" s="7"/>
      <c r="Q138" s="22"/>
      <c r="R138" s="174"/>
      <c r="S138" s="221">
        <f t="shared" si="58"/>
        <v>1</v>
      </c>
      <c r="T138" s="174" t="str">
        <f t="shared" si="33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4"/>
        <v>https://d0f6bd738d7f1b3e5a7ca70fe4ff75f0.us-east-1.aws.found.io/app/kibana#/discover/Steve-Slow-Train-Analysis-(2080s-and-2083s)?_g=(refreshInterval:(display:Off,pause:!f,section:0,value:0),time:(from:'2017-10-28T19:38:35-0600',mode:absolute,to:'2017-10-28T22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204" t="str">
        <f>IF(AA138&lt;VLOOKUP(AG138,Variables!$AC$3:$AD$8,2,FALSE),"Y","N")</f>
        <v>N</v>
      </c>
      <c r="X138" s="204">
        <f t="shared" si="59"/>
        <v>1</v>
      </c>
      <c r="Y138" s="204">
        <f t="shared" ref="Y138:Y157" si="60">RIGHT(D138,LEN(D138)-4)/10000</f>
        <v>23.294599999999999</v>
      </c>
      <c r="Z138" s="204">
        <f t="shared" ref="Z138:Z157" si="61">RIGHT(H138,LEN(H138)-4)/10000</f>
        <v>2.4899999999999999E-2</v>
      </c>
      <c r="AA138" s="204">
        <f t="shared" si="37"/>
        <v>23.2697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8"/>
        <v>226</v>
      </c>
      <c r="AE138" s="77" t="str">
        <f t="shared" si="39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138" s="74" t="str">
        <f t="shared" si="40"/>
        <v>"C:\Program Files (x86)\AstroGrep\AstroGrep.exe" /e /r /s /spath="%USERPROFILE%\AppData\Local\Temp\OnboardLogs" /stypes="app*4011*20171029*" /stext=" 03:.+((SYSTEM_STATE.+slice.+state.+changed )|(ment ac)|(multiple cpu faults)|(system.+state.+changed )|(\[timeout)|(PRM\|1\|D)|(kpr)|(kdp)|(train st.+moving)|(\|lc)|(penalty))"</v>
      </c>
      <c r="AG138" s="182" t="str">
        <f t="shared" si="41"/>
        <v>EC</v>
      </c>
      <c r="AH138" s="78" t="str">
        <f t="shared" si="42"/>
        <v>"%USERPROFILE%\Documents\GitHub\eaglep3\Utilities\RefineRTDCRunTimes.py" --tripid 226-28 --locoid 4011 --swversion DE.1.0.9.0 --startMP 204:232946 --initTime 2017-10-28T20:38:35 --startdatetime 2017-10-28T20:57:12 --delay 60 --endMP 204:249 --enddatetime 2017-10-28T21:33:54 --enforcementcount 0 &gt;&gt;%USERPROFILE%\Documents\GitHub\eaglep3-reporting\EC\2017-10-28-refined-times.txt</v>
      </c>
      <c r="AI138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{"issue":{"subject":"","project_id":79,"tracker_id":40,"status_id":1,"priority_id":2,"assigned_to_id":338,"start_date":"2017-10-28","description":"","custom_fields":[{"id":1,"name":"Subdivision","value":"EC"},{"id":4,"name":"Milepost","value":"0.0249"},{"id":17,"name":"Train ID","value":"226-28"},{"id":16,"name":"Locomotive ID","value":"4011"},{"id":130,"name":"Impact","value":""},{"id":150,"name":"Time of Event (Mountain Time)","value":"21:33:54"},{"id":151,"name":"Denver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4011 --day 2017-10-28</v>
      </c>
      <c r="AN138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03:33:54"},{"id":29,"name":"Sharepoint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6"/>
        <v>https://d0f6bd738d7f1b3e5a7ca70fe4ff75f0.us-east-1.aws.found.io/app/kibana#/discover/Steve-Slow-Train-Analysis-(2080s-and-2083s)?_g=(refreshInterval:(display:Off,pause:!f,section:0,value:0),time:(from:'2017-10-28T19:38:35-0600',mode:absolute,to:'2017-10-28T22:33:54-0600'))&amp;_a=(columns:!('Message%20ID',Summary),filters:!(),index:'emp_*',interval:auto,query:(query_string:(analyze_wildcard:!t,query:'%22rtdc.l.rtdc.4011%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848</v>
      </c>
      <c r="B139" s="7">
        <v>4004</v>
      </c>
      <c r="C139" s="21" t="s">
        <v>194</v>
      </c>
      <c r="D139" s="21" t="s">
        <v>1032</v>
      </c>
      <c r="E139" s="13">
        <v>43036.840057870373</v>
      </c>
      <c r="F139" s="13">
        <v>43036.854629629626</v>
      </c>
      <c r="G139" s="7">
        <v>83</v>
      </c>
      <c r="H139" s="21" t="s">
        <v>566</v>
      </c>
      <c r="I139" s="13">
        <v>43036.880208333336</v>
      </c>
      <c r="J139" s="7">
        <v>0</v>
      </c>
      <c r="K139" s="89" t="str">
        <f t="shared" si="31"/>
        <v>4003/4004</v>
      </c>
      <c r="L139" s="185" t="str">
        <f>VLOOKUP(A139,'Trips&amp;Operators'!$C$1:$G$99911,5,FALSE)</f>
        <v>NICHOLSON WESLEY</v>
      </c>
      <c r="M139" s="6">
        <f t="shared" si="32"/>
        <v>2.5578703709470574E-2</v>
      </c>
      <c r="N139" s="7">
        <f t="shared" si="57"/>
        <v>36.833333341637626</v>
      </c>
      <c r="O139" s="7"/>
      <c r="P139" s="7"/>
      <c r="Q139" s="22"/>
      <c r="R139" s="174"/>
      <c r="S139" s="221">
        <f t="shared" si="58"/>
        <v>1</v>
      </c>
      <c r="T139" s="174" t="str">
        <f t="shared" si="33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4"/>
        <v>https://d0f6bd738d7f1b3e5a7ca70fe4ff75f0.us-east-1.aws.found.io/app/kibana#/discover/Steve-Slow-Train-Analysis-(2080s-and-2083s)?_g=(refreshInterval:(display:Off,pause:!f,section:0,value:0),time:(from:'2017-10-28T19:09:41-0600',mode:absolute,to:'2017-10-28T22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204" t="str">
        <f>IF(AA139&lt;VLOOKUP(AG139,Variables!$AC$3:$AD$8,2,FALSE),"Y","N")</f>
        <v>N</v>
      </c>
      <c r="X139" s="204">
        <f t="shared" si="59"/>
        <v>1</v>
      </c>
      <c r="Y139" s="204">
        <f t="shared" si="60"/>
        <v>6.2799999999999995E-2</v>
      </c>
      <c r="Z139" s="204">
        <f t="shared" si="61"/>
        <v>23.3186</v>
      </c>
      <c r="AA139" s="204">
        <f t="shared" si="37"/>
        <v>23.255800000000001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8"/>
        <v>227</v>
      </c>
      <c r="AE139" s="77" t="str">
        <f t="shared" si="39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139" s="74" t="str">
        <f t="shared" si="40"/>
        <v>"C:\Program Files (x86)\AstroGrep\AstroGrep.exe" /e /r /s /spath="%USERPROFILE%\AppData\Local\Temp\OnboardLogs" /stypes="app*4004*20171029*" /stext=" 03:.+((SYSTEM_STATE.+slice.+state.+changed )|(ment ac)|(multiple cpu faults)|(system.+state.+changed )|(\[timeout)|(PRM\|1\|D)|(kpr)|(kdp)|(train st.+moving)|(\|lc)|(penalty))"</v>
      </c>
      <c r="AG139" s="182" t="str">
        <f t="shared" si="41"/>
        <v>EC</v>
      </c>
      <c r="AH139" s="78" t="str">
        <f t="shared" si="42"/>
        <v>"%USERPROFILE%\Documents\GitHub\eaglep3\Utilities\RefineRTDCRunTimes.py" --tripid 227-28 --locoid 4004 --swversion DE.1.0.9.0 --startMP 204:628 --initTime 2017-10-28T20:09:41 --startdatetime 2017-10-28T20:30:40 --delay 83 --endMP 204:233186 --enddatetime 2017-10-28T21:07:30 --enforcementcount 0 &gt;&gt;%USERPROFILE%\Documents\GitHub\eaglep3-reporting\EC\2017-10-28-refined-times.txt</v>
      </c>
      <c r="AI139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{"issue":{"subject":"","project_id":79,"tracker_id":40,"status_id":1,"priority_id":2,"assigned_to_id":338,"start_date":"2017-10-28","description":"","custom_fields":[{"id":1,"name":"Subdivision","value":"EC"},{"id":4,"name":"Milepost","value":"23.3186"},{"id":17,"name":"Train ID","value":"227-28"},{"id":16,"name":"Locomotive ID","value":"4004"},{"id":130,"name":"Impact","value":""},{"id":150,"name":"Time of Event (Mountain Time)","value":"21:07:30"},{"id":151,"name":"Denver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4004 --day 2017-10-28</v>
      </c>
      <c r="AN139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6"/>
        <v>https://d0f6bd738d7f1b3e5a7ca70fe4ff75f0.us-east-1.aws.found.io/app/kibana#/discover/Steve-Slow-Train-Analysis-(2080s-and-2083s)?_g=(refreshInterval:(display:Off,pause:!f,section:0,value:0),time:(from:'2017-10-28T19:09:41-0600',mode:absolute,to:'2017-10-28T22:07:30-0600'))&amp;_a=(columns:!('Message%20ID',Summary),filters:!(),index:'emp_*',interval:auto,query:(query_string:(analyze_wildcard:!t,query:'%22rtdc.l.rtdc.4004%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854</v>
      </c>
      <c r="B140" s="7">
        <v>4003</v>
      </c>
      <c r="C140" s="21" t="s">
        <v>194</v>
      </c>
      <c r="D140" s="21" t="s">
        <v>1027</v>
      </c>
      <c r="E140" s="13">
        <v>43036.882708333331</v>
      </c>
      <c r="F140" s="13">
        <v>43036.893969907411</v>
      </c>
      <c r="G140" s="7">
        <v>82</v>
      </c>
      <c r="H140" s="21" t="s">
        <v>1033</v>
      </c>
      <c r="I140" s="13">
        <v>43036.920451388891</v>
      </c>
      <c r="J140" s="7">
        <v>0</v>
      </c>
      <c r="K140" s="89" t="str">
        <f t="shared" si="31"/>
        <v>4003/4004</v>
      </c>
      <c r="L140" s="185" t="str">
        <f>VLOOKUP(A140,'Trips&amp;Operators'!$C$1:$G$99911,5,FALSE)</f>
        <v>NICHOLSON WESLEY</v>
      </c>
      <c r="M140" s="6">
        <f t="shared" si="32"/>
        <v>2.6481481480004732E-2</v>
      </c>
      <c r="N140" s="7">
        <f t="shared" si="57"/>
        <v>38.133333331206813</v>
      </c>
      <c r="O140" s="7"/>
      <c r="P140" s="7"/>
      <c r="Q140" s="22"/>
      <c r="R140" s="174"/>
      <c r="S140" s="221">
        <f t="shared" si="58"/>
        <v>1</v>
      </c>
      <c r="T140" s="174" t="str">
        <f t="shared" si="33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4"/>
        <v>https://d0f6bd738d7f1b3e5a7ca70fe4ff75f0.us-east-1.aws.found.io/app/kibana#/discover/Steve-Slow-Train-Analysis-(2080s-and-2083s)?_g=(refreshInterval:(display:Off,pause:!f,section:0,value:0),time:(from:'2017-10-28T20:11:06-0600',mode:absolute,to:'2017-10-28T23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204" t="str">
        <f>IF(AA140&lt;VLOOKUP(AG140,Variables!$AC$3:$AD$8,2,FALSE),"Y","N")</f>
        <v>N</v>
      </c>
      <c r="X140" s="204">
        <f t="shared" si="59"/>
        <v>1</v>
      </c>
      <c r="Y140" s="204">
        <f t="shared" si="60"/>
        <v>23.2867</v>
      </c>
      <c r="Z140" s="204">
        <f t="shared" si="61"/>
        <v>3.4200000000000001E-2</v>
      </c>
      <c r="AA140" s="204">
        <f t="shared" si="37"/>
        <v>23.252500000000001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8"/>
        <v>228</v>
      </c>
      <c r="AE140" s="77" t="str">
        <f t="shared" si="39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140" s="74" t="str">
        <f t="shared" si="40"/>
        <v>"C:\Program Files (x86)\AstroGrep\AstroGrep.exe" /e /r /s /spath="%USERPROFILE%\AppData\Local\Temp\OnboardLogs" /stypes="app*4003*20171029*" /stext=" 04:.+((SYSTEM_STATE.+slice.+state.+changed )|(ment ac)|(multiple cpu faults)|(system.+state.+changed )|(\[timeout)|(PRM\|1\|D)|(kpr)|(kdp)|(train st.+moving)|(\|lc)|(penalty))"</v>
      </c>
      <c r="AG140" s="182" t="str">
        <f t="shared" si="41"/>
        <v>EC</v>
      </c>
      <c r="AH140" s="78" t="str">
        <f t="shared" si="42"/>
        <v>"%USERPROFILE%\Documents\GitHub\eaglep3\Utilities\RefineRTDCRunTimes.py" --tripid 228-28 --locoid 4003 --swversion DE.1.0.9.0 --startMP 204:232867 --initTime 2017-10-28T21:11:06 --startdatetime 2017-10-28T21:27:19 --delay 82 --endMP 204:342 --enddatetime 2017-10-28T22:05:27 --enforcementcount 0 &gt;&gt;%USERPROFILE%\Documents\GitHub\eaglep3-reporting\EC\2017-10-28-refined-times.txt</v>
      </c>
      <c r="AI140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{"issue":{"subject":"","project_id":79,"tracker_id":40,"status_id":1,"priority_id":2,"assigned_to_id":338,"start_date":"2017-10-28","description":"","custom_fields":[{"id":1,"name":"Subdivision","value":"EC"},{"id":4,"name":"Milepost","value":"0.0342"},{"id":17,"name":"Train ID","value":"228-28"},{"id":16,"name":"Locomotive ID","value":"4003"},{"id":130,"name":"Impact","value":""},{"id":150,"name":"Time of Event (Mountain Time)","value":"22:05:27"},{"id":151,"name":"Denver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4003 --day 2017-10-28</v>
      </c>
      <c r="AN140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6"/>
        <v>https://d0f6bd738d7f1b3e5a7ca70fe4ff75f0.us-east-1.aws.found.io/app/kibana#/discover/Steve-Slow-Train-Analysis-(2080s-and-2083s)?_g=(refreshInterval:(display:Off,pause:!f,section:0,value:0),time:(from:'2017-10-28T20:11:06-0600',mode:absolute,to:'2017-10-28T23:05:27-0600'))&amp;_a=(columns:!('Message%20ID',Summary),filters:!(),index:'emp_*',interval:auto,query:(query_string:(analyze_wildcard:!t,query:'%22rtdc.l.rtdc.4003%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852</v>
      </c>
      <c r="B141" s="7">
        <v>4042</v>
      </c>
      <c r="C141" s="21" t="s">
        <v>194</v>
      </c>
      <c r="D141" s="21" t="s">
        <v>601</v>
      </c>
      <c r="E141" s="13">
        <v>43036.868356481478</v>
      </c>
      <c r="F141" s="13">
        <v>43036.875162037039</v>
      </c>
      <c r="G141" s="7">
        <v>72</v>
      </c>
      <c r="H141" s="21" t="s">
        <v>923</v>
      </c>
      <c r="I141" s="13">
        <v>43036.900729166664</v>
      </c>
      <c r="J141" s="7">
        <v>0</v>
      </c>
      <c r="K141" s="89" t="str">
        <f t="shared" ref="K141:K204" si="62">IF(ISEVEN(B141),(B141-1)&amp;"/"&amp;B141,B141&amp;"/"&amp;(B141+1))</f>
        <v>4041/4042</v>
      </c>
      <c r="L141" s="185" t="str">
        <f>VLOOKUP(A141,'Trips&amp;Operators'!$C$1:$G$99911,5,FALSE)</f>
        <v>RESPASS AARON</v>
      </c>
      <c r="M141" s="6">
        <f t="shared" ref="M141:M204" si="63">I141-F141</f>
        <v>2.5567129625414964E-2</v>
      </c>
      <c r="N141" s="7">
        <f t="shared" si="57"/>
        <v>36.816666660597548</v>
      </c>
      <c r="O141" s="7"/>
      <c r="P141" s="7"/>
      <c r="Q141" s="22"/>
      <c r="R141" s="174"/>
      <c r="S141" s="221">
        <f t="shared" si="58"/>
        <v>1</v>
      </c>
      <c r="T141" s="174" t="str">
        <f t="shared" ref="T141:T204" si="64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-28T19:50:26-0600',mode:absolute,to:'2017-10-28T22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204" t="str">
        <f>IF(AA141&lt;VLOOKUP(AG141,Variables!$AC$3:$AD$8,2,FALSE),"Y","N")</f>
        <v>N</v>
      </c>
      <c r="X141" s="204">
        <f t="shared" si="59"/>
        <v>1</v>
      </c>
      <c r="Y141" s="204">
        <f t="shared" si="60"/>
        <v>5.6800000000000003E-2</v>
      </c>
      <c r="Z141" s="204">
        <f t="shared" si="61"/>
        <v>23.325700000000001</v>
      </c>
      <c r="AA141" s="204">
        <f t="shared" ref="AA141:AA204" si="66">ABS(Z141-Y141)</f>
        <v>23.268900000000002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7">VALUE(LEFT(A141,LEN(A141)-3))</f>
        <v>229</v>
      </c>
      <c r="AE141" s="77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141" s="74" t="str">
        <f t="shared" ref="AF141:AF204" si="6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/stypes="app*4042*20171029*"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70">DetSubdiv(A141)</f>
        <v>EC</v>
      </c>
      <c r="AH141" s="78" t="str">
        <f t="shared" si="42"/>
        <v>"%USERPROFILE%\Documents\GitHub\eaglep3\Utilities\RefineRTDCRunTimes.py" --tripid 229-28 --locoid 4042 --swversion DE.1.0.9.0 --startMP 204:568 --initTime 2017-10-28T20:50:26 --startdatetime 2017-10-28T21:00:14 --delay 72 --endMP 204:233257 --enddatetime 2017-10-28T21:37:03 --enforcementcount 0 &gt;&gt;%USERPROFILE%\Documents\GitHub\eaglep3-reporting\EC\2017-10-28-refined-times.txt</v>
      </c>
      <c r="AI141" s="96" t="str">
        <f t="shared" si="43"/>
        <v>echo {"issue":{"subject":"","project_id":79,"tracker_id":40,"status_id":1,"priority_id":2,"assigned_to_id":338,"start_date":"2017-10-28","description":"","custom_fields":[{"id":1,"name":"Subdivision","value":"EC"},{"id":4,"name":"Milepost","value":"23.3257"},{"id":17,"name":"Train ID","value":"229-28"},{"id":16,"name":"Locomotive ID","value":"4042"},{"id":130,"name":"Impact","value":""},{"id":150,"name":"Time of Event (Mountain Time)","value":"21:37:03"},{"id":151,"name":"Denver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4042 --day 2017-10-28</v>
      </c>
      <c r="AN141" s="151" t="str">
        <f t="shared" si="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6"/>
        <v>https://d0f6bd738d7f1b3e5a7ca70fe4ff75f0.us-east-1.aws.found.io/app/kibana#/discover/Steve-Slow-Train-Analysis-(2080s-and-2083s)?_g=(refreshInterval:(display:Off,pause:!f,section:0,value:0),time:(from:'2017-10-28T19:50:26-0600',mode:absolute,to:'2017-10-28T22:37:03-0600'))&amp;_a=(columns:!('Message%20ID',Summary),filters:!(),index:'emp_*',interval:auto,query:(query_string:(analyze_wildcard:!t,query:'%22rtdc.l.rtdc.4042%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858</v>
      </c>
      <c r="B142" s="7">
        <v>4041</v>
      </c>
      <c r="C142" s="21" t="s">
        <v>194</v>
      </c>
      <c r="D142" s="21" t="s">
        <v>555</v>
      </c>
      <c r="E142" s="13">
        <v>43036.910821759258</v>
      </c>
      <c r="F142" s="13">
        <v>43036.91474537037</v>
      </c>
      <c r="G142" s="7">
        <v>84</v>
      </c>
      <c r="H142" s="21" t="s">
        <v>947</v>
      </c>
      <c r="I142" s="13">
        <v>43036.942384259259</v>
      </c>
      <c r="J142" s="7">
        <v>0</v>
      </c>
      <c r="K142" s="89" t="str">
        <f t="shared" si="62"/>
        <v>4041/4042</v>
      </c>
      <c r="L142" s="185" t="str">
        <f>VLOOKUP(A142,'Trips&amp;Operators'!$C$1:$G$99911,5,FALSE)</f>
        <v>RESPASS AARON</v>
      </c>
      <c r="M142" s="6">
        <f t="shared" si="63"/>
        <v>2.7638888888759539E-2</v>
      </c>
      <c r="N142" s="7">
        <f t="shared" ref="N142:N161" si="71">24*60*SUM($M142:$M142)</f>
        <v>39.799999999813735</v>
      </c>
      <c r="O142" s="7"/>
      <c r="P142" s="7"/>
      <c r="Q142" s="22"/>
      <c r="R142" s="174"/>
      <c r="S142" s="221">
        <f t="shared" ref="S142:S173" si="72">1/IF(AG142="EC",12,1)*SUM(U142:U142)</f>
        <v>1</v>
      </c>
      <c r="T142" s="174" t="str">
        <f t="shared" si="64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5"/>
        <v>https://d0f6bd738d7f1b3e5a7ca70fe4ff75f0.us-east-1.aws.found.io/app/kibana#/discover/Steve-Slow-Train-Analysis-(2080s-and-2083s)?_g=(refreshInterval:(display:Off,pause:!f,section:0,value:0),time:(from:'2017-10-28T20:51:35-0600',mode:absolute,to:'2017-10-28T23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204" t="str">
        <f>IF(AA142&lt;VLOOKUP(AG142,Variables!$AC$3:$AD$8,2,FALSE),"Y","N")</f>
        <v>N</v>
      </c>
      <c r="X142" s="204">
        <f t="shared" si="59"/>
        <v>1</v>
      </c>
      <c r="Y142" s="204">
        <f t="shared" si="60"/>
        <v>23.294599999999999</v>
      </c>
      <c r="Z142" s="204">
        <f t="shared" si="61"/>
        <v>2.5600000000000001E-2</v>
      </c>
      <c r="AA142" s="204">
        <f t="shared" si="66"/>
        <v>23.268999999999998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7"/>
        <v>230</v>
      </c>
      <c r="AE142" s="77" t="str">
        <f t="shared" si="68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142" s="74" t="str">
        <f t="shared" si="69"/>
        <v>"C:\Program Files (x86)\AstroGrep\AstroGrep.exe" /e /r /s /spath="%USERPROFILE%\AppData\Local\Temp\OnboardLogs" /stypes="app*4041*20171029*" /stext=" 04:.+((SYSTEM_STATE.+slice.+state.+changed )|(ment ac)|(multiple cpu faults)|(system.+state.+changed )|(\[timeout)|(PRM\|1\|D)|(kpr)|(kdp)|(train st.+moving)|(\|lc)|(penalty))"</v>
      </c>
      <c r="AG142" s="182" t="str">
        <f t="shared" si="70"/>
        <v>EC</v>
      </c>
      <c r="AH142" s="78" t="str">
        <f t="shared" ref="AH142:AH206" si="73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230-28 --locoid 4041 --swversion DE.1.0.9.0 --startMP 204:232946 --initTime 2017-10-28T21:51:35 --startdatetime 2017-10-28T21:57:14 --delay 84 --endMP 204:256 --enddatetime 2017-10-28T22:37:02 --enforcementcount 0 &gt;&gt;%USERPROFILE%\Documents\GitHub\eaglep3-reporting\EC\2017-10-28-refined-times.txt</v>
      </c>
      <c r="AI142" s="96" t="str">
        <f t="shared" ref="AI142:AI206" si="74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{"issue":{"subject":"","project_id":79,"tracker_id":40,"status_id":1,"priority_id":2,"assigned_to_id":338,"start_date":"2017-10-28","description":"","custom_fields":[{"id":1,"name":"Subdivision","value":"EC"},{"id":4,"name":"Milepost","value":"0.0256"},{"id":17,"name":"Train ID","value":"230-28"},{"id":16,"name":"Locomotive ID","value":"4041"},{"id":130,"name":"Impact","value":""},{"id":150,"name":"Time of Event (Mountain Time)","value":"22:37:02"},{"id":151,"name":"Denver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ref="AM142:AM206" si="75">"start /low /b "&amp;dls3logs&amp;" --loco "&amp;B142&amp;" --day "&amp;TEXT(F142,"YYYY-MM-DD")</f>
        <v>start /low /b %USERPROFILE%\Documents\GitHub\eaglep3\Utilities\DownloadLogsFromS3.py --loco 4041 --day 2017-10-28</v>
      </c>
      <c r="AN142" s="151" t="str">
        <f t="shared" ref="AN142:AN206" si="76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ref="AO142:AO206" si="77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-28T20:51:35-0600',mode:absolute,to:'2017-10-28T23:37:02-0600'))&amp;_a=(columns:!('Message%20ID',Summary),filters:!(),index:'emp_*',interval:auto,query:(query_string:(analyze_wildcard:!t,query:'%22rtdc.l.rtdc.4041%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635</v>
      </c>
      <c r="B143" s="7">
        <v>4024</v>
      </c>
      <c r="C143" s="21" t="s">
        <v>194</v>
      </c>
      <c r="D143" s="21" t="s">
        <v>359</v>
      </c>
      <c r="E143" s="13">
        <v>43036.880104166667</v>
      </c>
      <c r="F143" s="13">
        <v>43036.895995370367</v>
      </c>
      <c r="G143" s="7">
        <v>57</v>
      </c>
      <c r="H143" s="21" t="s">
        <v>571</v>
      </c>
      <c r="I143" s="13">
        <v>43036.924062500002</v>
      </c>
      <c r="J143" s="7">
        <v>0</v>
      </c>
      <c r="K143" s="89" t="str">
        <f t="shared" si="62"/>
        <v>4023/4024</v>
      </c>
      <c r="L143" s="185" t="str">
        <f>VLOOKUP(A143,'Trips&amp;Operators'!$C$1:$G$99911,5,FALSE)</f>
        <v>FORTUNATO FRANK</v>
      </c>
      <c r="M143" s="6">
        <f t="shared" si="63"/>
        <v>2.8067129635019228E-2</v>
      </c>
      <c r="N143" s="7">
        <f t="shared" si="71"/>
        <v>40.416666674427688</v>
      </c>
      <c r="O143" s="7"/>
      <c r="P143" s="7"/>
      <c r="Q143" s="22"/>
      <c r="R143" s="174"/>
      <c r="S143" s="221">
        <f t="shared" si="72"/>
        <v>1</v>
      </c>
      <c r="T143" s="174" t="str">
        <f t="shared" si="64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5"/>
        <v>https://d0f6bd738d7f1b3e5a7ca70fe4ff75f0.us-east-1.aws.found.io/app/kibana#/discover/Steve-Slow-Train-Analysis-(2080s-and-2083s)?_g=(refreshInterval:(display:Off,pause:!f,section:0,value:0),time:(from:'2017-10-28T20:07:21-0600',mode:absolute,to:'2017-10-28T23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3" s="204" t="str">
        <f>IF(AA143&lt;VLOOKUP(AG143,Variables!$AC$3:$AD$8,2,FALSE),"Y","N")</f>
        <v>N</v>
      </c>
      <c r="X143" s="204">
        <f t="shared" si="59"/>
        <v>1</v>
      </c>
      <c r="Y143" s="204">
        <f t="shared" si="60"/>
        <v>4.4699999999999997E-2</v>
      </c>
      <c r="Z143" s="204">
        <f t="shared" si="61"/>
        <v>23.319199999999999</v>
      </c>
      <c r="AA143" s="204">
        <f t="shared" si="66"/>
        <v>23.2745</v>
      </c>
      <c r="AB143" s="54" t="str">
        <f>VLOOKUP(A143,Enforcements!$C$7:$K$11,8,0)</f>
        <v>Bulletin (2)</v>
      </c>
      <c r="AC143" s="51" t="str">
        <f>VLOOKUP(A143,Enforcements!$C$7:$E$11,3,0)</f>
        <v>GRADE CROSSING</v>
      </c>
      <c r="AD143" s="179">
        <f t="shared" si="67"/>
        <v>231</v>
      </c>
      <c r="AE143" s="77" t="str">
        <f t="shared" si="68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143" s="74" t="str">
        <f t="shared" si="69"/>
        <v>"C:\Program Files (x86)\AstroGrep\AstroGrep.exe" /e /r /s /spath="%USERPROFILE%\AppData\Local\Temp\OnboardLogs" /stypes="app*4024*20171029*" /stext=" 04:.+((SYSTEM_STATE.+slice.+state.+changed )|(ment ac)|(multiple cpu faults)|(system.+state.+changed )|(\[timeout)|(PRM\|1\|D)|(kpr)|(kdp)|(train st.+moving)|(\|lc)|(penalty))"</v>
      </c>
      <c r="AG143" s="182" t="str">
        <f t="shared" si="70"/>
        <v>EC</v>
      </c>
      <c r="AH143" s="78" t="str">
        <f t="shared" si="73"/>
        <v>"%USERPROFILE%\Documents\GitHub\eaglep3\Utilities\RefineRTDCRunTimes.py" --tripid 231-28 --locoid 4024 --swversion DE.1.0.9.0 --startMP 204:447 --initTime 2017-10-28T21:07:21 --startdatetime 2017-10-28T21:30:14 --delay 57 --endMP 204:233192 --enddatetime 2017-10-28T22:10:39 --enforcementcount 0 &gt;&gt;%USERPROFILE%\Documents\GitHub\eaglep3-reporting\EC\2017-10-28-refined-times.txt</v>
      </c>
      <c r="AI143" s="96" t="str">
        <f t="shared" si="74"/>
        <v>echo {"issue":{"subject":"","project_id":79,"tracker_id":40,"status_id":1,"priority_id":2,"assigned_to_id":338,"start_date":"2017-10-28","description":"","custom_fields":[{"id":1,"name":"Subdivision","value":"EC"},{"id":4,"name":"Milepost","value":"23.3192"},{"id":17,"name":"Train ID","value":"231-28"},{"id":16,"name":"Locomotive ID","value":"4024"},{"id":130,"name":"Impact","value":""},{"id":150,"name":"Time of Event (Mountain Time)","value":"22:10:39"},{"id":151,"name":"Denver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75"/>
        <v>start /low /b %USERPROFILE%\Documents\GitHub\eaglep3\Utilities\DownloadLogsFromS3.py --loco 4024 --day 2017-10-28</v>
      </c>
      <c r="AN143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04:10:39"},{"id":29,"name":"Sharepoint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77"/>
        <v>https://d0f6bd738d7f1b3e5a7ca70fe4ff75f0.us-east-1.aws.found.io/app/kibana#/discover/Steve-Slow-Train-Analysis-(2080s-and-2083s)?_g=(refreshInterval:(display:Off,pause:!f,section:0,value:0),time:(from:'2017-10-28T20:07:21-0600',mode:absolute,to:'2017-10-28T23:10:39-0600'))&amp;_a=(columns:!('Message%20ID',Summary),filters:!(),index:'emp_*',interval:auto,query:(query_string:(analyze_wildcard:!t,query:'%22rtdc.l.rtdc.4024%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636</v>
      </c>
      <c r="B144" s="7">
        <v>4023</v>
      </c>
      <c r="C144" s="21" t="s">
        <v>194</v>
      </c>
      <c r="D144" s="21" t="s">
        <v>528</v>
      </c>
      <c r="E144" s="13">
        <v>43036.926689814813</v>
      </c>
      <c r="F144" s="13">
        <v>43036.935590277775</v>
      </c>
      <c r="G144" s="7">
        <v>51</v>
      </c>
      <c r="H144" s="21" t="s">
        <v>336</v>
      </c>
      <c r="I144" s="13">
        <v>43036.963078703702</v>
      </c>
      <c r="J144" s="7">
        <v>0</v>
      </c>
      <c r="K144" s="89" t="str">
        <f t="shared" si="62"/>
        <v>4023/4024</v>
      </c>
      <c r="L144" s="185" t="str">
        <f>VLOOKUP(A144,'Trips&amp;Operators'!$C$1:$G$99911,5,FALSE)</f>
        <v>FORTUNATO FRANK</v>
      </c>
      <c r="M144" s="6">
        <f t="shared" si="63"/>
        <v>2.7488425927003846E-2</v>
      </c>
      <c r="N144" s="7">
        <f t="shared" si="71"/>
        <v>39.583333334885538</v>
      </c>
      <c r="O144" s="7"/>
      <c r="P144" s="7"/>
      <c r="Q144" s="22"/>
      <c r="R144" s="174"/>
      <c r="S144" s="221">
        <f t="shared" si="72"/>
        <v>1</v>
      </c>
      <c r="T144" s="174" t="str">
        <f t="shared" si="64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5"/>
        <v>https://d0f6bd738d7f1b3e5a7ca70fe4ff75f0.us-east-1.aws.found.io/app/kibana#/discover/Steve-Slow-Train-Analysis-(2080s-and-2083s)?_g=(refreshInterval:(display:Off,pause:!f,section:0,value:0),time:(from:'2017-10-28T21:14:26-0600',mode:absolute,to:'2017-10-29T00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4" s="204" t="str">
        <f>IF(AA144&lt;VLOOKUP(AG144,Variables!$AC$3:$AD$8,2,FALSE),"Y","N")</f>
        <v>N</v>
      </c>
      <c r="X144" s="204">
        <f t="shared" si="59"/>
        <v>1</v>
      </c>
      <c r="Y144" s="204">
        <f t="shared" si="60"/>
        <v>23.287500000000001</v>
      </c>
      <c r="Z144" s="204">
        <f t="shared" si="61"/>
        <v>1.49E-2</v>
      </c>
      <c r="AA144" s="204">
        <f t="shared" si="66"/>
        <v>23.272600000000001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7"/>
        <v>232</v>
      </c>
      <c r="AE144" s="77" t="str">
        <f t="shared" si="68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144" s="74" t="str">
        <f t="shared" si="69"/>
        <v>"C:\Program Files (x86)\AstroGrep\AstroGrep.exe" /e /r /s /spath="%USERPROFILE%\AppData\Local\Temp\OnboardLogs" /stypes="app*4023*20171029*" /stext=" 05:.+((SYSTEM_STATE.+slice.+state.+changed )|(ment ac)|(multiple cpu faults)|(system.+state.+changed )|(\[timeout)|(PRM\|1\|D)|(kpr)|(kdp)|(train st.+moving)|(\|lc)|(penalty))"</v>
      </c>
      <c r="AG144" s="182" t="str">
        <f t="shared" si="70"/>
        <v>EC</v>
      </c>
      <c r="AH144" s="78" t="str">
        <f t="shared" si="73"/>
        <v>"%USERPROFILE%\Documents\GitHub\eaglep3\Utilities\RefineRTDCRunTimes.py" --tripid 232-28 --locoid 4023 --swversion DE.1.0.9.0 --startMP 204:232875 --initTime 2017-10-28T22:14:26 --startdatetime 2017-10-28T22:27:15 --delay 51 --endMP 204:149 --enddatetime 2017-10-28T23:06:50 --enforcementcount 0 &gt;&gt;%USERPROFILE%\Documents\GitHub\eaglep3-reporting\EC\2017-10-28-refined-times.txt</v>
      </c>
      <c r="AI144" s="96" t="str">
        <f t="shared" si="74"/>
        <v>echo {"issue":{"subject":"","project_id":79,"tracker_id":40,"status_id":1,"priority_id":2,"assigned_to_id":338,"start_date":"2017-10-28","description":"","custom_fields":[{"id":1,"name":"Subdivision","value":"EC"},{"id":4,"name":"Milepost","value":"0.0149"},{"id":17,"name":"Train ID","value":"232-28"},{"id":16,"name":"Locomotive ID","value":"4023"},{"id":130,"name":"Impact","value":""},{"id":150,"name":"Time of Event (Mountain Time)","value":"23:06:50"},{"id":151,"name":"Denver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75"/>
        <v>start /low /b %USERPROFILE%\Documents\GitHub\eaglep3\Utilities\DownloadLogsFromS3.py --loco 4023 --day 2017-10-28</v>
      </c>
      <c r="AN144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7"/>
        <v>https://d0f6bd738d7f1b3e5a7ca70fe4ff75f0.us-east-1.aws.found.io/app/kibana#/discover/Steve-Slow-Train-Analysis-(2080s-and-2083s)?_g=(refreshInterval:(display:Off,pause:!f,section:0,value:0),time:(from:'2017-10-28T21:14:26-0600',mode:absolute,to:'2017-10-29T00:06:50-0600'))&amp;_a=(columns:!('Message%20ID',Summary),filters:!(),index:'emp_*',interval:auto,query:(query_string:(analyze_wildcard:!t,query:'%22rtdc.l.rtdc.4023%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857</v>
      </c>
      <c r="B145" s="7">
        <v>4012</v>
      </c>
      <c r="C145" s="21" t="s">
        <v>194</v>
      </c>
      <c r="D145" s="21" t="s">
        <v>1015</v>
      </c>
      <c r="E145" s="13">
        <v>43036.9</v>
      </c>
      <c r="F145" s="13">
        <v>43036.916828703703</v>
      </c>
      <c r="G145" s="7">
        <v>78</v>
      </c>
      <c r="H145" s="21" t="s">
        <v>891</v>
      </c>
      <c r="I145" s="13">
        <v>43036.942499999997</v>
      </c>
      <c r="J145" s="7">
        <v>0</v>
      </c>
      <c r="K145" s="89" t="str">
        <f t="shared" si="62"/>
        <v>4011/4012</v>
      </c>
      <c r="L145" s="185" t="str">
        <f>VLOOKUP(A145,'Trips&amp;Operators'!$C$1:$G$99911,5,FALSE)</f>
        <v>ELBAUM MIKE</v>
      </c>
      <c r="M145" s="6">
        <f t="shared" si="63"/>
        <v>2.5671296294603962E-2</v>
      </c>
      <c r="N145" s="7">
        <f t="shared" si="71"/>
        <v>36.966666664229706</v>
      </c>
      <c r="O145" s="7"/>
      <c r="P145" s="7"/>
      <c r="Q145" s="22"/>
      <c r="R145" s="174"/>
      <c r="S145" s="221">
        <f t="shared" si="72"/>
        <v>1</v>
      </c>
      <c r="T145" s="174" t="str">
        <f t="shared" si="64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5"/>
        <v>https://d0f6bd738d7f1b3e5a7ca70fe4ff75f0.us-east-1.aws.found.io/app/kibana#/discover/Steve-Slow-Train-Analysis-(2080s-and-2083s)?_g=(refreshInterval:(display:Off,pause:!f,section:0,value:0),time:(from:'2017-10-28T20:36:00-0600',mode:absolute,to:'2017-10-28T23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5" s="204" t="str">
        <f>IF(AA145&lt;VLOOKUP(AG145,Variables!$AC$3:$AD$8,2,FALSE),"Y","N")</f>
        <v>N</v>
      </c>
      <c r="X145" s="204">
        <f t="shared" si="59"/>
        <v>1</v>
      </c>
      <c r="Y145" s="204">
        <f t="shared" si="60"/>
        <v>5.5899999999999998E-2</v>
      </c>
      <c r="Z145" s="204">
        <f t="shared" si="61"/>
        <v>23.330300000000001</v>
      </c>
      <c r="AA145" s="204">
        <f t="shared" si="66"/>
        <v>23.2744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7"/>
        <v>233</v>
      </c>
      <c r="AE145" s="77" t="str">
        <f t="shared" si="68"/>
        <v>aws s3 cp s3://rtdc.mdm.uploadarchive.raw/RTDC4012/ "%USERPROFILE%\AppData\Local\Temp\OnboardLogs"\RTDC4012\2017-10-28 --exclude "*" --recursive --include "*20171028*" &amp; "%USERPROFILE%\Documents\GitHub\mrs-test-scripts\Headless Mode &amp; Sideloading\WalkAndUnGZ.bat" "%USERPROFILE%\AppData\Local\Temp\OnboardLogs"\RTDC4012\2017-10-28 &amp; 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</v>
      </c>
      <c r="AF145" s="74" t="str">
        <f t="shared" si="69"/>
        <v>"C:\Program Files (x86)\AstroGrep\AstroGrep.exe" /e /r /s /spath="%USERPROFILE%\AppData\Local\Temp\OnboardLogs" /stypes="app*4012*20171029*" /stext=" 04:.+((SYSTEM_STATE.+slice.+state.+changed )|(ment ac)|(multiple cpu faults)|(system.+state.+changed )|(\[timeout)|(PRM\|1\|D)|(kpr)|(kdp)|(train st.+moving)|(\|lc)|(penalty))"</v>
      </c>
      <c r="AG145" s="182" t="str">
        <f t="shared" si="70"/>
        <v>EC</v>
      </c>
      <c r="AH145" s="78" t="str">
        <f t="shared" si="73"/>
        <v>"%USERPROFILE%\Documents\GitHub\eaglep3\Utilities\RefineRTDCRunTimes.py" --tripid 233-28 --locoid 4012 --swversion DE.1.0.9.0 --startMP 204:559 --initTime 2017-10-28T21:36:00 --startdatetime 2017-10-28T22:00:14 --delay 78 --endMP 204:233303 --enddatetime 2017-10-28T22:37:12 --enforcementcount 0 &gt;&gt;%USERPROFILE%\Documents\GitHub\eaglep3-reporting\EC\2017-10-28-refined-times.txt</v>
      </c>
      <c r="AI145" s="96" t="str">
        <f t="shared" si="74"/>
        <v>echo {"issue":{"subject":"","project_id":79,"tracker_id":40,"status_id":1,"priority_id":2,"assigned_to_id":338,"start_date":"2017-10-28","description":"","custom_fields":[{"id":1,"name":"Subdivision","value":"EC"},{"id":4,"name":"Milepost","value":"23.3303"},{"id":17,"name":"Train ID","value":"233-28"},{"id":16,"name":"Locomotive ID","value":"4012"},{"id":130,"name":"Impact","value":""},{"id":150,"name":"Time of Event (Mountain Time)","value":"22:37:12"},{"id":151,"name":"Denver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75"/>
        <v>start /low /b %USERPROFILE%\Documents\GitHub\eaglep3\Utilities\DownloadLogsFromS3.py --loco 4012 --day 2017-10-28</v>
      </c>
      <c r="AN145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7"/>
        <v>https://d0f6bd738d7f1b3e5a7ca70fe4ff75f0.us-east-1.aws.found.io/app/kibana#/discover/Steve-Slow-Train-Analysis-(2080s-and-2083s)?_g=(refreshInterval:(display:Off,pause:!f,section:0,value:0),time:(from:'2017-10-28T20:36:00-0600',mode:absolute,to:'2017-10-28T23:37:12-0600'))&amp;_a=(columns:!('Message%20ID',Summary),filters:!(),index:'emp_*',interval:auto,query:(query_string:(analyze_wildcard:!t,query:'%22rtdc.l.rtdc.4012%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861</v>
      </c>
      <c r="B146" s="7">
        <v>4011</v>
      </c>
      <c r="C146" s="21" t="s">
        <v>194</v>
      </c>
      <c r="D146" s="21" t="s">
        <v>1034</v>
      </c>
      <c r="E146" s="13">
        <v>43036.943622685183</v>
      </c>
      <c r="F146" s="13">
        <v>43036.956388888888</v>
      </c>
      <c r="G146" s="7">
        <v>55</v>
      </c>
      <c r="H146" s="21" t="s">
        <v>1035</v>
      </c>
      <c r="I146" s="13">
        <v>43036.983402777776</v>
      </c>
      <c r="J146" s="7">
        <v>0</v>
      </c>
      <c r="K146" s="89" t="str">
        <f t="shared" si="62"/>
        <v>4011/4012</v>
      </c>
      <c r="L146" s="185" t="str">
        <f>VLOOKUP(A146,'Trips&amp;Operators'!$C$1:$G$99911,5,FALSE)</f>
        <v>ELBAUM MIKE</v>
      </c>
      <c r="M146" s="6">
        <f t="shared" si="63"/>
        <v>2.7013888888177462E-2</v>
      </c>
      <c r="N146" s="7">
        <f t="shared" si="71"/>
        <v>38.899999998975545</v>
      </c>
      <c r="O146" s="7"/>
      <c r="P146" s="7"/>
      <c r="Q146" s="22"/>
      <c r="R146" s="174"/>
      <c r="S146" s="221">
        <f t="shared" si="72"/>
        <v>1</v>
      </c>
      <c r="T146" s="174" t="str">
        <f t="shared" si="64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5"/>
        <v>https://d0f6bd738d7f1b3e5a7ca70fe4ff75f0.us-east-1.aws.found.io/app/kibana#/discover/Steve-Slow-Train-Analysis-(2080s-and-2083s)?_g=(refreshInterval:(display:Off,pause:!f,section:0,value:0),time:(from:'2017-10-28T21:38:49-0600',mode:absolute,to:'2017-10-29T00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6" s="204" t="str">
        <f>IF(AA146&lt;VLOOKUP(AG146,Variables!$AC$3:$AD$8,2,FALSE),"Y","N")</f>
        <v>N</v>
      </c>
      <c r="X146" s="204">
        <f t="shared" si="59"/>
        <v>1</v>
      </c>
      <c r="Y146" s="204">
        <f t="shared" si="60"/>
        <v>23.2986</v>
      </c>
      <c r="Z146" s="204">
        <f t="shared" si="61"/>
        <v>2.5999999999999999E-2</v>
      </c>
      <c r="AA146" s="204">
        <f t="shared" si="66"/>
        <v>23.272600000000001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7"/>
        <v>234</v>
      </c>
      <c r="AE146" s="77" t="str">
        <f t="shared" si="68"/>
        <v>aws s3 cp s3://rtdc.mdm.uploadarchive.raw/RTDC4011/ "%USERPROFILE%\AppData\Local\Temp\OnboardLogs"\RTDC4011\2017-10-28 --exclude "*" --recursive --include "*20171028*" &amp; "%USERPROFILE%\Documents\GitHub\mrs-test-scripts\Headless Mode &amp; Sideloading\WalkAndUnGZ.bat" "%USERPROFILE%\AppData\Local\Temp\OnboardLogs"\RTDC4011\2017-10-28 &amp; 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</v>
      </c>
      <c r="AF146" s="74" t="str">
        <f t="shared" si="69"/>
        <v>"C:\Program Files (x86)\AstroGrep\AstroGrep.exe" /e /r /s /spath="%USERPROFILE%\AppData\Local\Temp\OnboardLogs" /stypes="app*4011*20171029*" /stext=" 05:.+((SYSTEM_STATE.+slice.+state.+changed )|(ment ac)|(multiple cpu faults)|(system.+state.+changed )|(\[timeout)|(PRM\|1\|D)|(kpr)|(kdp)|(train st.+moving)|(\|lc)|(penalty))"</v>
      </c>
      <c r="AG146" s="182" t="str">
        <f t="shared" si="70"/>
        <v>EC</v>
      </c>
      <c r="AH146" s="78" t="str">
        <f t="shared" si="73"/>
        <v>"%USERPROFILE%\Documents\GitHub\eaglep3\Utilities\RefineRTDCRunTimes.py" --tripid 234-28 --locoid 4011 --swversion DE.1.0.9.0 --startMP 204:232986 --initTime 2017-10-28T22:38:49 --startdatetime 2017-10-28T22:57:12 --delay 55 --endMP 204:260 --enddatetime 2017-10-28T23:36:06 --enforcementcount 0 &gt;&gt;%USERPROFILE%\Documents\GitHub\eaglep3-reporting\EC\2017-10-28-refined-times.txt</v>
      </c>
      <c r="AI146" s="96" t="str">
        <f t="shared" si="74"/>
        <v>echo {"issue":{"subject":"","project_id":79,"tracker_id":40,"status_id":1,"priority_id":2,"assigned_to_id":338,"start_date":"2017-10-28","description":"","custom_fields":[{"id":1,"name":"Subdivision","value":"EC"},{"id":4,"name":"Milepost","value":"0.026"},{"id":17,"name":"Train ID","value":"234-28"},{"id":16,"name":"Locomotive ID","value":"4011"},{"id":130,"name":"Impact","value":""},{"id":150,"name":"Time of Event (Mountain Time)","value":"23:36:06"},{"id":151,"name":"Denver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75"/>
        <v>start /low /b %USERPROFILE%\Documents\GitHub\eaglep3\Utilities\DownloadLogsFromS3.py --loco 4011 --day 2017-10-28</v>
      </c>
      <c r="AN146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7"/>
        <v>https://d0f6bd738d7f1b3e5a7ca70fe4ff75f0.us-east-1.aws.found.io/app/kibana#/discover/Steve-Slow-Train-Analysis-(2080s-and-2083s)?_g=(refreshInterval:(display:Off,pause:!f,section:0,value:0),time:(from:'2017-10-28T21:38:49-0600',mode:absolute,to:'2017-10-29T00:36:06-0600'))&amp;_a=(columns:!('Message%20ID',Summary),filters:!(),index:'emp_*',interval:auto,query:(query_string:(analyze_wildcard:!t,query:'%22rtdc.l.rtdc.4011%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640</v>
      </c>
      <c r="B147" s="7">
        <v>4004</v>
      </c>
      <c r="C147" s="21" t="s">
        <v>194</v>
      </c>
      <c r="D147" s="21" t="s">
        <v>1032</v>
      </c>
      <c r="E147" s="13">
        <v>43036.931886574072</v>
      </c>
      <c r="F147" s="13">
        <v>43036.937847222223</v>
      </c>
      <c r="G147" s="7">
        <v>90</v>
      </c>
      <c r="H147" s="21" t="s">
        <v>1036</v>
      </c>
      <c r="I147" s="13">
        <v>43036.96603009259</v>
      </c>
      <c r="J147" s="7">
        <v>0</v>
      </c>
      <c r="K147" s="89" t="str">
        <f t="shared" si="62"/>
        <v>4003/4004</v>
      </c>
      <c r="L147" s="185" t="str">
        <f>VLOOKUP(A147,'Trips&amp;Operators'!$C$1:$G$99911,5,FALSE)</f>
        <v>NICHOLSON WESLEY</v>
      </c>
      <c r="M147" s="6">
        <f t="shared" si="63"/>
        <v>2.8182870366435964E-2</v>
      </c>
      <c r="N147" s="7">
        <f t="shared" si="71"/>
        <v>40.583333327667788</v>
      </c>
      <c r="O147" s="7"/>
      <c r="P147" s="7"/>
      <c r="Q147" s="22"/>
      <c r="R147" s="174"/>
      <c r="S147" s="221">
        <f t="shared" si="72"/>
        <v>1</v>
      </c>
      <c r="T147" s="174" t="str">
        <f t="shared" si="64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5"/>
        <v>https://d0f6bd738d7f1b3e5a7ca70fe4ff75f0.us-east-1.aws.found.io/app/kibana#/discover/Steve-Slow-Train-Analysis-(2080s-and-2083s)?_g=(refreshInterval:(display:Off,pause:!f,section:0,value:0),time:(from:'2017-10-28T21:21:55-0600',mode:absolute,to:'2017-10-29T00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204" t="str">
        <f>IF(AA147&lt;VLOOKUP(AG147,Variables!$AC$3:$AD$8,2,FALSE),"Y","N")</f>
        <v>N</v>
      </c>
      <c r="X147" s="204">
        <f t="shared" si="59"/>
        <v>1</v>
      </c>
      <c r="Y147" s="204">
        <f t="shared" si="60"/>
        <v>6.2799999999999995E-2</v>
      </c>
      <c r="Z147" s="204">
        <f t="shared" si="61"/>
        <v>23.319500000000001</v>
      </c>
      <c r="AA147" s="204">
        <f t="shared" si="66"/>
        <v>23.256700000000002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7"/>
        <v>235</v>
      </c>
      <c r="AE147" s="77" t="str">
        <f t="shared" si="68"/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AF147" s="74" t="str">
        <f t="shared" si="69"/>
        <v>"C:\Program Files (x86)\AstroGrep\AstroGrep.exe" /e /r /s /spath="%USERPROFILE%\AppData\Local\Temp\OnboardLogs" /stypes="app*4004*20171029*" /stext=" 05:.+((SYSTEM_STATE.+slice.+state.+changed )|(ment ac)|(multiple cpu faults)|(system.+state.+changed )|(\[timeout)|(PRM\|1\|D)|(kpr)|(kdp)|(train st.+moving)|(\|lc)|(penalty))"</v>
      </c>
      <c r="AG147" s="182" t="str">
        <f t="shared" si="70"/>
        <v>EC</v>
      </c>
      <c r="AH147" s="78" t="str">
        <f t="shared" si="73"/>
        <v>"%USERPROFILE%\Documents\GitHub\eaglep3\Utilities\RefineRTDCRunTimes.py" --tripid 235-28 --locoid 4004 --swversion DE.1.0.9.0 --startMP 204:628 --initTime 2017-10-28T22:21:55 --startdatetime 2017-10-28T22:30:30 --delay 90 --endMP 204:233195 --enddatetime 2017-10-28T23:11:05 --enforcementcount 0 &gt;&gt;%USERPROFILE%\Documents\GitHub\eaglep3-reporting\EC\2017-10-28-refined-times.txt</v>
      </c>
      <c r="AI147" s="96" t="str">
        <f t="shared" si="74"/>
        <v>echo {"issue":{"subject":"","project_id":79,"tracker_id":40,"status_id":1,"priority_id":2,"assigned_to_id":338,"start_date":"2017-10-28","description":"","custom_fields":[{"id":1,"name":"Subdivision","value":"EC"},{"id":4,"name":"Milepost","value":"23.3195"},{"id":17,"name":"Train ID","value":"235-28"},{"id":16,"name":"Locomotive ID","value":"4004"},{"id":130,"name":"Impact","value":""},{"id":150,"name":"Time of Event (Mountain Time)","value":"23:11:05"},{"id":151,"name":"Denver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75"/>
        <v>start /low /b %USERPROFILE%\Documents\GitHub\eaglep3\Utilities\DownloadLogsFromS3.py --loco 4004 --day 2017-10-28</v>
      </c>
      <c r="AN147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05:11:05"},{"id":29,"name":"Sharepoint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7"/>
        <v>https://d0f6bd738d7f1b3e5a7ca70fe4ff75f0.us-east-1.aws.found.io/app/kibana#/discover/Steve-Slow-Train-Analysis-(2080s-and-2083s)?_g=(refreshInterval:(display:Off,pause:!f,section:0,value:0),time:(from:'2017-10-28T21:21:55-0600',mode:absolute,to:'2017-10-29T00:11:05-0600'))&amp;_a=(columns:!('Message%20ID',Summary),filters:!(),index:'emp_*',interval:auto,query:(query_string:(analyze_wildcard:!t,query:'%22rtdc.l.rtdc.4004%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866</v>
      </c>
      <c r="B148" s="7">
        <v>4003</v>
      </c>
      <c r="C148" s="21" t="s">
        <v>194</v>
      </c>
      <c r="D148" s="21" t="s">
        <v>527</v>
      </c>
      <c r="E148" s="13">
        <v>43036.974166666667</v>
      </c>
      <c r="F148" s="13">
        <v>43037.021087962959</v>
      </c>
      <c r="G148" s="7">
        <v>73</v>
      </c>
      <c r="H148" s="21" t="s">
        <v>1037</v>
      </c>
      <c r="I148" s="13">
        <v>43037.046678240738</v>
      </c>
      <c r="J148" s="7">
        <v>0</v>
      </c>
      <c r="K148" s="89" t="str">
        <f t="shared" si="62"/>
        <v>4003/4004</v>
      </c>
      <c r="L148" s="185" t="str">
        <f>VLOOKUP(A148,'Trips&amp;Operators'!$C$1:$G$99911,5,FALSE)</f>
        <v>NICHOLSON WESLEY</v>
      </c>
      <c r="M148" s="6">
        <f t="shared" si="63"/>
        <v>2.5590277778974269E-2</v>
      </c>
      <c r="N148" s="7">
        <f t="shared" si="71"/>
        <v>36.850000001722947</v>
      </c>
      <c r="O148" s="7"/>
      <c r="P148" s="7"/>
      <c r="Q148" s="22"/>
      <c r="R148" s="174"/>
      <c r="S148" s="221">
        <f t="shared" si="72"/>
        <v>1</v>
      </c>
      <c r="T148" s="174" t="str">
        <f t="shared" si="64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5"/>
        <v>https://d0f6bd738d7f1b3e5a7ca70fe4ff75f0.us-east-1.aws.found.io/app/kibana#/discover/Steve-Slow-Train-Analysis-(2080s-and-2083s)?_g=(refreshInterval:(display:Off,pause:!f,section:0,value:0),time:(from:'2017-10-28T22:22:48-0600',mode:absolute,to:'2017-10-29T02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204" t="str">
        <f>IF(AA148&lt;VLOOKUP(AG148,Variables!$AC$3:$AD$8,2,FALSE),"Y","N")</f>
        <v>N</v>
      </c>
      <c r="X148" s="204">
        <f t="shared" si="59"/>
        <v>1</v>
      </c>
      <c r="Y148" s="204">
        <f t="shared" si="60"/>
        <v>23.2881</v>
      </c>
      <c r="Z148" s="204">
        <f t="shared" si="61"/>
        <v>3.44E-2</v>
      </c>
      <c r="AA148" s="204">
        <f t="shared" si="66"/>
        <v>23.253699999999998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7"/>
        <v>236</v>
      </c>
      <c r="AE148" s="77" t="str">
        <f t="shared" si="68"/>
        <v>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 &amp; 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</v>
      </c>
      <c r="AF148" s="74" t="str">
        <f t="shared" si="69"/>
        <v>"C:\Program Files (x86)\AstroGrep\AstroGrep.exe" /e /r /s /spath="%USERPROFILE%\AppData\Local\Temp\OnboardLogs" /stypes="app*4003*20171029*" /stext=" 07:.+((SYSTEM_STATE.+slice.+state.+changed )|(ment ac)|(multiple cpu faults)|(system.+state.+changed )|(\[timeout)|(PRM\|1\|D)|(kpr)|(kdp)|(train st.+moving)|(\|lc)|(penalty))"</v>
      </c>
      <c r="AG148" s="182" t="str">
        <f t="shared" si="70"/>
        <v>EC</v>
      </c>
      <c r="AH148" s="78" t="str">
        <f t="shared" si="73"/>
        <v>"%USERPROFILE%\Documents\GitHub\eaglep3\Utilities\RefineRTDCRunTimes.py" --tripid 236-28 --locoid 4003 --swversion DE.1.0.9.0 --startMP 204:232881 --initTime 2017-10-28T23:22:48 --startdatetime 2017-10-29T00:30:22 --delay 73 --endMP 204:344 --enddatetime 2017-10-29T01:07:13 --enforcementcount 0 &gt;&gt;%USERPROFILE%\Documents\GitHub\eaglep3-reporting\EC\2017-10-28-refined-times.txt</v>
      </c>
      <c r="AI148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{"issue":{"subject":"","project_id":79,"tracker_id":40,"status_id":1,"priority_id":2,"assigned_to_id":338,"start_date":"2017-10-29","description":"","custom_fields":[{"id":1,"name":"Subdivision","value":"EC"},{"id":4,"name":"Milepost","value":"0.0344"},{"id":17,"name":"Train ID","value":"236-28"},{"id":16,"name":"Locomotive ID","value":"4003"},{"id":130,"name":"Impact","value":""},{"id":150,"name":"Time of Event (Mountain Time)","value":"01:07:13"},{"id":151,"name":"Denver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75"/>
        <v>start /low /b %USERPROFILE%\Documents\GitHub\eaglep3\Utilities\DownloadLogsFromS3.py --loco 4003 --day 2017-10-29</v>
      </c>
      <c r="AN148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7"/>
        <v>https://d0f6bd738d7f1b3e5a7ca70fe4ff75f0.us-east-1.aws.found.io/app/kibana#/discover/Steve-Slow-Train-Analysis-(2080s-and-2083s)?_g=(refreshInterval:(display:Off,pause:!f,section:0,value:0),time:(from:'2017-10-28T22:22:48-0600',mode:absolute,to:'2017-10-29T02:07:13-0600'))&amp;_a=(columns:!('Message%20ID',Summary),filters:!(),index:'emp_*',interval:auto,query:(query_string:(analyze_wildcard:!t,query:'%22rtdc.l.rtdc.4003%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862</v>
      </c>
      <c r="B149" s="7">
        <v>4042</v>
      </c>
      <c r="C149" s="21" t="s">
        <v>194</v>
      </c>
      <c r="D149" s="21" t="s">
        <v>600</v>
      </c>
      <c r="E149" s="13">
        <v>43036.953194444446</v>
      </c>
      <c r="F149" s="13">
        <v>43036.958506944444</v>
      </c>
      <c r="G149" s="7">
        <v>84</v>
      </c>
      <c r="H149" s="21" t="s">
        <v>908</v>
      </c>
      <c r="I149" s="13">
        <v>43036.984201388892</v>
      </c>
      <c r="J149" s="7">
        <v>0</v>
      </c>
      <c r="K149" s="89" t="str">
        <f t="shared" si="62"/>
        <v>4041/4042</v>
      </c>
      <c r="L149" s="185" t="str">
        <f>VLOOKUP(A149,'Trips&amp;Operators'!$C$1:$G$99911,5,FALSE)</f>
        <v>RESPASS AARON</v>
      </c>
      <c r="M149" s="6">
        <f t="shared" si="63"/>
        <v>2.5694444448163267E-2</v>
      </c>
      <c r="N149" s="7">
        <f t="shared" si="71"/>
        <v>37.000000005355105</v>
      </c>
      <c r="O149" s="7"/>
      <c r="P149" s="7"/>
      <c r="Q149" s="22"/>
      <c r="R149" s="174"/>
      <c r="S149" s="221">
        <f t="shared" si="72"/>
        <v>1</v>
      </c>
      <c r="T149" s="174" t="str">
        <f t="shared" si="64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5"/>
        <v>https://d0f6bd738d7f1b3e5a7ca70fe4ff75f0.us-east-1.aws.found.io/app/kibana#/discover/Steve-Slow-Train-Analysis-(2080s-and-2083s)?_g=(refreshInterval:(display:Off,pause:!f,section:0,value:0),time:(from:'2017-10-28T21:52:36-0600',mode:absolute,to:'2017-10-29T00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204" t="str">
        <f>IF(AA149&lt;VLOOKUP(AG149,Variables!$AC$3:$AD$8,2,FALSE),"Y","N")</f>
        <v>N</v>
      </c>
      <c r="X149" s="204">
        <f t="shared" si="59"/>
        <v>1</v>
      </c>
      <c r="Y149" s="204">
        <f t="shared" si="60"/>
        <v>5.7099999999999998E-2</v>
      </c>
      <c r="Z149" s="204">
        <f t="shared" si="61"/>
        <v>23.3293</v>
      </c>
      <c r="AA149" s="204">
        <f t="shared" si="66"/>
        <v>23.272200000000002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7"/>
        <v>237</v>
      </c>
      <c r="AE149" s="77" t="str">
        <f t="shared" si="68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149" s="74" t="str">
        <f t="shared" si="69"/>
        <v>"C:\Program Files (x86)\AstroGrep\AstroGrep.exe" /e /r /s /spath="%USERPROFILE%\AppData\Local\Temp\OnboardLogs" /stypes="app*4042*20171029*" /stext=" 05:.+((SYSTEM_STATE.+slice.+state.+changed )|(ment ac)|(multiple cpu faults)|(system.+state.+changed )|(\[timeout)|(PRM\|1\|D)|(kpr)|(kdp)|(train st.+moving)|(\|lc)|(penalty))"</v>
      </c>
      <c r="AG149" s="182" t="str">
        <f t="shared" si="70"/>
        <v>EC</v>
      </c>
      <c r="AH149" s="78" t="str">
        <f t="shared" si="73"/>
        <v>"%USERPROFILE%\Documents\GitHub\eaglep3\Utilities\RefineRTDCRunTimes.py" --tripid 237-28 --locoid 4042 --swversion DE.1.0.9.0 --startMP 204:571 --initTime 2017-10-28T22:52:36 --startdatetime 2017-10-28T23:00:15 --delay 84 --endMP 204:233293 --enddatetime 2017-10-28T23:37:15 --enforcementcount 0 &gt;&gt;%USERPROFILE%\Documents\GitHub\eaglep3-reporting\EC\2017-10-28-refined-times.txt</v>
      </c>
      <c r="AI149" s="96" t="str">
        <f t="shared" si="74"/>
        <v>echo {"issue":{"subject":"","project_id":79,"tracker_id":40,"status_id":1,"priority_id":2,"assigned_to_id":338,"start_date":"2017-10-28","description":"","custom_fields":[{"id":1,"name":"Subdivision","value":"EC"},{"id":4,"name":"Milepost","value":"23.3293"},{"id":17,"name":"Train ID","value":"237-28"},{"id":16,"name":"Locomotive ID","value":"4042"},{"id":130,"name":"Impact","value":""},{"id":150,"name":"Time of Event (Mountain Time)","value":"23:37:15"},{"id":151,"name":"Denver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75"/>
        <v>start /low /b %USERPROFILE%\Documents\GitHub\eaglep3\Utilities\DownloadLogsFromS3.py --loco 4042 --day 2017-10-28</v>
      </c>
      <c r="AN149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7"/>
        <v>https://d0f6bd738d7f1b3e5a7ca70fe4ff75f0.us-east-1.aws.found.io/app/kibana#/discover/Steve-Slow-Train-Analysis-(2080s-and-2083s)?_g=(refreshInterval:(display:Off,pause:!f,section:0,value:0),time:(from:'2017-10-28T21:52:36-0600',mode:absolute,to:'2017-10-29T00:37:15-0600'))&amp;_a=(columns:!('Message%20ID',Summary),filters:!(),index:'emp_*',interval:auto,query:(query_string:(analyze_wildcard:!t,query:'%22rtdc.l.rtdc.4042%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869</v>
      </c>
      <c r="B150" s="7">
        <v>4041</v>
      </c>
      <c r="C150" s="21" t="s">
        <v>194</v>
      </c>
      <c r="D150" s="21" t="s">
        <v>502</v>
      </c>
      <c r="E150" s="13">
        <v>43036.994722222225</v>
      </c>
      <c r="F150" s="13">
        <v>43036.998101851852</v>
      </c>
      <c r="G150" s="7">
        <v>61</v>
      </c>
      <c r="H150" s="21" t="s">
        <v>1038</v>
      </c>
      <c r="I150" s="13">
        <v>43037.02616898148</v>
      </c>
      <c r="J150" s="7">
        <v>0</v>
      </c>
      <c r="K150" s="89" t="str">
        <f t="shared" si="62"/>
        <v>4041/4042</v>
      </c>
      <c r="L150" s="185" t="str">
        <f>VLOOKUP(A150,'Trips&amp;Operators'!$C$1:$G$99911,5,FALSE)</f>
        <v>RESPASS AARON</v>
      </c>
      <c r="M150" s="6">
        <f t="shared" si="63"/>
        <v>2.806712962774327E-2</v>
      </c>
      <c r="N150" s="7">
        <f t="shared" si="71"/>
        <v>40.416666663950309</v>
      </c>
      <c r="O150" s="7"/>
      <c r="P150" s="7"/>
      <c r="Q150" s="22"/>
      <c r="R150" s="174"/>
      <c r="S150" s="221">
        <f t="shared" si="72"/>
        <v>1</v>
      </c>
      <c r="T150" s="174" t="str">
        <f t="shared" si="64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5"/>
        <v>https://d0f6bd738d7f1b3e5a7ca70fe4ff75f0.us-east-1.aws.found.io/app/kibana#/discover/Steve-Slow-Train-Analysis-(2080s-and-2083s)?_g=(refreshInterval:(display:Off,pause:!f,section:0,value:0),time:(from:'2017-10-28T22:52:24-0600',mode:absolute,to:'2017-10-29T01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204" t="str">
        <f>IF(AA150&lt;VLOOKUP(AG150,Variables!$AC$3:$AD$8,2,FALSE),"Y","N")</f>
        <v>N</v>
      </c>
      <c r="X150" s="204">
        <f t="shared" si="59"/>
        <v>1</v>
      </c>
      <c r="Y150" s="204">
        <f t="shared" si="60"/>
        <v>23.2987</v>
      </c>
      <c r="Z150" s="204">
        <f t="shared" si="61"/>
        <v>2.58E-2</v>
      </c>
      <c r="AA150" s="204">
        <f t="shared" si="66"/>
        <v>23.2729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7"/>
        <v>238</v>
      </c>
      <c r="AE150" s="77" t="str">
        <f t="shared" si="68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150" s="74" t="str">
        <f t="shared" si="69"/>
        <v>"C:\Program Files (x86)\AstroGrep\AstroGrep.exe" /e /r /s /spath="%USERPROFILE%\AppData\Local\Temp\OnboardLogs" /stypes="app*4041*20171029*" /stext=" 06:.+((SYSTEM_STATE.+slice.+state.+changed )|(ment ac)|(multiple cpu faults)|(system.+state.+changed )|(\[timeout)|(PRM\|1\|D)|(kpr)|(kdp)|(train st.+moving)|(\|lc)|(penalty))"</v>
      </c>
      <c r="AG150" s="182" t="str">
        <f t="shared" si="70"/>
        <v>EC</v>
      </c>
      <c r="AH150" s="78" t="str">
        <f t="shared" si="73"/>
        <v>"%USERPROFILE%\Documents\GitHub\eaglep3\Utilities\RefineRTDCRunTimes.py" --tripid 238-28 --locoid 4041 --swversion DE.1.0.9.0 --startMP 204:232987 --initTime 2017-10-28T23:52:24 --startdatetime 2017-10-28T23:57:16 --delay 61 --endMP 204:258 --enddatetime 2017-10-29T00:37:41 --enforcementcount 0 &gt;&gt;%USERPROFILE%\Documents\GitHub\eaglep3-reporting\EC\2017-10-28-refined-times.txt</v>
      </c>
      <c r="AI150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{"issue":{"subject":"","project_id":79,"tracker_id":40,"status_id":1,"priority_id":2,"assigned_to_id":338,"start_date":"2017-10-29","description":"","custom_fields":[{"id":1,"name":"Subdivision","value":"EC"},{"id":4,"name":"Milepost","value":"0.0258"},{"id":17,"name":"Train ID","value":"238-28"},{"id":16,"name":"Locomotive ID","value":"4041"},{"id":130,"name":"Impact","value":""},{"id":150,"name":"Time of Event (Mountain Time)","value":"00:37:41"},{"id":151,"name":"Denver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75"/>
        <v>start /low /b %USERPROFILE%\Documents\GitHub\eaglep3\Utilities\DownloadLogsFromS3.py --loco 4041 --day 2017-10-28</v>
      </c>
      <c r="AN150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06:37:41"},{"id":29,"name":"Sharepoint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7"/>
        <v>https://d0f6bd738d7f1b3e5a7ca70fe4ff75f0.us-east-1.aws.found.io/app/kibana#/discover/Steve-Slow-Train-Analysis-(2080s-and-2083s)?_g=(refreshInterval:(display:Off,pause:!f,section:0,value:0),time:(from:'2017-10-28T22:52:24-0600',mode:absolute,to:'2017-10-29T01:37:41-0600'))&amp;_a=(columns:!('Message%20ID',Summary),filters:!(),index:'emp_*',interval:auto,query:(query_string:(analyze_wildcard:!t,query:'%22rtdc.l.rtdc.4041%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864</v>
      </c>
      <c r="B151" s="7">
        <v>4024</v>
      </c>
      <c r="C151" s="21" t="s">
        <v>194</v>
      </c>
      <c r="D151" s="21" t="s">
        <v>334</v>
      </c>
      <c r="E151" s="13">
        <v>43036.964421296296</v>
      </c>
      <c r="F151" s="13">
        <v>43036.979351851849</v>
      </c>
      <c r="G151" s="7">
        <v>78</v>
      </c>
      <c r="H151" s="21" t="s">
        <v>1039</v>
      </c>
      <c r="I151" s="13">
        <v>43037.007581018515</v>
      </c>
      <c r="J151" s="7">
        <v>0</v>
      </c>
      <c r="K151" s="89" t="str">
        <f t="shared" si="62"/>
        <v>4023/4024</v>
      </c>
      <c r="L151" s="185" t="str">
        <f>VLOOKUP(A151,'Trips&amp;Operators'!$C$1:$G$99911,5,FALSE)</f>
        <v>FORTUNATO FRANK</v>
      </c>
      <c r="M151" s="6">
        <f t="shared" si="63"/>
        <v>2.8229166666278616E-2</v>
      </c>
      <c r="N151" s="7">
        <f t="shared" si="71"/>
        <v>40.649999999441206</v>
      </c>
      <c r="O151" s="7"/>
      <c r="P151" s="7"/>
      <c r="Q151" s="22"/>
      <c r="R151" s="174"/>
      <c r="S151" s="221">
        <f t="shared" si="72"/>
        <v>1</v>
      </c>
      <c r="T151" s="174" t="str">
        <f t="shared" si="64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5"/>
        <v>https://d0f6bd738d7f1b3e5a7ca70fe4ff75f0.us-east-1.aws.found.io/app/kibana#/discover/Steve-Slow-Train-Analysis-(2080s-and-2083s)?_g=(refreshInterval:(display:Off,pause:!f,section:0,value:0),time:(from:'2017-10-28T22:08:46-0600',mode:absolute,to:'2017-10-29T01:10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1" s="204" t="str">
        <f>IF(AA151&lt;VLOOKUP(AG151,Variables!$AC$3:$AD$8,2,FALSE),"Y","N")</f>
        <v>N</v>
      </c>
      <c r="X151" s="204">
        <f t="shared" si="59"/>
        <v>1</v>
      </c>
      <c r="Y151" s="204">
        <f t="shared" si="60"/>
        <v>4.4600000000000001E-2</v>
      </c>
      <c r="Z151" s="204">
        <f t="shared" si="61"/>
        <v>23.320799999999998</v>
      </c>
      <c r="AA151" s="204">
        <f t="shared" si="66"/>
        <v>23.276199999999999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7"/>
        <v>239</v>
      </c>
      <c r="AE151" s="77" t="str">
        <f t="shared" si="68"/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AF151" s="74" t="str">
        <f t="shared" si="69"/>
        <v>"C:\Program Files (x86)\AstroGrep\AstroGrep.exe" /e /r /s /spath="%USERPROFILE%\AppData\Local\Temp\OnboardLogs" /stypes="app*4024*20171029*" /stext=" 06:.+((SYSTEM_STATE.+slice.+state.+changed )|(ment ac)|(multiple cpu faults)|(system.+state.+changed )|(\[timeout)|(PRM\|1\|D)|(kpr)|(kdp)|(train st.+moving)|(\|lc)|(penalty))"</v>
      </c>
      <c r="AG151" s="182" t="str">
        <f t="shared" si="70"/>
        <v>EC</v>
      </c>
      <c r="AH151" s="78" t="str">
        <f t="shared" si="73"/>
        <v>"%USERPROFILE%\Documents\GitHub\eaglep3\Utilities\RefineRTDCRunTimes.py" --tripid 239-28 --locoid 4024 --swversion DE.1.0.9.0 --startMP 204:446 --initTime 2017-10-28T23:08:46 --startdatetime 2017-10-28T23:30:16 --delay 78 --endMP 204:233208 --enddatetime 2017-10-29T00:10:55 --enforcementcount 0 &gt;&gt;%USERPROFILE%\Documents\GitHub\eaglep3-reporting\EC\2017-10-28-refined-times.txt</v>
      </c>
      <c r="AI151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{"issue":{"subject":"","project_id":79,"tracker_id":40,"status_id":1,"priority_id":2,"assigned_to_id":338,"start_date":"2017-10-29","description":"","custom_fields":[{"id":1,"name":"Subdivision","value":"EC"},{"id":4,"name":"Milepost","value":"23.3208"},{"id":17,"name":"Train ID","value":"239-28"},{"id":16,"name":"Locomotive ID","value":"4024"},{"id":130,"name":"Impact","value":""},{"id":150,"name":"Time of Event (Mountain Time)","value":"00:10:55"},{"id":151,"name":"Denver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75"/>
        <v>start /low /b %USERPROFILE%\Documents\GitHub\eaglep3\Utilities\DownloadLogsFromS3.py --loco 4024 --day 2017-10-28</v>
      </c>
      <c r="AN151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06:10:55"},{"id":29,"name":"Sharepoint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7"/>
        <v>https://d0f6bd738d7f1b3e5a7ca70fe4ff75f0.us-east-1.aws.found.io/app/kibana#/discover/Steve-Slow-Train-Analysis-(2080s-and-2083s)?_g=(refreshInterval:(display:Off,pause:!f,section:0,value:0),time:(from:'2017-10-28T22:08:46-0600',mode:absolute,to:'2017-10-29T01:10:55-0600'))&amp;_a=(columns:!('Message%20ID',Summary),filters:!(),index:'emp_*',interval:auto,query:(query_string:(analyze_wildcard:!t,query:'%22rtdc.l.rtdc.4024%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870</v>
      </c>
      <c r="B152" s="7">
        <v>4023</v>
      </c>
      <c r="C152" s="21" t="s">
        <v>194</v>
      </c>
      <c r="D152" s="21" t="s">
        <v>524</v>
      </c>
      <c r="E152" s="13">
        <v>43037.009814814817</v>
      </c>
      <c r="F152" s="13">
        <v>43037.018900462965</v>
      </c>
      <c r="G152" s="7">
        <v>57</v>
      </c>
      <c r="H152" s="21" t="s">
        <v>337</v>
      </c>
      <c r="I152" s="13">
        <v>43037.04482638889</v>
      </c>
      <c r="J152" s="7">
        <v>0</v>
      </c>
      <c r="K152" s="89" t="str">
        <f t="shared" si="62"/>
        <v>4023/4024</v>
      </c>
      <c r="L152" s="185" t="str">
        <f>VLOOKUP(A152,'Trips&amp;Operators'!$C$1:$G$99911,5,FALSE)</f>
        <v>FORTUNATO FRANK</v>
      </c>
      <c r="M152" s="6">
        <f t="shared" si="63"/>
        <v>2.5925925925548654E-2</v>
      </c>
      <c r="N152" s="7">
        <f t="shared" si="71"/>
        <v>37.333333332790062</v>
      </c>
      <c r="O152" s="7"/>
      <c r="P152" s="7"/>
      <c r="Q152" s="22"/>
      <c r="R152" s="174"/>
      <c r="S152" s="221">
        <f t="shared" si="72"/>
        <v>1</v>
      </c>
      <c r="T152" s="174" t="str">
        <f t="shared" si="64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5"/>
        <v>https://d0f6bd738d7f1b3e5a7ca70fe4ff75f0.us-east-1.aws.found.io/app/kibana#/discover/Steve-Slow-Train-Analysis-(2080s-and-2083s)?_g=(refreshInterval:(display:Off,pause:!f,section:0,value:0),time:(from:'2017-10-28T23:14:08-0600',mode:absolute,to:'2017-10-29T02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2" s="204" t="str">
        <f>IF(AA152&lt;VLOOKUP(AG152,Variables!$AC$3:$AD$8,2,FALSE),"Y","N")</f>
        <v>N</v>
      </c>
      <c r="X152" s="204">
        <f t="shared" si="59"/>
        <v>1</v>
      </c>
      <c r="Y152" s="204">
        <f t="shared" si="60"/>
        <v>23.287700000000001</v>
      </c>
      <c r="Z152" s="204">
        <f t="shared" si="61"/>
        <v>1.43E-2</v>
      </c>
      <c r="AA152" s="204">
        <f t="shared" si="66"/>
        <v>23.273400000000002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7"/>
        <v>240</v>
      </c>
      <c r="AE152" s="77" t="str">
        <f t="shared" si="68"/>
        <v>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 &amp; aws s3 cp s3://rtdc.mdm.uploadarchive.raw/RTDC4023/ "%USERPROFILE%\AppData\Local\Temp\OnboardLogs"\RTDC4023\2017-10-30 --exclude "*" --recursive --include "*20171030*" &amp; "%USERPROFILE%\Documents\GitHub\mrs-test-scripts\Headless Mode &amp; Sideloading\WalkAndUnGZ.bat" "%USERPROFILE%\AppData\Local\Temp\OnboardLogs"\RTDC4023\2017-10-30</v>
      </c>
      <c r="AF152" s="74" t="str">
        <f t="shared" si="69"/>
        <v>"C:\Program Files (x86)\AstroGrep\AstroGrep.exe" /e /r /s /spath="%USERPROFILE%\AppData\Local\Temp\OnboardLogs" /stypes="app*4023*20171029*" /stext=" 07:.+((SYSTEM_STATE.+slice.+state.+changed )|(ment ac)|(multiple cpu faults)|(system.+state.+changed )|(\[timeout)|(PRM\|1\|D)|(kpr)|(kdp)|(train st.+moving)|(\|lc)|(penalty))"</v>
      </c>
      <c r="AG152" s="182" t="str">
        <f t="shared" si="70"/>
        <v>EC</v>
      </c>
      <c r="AH152" s="78" t="str">
        <f t="shared" si="73"/>
        <v>"%USERPROFILE%\Documents\GitHub\eaglep3\Utilities\RefineRTDCRunTimes.py" --tripid 240-28 --locoid 4023 --swversion DE.1.0.9.0 --startMP 204:232877 --initTime 2017-10-29T00:14:08 --startdatetime 2017-10-29T00:27:13 --delay 57 --endMP 204:143 --enddatetime 2017-10-29T01:04:33 --enforcementcount 0 &gt;&gt;%USERPROFILE%\Documents\GitHub\eaglep3-reporting\EC\2017-10-28-refined-times.txt</v>
      </c>
      <c r="AI152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{"issue":{"subject":"","project_id":79,"tracker_id":40,"status_id":1,"priority_id":2,"assigned_to_id":338,"start_date":"2017-10-29","description":"","custom_fields":[{"id":1,"name":"Subdivision","value":"EC"},{"id":4,"name":"Milepost","value":"0.0143"},{"id":17,"name":"Train ID","value":"240-28"},{"id":16,"name":"Locomotive ID","value":"4023"},{"id":130,"name":"Impact","value":""},{"id":150,"name":"Time of Event (Mountain Time)","value":"01:04:33"},{"id":151,"name":"Denver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75"/>
        <v>start /low /b %USERPROFILE%\Documents\GitHub\eaglep3\Utilities\DownloadLogsFromS3.py --loco 4023 --day 2017-10-29</v>
      </c>
      <c r="AN152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7"/>
        <v>https://d0f6bd738d7f1b3e5a7ca70fe4ff75f0.us-east-1.aws.found.io/app/kibana#/discover/Steve-Slow-Train-Analysis-(2080s-and-2083s)?_g=(refreshInterval:(display:Off,pause:!f,section:0,value:0),time:(from:'2017-10-28T23:14:08-0600',mode:absolute,to:'2017-10-29T02:04:33-0600'))&amp;_a=(columns:!('Message%20ID',Summary),filters:!(),index:'emp_*',interval:auto,query:(query_string:(analyze_wildcard:!t,query:'%22rtdc.l.rtdc.4023%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868</v>
      </c>
      <c r="B153" s="7">
        <v>4012</v>
      </c>
      <c r="C153" s="21" t="s">
        <v>194</v>
      </c>
      <c r="D153" s="21" t="s">
        <v>1040</v>
      </c>
      <c r="E153" s="13">
        <v>43036.984814814816</v>
      </c>
      <c r="F153" s="13">
        <v>43037.000138888892</v>
      </c>
      <c r="G153" s="7">
        <v>65</v>
      </c>
      <c r="H153" s="21" t="s">
        <v>1041</v>
      </c>
      <c r="I153" s="13">
        <v>43037.025046296294</v>
      </c>
      <c r="J153" s="7">
        <v>0</v>
      </c>
      <c r="K153" s="89" t="str">
        <f t="shared" si="62"/>
        <v>4011/4012</v>
      </c>
      <c r="L153" s="185" t="str">
        <f>VLOOKUP(A153,'Trips&amp;Operators'!$C$1:$G$99911,5,FALSE)</f>
        <v>ELBAUM MIKE</v>
      </c>
      <c r="M153" s="6">
        <f t="shared" si="63"/>
        <v>2.4907407401769888E-2</v>
      </c>
      <c r="N153" s="7">
        <f t="shared" si="71"/>
        <v>35.866666658548638</v>
      </c>
      <c r="O153" s="7"/>
      <c r="P153" s="7"/>
      <c r="Q153" s="22"/>
      <c r="R153" s="174"/>
      <c r="S153" s="221">
        <f t="shared" si="72"/>
        <v>1</v>
      </c>
      <c r="T153" s="174" t="str">
        <f t="shared" si="64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5"/>
        <v>https://d0f6bd738d7f1b3e5a7ca70fe4ff75f0.us-east-1.aws.found.io/app/kibana#/discover/Steve-Slow-Train-Analysis-(2080s-and-2083s)?_g=(refreshInterval:(display:Off,pause:!f,section:0,value:0),time:(from:'2017-10-28T22:38:08-0600',mode:absolute,to:'2017-10-29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3" s="204" t="str">
        <f>IF(AA153&lt;VLOOKUP(AG153,Variables!$AC$3:$AD$8,2,FALSE),"Y","N")</f>
        <v>N</v>
      </c>
      <c r="X153" s="204">
        <f t="shared" si="59"/>
        <v>1</v>
      </c>
      <c r="Y153" s="204">
        <f t="shared" si="60"/>
        <v>5.7000000000000002E-2</v>
      </c>
      <c r="Z153" s="204">
        <f t="shared" si="61"/>
        <v>23.331199999999999</v>
      </c>
      <c r="AA153" s="204">
        <f t="shared" si="66"/>
        <v>23.2742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7"/>
        <v>241</v>
      </c>
      <c r="AE153" s="77" t="str">
        <f t="shared" si="68"/>
        <v>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 &amp; 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</v>
      </c>
      <c r="AF153" s="74" t="str">
        <f t="shared" si="69"/>
        <v>"C:\Program Files (x86)\AstroGrep\AstroGrep.exe" /e /r /s /spath="%USERPROFILE%\AppData\Local\Temp\OnboardLogs" /stypes="app*4012*20171029*" /stext=" 06:.+((SYSTEM_STATE.+slice.+state.+changed )|(ment ac)|(multiple cpu faults)|(system.+state.+changed )|(\[timeout)|(PRM\|1\|D)|(kpr)|(kdp)|(train st.+moving)|(\|lc)|(penalty))"</v>
      </c>
      <c r="AG153" s="182" t="str">
        <f t="shared" si="70"/>
        <v>EC</v>
      </c>
      <c r="AH153" s="78" t="str">
        <f t="shared" si="73"/>
        <v>"%USERPROFILE%\Documents\GitHub\eaglep3\Utilities\RefineRTDCRunTimes.py" --tripid 241-28 --locoid 4012 --swversion DE.1.0.9.0 --startMP 204:570 --initTime 2017-10-28T23:38:08 --startdatetime 2017-10-29T00:00:12 --delay 65 --endMP 204:233312 --enddatetime 2017-10-29T00:36:04 --enforcementcount 0 &gt;&gt;%USERPROFILE%\Documents\GitHub\eaglep3-reporting\EC\2017-10-28-refined-times.txt</v>
      </c>
      <c r="AI153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{"issue":{"subject":"","project_id":79,"tracker_id":40,"status_id":1,"priority_id":2,"assigned_to_id":338,"start_date":"2017-10-29","description":"","custom_fields":[{"id":1,"name":"Subdivision","value":"EC"},{"id":4,"name":"Milepost","value":"23.3312"},{"id":17,"name":"Train ID","value":"241-28"},{"id":16,"name":"Locomotive ID","value":"4012"},{"id":130,"name":"Impact","value":""},{"id":150,"name":"Time of Event (Mountain Time)","value":"00:36:04"},{"id":151,"name":"Denver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75"/>
        <v>start /low /b %USERPROFILE%\Documents\GitHub\eaglep3\Utilities\DownloadLogsFromS3.py --loco 4012 --day 2017-10-29</v>
      </c>
      <c r="AN153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7"/>
        <v>https://d0f6bd738d7f1b3e5a7ca70fe4ff75f0.us-east-1.aws.found.io/app/kibana#/discover/Steve-Slow-Train-Analysis-(2080s-and-2083s)?_g=(refreshInterval:(display:Off,pause:!f,section:0,value:0),time:(from:'2017-10-28T22:38:08-0600',mode:absolute,to:'2017-10-29T01:36:04-0600'))&amp;_a=(columns:!('Message%20ID',Summary),filters:!(),index:'emp_*',interval:auto,query:(query_string:(analyze_wildcard:!t,query:'%22rtdc.l.rtdc.4012%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872</v>
      </c>
      <c r="B154" s="7">
        <v>4011</v>
      </c>
      <c r="C154" s="21" t="s">
        <v>194</v>
      </c>
      <c r="D154" s="21" t="s">
        <v>1042</v>
      </c>
      <c r="E154" s="13">
        <v>43037.026875000003</v>
      </c>
      <c r="F154" s="13">
        <v>43037.039722222224</v>
      </c>
      <c r="G154" s="7">
        <v>55</v>
      </c>
      <c r="H154" s="21" t="s">
        <v>1043</v>
      </c>
      <c r="I154" s="13">
        <v>43037.065046296295</v>
      </c>
      <c r="J154" s="7">
        <v>0</v>
      </c>
      <c r="K154" s="89" t="str">
        <f t="shared" si="62"/>
        <v>4011/4012</v>
      </c>
      <c r="L154" s="185" t="str">
        <f>VLOOKUP(A154,'Trips&amp;Operators'!$C$1:$G$99911,5,FALSE)</f>
        <v>ELBAUM MIKE</v>
      </c>
      <c r="M154" s="6">
        <f t="shared" si="63"/>
        <v>2.5324074071249925E-2</v>
      </c>
      <c r="N154" s="7">
        <f t="shared" si="71"/>
        <v>36.466666662599891</v>
      </c>
      <c r="O154" s="7"/>
      <c r="P154" s="7"/>
      <c r="Q154" s="22"/>
      <c r="R154" s="174"/>
      <c r="S154" s="221">
        <f t="shared" si="72"/>
        <v>1</v>
      </c>
      <c r="T154" s="174" t="str">
        <f t="shared" si="64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5"/>
        <v>https://d0f6bd738d7f1b3e5a7ca70fe4ff75f0.us-east-1.aws.found.io/app/kibana#/discover/Steve-Slow-Train-Analysis-(2080s-and-2083s)?_g=(refreshInterval:(display:Off,pause:!f,section:0,value:0),time:(from:'2017-10-28T23:38:42-0600',mode:absolute,to:'2017-10-29T02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204" t="str">
        <f>IF(AA154&lt;VLOOKUP(AG154,Variables!$AC$3:$AD$8,2,FALSE),"Y","N")</f>
        <v>N</v>
      </c>
      <c r="X154" s="204">
        <f t="shared" si="59"/>
        <v>1</v>
      </c>
      <c r="Y154" s="204">
        <f t="shared" si="60"/>
        <v>23.299299999999999</v>
      </c>
      <c r="Z154" s="204">
        <f t="shared" si="61"/>
        <v>2.6499999999999999E-2</v>
      </c>
      <c r="AA154" s="204">
        <f t="shared" si="66"/>
        <v>23.2728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7"/>
        <v>242</v>
      </c>
      <c r="AE154" s="77" t="str">
        <f t="shared" si="68"/>
        <v>aws s3 cp s3://rtdc.mdm.uploadarchive.raw/RTDC4011/ "%USERPROFILE%\AppData\Local\Temp\OnboardLogs"\RTDC4011\2017-10-29 --exclude "*" --recursive --include "*20171029*" &amp; "%USERPROFILE%\Documents\GitHub\mrs-test-scripts\Headless Mode &amp; Sideloading\WalkAndUnGZ.bat" "%USERPROFILE%\AppData\Local\Temp\OnboardLogs"\RTDC4011\2017-10-29 &amp; aws s3 cp s3://rtdc.mdm.uploadarchive.raw/RTDC4011/ "%USERPROFILE%\AppData\Local\Temp\OnboardLogs"\RTDC4011\2017-10-30 --exclude "*" --recursive --include "*20171030*" &amp; "%USERPROFILE%\Documents\GitHub\mrs-test-scripts\Headless Mode &amp; Sideloading\WalkAndUnGZ.bat" "%USERPROFILE%\AppData\Local\Temp\OnboardLogs"\RTDC4011\2017-10-30</v>
      </c>
      <c r="AF154" s="74" t="str">
        <f t="shared" si="69"/>
        <v>"C:\Program Files (x86)\AstroGrep\AstroGrep.exe" /e /r /s /spath="%USERPROFILE%\AppData\Local\Temp\OnboardLogs" /stypes="app*4011*20171029*" /stext=" 07:.+((SYSTEM_STATE.+slice.+state.+changed )|(ment ac)|(multiple cpu faults)|(system.+state.+changed )|(\[timeout)|(PRM\|1\|D)|(kpr)|(kdp)|(train st.+moving)|(\|lc)|(penalty))"</v>
      </c>
      <c r="AG154" s="182" t="str">
        <f t="shared" si="70"/>
        <v>EC</v>
      </c>
      <c r="AH154" s="78" t="str">
        <f t="shared" si="73"/>
        <v>"%USERPROFILE%\Documents\GitHub\eaglep3\Utilities\RefineRTDCRunTimes.py" --tripid 242-28 --locoid 4011 --swversion DE.1.0.9.0 --startMP 204:232993 --initTime 2017-10-29T00:38:42 --startdatetime 2017-10-29T00:57:12 --delay 55 --endMP 204:265 --enddatetime 2017-10-29T01:33:40 --enforcementcount 0 &gt;&gt;%USERPROFILE%\Documents\GitHub\eaglep3-reporting\EC\2017-10-28-refined-times.txt</v>
      </c>
      <c r="AI154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{"issue":{"subject":"","project_id":79,"tracker_id":40,"status_id":1,"priority_id":2,"assigned_to_id":338,"start_date":"2017-10-29","description":"","custom_fields":[{"id":1,"name":"Subdivision","value":"EC"},{"id":4,"name":"Milepost","value":"0.0265"},{"id":17,"name":"Train ID","value":"242-28"},{"id":16,"name":"Locomotive ID","value":"4011"},{"id":130,"name":"Impact","value":""},{"id":150,"name":"Time of Event (Mountain Time)","value":"01:33:40"},{"id":151,"name":"Denver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75"/>
        <v>start /low /b %USERPROFILE%\Documents\GitHub\eaglep3\Utilities\DownloadLogsFromS3.py --loco 4011 --day 2017-10-29</v>
      </c>
      <c r="AN154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7"/>
        <v>https://d0f6bd738d7f1b3e5a7ca70fe4ff75f0.us-east-1.aws.found.io/app/kibana#/discover/Steve-Slow-Train-Analysis-(2080s-and-2083s)?_g=(refreshInterval:(display:Off,pause:!f,section:0,value:0),time:(from:'2017-10-28T23:38:42-0600',mode:absolute,to:'2017-10-29T02:33:40-0600'))&amp;_a=(columns:!('Message%20ID',Summary),filters:!(),index:'emp_*',interval:auto,query:(query_string:(analyze_wildcard:!t,query:'%22rtdc.l.rtdc.4011%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871</v>
      </c>
      <c r="B155" s="7">
        <v>4004</v>
      </c>
      <c r="C155" s="21" t="s">
        <v>194</v>
      </c>
      <c r="D155" s="21" t="s">
        <v>1044</v>
      </c>
      <c r="E155" s="13">
        <v>43037.01630787037</v>
      </c>
      <c r="F155" s="13">
        <v>43037.021087962959</v>
      </c>
      <c r="G155" s="7">
        <v>67</v>
      </c>
      <c r="H155" s="21" t="s">
        <v>1036</v>
      </c>
      <c r="I155" s="13">
        <v>43037.046678240738</v>
      </c>
      <c r="J155" s="7">
        <v>0</v>
      </c>
      <c r="K155" s="89" t="str">
        <f t="shared" si="62"/>
        <v>4003/4004</v>
      </c>
      <c r="L155" s="185" t="str">
        <f>VLOOKUP(A155,'Trips&amp;Operators'!$C$1:$G$99911,5,FALSE)</f>
        <v>NICHOLSON WESLEY</v>
      </c>
      <c r="M155" s="6">
        <f t="shared" si="63"/>
        <v>2.5590277778974269E-2</v>
      </c>
      <c r="N155" s="7">
        <f t="shared" si="71"/>
        <v>36.850000001722947</v>
      </c>
      <c r="O155" s="7"/>
      <c r="P155" s="7"/>
      <c r="Q155" s="22"/>
      <c r="R155" s="174"/>
      <c r="S155" s="221">
        <f t="shared" si="72"/>
        <v>1</v>
      </c>
      <c r="T155" s="174" t="str">
        <f t="shared" si="64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5"/>
        <v>https://d0f6bd738d7f1b3e5a7ca70fe4ff75f0.us-east-1.aws.found.io/app/kibana#/discover/Steve-Slow-Train-Analysis-(2080s-and-2083s)?_g=(refreshInterval:(display:Off,pause:!f,section:0,value:0),time:(from:'2017-10-28T23:23:29-0600',mode:absolute,to:'2017-10-29T02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204" t="str">
        <f>IF(AA155&lt;VLOOKUP(AG155,Variables!$AC$3:$AD$8,2,FALSE),"Y","N")</f>
        <v>N</v>
      </c>
      <c r="X155" s="204">
        <f t="shared" si="59"/>
        <v>1</v>
      </c>
      <c r="Y155" s="204">
        <f t="shared" si="60"/>
        <v>6.4799999999999996E-2</v>
      </c>
      <c r="Z155" s="204">
        <f t="shared" si="61"/>
        <v>23.319500000000001</v>
      </c>
      <c r="AA155" s="204">
        <f t="shared" si="66"/>
        <v>23.2547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7"/>
        <v>243</v>
      </c>
      <c r="AE155" s="77" t="str">
        <f t="shared" si="68"/>
        <v>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 &amp; aws s3 cp s3://rtdc.mdm.uploadarchive.raw/RTDC4004/ "%USERPROFILE%\AppData\Local\Temp\OnboardLogs"\RTDC4004\2017-10-30 --exclude "*" --recursive --include "*20171030*" &amp; "%USERPROFILE%\Documents\GitHub\mrs-test-scripts\Headless Mode &amp; Sideloading\WalkAndUnGZ.bat" "%USERPROFILE%\AppData\Local\Temp\OnboardLogs"\RTDC4004\2017-10-30</v>
      </c>
      <c r="AF155" s="74" t="str">
        <f t="shared" si="69"/>
        <v>"C:\Program Files (x86)\AstroGrep\AstroGrep.exe" /e /r /s /spath="%USERPROFILE%\AppData\Local\Temp\OnboardLogs" /stypes="app*4004*20171029*" /stext=" 07:.+((SYSTEM_STATE.+slice.+state.+changed )|(ment ac)|(multiple cpu faults)|(system.+state.+changed )|(\[timeout)|(PRM\|1\|D)|(kpr)|(kdp)|(train st.+moving)|(\|lc)|(penalty))"</v>
      </c>
      <c r="AG155" s="182" t="str">
        <f t="shared" si="70"/>
        <v>EC</v>
      </c>
      <c r="AH155" s="78" t="str">
        <f t="shared" si="73"/>
        <v>"%USERPROFILE%\Documents\GitHub\eaglep3\Utilities\RefineRTDCRunTimes.py" --tripid 243-28 --locoid 4004 --swversion DE.1.0.9.0 --startMP 204:648 --initTime 2017-10-29T00:23:29 --startdatetime 2017-10-29T00:30:22 --delay 67 --endMP 204:233195 --enddatetime 2017-10-29T01:07:13 --enforcementcount 0 &gt;&gt;%USERPROFILE%\Documents\GitHub\eaglep3-reporting\EC\2017-10-28-refined-times.txt</v>
      </c>
      <c r="AI155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{"issue":{"subject":"","project_id":79,"tracker_id":40,"status_id":1,"priority_id":2,"assigned_to_id":338,"start_date":"2017-10-29","description":"","custom_fields":[{"id":1,"name":"Subdivision","value":"EC"},{"id":4,"name":"Milepost","value":"23.3195"},{"id":17,"name":"Train ID","value":"243-28"},{"id":16,"name":"Locomotive ID","value":"4004"},{"id":130,"name":"Impact","value":""},{"id":150,"name":"Time of Event (Mountain Time)","value":"01:07:13"},{"id":151,"name":"Denver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75"/>
        <v>start /low /b %USERPROFILE%\Documents\GitHub\eaglep3\Utilities\DownloadLogsFromS3.py --loco 4004 --day 2017-10-29</v>
      </c>
      <c r="AN155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7"/>
        <v>https://d0f6bd738d7f1b3e5a7ca70fe4ff75f0.us-east-1.aws.found.io/app/kibana#/discover/Steve-Slow-Train-Analysis-(2080s-and-2083s)?_g=(refreshInterval:(display:Off,pause:!f,section:0,value:0),time:(from:'2017-10-28T23:23:29-0600',mode:absolute,to:'2017-10-29T02:07:13-0600'))&amp;_a=(columns:!('Message%20ID',Summary),filters:!(),index:'emp_*',interval:auto,query:(query_string:(analyze_wildcard:!t,query:'%22rtdc.l.rtdc.4004%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875</v>
      </c>
      <c r="B156" s="7">
        <v>4003</v>
      </c>
      <c r="C156" s="21" t="s">
        <v>194</v>
      </c>
      <c r="D156" s="21" t="s">
        <v>527</v>
      </c>
      <c r="E156" s="13">
        <v>43037.056145833332</v>
      </c>
      <c r="F156" s="13">
        <v>43037.060787037037</v>
      </c>
      <c r="G156" s="7">
        <v>58</v>
      </c>
      <c r="H156" s="21" t="s">
        <v>1037</v>
      </c>
      <c r="I156" s="13">
        <v>43037.08792824074</v>
      </c>
      <c r="J156" s="7">
        <v>0</v>
      </c>
      <c r="K156" s="89" t="str">
        <f t="shared" si="62"/>
        <v>4003/4004</v>
      </c>
      <c r="L156" s="185" t="str">
        <f>VLOOKUP(A156,'Trips&amp;Operators'!$C$1:$G$99911,5,FALSE)</f>
        <v>NICHOLSON WESLEY</v>
      </c>
      <c r="M156" s="6">
        <f t="shared" si="63"/>
        <v>2.7141203703649808E-2</v>
      </c>
      <c r="N156" s="7">
        <f t="shared" si="71"/>
        <v>39.083333333255723</v>
      </c>
      <c r="O156" s="7"/>
      <c r="P156" s="7"/>
      <c r="Q156" s="22"/>
      <c r="R156" s="174"/>
      <c r="S156" s="221">
        <f t="shared" si="72"/>
        <v>1</v>
      </c>
      <c r="T156" s="174" t="str">
        <f t="shared" si="64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5"/>
        <v>https://d0f6bd738d7f1b3e5a7ca70fe4ff75f0.us-east-1.aws.found.io/app/kibana#/discover/Steve-Slow-Train-Analysis-(2080s-and-2083s)?_g=(refreshInterval:(display:Off,pause:!f,section:0,value:0),time:(from:'2017-10-29T00:20:51-0600',mode:absolute,to:'2017-10-29T03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204" t="str">
        <f>IF(AA156&lt;VLOOKUP(AG156,Variables!$AC$3:$AD$8,2,FALSE),"Y","N")</f>
        <v>N</v>
      </c>
      <c r="X156" s="204">
        <f t="shared" si="59"/>
        <v>1</v>
      </c>
      <c r="Y156" s="204">
        <f t="shared" si="60"/>
        <v>23.2881</v>
      </c>
      <c r="Z156" s="204">
        <f t="shared" si="61"/>
        <v>3.44E-2</v>
      </c>
      <c r="AA156" s="204">
        <f t="shared" si="66"/>
        <v>23.253699999999998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7"/>
        <v>244</v>
      </c>
      <c r="AE156" s="77" t="str">
        <f t="shared" si="68"/>
        <v>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 &amp; aws s3 cp s3://rtdc.mdm.uploadarchive.raw/RTDC4003/ "%USERPROFILE%\AppData\Local\Temp\OnboardLogs"\RTDC4003\2017-10-30 --exclude "*" --recursive --include "*20171030*" &amp; "%USERPROFILE%\Documents\GitHub\mrs-test-scripts\Headless Mode &amp; Sideloading\WalkAndUnGZ.bat" "%USERPROFILE%\AppData\Local\Temp\OnboardLogs"\RTDC4003\2017-10-30</v>
      </c>
      <c r="AF156" s="74" t="str">
        <f t="shared" si="69"/>
        <v>"C:\Program Files (x86)\AstroGrep\AstroGrep.exe" /e /r /s /spath="%USERPROFILE%\AppData\Local\Temp\OnboardLogs" /stypes="app*4003*20171029*" /stext=" 08:.+((SYSTEM_STATE.+slice.+state.+changed )|(ment ac)|(multiple cpu faults)|(system.+state.+changed )|(\[timeout)|(PRM\|1\|D)|(kpr)|(kdp)|(train st.+moving)|(\|lc)|(penalty))"</v>
      </c>
      <c r="AG156" s="182" t="str">
        <f t="shared" si="70"/>
        <v>EC</v>
      </c>
      <c r="AH156" s="78" t="str">
        <f t="shared" si="73"/>
        <v>"%USERPROFILE%\Documents\GitHub\eaglep3\Utilities\RefineRTDCRunTimes.py" --tripid 244-28 --locoid 4003 --swversion DE.1.0.9.0 --startMP 204:232881 --initTime 2017-10-29T01:20:51 --startdatetime 2017-10-29T01:27:32 --delay 58 --endMP 204:344 --enddatetime 2017-10-29T02:06:37 --enforcementcount 0 &gt;&gt;%USERPROFILE%\Documents\GitHub\eaglep3-reporting\EC\2017-10-28-refined-times.txt</v>
      </c>
      <c r="AI156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{"issue":{"subject":"","project_id":79,"tracker_id":40,"status_id":1,"priority_id":2,"assigned_to_id":338,"start_date":"2017-10-29","description":"","custom_fields":[{"id":1,"name":"Subdivision","value":"EC"},{"id":4,"name":"Milepost","value":"0.0344"},{"id":17,"name":"Train ID","value":"244-28"},{"id":16,"name":"Locomotive ID","value":"4003"},{"id":130,"name":"Impact","value":""},{"id":150,"name":"Time of Event (Mountain Time)","value":"02:06:37"},{"id":151,"name":"Denver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75"/>
        <v>start /low /b %USERPROFILE%\Documents\GitHub\eaglep3\Utilities\DownloadLogsFromS3.py --loco 4003 --day 2017-10-29</v>
      </c>
      <c r="AN156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08:06:37"},{"id":29,"name":"Sharepoint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7"/>
        <v>https://d0f6bd738d7f1b3e5a7ca70fe4ff75f0.us-east-1.aws.found.io/app/kibana#/discover/Steve-Slow-Train-Analysis-(2080s-and-2083s)?_g=(refreshInterval:(display:Off,pause:!f,section:0,value:0),time:(from:'2017-10-29T00:20:51-0600',mode:absolute,to:'2017-10-29T03:06:37-0600'))&amp;_a=(columns:!('Message%20ID',Summary),filters:!(),index:'emp_*',interval:auto,query:(query_string:(analyze_wildcard:!t,query:'%22rtdc.l.rtdc.4003%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873</v>
      </c>
      <c r="B157" s="7">
        <v>4042</v>
      </c>
      <c r="C157" s="21" t="s">
        <v>194</v>
      </c>
      <c r="D157" s="21" t="s">
        <v>597</v>
      </c>
      <c r="E157" s="13">
        <v>43037.037430555552</v>
      </c>
      <c r="F157" s="13">
        <v>43037.041817129626</v>
      </c>
      <c r="G157" s="7">
        <v>71</v>
      </c>
      <c r="H157" s="21" t="s">
        <v>588</v>
      </c>
      <c r="I157" s="13">
        <v>43037.067199074074</v>
      </c>
      <c r="J157" s="7">
        <v>0</v>
      </c>
      <c r="K157" s="89" t="str">
        <f t="shared" si="62"/>
        <v>4041/4042</v>
      </c>
      <c r="L157" s="185" t="str">
        <f>VLOOKUP(A157,'Trips&amp;Operators'!$C$1:$G$99911,5,FALSE)</f>
        <v>RESPASS AARON</v>
      </c>
      <c r="M157" s="6">
        <f t="shared" si="63"/>
        <v>2.5381944447872229E-2</v>
      </c>
      <c r="N157" s="7">
        <f t="shared" si="71"/>
        <v>36.55000000493601</v>
      </c>
      <c r="O157" s="7"/>
      <c r="P157" s="7"/>
      <c r="Q157" s="22"/>
      <c r="R157" s="174"/>
      <c r="S157" s="221">
        <f t="shared" si="72"/>
        <v>1</v>
      </c>
      <c r="T157" s="174" t="str">
        <f t="shared" si="64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5"/>
        <v>https://d0f6bd738d7f1b3e5a7ca70fe4ff75f0.us-east-1.aws.found.io/app/kibana#/discover/Steve-Slow-Train-Analysis-(2080s-and-2083s)?_g=(refreshInterval:(display:Off,pause:!f,section:0,value:0),time:(from:'2017-10-28T23:53:54-0600',mode:absolute,to:'2017-10-29T02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7" s="204" t="str">
        <f>IF(AA157&lt;VLOOKUP(AG157,Variables!$AC$3:$AD$8,2,FALSE),"Y","N")</f>
        <v>N</v>
      </c>
      <c r="X157" s="204">
        <f t="shared" si="59"/>
        <v>1</v>
      </c>
      <c r="Y157" s="204">
        <f t="shared" si="60"/>
        <v>5.7299999999999997E-2</v>
      </c>
      <c r="Z157" s="204">
        <f t="shared" si="61"/>
        <v>23.323</v>
      </c>
      <c r="AA157" s="204">
        <f t="shared" si="66"/>
        <v>23.265699999999999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7"/>
        <v>245</v>
      </c>
      <c r="AE157" s="77" t="str">
        <f t="shared" si="68"/>
        <v>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 &amp; aws s3 cp s3://rtdc.mdm.uploadarchive.raw/RTDC4042/ "%USERPROFILE%\AppData\Local\Temp\OnboardLogs"\RTDC4042\2017-10-30 --exclude "*" --recursive --include "*20171030*" &amp; "%USERPROFILE%\Documents\GitHub\mrs-test-scripts\Headless Mode &amp; Sideloading\WalkAndUnGZ.bat" "%USERPROFILE%\AppData\Local\Temp\OnboardLogs"\RTDC4042\2017-10-30</v>
      </c>
      <c r="AF157" s="74" t="str">
        <f t="shared" si="69"/>
        <v>"C:\Program Files (x86)\AstroGrep\AstroGrep.exe" /e /r /s /spath="%USERPROFILE%\AppData\Local\Temp\OnboardLogs" /stypes="app*4042*20171029*" /stext=" 07:.+((SYSTEM_STATE.+slice.+state.+changed )|(ment ac)|(multiple cpu faults)|(system.+state.+changed )|(\[timeout)|(PRM\|1\|D)|(kpr)|(kdp)|(train st.+moving)|(\|lc)|(penalty))"</v>
      </c>
      <c r="AG157" s="182" t="str">
        <f t="shared" si="70"/>
        <v>EC</v>
      </c>
      <c r="AH157" s="78" t="str">
        <f t="shared" si="73"/>
        <v>"%USERPROFILE%\Documents\GitHub\eaglep3\Utilities\RefineRTDCRunTimes.py" --tripid 245-28 --locoid 4042 --swversion DE.1.0.9.0 --startMP 204:573 --initTime 2017-10-29T00:53:54 --startdatetime 2017-10-29T01:00:13 --delay 71 --endMP 204:233230 --enddatetime 2017-10-29T01:36:46 --enforcementcount 0 &gt;&gt;%USERPROFILE%\Documents\GitHub\eaglep3-reporting\EC\2017-10-28-refined-times.txt</v>
      </c>
      <c r="AI157" s="96" t="str">
        <f t="shared" si="74"/>
        <v>echo {"issue":{"subject":"","project_id":79,"tracker_id":40,"status_id":1,"priority_id":2,"assigned_to_id":338,"start_date":"2017-10-29","description":"","custom_fields":[{"id":1,"name":"Subdivision","value":"EC"},{"id":4,"name":"Milepost","value":"23.323"},{"id":17,"name":"Train ID","value":"245-28"},{"id":16,"name":"Locomotive ID","value":"4042"},{"id":130,"name":"Impact","value":""},{"id":150,"name":"Time of Event (Mountain Time)","value":"01:36:46"},{"id":151,"name":"Denver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75"/>
        <v>start /low /b %USERPROFILE%\Documents\GitHub\eaglep3\Utilities\DownloadLogsFromS3.py --loco 4042 --day 2017-10-29</v>
      </c>
      <c r="AN157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7"/>
        <v>https://d0f6bd738d7f1b3e5a7ca70fe4ff75f0.us-east-1.aws.found.io/app/kibana#/discover/Steve-Slow-Train-Analysis-(2080s-and-2083s)?_g=(refreshInterval:(display:Off,pause:!f,section:0,value:0),time:(from:'2017-10-28T23:53:54-0600',mode:absolute,to:'2017-10-29T02:36:46-0600'))&amp;_a=(columns:!('Message%20ID',Summary),filters:!(),index:'emp_*',interval:auto,query:(query_string:(analyze_wildcard:!t,query:'%22rtdc.l.rtdc.4042%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877</v>
      </c>
      <c r="B158" s="7">
        <v>4041</v>
      </c>
      <c r="C158" s="21" t="s">
        <v>194</v>
      </c>
      <c r="D158" s="21" t="s">
        <v>597</v>
      </c>
      <c r="E158" s="13">
        <v>43037.037430555552</v>
      </c>
      <c r="F158" s="13">
        <v>43037.081412037034</v>
      </c>
      <c r="G158" s="7">
        <v>71</v>
      </c>
      <c r="H158" s="21" t="s">
        <v>588</v>
      </c>
      <c r="I158" s="13">
        <v>43037.107789351852</v>
      </c>
      <c r="J158" s="7">
        <v>0</v>
      </c>
      <c r="K158" s="89" t="str">
        <f t="shared" si="62"/>
        <v>4041/4042</v>
      </c>
      <c r="L158" s="185" t="str">
        <f>VLOOKUP(A158,'Trips&amp;Operators'!$C$1:$G$99911,5,FALSE)</f>
        <v>RESPASS AARON</v>
      </c>
      <c r="M158" s="6">
        <f t="shared" si="63"/>
        <v>2.6377314818091691E-2</v>
      </c>
      <c r="N158" s="7">
        <f t="shared" si="71"/>
        <v>37.983333338052034</v>
      </c>
      <c r="O158" s="7"/>
      <c r="P158" s="7"/>
      <c r="Q158" s="22"/>
      <c r="R158" s="174"/>
      <c r="S158" s="221">
        <f t="shared" si="72"/>
        <v>1</v>
      </c>
      <c r="T158" s="174" t="str">
        <f t="shared" si="64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5"/>
        <v>https://d0f6bd738d7f1b3e5a7ca70fe4ff75f0.us-east-1.aws.found.io/app/kibana#/discover/Steve-Slow-Train-Analysis-(2080s-and-2083s)?_g=(refreshInterval:(display:Off,pause:!f,section:0,value:0),time:(from:'2017-10-28T23:53:54-0600',mode:absolute,to:'2017-10-29T03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204" t="str">
        <f>IF(AA158&lt;VLOOKUP(AG158,Variables!$AC$3:$AD$8,2,FALSE),"Y","N")</f>
        <v>N</v>
      </c>
      <c r="X158" s="204">
        <f t="shared" si="59"/>
        <v>1</v>
      </c>
      <c r="Y158" s="204">
        <v>23.2881</v>
      </c>
      <c r="Z158" s="204">
        <v>3.44E-2</v>
      </c>
      <c r="AA158" s="204">
        <f t="shared" si="66"/>
        <v>23.253699999999998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7"/>
        <v>246</v>
      </c>
      <c r="AE158" s="77" t="str">
        <f t="shared" si="68"/>
        <v>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 &amp; aws s3 cp s3://rtdc.mdm.uploadarchive.raw/RTDC4041/ "%USERPROFILE%\AppData\Local\Temp\OnboardLogs"\RTDC4041\2017-10-30 --exclude "*" --recursive --include "*20171030*" &amp; "%USERPROFILE%\Documents\GitHub\mrs-test-scripts\Headless Mode &amp; Sideloading\WalkAndUnGZ.bat" "%USERPROFILE%\AppData\Local\Temp\OnboardLogs"\RTDC4041\2017-10-30</v>
      </c>
      <c r="AF158" s="74" t="str">
        <f t="shared" si="69"/>
        <v>"C:\Program Files (x86)\AstroGrep\AstroGrep.exe" /e /r /s /spath="%USERPROFILE%\AppData\Local\Temp\OnboardLogs" /stypes="app*4041*20171029*" /stext=" 08:.+((SYSTEM_STATE.+slice.+state.+changed )|(ment ac)|(multiple cpu faults)|(system.+state.+changed )|(\[timeout)|(PRM\|1\|D)|(kpr)|(kdp)|(train st.+moving)|(\|lc)|(penalty))"</v>
      </c>
      <c r="AG158" s="182" t="str">
        <f t="shared" si="70"/>
        <v>EC</v>
      </c>
      <c r="AH158" s="78" t="str">
        <f t="shared" ref="AH158" si="78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246-28 --locoid 4041 --swversion DE.1.0.9.0 --startMP 204:573 --initTime 2017-10-29T00:53:54 --startdatetime 2017-10-29T01:57:14 --delay 71 --endMP 204:233230 --enddatetime 2017-10-29T02:35:13 --enforcementcount 0 &gt;&gt;%USERPROFILE%\Documents\GitHub\eaglep3-reporting\EC\2017-10-28-refined-times.txt</v>
      </c>
      <c r="AI158" s="96" t="str">
        <f t="shared" ref="AI158" si="79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{"issue":{"subject":"","project_id":79,"tracker_id":40,"status_id":1,"priority_id":2,"assigned_to_id":338,"start_date":"2017-10-29","description":"","custom_fields":[{"id":1,"name":"Subdivision","value":"EC"},{"id":4,"name":"Milepost","value":"0.0344"},{"id":17,"name":"Train ID","value":"246-28"},{"id":16,"name":"Locomotive ID","value":"4041"},{"id":130,"name":"Impact","value":""},{"id":150,"name":"Time of Event (Mountain Time)","value":"02:35:13"},{"id":151,"name":"Denver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ref="AM158" si="80">"start /low /b "&amp;dls3logs&amp;" --loco "&amp;B158&amp;" --day "&amp;TEXT(F158,"YYYY-MM-DD")</f>
        <v>start /low /b %USERPROFILE%\Documents\GitHub\eaglep3\Utilities\DownloadLogsFromS3.py --loco 4041 --day 2017-10-29</v>
      </c>
      <c r="AN158" s="151" t="str">
        <f t="shared" ref="AN158" si="81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08:35:13"},{"id":29,"name":"Sharepoint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ref="AO158" si="82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-28T23:53:54-0600',mode:absolute,to:'2017-10-29T03:35:13-0600'))&amp;_a=(columns:!('Message%20ID',Summary),filters:!(),index:'emp_*',interval:auto,query:(query_string:(analyze_wildcard:!t,query:'%22rtdc.l.rtdc.4041%22')),sort:!(Time.ISO8601,asc))</v>
      </c>
    </row>
    <row r="159" spans="1:91" s="20" customFormat="1" x14ac:dyDescent="0.3">
      <c r="A159" s="32" t="s">
        <v>683</v>
      </c>
      <c r="B159" s="7">
        <v>4053</v>
      </c>
      <c r="C159" s="21" t="s">
        <v>194</v>
      </c>
      <c r="D159" s="21" t="s">
        <v>948</v>
      </c>
      <c r="E159" s="13">
        <v>43036.234791666669</v>
      </c>
      <c r="F159" s="13">
        <v>43036.236678240741</v>
      </c>
      <c r="G159" s="7">
        <v>73</v>
      </c>
      <c r="H159" s="21" t="s">
        <v>949</v>
      </c>
      <c r="I159" s="13">
        <v>43036.246458333335</v>
      </c>
      <c r="J159" s="7">
        <v>0</v>
      </c>
      <c r="K159" s="89" t="str">
        <f t="shared" si="62"/>
        <v>4053/4054</v>
      </c>
      <c r="L159" s="185" t="str">
        <f>VLOOKUP(A159,'Trips&amp;Operators'!$C$1:$G$99911,5,FALSE)</f>
        <v>LAMAR NEKESHA</v>
      </c>
      <c r="M159" s="6">
        <f t="shared" si="63"/>
        <v>9.7800925941555761E-3</v>
      </c>
      <c r="N159" s="7">
        <f t="shared" si="71"/>
        <v>14.08333333558403</v>
      </c>
      <c r="O159" s="7"/>
      <c r="P159" s="7"/>
      <c r="Q159" s="22"/>
      <c r="R159" s="174"/>
      <c r="S159" s="221">
        <f t="shared" si="72"/>
        <v>1</v>
      </c>
      <c r="T159" s="174" t="str">
        <f t="shared" si="64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5"/>
        <v>https://d0f6bd738d7f1b3e5a7ca70fe4ff75f0.us-east-1.aws.found.io/app/kibana#/discover/Steve-Slow-Train-Analysis-(2080s-and-2083s)?_g=(refreshInterval:(display:Off,pause:!f,section:0,value:0),time:(from:'2017-10-28T04:38:06-0600',mode:absolute,to:'2017-10-28T06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9" s="204" t="str">
        <f>IF(AA159&lt;VLOOKUP(AG159,Variables!$AC$3:$AD$8,2,FALSE),"Y","N")</f>
        <v>N</v>
      </c>
      <c r="X159" s="204">
        <f t="shared" si="59"/>
        <v>1554</v>
      </c>
      <c r="Y159" s="204">
        <f t="shared" ref="Y159:Y190" si="83">RIGHT(D159,LEN(D159)-4)/10000</f>
        <v>5.8662000000000001</v>
      </c>
      <c r="Z159" s="204">
        <f t="shared" ref="Z159:Z190" si="84">RIGHT(H159,LEN(H159)-4)/10000</f>
        <v>6.7799999999999999E-2</v>
      </c>
      <c r="AA159" s="204">
        <f t="shared" si="66"/>
        <v>5.7984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7"/>
        <v>1800</v>
      </c>
      <c r="AE159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59" s="74" t="str">
        <f t="shared" si="69"/>
        <v>"C:\Program Files (x86)\AstroGrep\AstroGrep.exe" /e /r /s /spath="%USERPROFILE%\AppData\Local\Temp\OnboardLogs" /stypes="app*4053*20171028*" /stext=" 11:.+((SYSTEM_STATE.+slice.+state.+changed )|(ment ac)|(multiple cpu faults)|(system.+state.+changed )|(\[timeout)|(PRM\|1\|D)|(kpr)|(kdp)|(train st.+moving)|(\|lc)|(penalty))"</v>
      </c>
      <c r="AG159" s="182" t="str">
        <f t="shared" si="70"/>
        <v>NW</v>
      </c>
      <c r="AH159" s="78" t="str">
        <f t="shared" si="73"/>
        <v>"%USERPROFILE%\Documents\GitHub\eaglep3\Utilities\RefineRTDCRunTimes.py" --tripid 1800-28 --locoid 4053 --swversion DE.1.0.9.0 --startMP 300:58662 --initTime 2017-10-28T05:38:06 --startdatetime 2017-10-28T05:40:49 --delay 73 --endMP 204:678 --enddatetime 2017-10-28T05:54:54 --enforcementcount 0 &gt;&gt;%USERPROFILE%\Documents\GitHub\eaglep3-reporting\EC\2017-10-28-refined-times.txt</v>
      </c>
      <c r="AI159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{"issue":{"subject":"","project_id":79,"tracker_id":40,"status_id":1,"priority_id":2,"assigned_to_id":338,"start_date":"2017-10-28","description":"","custom_fields":[{"id":1,"name":"Subdivision","value":"NW"},{"id":4,"name":"Milepost","value":"0.0678"},{"id":17,"name":"Train ID","value":"1800-28"},{"id":16,"name":"Locomotive ID","value":"4053"},{"id":130,"name":"Impact","value":""},{"id":150,"name":"Time of Event (Mountain Time)","value":"05:54:54"},{"id":151,"name":"Denver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75"/>
        <v>start /low /b %USERPROFILE%\Documents\GitHub\eaglep3\Utilities\DownloadLogsFromS3.py --loco 4053 --day 2017-10-28</v>
      </c>
      <c r="AN159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7"/>
        <v>https://d0f6bd738d7f1b3e5a7ca70fe4ff75f0.us-east-1.aws.found.io/app/kibana#/discover/Steve-Slow-Train-Analysis-(2080s-and-2083s)?_g=(refreshInterval:(display:Off,pause:!f,section:0,value:0),time:(from:'2017-10-28T04:38:06-0600',mode:absolute,to:'2017-10-28T06:54:54-0600'))&amp;_a=(columns:!('Message%20ID',Summary),filters:!(),index:'emp_*',interval:auto,query:(query_string:(analyze_wildcard:!t,query:'%22rtdc.l.rtdc.4053%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692</v>
      </c>
      <c r="B160" s="7">
        <v>4054</v>
      </c>
      <c r="C160" s="21" t="s">
        <v>194</v>
      </c>
      <c r="D160" s="21" t="s">
        <v>950</v>
      </c>
      <c r="E160" s="13">
        <v>43036.248645833337</v>
      </c>
      <c r="F160" s="13">
        <v>43036.256423611114</v>
      </c>
      <c r="G160" s="7">
        <v>48</v>
      </c>
      <c r="H160" s="21" t="s">
        <v>611</v>
      </c>
      <c r="I160" s="13">
        <v>43036.265949074077</v>
      </c>
      <c r="J160" s="7">
        <v>0</v>
      </c>
      <c r="K160" s="89" t="str">
        <f t="shared" si="62"/>
        <v>4053/4054</v>
      </c>
      <c r="L160" s="185" t="str">
        <f>VLOOKUP(A160,'Trips&amp;Operators'!$C$1:$G$99911,5,FALSE)</f>
        <v>LAMAR NEKESHA</v>
      </c>
      <c r="M160" s="6">
        <f t="shared" si="63"/>
        <v>9.5254629632108845E-3</v>
      </c>
      <c r="N160" s="7">
        <f t="shared" si="71"/>
        <v>13.716666667023674</v>
      </c>
      <c r="O160" s="7"/>
      <c r="P160" s="7"/>
      <c r="Q160" s="22"/>
      <c r="R160" s="174"/>
      <c r="S160" s="221">
        <f t="shared" si="72"/>
        <v>1</v>
      </c>
      <c r="T160" s="174" t="str">
        <f t="shared" si="64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5"/>
        <v>https://d0f6bd738d7f1b3e5a7ca70fe4ff75f0.us-east-1.aws.found.io/app/kibana#/discover/Steve-Slow-Train-Analysis-(2080s-and-2083s)?_g=(refreshInterval:(display:Off,pause:!f,section:0,value:0),time:(from:'2017-10-28T04:58:03-0600',mode:absolute,to:'2017-10-28T07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0" s="204" t="str">
        <f>IF(AA160&lt;VLOOKUP(AG160,Variables!$AC$3:$AD$8,2,FALSE),"Y","N")</f>
        <v>N</v>
      </c>
      <c r="X160" s="204">
        <f t="shared" si="59"/>
        <v>1</v>
      </c>
      <c r="Y160" s="204">
        <f t="shared" si="83"/>
        <v>9.6699999999999994E-2</v>
      </c>
      <c r="Z160" s="204">
        <f t="shared" si="84"/>
        <v>5.8987999999999996</v>
      </c>
      <c r="AA160" s="204">
        <f t="shared" si="66"/>
        <v>5.8020999999999994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7"/>
        <v>1801</v>
      </c>
      <c r="AE160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60" s="74" t="str">
        <f t="shared" si="69"/>
        <v>"C:\Program Files (x86)\AstroGrep\AstroGrep.exe" /e /r /s /spath="%USERPROFILE%\AppData\Local\Temp\OnboardLogs" /stypes="app*4054*20171028*" /stext=" 12:.+((SYSTEM_STATE.+slice.+state.+changed )|(ment ac)|(multiple cpu faults)|(system.+state.+changed )|(\[timeout)|(PRM\|1\|D)|(kpr)|(kdp)|(train st.+moving)|(\|lc)|(penalty))"</v>
      </c>
      <c r="AG160" s="182" t="str">
        <f t="shared" si="70"/>
        <v>NW</v>
      </c>
      <c r="AH160" s="78" t="str">
        <f t="shared" si="73"/>
        <v>"%USERPROFILE%\Documents\GitHub\eaglep3\Utilities\RefineRTDCRunTimes.py" --tripid 1801-28 --locoid 4054 --swversion DE.1.0.9.0 --startMP 204:967 --initTime 2017-10-28T05:58:03 --startdatetime 2017-10-28T06:09:15 --delay 48 --endMP 300:58988 --enddatetime 2017-10-28T06:22:58 --enforcementcount 0 &gt;&gt;%USERPROFILE%\Documents\GitHub\eaglep3-reporting\EC\2017-10-28-refined-times.txt</v>
      </c>
      <c r="AI160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{"issue":{"subject":"","project_id":79,"tracker_id":40,"status_id":1,"priority_id":2,"assigned_to_id":338,"start_date":"2017-10-28","description":"","custom_fields":[{"id":1,"name":"Subdivision","value":"NW"},{"id":4,"name":"Milepost","value":"5.8988"},{"id":17,"name":"Train ID","value":"1801-28"},{"id":16,"name":"Locomotive ID","value":"4054"},{"id":130,"name":"Impact","value":""},{"id":150,"name":"Time of Event (Mountain Time)","value":"06:22:58"},{"id":151,"name":"Denver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75"/>
        <v>start /low /b %USERPROFILE%\Documents\GitHub\eaglep3\Utilities\DownloadLogsFromS3.py --loco 4054 --day 2017-10-28</v>
      </c>
      <c r="AN160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7"/>
        <v>https://d0f6bd738d7f1b3e5a7ca70fe4ff75f0.us-east-1.aws.found.io/app/kibana#/discover/Steve-Slow-Train-Analysis-(2080s-and-2083s)?_g=(refreshInterval:(display:Off,pause:!f,section:0,value:0),time:(from:'2017-10-28T04:58:03-0600',mode:absolute,to:'2017-10-28T07:22:58-0600'))&amp;_a=(columns:!('Message%20ID',Summary),filters:!(),index:'emp_*',interval:auto,query:(query_string:(analyze_wildcard:!t,query:'%22rtdc.l.rtdc.4054%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696</v>
      </c>
      <c r="B161" s="7">
        <v>4053</v>
      </c>
      <c r="C161" s="21" t="s">
        <v>194</v>
      </c>
      <c r="D161" s="21" t="s">
        <v>612</v>
      </c>
      <c r="E161" s="13">
        <v>43036.26766203704</v>
      </c>
      <c r="F161" s="13">
        <v>43036.279166666667</v>
      </c>
      <c r="G161" s="7">
        <v>62</v>
      </c>
      <c r="H161" s="21" t="s">
        <v>951</v>
      </c>
      <c r="I161" s="13">
        <v>43036.288263888891</v>
      </c>
      <c r="J161" s="7">
        <v>0</v>
      </c>
      <c r="K161" s="89" t="str">
        <f t="shared" si="62"/>
        <v>4053/4054</v>
      </c>
      <c r="L161" s="185" t="str">
        <f>VLOOKUP(A161,'Trips&amp;Operators'!$C$1:$G$99911,5,FALSE)</f>
        <v>LAMAR NEKESHA</v>
      </c>
      <c r="M161" s="6">
        <f t="shared" si="63"/>
        <v>9.0972222242271528E-3</v>
      </c>
      <c r="N161" s="7">
        <f t="shared" si="71"/>
        <v>13.1000000028871</v>
      </c>
      <c r="O161" s="7"/>
      <c r="P161" s="7"/>
      <c r="Q161" s="22"/>
      <c r="R161" s="174"/>
      <c r="S161" s="221">
        <f t="shared" si="72"/>
        <v>1</v>
      </c>
      <c r="T161" s="174" t="str">
        <f t="shared" si="64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5"/>
        <v>https://d0f6bd738d7f1b3e5a7ca70fe4ff75f0.us-east-1.aws.found.io/app/kibana#/discover/Steve-Slow-Train-Analysis-(2080s-and-2083s)?_g=(refreshInterval:(display:Off,pause:!f,section:0,value:0),time:(from:'2017-10-28T05:25:26-0600',mode:absolute,to:'2017-10-28T07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204" t="str">
        <f>IF(AA161&lt;VLOOKUP(AG161,Variables!$AC$3:$AD$8,2,FALSE),"Y","N")</f>
        <v>N</v>
      </c>
      <c r="X161" s="204">
        <f t="shared" si="59"/>
        <v>1</v>
      </c>
      <c r="Y161" s="204">
        <f t="shared" si="83"/>
        <v>5.8685</v>
      </c>
      <c r="Z161" s="204">
        <f t="shared" si="84"/>
        <v>6.9099999999999995E-2</v>
      </c>
      <c r="AA161" s="204">
        <f t="shared" si="66"/>
        <v>5.7994000000000003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7"/>
        <v>1802</v>
      </c>
      <c r="AE161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61" s="74" t="str">
        <f t="shared" si="69"/>
        <v>"C:\Program Files (x86)\AstroGrep\AstroGrep.exe" /e /r /s /spath="%USERPROFILE%\AppData\Local\Temp\OnboardLogs" /stypes="app*4053*20171028*" /stext=" 12:.+((SYSTEM_STATE.+slice.+state.+changed )|(ment ac)|(multiple cpu faults)|(system.+state.+changed )|(\[timeout)|(PRM\|1\|D)|(kpr)|(kdp)|(train st.+moving)|(\|lc)|(penalty))"</v>
      </c>
      <c r="AG161" s="182" t="str">
        <f t="shared" si="70"/>
        <v>NW</v>
      </c>
      <c r="AH161" s="78" t="str">
        <f t="shared" si="73"/>
        <v>"%USERPROFILE%\Documents\GitHub\eaglep3\Utilities\RefineRTDCRunTimes.py" --tripid 1802-28 --locoid 4053 --swversion DE.1.0.9.0 --startMP 300:58685 --initTime 2017-10-28T06:25:26 --startdatetime 2017-10-28T06:42:00 --delay 62 --endMP 204:691 --enddatetime 2017-10-28T06:55:06 --enforcementcount 0 &gt;&gt;%USERPROFILE%\Documents\GitHub\eaglep3-reporting\EC\2017-10-28-refined-times.txt</v>
      </c>
      <c r="AI161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{"issue":{"subject":"","project_id":79,"tracker_id":40,"status_id":1,"priority_id":2,"assigned_to_id":338,"start_date":"2017-10-28","description":"","custom_fields":[{"id":1,"name":"Subdivision","value":"NW"},{"id":4,"name":"Milepost","value":"0.0691"},{"id":17,"name":"Train ID","value":"1802-28"},{"id":16,"name":"Locomotive ID","value":"4053"},{"id":130,"name":"Impact","value":""},{"id":150,"name":"Time of Event (Mountain Time)","value":"06:55:06"},{"id":151,"name":"Denver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75"/>
        <v>start /low /b %USERPROFILE%\Documents\GitHub\eaglep3\Utilities\DownloadLogsFromS3.py --loco 4053 --day 2017-10-28</v>
      </c>
      <c r="AN161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7"/>
        <v>https://d0f6bd738d7f1b3e5a7ca70fe4ff75f0.us-east-1.aws.found.io/app/kibana#/discover/Steve-Slow-Train-Analysis-(2080s-and-2083s)?_g=(refreshInterval:(display:Off,pause:!f,section:0,value:0),time:(from:'2017-10-28T05:25:26-0600',mode:absolute,to:'2017-10-28T07:55:06-0600'))&amp;_a=(columns:!('Message%20ID',Summary),filters:!(),index:'emp_*',interval:auto,query:(query_string:(analyze_wildcard:!t,query:'%22rtdc.l.rtdc.4053%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622</v>
      </c>
      <c r="B162" s="7">
        <v>4054</v>
      </c>
      <c r="C162" s="21" t="s">
        <v>194</v>
      </c>
      <c r="D162" s="21" t="s">
        <v>952</v>
      </c>
      <c r="E162" s="13">
        <v>43036.294062499997</v>
      </c>
      <c r="F162" s="13">
        <v>43036.298483796294</v>
      </c>
      <c r="G162" s="7">
        <v>51</v>
      </c>
      <c r="H162" s="21" t="s">
        <v>953</v>
      </c>
      <c r="I162" s="13">
        <v>43036.298622685186</v>
      </c>
      <c r="J162" s="7">
        <v>0</v>
      </c>
      <c r="K162" s="89" t="str">
        <f t="shared" si="62"/>
        <v>4053/4054</v>
      </c>
      <c r="L162" s="185" t="str">
        <f>VLOOKUP(A162,'Trips&amp;Operators'!$C$1:$G$99911,5,FALSE)</f>
        <v>LAMAR NEKESHA</v>
      </c>
      <c r="M162" s="6">
        <f t="shared" si="63"/>
        <v>1.3888889225199819E-4</v>
      </c>
      <c r="N162" s="7"/>
      <c r="O162" s="7"/>
      <c r="P162" s="7">
        <f>24*60*SUM($M162:$M162)</f>
        <v>0.20000000484287739</v>
      </c>
      <c r="Q162" s="22"/>
      <c r="R162" s="174" t="s">
        <v>484</v>
      </c>
      <c r="S162" s="221">
        <f t="shared" si="72"/>
        <v>0</v>
      </c>
      <c r="T162" s="174" t="str">
        <f t="shared" si="64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216" t="str">
        <f t="shared" si="65"/>
        <v>https://d0f6bd738d7f1b3e5a7ca70fe4ff75f0.us-east-1.aws.found.io/app/kibana#/discover/Steve-Slow-Train-Analysis-(2080s-and-2083s)?_g=(refreshInterval:(display:Off,pause:!f,section:0,value:0),time:(from:'2017-10-28T06:03:27-0600',mode:absolute,to:'2017-10-28T08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204" t="str">
        <f>IF(AA162&lt;VLOOKUP(AG162,Variables!$AC$3:$AD$8,2,FALSE),"Y","N")</f>
        <v>Y</v>
      </c>
      <c r="X162" s="204">
        <f t="shared" si="59"/>
        <v>1</v>
      </c>
      <c r="Y162" s="204">
        <f t="shared" si="83"/>
        <v>9.8599999999999993E-2</v>
      </c>
      <c r="Z162" s="204">
        <f t="shared" si="84"/>
        <v>0.1847</v>
      </c>
      <c r="AA162" s="204">
        <f t="shared" si="66"/>
        <v>8.610000000000001E-2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7"/>
        <v>1803</v>
      </c>
      <c r="AE162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62" s="74" t="str">
        <f t="shared" si="69"/>
        <v>"C:\Program Files (x86)\AstroGrep\AstroGrep.exe" /e /r /s /spath="%USERPROFILE%\AppData\Local\Temp\OnboardLogs" /stypes="app*4054*20171028*" /stext=" 13:.+((SYSTEM_STATE.+slice.+state.+changed )|(ment ac)|(multiple cpu faults)|(system.+state.+changed )|(\[timeout)|(PRM\|1\|D)|(kpr)|(kdp)|(train st.+moving)|(\|lc)|(penalty))"</v>
      </c>
      <c r="AG162" s="182" t="str">
        <f t="shared" si="70"/>
        <v>NW</v>
      </c>
      <c r="AH162" s="78" t="str">
        <f t="shared" si="73"/>
        <v>"%USERPROFILE%\Documents\GitHub\eaglep3\Utilities\RefineRTDCRunTimes.py" --tripid 1803-28 --locoid 4054 --swversion DE.1.0.9.0 --startMP 204:986 --initTime 2017-10-28T07:03:27 --startdatetime 2017-10-28T07:09:49 --delay 51 --endMP 204:1847 --enddatetime 2017-10-28T07:10:01 --enforcementcount 0 &gt;&gt;%USERPROFILE%\Documents\GitHub\eaglep3-reporting\EC\2017-10-28-refined-times.txt</v>
      </c>
      <c r="AI162" s="96" t="str">
        <f t="shared" si="74"/>
        <v>echo {"issue":{"subject":"Poor GPS at DUS","project_id":79,"tracker_id":40,"status_id":1,"priority_id":2,"assigned_to_id":338,"start_date":"2017-10-28","description":"","custom_fields":[{"id":1,"name":"Subdivision","value":"NW"},{"id":4,"name":"Milepost","value":"0.1847"},{"id":17,"name":"Train ID","value":"1803-28"},{"id":16,"name":"Locomotive ID","value":"4054"},{"id":130,"name":"Impact","value":""},{"id":150,"name":"Time of Event (Mountain Time)","value":"07:10:01"},{"id":151,"name":"Denver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75"/>
        <v>start /low /b %USERPROFILE%\Documents\GitHub\eaglep3\Utilities\DownloadLogsFromS3.py --loco 4054 --day 2017-10-28</v>
      </c>
      <c r="AN162" s="151" t="str">
        <f t="shared" si="76"/>
        <v>echo {"issue":{"subject":"Poor GPS at DUS","project_id":30,"tracker_id":4,"status_id":1,"priority_id":1,"assigned_to_id":10,"start_date":"2017-10-28","description":"","custom_fields":[{"id":30,"name":"Category","value":"Issue"},{"id":3,"name":"Functional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7"/>
        <v>https://d0f6bd738d7f1b3e5a7ca70fe4ff75f0.us-east-1.aws.found.io/app/kibana#/discover/Steve-Slow-Train-Analysis-(2080s-and-2083s)?_g=(refreshInterval:(display:Off,pause:!f,section:0,value:0),time:(from:'2017-10-28T06:03:27-0600',mode:absolute,to:'2017-10-28T08:10:01-0600'))&amp;_a=(columns:!('Message%20ID',Summary),filters:!(),index:'emp_*',interval:auto,query:(query_string:(analyze_wildcard:!t,query:'%22rtdc.l.rtdc.4054%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712</v>
      </c>
      <c r="B163" s="7">
        <v>4053</v>
      </c>
      <c r="C163" s="21" t="s">
        <v>194</v>
      </c>
      <c r="D163" s="21" t="s">
        <v>954</v>
      </c>
      <c r="E163" s="13">
        <v>43036.311666666668</v>
      </c>
      <c r="F163" s="13">
        <v>43036.312928240739</v>
      </c>
      <c r="G163" s="7">
        <v>50</v>
      </c>
      <c r="H163" s="21" t="s">
        <v>605</v>
      </c>
      <c r="I163" s="13">
        <v>43036.329988425925</v>
      </c>
      <c r="J163" s="7">
        <v>0</v>
      </c>
      <c r="K163" s="89" t="str">
        <f t="shared" si="62"/>
        <v>4053/4054</v>
      </c>
      <c r="L163" s="185" t="str">
        <f>VLOOKUP(A163,'Trips&amp;Operators'!$C$1:$G$99911,5,FALSE)</f>
        <v>LAMAR NEKESHA</v>
      </c>
      <c r="M163" s="6">
        <f t="shared" si="63"/>
        <v>1.7060185185982846E-2</v>
      </c>
      <c r="N163" s="7">
        <f t="shared" ref="N163:N194" si="85">24*60*SUM($M163:$M163)</f>
        <v>24.566666667815298</v>
      </c>
      <c r="O163" s="7"/>
      <c r="P163" s="7"/>
      <c r="Q163" s="22"/>
      <c r="R163" s="174"/>
      <c r="S163" s="221">
        <f t="shared" si="72"/>
        <v>1</v>
      </c>
      <c r="T163" s="174" t="str">
        <f t="shared" si="64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5"/>
        <v>https://d0f6bd738d7f1b3e5a7ca70fe4ff75f0.us-east-1.aws.found.io/app/kibana#/discover/Steve-Slow-Train-Analysis-(2080s-and-2083s)?_g=(refreshInterval:(display:Off,pause:!f,section:0,value:0),time:(from:'2017-10-28T06:28:48-0600',mode:absolute,to:'2017-10-28T08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3" s="204" t="str">
        <f>IF(AA163&lt;VLOOKUP(AG163,Variables!$AC$3:$AD$8,2,FALSE),"Y","N")</f>
        <v>N</v>
      </c>
      <c r="X163" s="204">
        <f t="shared" si="59"/>
        <v>1</v>
      </c>
      <c r="Y163" s="204">
        <f t="shared" si="83"/>
        <v>5.867</v>
      </c>
      <c r="Z163" s="204">
        <f t="shared" si="84"/>
        <v>6.7000000000000004E-2</v>
      </c>
      <c r="AA163" s="204">
        <f t="shared" si="66"/>
        <v>5.8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7"/>
        <v>1804</v>
      </c>
      <c r="AE163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63" s="74" t="str">
        <f t="shared" si="69"/>
        <v>"C:\Program Files (x86)\AstroGrep\AstroGrep.exe" /e /r /s /spath="%USERPROFILE%\AppData\Local\Temp\OnboardLogs" /stypes="app*4053*20171028*" /stext=" 13:.+((SYSTEM_STATE.+slice.+state.+changed )|(ment ac)|(multiple cpu faults)|(system.+state.+changed )|(\[timeout)|(PRM\|1\|D)|(kpr)|(kdp)|(train st.+moving)|(\|lc)|(penalty))"</v>
      </c>
      <c r="AG163" s="182" t="str">
        <f t="shared" si="70"/>
        <v>NW</v>
      </c>
      <c r="AH163" s="78" t="str">
        <f t="shared" si="73"/>
        <v>"%USERPROFILE%\Documents\GitHub\eaglep3\Utilities\RefineRTDCRunTimes.py" --tripid 1804-28 --locoid 4053 --swversion DE.1.0.9.0 --startMP 300:58670 --initTime 2017-10-28T07:28:48 --startdatetime 2017-10-28T07:30:37 --delay 50 --endMP 204:670 --enddatetime 2017-10-28T07:55:11 --enforcementcount 0 &gt;&gt;%USERPROFILE%\Documents\GitHub\eaglep3-reporting\EC\2017-10-28-refined-times.txt</v>
      </c>
      <c r="AI163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{"issue":{"subject":"","project_id":79,"tracker_id":40,"status_id":1,"priority_id":2,"assigned_to_id":338,"start_date":"2017-10-28","description":"","custom_fields":[{"id":1,"name":"Subdivision","value":"NW"},{"id":4,"name":"Milepost","value":"0.067"},{"id":17,"name":"Train ID","value":"1804-28"},{"id":16,"name":"Locomotive ID","value":"4053"},{"id":130,"name":"Impact","value":""},{"id":150,"name":"Time of Event (Mountain Time)","value":"07:55:11"},{"id":151,"name":"Denver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75"/>
        <v>start /low /b %USERPROFILE%\Documents\GitHub\eaglep3\Utilities\DownloadLogsFromS3.py --loco 4053 --day 2017-10-28</v>
      </c>
      <c r="AN163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7"/>
        <v>https://d0f6bd738d7f1b3e5a7ca70fe4ff75f0.us-east-1.aws.found.io/app/kibana#/discover/Steve-Slow-Train-Analysis-(2080s-and-2083s)?_g=(refreshInterval:(display:Off,pause:!f,section:0,value:0),time:(from:'2017-10-28T06:28:48-0600',mode:absolute,to:'2017-10-28T08:55:11-0600'))&amp;_a=(columns:!('Message%20ID',Summary),filters:!(),index:'emp_*',interval:auto,query:(query_string:(analyze_wildcard:!t,query:'%22rtdc.l.rtdc.4053%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719</v>
      </c>
      <c r="B164" s="7">
        <v>4054</v>
      </c>
      <c r="C164" s="21" t="s">
        <v>194</v>
      </c>
      <c r="D164" s="21" t="s">
        <v>955</v>
      </c>
      <c r="E164" s="13">
        <v>43036.338020833333</v>
      </c>
      <c r="F164" s="13">
        <v>43036.340624999997</v>
      </c>
      <c r="G164" s="7">
        <v>48</v>
      </c>
      <c r="H164" s="21" t="s">
        <v>604</v>
      </c>
      <c r="I164" s="13">
        <v>43036.350277777776</v>
      </c>
      <c r="J164" s="7">
        <v>0</v>
      </c>
      <c r="K164" s="89" t="str">
        <f t="shared" si="62"/>
        <v>4053/4054</v>
      </c>
      <c r="L164" s="185" t="str">
        <f>VLOOKUP(A164,'Trips&amp;Operators'!$C$1:$G$99911,5,FALSE)</f>
        <v>LAMAR NEKESHA</v>
      </c>
      <c r="M164" s="6">
        <f t="shared" si="63"/>
        <v>9.6527777786832303E-3</v>
      </c>
      <c r="N164" s="7">
        <f t="shared" si="85"/>
        <v>13.900000001303852</v>
      </c>
      <c r="O164" s="7"/>
      <c r="P164" s="7"/>
      <c r="Q164" s="22"/>
      <c r="R164" s="174"/>
      <c r="S164" s="221">
        <f t="shared" si="72"/>
        <v>1</v>
      </c>
      <c r="T164" s="174" t="str">
        <f t="shared" si="64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5"/>
        <v>https://d0f6bd738d7f1b3e5a7ca70fe4ff75f0.us-east-1.aws.found.io/app/kibana#/discover/Steve-Slow-Train-Analysis-(2080s-and-2083s)?_g=(refreshInterval:(display:Off,pause:!f,section:0,value:0),time:(from:'2017-10-28T07:06:45-0600',mode:absolute,to:'2017-10-28T09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4" s="204" t="str">
        <f>IF(AA164&lt;VLOOKUP(AG164,Variables!$AC$3:$AD$8,2,FALSE),"Y","N")</f>
        <v>N</v>
      </c>
      <c r="X164" s="204">
        <f t="shared" si="59"/>
        <v>1</v>
      </c>
      <c r="Y164" s="204">
        <f t="shared" si="83"/>
        <v>9.5100000000000004E-2</v>
      </c>
      <c r="Z164" s="204">
        <f t="shared" si="84"/>
        <v>5.899</v>
      </c>
      <c r="AA164" s="204">
        <f t="shared" si="66"/>
        <v>5.8038999999999996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7"/>
        <v>1805</v>
      </c>
      <c r="AE164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64" s="74" t="str">
        <f t="shared" si="69"/>
        <v>"C:\Program Files (x86)\AstroGrep\AstroGrep.exe" /e /r /s /spath="%USERPROFILE%\AppData\Local\Temp\OnboardLogs" /stypes="app*4054*20171028*" /stext=" 14:.+((SYSTEM_STATE.+slice.+state.+changed )|(ment ac)|(multiple cpu faults)|(system.+state.+changed )|(\[timeout)|(PRM\|1\|D)|(kpr)|(kdp)|(train st.+moving)|(\|lc)|(penalty))"</v>
      </c>
      <c r="AG164" s="182" t="str">
        <f t="shared" si="70"/>
        <v>NW</v>
      </c>
      <c r="AH164" s="78" t="str">
        <f t="shared" si="73"/>
        <v>"%USERPROFILE%\Documents\GitHub\eaglep3\Utilities\RefineRTDCRunTimes.py" --tripid 1805-28 --locoid 4054 --swversion DE.1.0.9.0 --startMP 204:951 --initTime 2017-10-28T08:06:45 --startdatetime 2017-10-28T08:10:30 --delay 48 --endMP 300:58990 --enddatetime 2017-10-28T08:24:24 --enforcementcount 0 &gt;&gt;%USERPROFILE%\Documents\GitHub\eaglep3-reporting\EC\2017-10-28-refined-times.txt</v>
      </c>
      <c r="AI164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{"issue":{"subject":"","project_id":79,"tracker_id":40,"status_id":1,"priority_id":2,"assigned_to_id":338,"start_date":"2017-10-28","description":"","custom_fields":[{"id":1,"name":"Subdivision","value":"NW"},{"id":4,"name":"Milepost","value":"5.899"},{"id":17,"name":"Train ID","value":"1805-28"},{"id":16,"name":"Locomotive ID","value":"4054"},{"id":130,"name":"Impact","value":""},{"id":150,"name":"Time of Event (Mountain Time)","value":"08:24:24"},{"id":151,"name":"Denver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75"/>
        <v>start /low /b %USERPROFILE%\Documents\GitHub\eaglep3\Utilities\DownloadLogsFromS3.py --loco 4054 --day 2017-10-28</v>
      </c>
      <c r="AN164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7"/>
        <v>https://d0f6bd738d7f1b3e5a7ca70fe4ff75f0.us-east-1.aws.found.io/app/kibana#/discover/Steve-Slow-Train-Analysis-(2080s-and-2083s)?_g=(refreshInterval:(display:Off,pause:!f,section:0,value:0),time:(from:'2017-10-28T07:06:45-0600',mode:absolute,to:'2017-10-28T09:24:24-0600'))&amp;_a=(columns:!('Message%20ID',Summary),filters:!(),index:'emp_*',interval:auto,query:(query_string:(analyze_wildcard:!t,query:'%22rtdc.l.rtdc.4054%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723</v>
      </c>
      <c r="B165" s="7">
        <v>4053</v>
      </c>
      <c r="C165" s="21" t="s">
        <v>194</v>
      </c>
      <c r="D165" s="21" t="s">
        <v>954</v>
      </c>
      <c r="E165" s="13">
        <v>43036.352395833332</v>
      </c>
      <c r="F165" s="13">
        <v>43036.362500000003</v>
      </c>
      <c r="G165" s="7">
        <v>59</v>
      </c>
      <c r="H165" s="21" t="s">
        <v>956</v>
      </c>
      <c r="I165" s="13">
        <v>43036.371458333335</v>
      </c>
      <c r="J165" s="7">
        <v>0</v>
      </c>
      <c r="K165" s="89" t="str">
        <f t="shared" si="62"/>
        <v>4053/4054</v>
      </c>
      <c r="L165" s="185" t="str">
        <f>VLOOKUP(A165,'Trips&amp;Operators'!$C$1:$G$99911,5,FALSE)</f>
        <v>LAMAR NEKESHA</v>
      </c>
      <c r="M165" s="6">
        <f t="shared" si="63"/>
        <v>8.9583333319751546E-3</v>
      </c>
      <c r="N165" s="7">
        <f t="shared" si="85"/>
        <v>12.899999998044223</v>
      </c>
      <c r="O165" s="7"/>
      <c r="P165" s="7"/>
      <c r="Q165" s="22"/>
      <c r="R165" s="174"/>
      <c r="S165" s="221">
        <f t="shared" si="72"/>
        <v>1</v>
      </c>
      <c r="T165" s="174" t="str">
        <f t="shared" si="64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5"/>
        <v>https://d0f6bd738d7f1b3e5a7ca70fe4ff75f0.us-east-1.aws.found.io/app/kibana#/discover/Steve-Slow-Train-Analysis-(2080s-and-2083s)?_g=(refreshInterval:(display:Off,pause:!f,section:0,value:0),time:(from:'2017-10-28T07:27:27-0600',mode:absolute,to:'2017-10-28T09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5" s="204" t="str">
        <f>IF(AA165&lt;VLOOKUP(AG165,Variables!$AC$3:$AD$8,2,FALSE),"Y","N")</f>
        <v>N</v>
      </c>
      <c r="X165" s="204">
        <f t="shared" si="59"/>
        <v>1</v>
      </c>
      <c r="Y165" s="204">
        <f t="shared" si="83"/>
        <v>5.867</v>
      </c>
      <c r="Z165" s="204">
        <f t="shared" si="84"/>
        <v>7.0499999999999993E-2</v>
      </c>
      <c r="AA165" s="204">
        <f t="shared" si="66"/>
        <v>5.7965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7"/>
        <v>1806</v>
      </c>
      <c r="AE165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65" s="74" t="str">
        <f t="shared" si="69"/>
        <v>"C:\Program Files (x86)\AstroGrep\AstroGrep.exe" /e /r /s /spath="%USERPROFILE%\AppData\Local\Temp\OnboardLogs" /stypes="app*4053*20171028*" /stext=" 14:.+((SYSTEM_STATE.+slice.+state.+changed )|(ment ac)|(multiple cpu faults)|(system.+state.+changed )|(\[timeout)|(PRM\|1\|D)|(kpr)|(kdp)|(train st.+moving)|(\|lc)|(penalty))"</v>
      </c>
      <c r="AG165" s="182" t="str">
        <f t="shared" si="70"/>
        <v>NW</v>
      </c>
      <c r="AH165" s="78" t="str">
        <f t="shared" si="73"/>
        <v>"%USERPROFILE%\Documents\GitHub\eaglep3\Utilities\RefineRTDCRunTimes.py" --tripid 1806-28 --locoid 4053 --swversion DE.1.0.9.0 --startMP 300:58670 --initTime 2017-10-28T08:27:27 --startdatetime 2017-10-28T08:42:00 --delay 59 --endMP 204:705 --enddatetime 2017-10-28T08:54:54 --enforcementcount 0 &gt;&gt;%USERPROFILE%\Documents\GitHub\eaglep3-reporting\EC\2017-10-28-refined-times.txt</v>
      </c>
      <c r="AI165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{"issue":{"subject":"","project_id":79,"tracker_id":40,"status_id":1,"priority_id":2,"assigned_to_id":338,"start_date":"2017-10-28","description":"","custom_fields":[{"id":1,"name":"Subdivision","value":"NW"},{"id":4,"name":"Milepost","value":"0.0705"},{"id":17,"name":"Train ID","value":"1806-28"},{"id":16,"name":"Locomotive ID","value":"4053"},{"id":130,"name":"Impact","value":""},{"id":150,"name":"Time of Event (Mountain Time)","value":"08:54:54"},{"id":151,"name":"Denver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75"/>
        <v>start /low /b %USERPROFILE%\Documents\GitHub\eaglep3\Utilities\DownloadLogsFromS3.py --loco 4053 --day 2017-10-28</v>
      </c>
      <c r="AN165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77"/>
        <v>https://d0f6bd738d7f1b3e5a7ca70fe4ff75f0.us-east-1.aws.found.io/app/kibana#/discover/Steve-Slow-Train-Analysis-(2080s-and-2083s)?_g=(refreshInterval:(display:Off,pause:!f,section:0,value:0),time:(from:'2017-10-28T07:27:27-0600',mode:absolute,to:'2017-10-28T09:54:54-0600'))&amp;_a=(columns:!('Message%20ID',Summary),filters:!(),index:'emp_*',interval:auto,query:(query_string:(analyze_wildcard:!t,query:'%22rtdc.l.rtdc.4053%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730</v>
      </c>
      <c r="B166" s="7">
        <v>4054</v>
      </c>
      <c r="C166" s="21" t="s">
        <v>194</v>
      </c>
      <c r="D166" s="21" t="s">
        <v>957</v>
      </c>
      <c r="E166" s="13">
        <v>43036.37599537037</v>
      </c>
      <c r="F166" s="13">
        <v>43036.381712962961</v>
      </c>
      <c r="G166" s="7">
        <v>108</v>
      </c>
      <c r="H166" s="21" t="s">
        <v>958</v>
      </c>
      <c r="I166" s="13">
        <v>43036.390717592592</v>
      </c>
      <c r="J166" s="7">
        <v>0</v>
      </c>
      <c r="K166" s="89" t="str">
        <f t="shared" si="62"/>
        <v>4053/4054</v>
      </c>
      <c r="L166" s="185" t="str">
        <f>VLOOKUP(A166,'Trips&amp;Operators'!$C$1:$G$99911,5,FALSE)</f>
        <v>LAMAR NEKESHA</v>
      </c>
      <c r="M166" s="6">
        <f t="shared" si="63"/>
        <v>9.0046296318178065E-3</v>
      </c>
      <c r="N166" s="7">
        <f t="shared" si="85"/>
        <v>12.966666669817641</v>
      </c>
      <c r="O166" s="7"/>
      <c r="P166" s="7"/>
      <c r="Q166" s="22"/>
      <c r="R166" s="174"/>
      <c r="S166" s="221">
        <f t="shared" si="72"/>
        <v>1</v>
      </c>
      <c r="T166" s="174" t="str">
        <f t="shared" si="64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5"/>
        <v>https://d0f6bd738d7f1b3e5a7ca70fe4ff75f0.us-east-1.aws.found.io/app/kibana#/discover/Steve-Slow-Train-Analysis-(2080s-and-2083s)?_g=(refreshInterval:(display:Off,pause:!f,section:0,value:0),time:(from:'2017-10-28T08:01:26-0600',mode:absolute,to:'2017-10-28T10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6" s="204" t="str">
        <f>IF(AA166&lt;VLOOKUP(AG166,Variables!$AC$3:$AD$8,2,FALSE),"Y","N")</f>
        <v>N</v>
      </c>
      <c r="X166" s="204">
        <f t="shared" si="59"/>
        <v>1</v>
      </c>
      <c r="Y166" s="204">
        <f t="shared" si="83"/>
        <v>0.1002</v>
      </c>
      <c r="Z166" s="204">
        <f t="shared" si="84"/>
        <v>5.8959999999999999</v>
      </c>
      <c r="AA166" s="204">
        <f t="shared" si="66"/>
        <v>5.7957999999999998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7"/>
        <v>1807</v>
      </c>
      <c r="AE166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66" s="74" t="str">
        <f t="shared" si="69"/>
        <v>"C:\Program Files (x86)\AstroGrep\AstroGrep.exe" /e /r /s /spath="%USERPROFILE%\AppData\Local\Temp\OnboardLogs" /stypes="app*4054*20171028*" /stext=" 15:.+((SYSTEM_STATE.+slice.+state.+changed )|(ment ac)|(multiple cpu faults)|(system.+state.+changed )|(\[timeout)|(PRM\|1\|D)|(kpr)|(kdp)|(train st.+moving)|(\|lc)|(penalty))"</v>
      </c>
      <c r="AG166" s="182" t="str">
        <f t="shared" si="70"/>
        <v>NW</v>
      </c>
      <c r="AH166" s="78" t="str">
        <f t="shared" si="73"/>
        <v>"%USERPROFILE%\Documents\GitHub\eaglep3\Utilities\RefineRTDCRunTimes.py" --tripid 1807-28 --locoid 4054 --swversion DE.1.0.9.0 --startMP 204:1002 --initTime 2017-10-28T09:01:26 --startdatetime 2017-10-28T09:09:40 --delay 108 --endMP 300:58960 --enddatetime 2017-10-28T09:22:38 --enforcementcount 0 &gt;&gt;%USERPROFILE%\Documents\GitHub\eaglep3-reporting\EC\2017-10-28-refined-times.txt</v>
      </c>
      <c r="AI166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{"issue":{"subject":"","project_id":79,"tracker_id":40,"status_id":1,"priority_id":2,"assigned_to_id":338,"start_date":"2017-10-28","description":"","custom_fields":[{"id":1,"name":"Subdivision","value":"NW"},{"id":4,"name":"Milepost","value":"5.896"},{"id":17,"name":"Train ID","value":"1807-28"},{"id":16,"name":"Locomotive ID","value":"4054"},{"id":130,"name":"Impact","value":""},{"id":150,"name":"Time of Event (Mountain Time)","value":"09:22:38"},{"id":151,"name":"Denver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75"/>
        <v>start /low /b %USERPROFILE%\Documents\GitHub\eaglep3\Utilities\DownloadLogsFromS3.py --loco 4054 --day 2017-10-28</v>
      </c>
      <c r="AN166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7"/>
        <v>https://d0f6bd738d7f1b3e5a7ca70fe4ff75f0.us-east-1.aws.found.io/app/kibana#/discover/Steve-Slow-Train-Analysis-(2080s-and-2083s)?_g=(refreshInterval:(display:Off,pause:!f,section:0,value:0),time:(from:'2017-10-28T08:01:26-0600',mode:absolute,to:'2017-10-28T10:22:38-0600'))&amp;_a=(columns:!('Message%20ID',Summary),filters:!(),index:'emp_*',interval:auto,query:(query_string:(analyze_wildcard:!t,query:'%22rtdc.l.rtdc.4054%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733</v>
      </c>
      <c r="B167" s="7">
        <v>4053</v>
      </c>
      <c r="C167" s="21" t="s">
        <v>194</v>
      </c>
      <c r="D167" s="21" t="s">
        <v>959</v>
      </c>
      <c r="E167" s="13">
        <v>43036.393217592595</v>
      </c>
      <c r="F167" s="13">
        <v>43036.404166666667</v>
      </c>
      <c r="G167" s="7">
        <v>56</v>
      </c>
      <c r="H167" s="21" t="s">
        <v>960</v>
      </c>
      <c r="I167" s="13">
        <v>43036.413298611114</v>
      </c>
      <c r="J167" s="7">
        <v>0</v>
      </c>
      <c r="K167" s="89" t="str">
        <f t="shared" si="62"/>
        <v>4053/4054</v>
      </c>
      <c r="L167" s="185" t="str">
        <f>VLOOKUP(A167,'Trips&amp;Operators'!$C$1:$G$99911,5,FALSE)</f>
        <v>LAMAR NEKESHA</v>
      </c>
      <c r="M167" s="6">
        <f t="shared" si="63"/>
        <v>9.1319444472901523E-3</v>
      </c>
      <c r="N167" s="7">
        <f t="shared" si="85"/>
        <v>13.150000004097819</v>
      </c>
      <c r="O167" s="7"/>
      <c r="P167" s="7"/>
      <c r="Q167" s="22"/>
      <c r="R167" s="174"/>
      <c r="S167" s="221">
        <f t="shared" si="72"/>
        <v>1</v>
      </c>
      <c r="T167" s="174" t="str">
        <f t="shared" si="64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5"/>
        <v>https://d0f6bd738d7f1b3e5a7ca70fe4ff75f0.us-east-1.aws.found.io/app/kibana#/discover/Steve-Slow-Train-Analysis-(2080s-and-2083s)?_g=(refreshInterval:(display:Off,pause:!f,section:0,value:0),time:(from:'2017-10-28T08:26:14-0600',mode:absolute,to:'2017-10-28T10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7" s="204" t="str">
        <f>IF(AA167&lt;VLOOKUP(AG167,Variables!$AC$3:$AD$8,2,FALSE),"Y","N")</f>
        <v>N</v>
      </c>
      <c r="X167" s="204">
        <f t="shared" si="59"/>
        <v>1</v>
      </c>
      <c r="Y167" s="204">
        <f t="shared" si="83"/>
        <v>5.8655999999999997</v>
      </c>
      <c r="Z167" s="204">
        <f t="shared" si="84"/>
        <v>6.8500000000000005E-2</v>
      </c>
      <c r="AA167" s="204">
        <f t="shared" si="66"/>
        <v>5.7970999999999995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7"/>
        <v>1808</v>
      </c>
      <c r="AE167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67" s="74" t="str">
        <f t="shared" si="69"/>
        <v>"C:\Program Files (x86)\AstroGrep\AstroGrep.exe" /e /r /s /spath="%USERPROFILE%\AppData\Local\Temp\OnboardLogs" /stypes="app*4053*20171028*" /stext=" 15:.+((SYSTEM_STATE.+slice.+state.+changed )|(ment ac)|(multiple cpu faults)|(system.+state.+changed )|(\[timeout)|(PRM\|1\|D)|(kpr)|(kdp)|(train st.+moving)|(\|lc)|(penalty))"</v>
      </c>
      <c r="AG167" s="182" t="str">
        <f t="shared" si="70"/>
        <v>NW</v>
      </c>
      <c r="AH167" s="78" t="str">
        <f t="shared" si="73"/>
        <v>"%USERPROFILE%\Documents\GitHub\eaglep3\Utilities\RefineRTDCRunTimes.py" --tripid 1808-28 --locoid 4053 --swversion DE.1.0.9.0 --startMP 300:58656 --initTime 2017-10-28T09:26:14 --startdatetime 2017-10-28T09:42:00 --delay 56 --endMP 204:685 --enddatetime 2017-10-28T09:55:09 --enforcementcount 0 &gt;&gt;%USERPROFILE%\Documents\GitHub\eaglep3-reporting\EC\2017-10-28-refined-times.txt</v>
      </c>
      <c r="AI167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{"issue":{"subject":"","project_id":79,"tracker_id":40,"status_id":1,"priority_id":2,"assigned_to_id":338,"start_date":"2017-10-28","description":"","custom_fields":[{"id":1,"name":"Subdivision","value":"NW"},{"id":4,"name":"Milepost","value":"0.0685"},{"id":17,"name":"Train ID","value":"1808-28"},{"id":16,"name":"Locomotive ID","value":"4053"},{"id":130,"name":"Impact","value":""},{"id":150,"name":"Time of Event (Mountain Time)","value":"09:55:09"},{"id":151,"name":"Denver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75"/>
        <v>start /low /b %USERPROFILE%\Documents\GitHub\eaglep3\Utilities\DownloadLogsFromS3.py --loco 4053 --day 2017-10-28</v>
      </c>
      <c r="AN167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7"/>
        <v>https://d0f6bd738d7f1b3e5a7ca70fe4ff75f0.us-east-1.aws.found.io/app/kibana#/discover/Steve-Slow-Train-Analysis-(2080s-and-2083s)?_g=(refreshInterval:(display:Off,pause:!f,section:0,value:0),time:(from:'2017-10-28T08:26:14-0600',mode:absolute,to:'2017-10-28T10:55:09-0600'))&amp;_a=(columns:!('Message%20ID',Summary),filters:!(),index:'emp_*',interval:auto,query:(query_string:(analyze_wildcard:!t,query:'%22rtdc.l.rtdc.4053%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624</v>
      </c>
      <c r="B168" s="7">
        <v>4054</v>
      </c>
      <c r="C168" s="21" t="s">
        <v>194</v>
      </c>
      <c r="D168" s="21" t="s">
        <v>961</v>
      </c>
      <c r="E168" s="13">
        <v>43036.416192129633</v>
      </c>
      <c r="F168" s="13">
        <v>43036.423217592594</v>
      </c>
      <c r="G168" s="7">
        <v>67</v>
      </c>
      <c r="H168" s="21" t="s">
        <v>962</v>
      </c>
      <c r="I168" s="13">
        <v>43036.432824074072</v>
      </c>
      <c r="J168" s="7">
        <v>0</v>
      </c>
      <c r="K168" s="89" t="str">
        <f t="shared" si="62"/>
        <v>4053/4054</v>
      </c>
      <c r="L168" s="185" t="str">
        <f>VLOOKUP(A168,'Trips&amp;Operators'!$C$1:$G$99911,5,FALSE)</f>
        <v>LAMAR NEKESHA</v>
      </c>
      <c r="M168" s="6">
        <f t="shared" si="63"/>
        <v>9.6064814788405783E-3</v>
      </c>
      <c r="N168" s="7">
        <f t="shared" si="85"/>
        <v>13.833333329530433</v>
      </c>
      <c r="O168" s="7"/>
      <c r="P168" s="7"/>
      <c r="Q168" s="22"/>
      <c r="R168" s="174"/>
      <c r="S168" s="221">
        <f t="shared" si="72"/>
        <v>1</v>
      </c>
      <c r="T168" s="174" t="str">
        <f t="shared" si="64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5"/>
        <v>https://d0f6bd738d7f1b3e5a7ca70fe4ff75f0.us-east-1.aws.found.io/app/kibana#/discover/Steve-Slow-Train-Analysis-(2080s-and-2083s)?_g=(refreshInterval:(display:Off,pause:!f,section:0,value:0),time:(from:'2017-10-28T08:59:19-0600',mode:absolute,to:'2017-10-28T11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8" s="204" t="str">
        <f>IF(AA168&lt;VLOOKUP(AG168,Variables!$AC$3:$AD$8,2,FALSE),"Y","N")</f>
        <v>N</v>
      </c>
      <c r="X168" s="204">
        <f t="shared" ref="X168:X199" si="86">VALUE(LEFT(AD168,4))-VALUE(LEFT(AD167,4))</f>
        <v>1</v>
      </c>
      <c r="Y168" s="204">
        <f t="shared" si="83"/>
        <v>9.7799999999999998E-2</v>
      </c>
      <c r="Z168" s="204">
        <f t="shared" si="84"/>
        <v>5.8963000000000001</v>
      </c>
      <c r="AA168" s="204">
        <f t="shared" si="66"/>
        <v>5.7984999999999998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7"/>
        <v>1809</v>
      </c>
      <c r="AE168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68" s="74" t="str">
        <f t="shared" si="69"/>
        <v>"C:\Program Files (x86)\AstroGrep\AstroGrep.exe" /e /r /s /spath="%USERPROFILE%\AppData\Local\Temp\OnboardLogs" /stypes="app*4054*20171028*" /stext=" 16:.+((SYSTEM_STATE.+slice.+state.+changed )|(ment ac)|(multiple cpu faults)|(system.+state.+changed )|(\[timeout)|(PRM\|1\|D)|(kpr)|(kdp)|(train st.+moving)|(\|lc)|(penalty))"</v>
      </c>
      <c r="AG168" s="182" t="str">
        <f t="shared" si="70"/>
        <v>NW</v>
      </c>
      <c r="AH168" s="78" t="str">
        <f t="shared" si="73"/>
        <v>"%USERPROFILE%\Documents\GitHub\eaglep3\Utilities\RefineRTDCRunTimes.py" --tripid 1809-28 --locoid 4054 --swversion DE.1.0.9.0 --startMP 204:978 --initTime 2017-10-28T09:59:19 --startdatetime 2017-10-28T10:09:26 --delay 67 --endMP 300:58963 --enddatetime 2017-10-28T10:23:16 --enforcementcount 0 &gt;&gt;%USERPROFILE%\Documents\GitHub\eaglep3-reporting\EC\2017-10-28-refined-times.txt</v>
      </c>
      <c r="AI168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{"issue":{"subject":"","project_id":79,"tracker_id":40,"status_id":1,"priority_id":2,"assigned_to_id":338,"start_date":"2017-10-28","description":"","custom_fields":[{"id":1,"name":"Subdivision","value":"NW"},{"id":4,"name":"Milepost","value":"5.8963"},{"id":17,"name":"Train ID","value":"1809-28"},{"id":16,"name":"Locomotive ID","value":"4054"},{"id":130,"name":"Impact","value":""},{"id":150,"name":"Time of Event (Mountain Time)","value":"10:23:16"},{"id":151,"name":"Denver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75"/>
        <v>start /low /b %USERPROFILE%\Documents\GitHub\eaglep3\Utilities\DownloadLogsFromS3.py --loco 4054 --day 2017-10-28</v>
      </c>
      <c r="AN168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7"/>
        <v>https://d0f6bd738d7f1b3e5a7ca70fe4ff75f0.us-east-1.aws.found.io/app/kibana#/discover/Steve-Slow-Train-Analysis-(2080s-and-2083s)?_g=(refreshInterval:(display:Off,pause:!f,section:0,value:0),time:(from:'2017-10-28T08:59:19-0600',mode:absolute,to:'2017-10-28T11:23:16-0600'))&amp;_a=(columns:!('Message%20ID',Summary),filters:!(),index:'emp_*',interval:auto,query:(query_string:(analyze_wildcard:!t,query:'%22rtdc.l.rtdc.4054%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742</v>
      </c>
      <c r="B169" s="7">
        <v>4053</v>
      </c>
      <c r="C169" s="21" t="s">
        <v>194</v>
      </c>
      <c r="D169" s="21" t="s">
        <v>503</v>
      </c>
      <c r="E169" s="13">
        <v>43036.434004629627</v>
      </c>
      <c r="F169" s="13">
        <v>43036.445833333331</v>
      </c>
      <c r="G169" s="7">
        <v>60</v>
      </c>
      <c r="H169" s="21" t="s">
        <v>965</v>
      </c>
      <c r="I169" s="13">
        <v>43036.454675925925</v>
      </c>
      <c r="J169" s="7">
        <v>0</v>
      </c>
      <c r="K169" s="89" t="str">
        <f t="shared" si="62"/>
        <v>4053/4054</v>
      </c>
      <c r="L169" s="185" t="str">
        <f>VLOOKUP(A169,'Trips&amp;Operators'!$C$1:$G$99911,5,FALSE)</f>
        <v>LAMAR NEKESHA</v>
      </c>
      <c r="M169" s="6">
        <f t="shared" si="63"/>
        <v>8.8425925932824612E-3</v>
      </c>
      <c r="N169" s="7">
        <f t="shared" si="85"/>
        <v>12.733333334326744</v>
      </c>
      <c r="O169" s="7"/>
      <c r="P169" s="7"/>
      <c r="Q169" s="22"/>
      <c r="R169" s="174"/>
      <c r="S169" s="221">
        <f t="shared" si="72"/>
        <v>1</v>
      </c>
      <c r="T169" s="174" t="str">
        <f t="shared" si="64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5"/>
        <v>https://d0f6bd738d7f1b3e5a7ca70fe4ff75f0.us-east-1.aws.found.io/app/kibana#/discover/Steve-Slow-Train-Analysis-(2080s-and-2083s)?_g=(refreshInterval:(display:Off,pause:!f,section:0,value:0),time:(from:'2017-10-28T09:24:58-0600',mode:absolute,to:'2017-10-28T11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9" s="204" t="str">
        <f>IF(AA169&lt;VLOOKUP(AG169,Variables!$AC$3:$AD$8,2,FALSE),"Y","N")</f>
        <v>N</v>
      </c>
      <c r="X169" s="204">
        <f t="shared" si="86"/>
        <v>1</v>
      </c>
      <c r="Y169" s="204">
        <f t="shared" si="83"/>
        <v>5.8651</v>
      </c>
      <c r="Z169" s="204">
        <f t="shared" si="84"/>
        <v>7.0099999999999996E-2</v>
      </c>
      <c r="AA169" s="204">
        <f t="shared" si="66"/>
        <v>5.7949999999999999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7"/>
        <v>1810</v>
      </c>
      <c r="AE169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69" s="74" t="str">
        <f t="shared" si="69"/>
        <v>"C:\Program Files (x86)\AstroGrep\AstroGrep.exe" /e /r /s /spath="%USERPROFILE%\AppData\Local\Temp\OnboardLogs" /stypes="app*4053*20171028*" /stext=" 16:.+((SYSTEM_STATE.+slice.+state.+changed )|(ment ac)|(multiple cpu faults)|(system.+state.+changed )|(\[timeout)|(PRM\|1\|D)|(kpr)|(kdp)|(train st.+moving)|(\|lc)|(penalty))"</v>
      </c>
      <c r="AG169" s="182" t="str">
        <f t="shared" si="70"/>
        <v>NW</v>
      </c>
      <c r="AH169" s="78" t="str">
        <f t="shared" si="73"/>
        <v>"%USERPROFILE%\Documents\GitHub\eaglep3\Utilities\RefineRTDCRunTimes.py" --tripid 1810-28 --locoid 4053 --swversion DE.1.0.9.0 --startMP 300:58651 --initTime 2017-10-28T10:24:58 --startdatetime 2017-10-28T10:42:00 --delay 60 --endMP 204:701 --enddatetime 2017-10-28T10:54:44 --enforcementcount 0 &gt;&gt;%USERPROFILE%\Documents\GitHub\eaglep3-reporting\EC\2017-10-28-refined-times.txt</v>
      </c>
      <c r="AI169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{"issue":{"subject":"","project_id":79,"tracker_id":40,"status_id":1,"priority_id":2,"assigned_to_id":338,"start_date":"2017-10-28","description":"","custom_fields":[{"id":1,"name":"Subdivision","value":"NW"},{"id":4,"name":"Milepost","value":"0.0701"},{"id":17,"name":"Train ID","value":"1810-28"},{"id":16,"name":"Locomotive ID","value":"4053"},{"id":130,"name":"Impact","value":""},{"id":150,"name":"Time of Event (Mountain Time)","value":"10:54:44"},{"id":151,"name":"Denver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75"/>
        <v>start /low /b %USERPROFILE%\Documents\GitHub\eaglep3\Utilities\DownloadLogsFromS3.py --loco 4053 --day 2017-10-28</v>
      </c>
      <c r="AN169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16:54:44"},{"id":29,"name":"Sharepoint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7"/>
        <v>https://d0f6bd738d7f1b3e5a7ca70fe4ff75f0.us-east-1.aws.found.io/app/kibana#/discover/Steve-Slow-Train-Analysis-(2080s-and-2083s)?_g=(refreshInterval:(display:Off,pause:!f,section:0,value:0),time:(from:'2017-10-28T09:24:58-0600',mode:absolute,to:'2017-10-28T11:54:44-0600'))&amp;_a=(columns:!('Message%20ID',Summary),filters:!(),index:'emp_*',interval:auto,query:(query_string:(analyze_wildcard:!t,query:'%22rtdc.l.rtdc.4053%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747</v>
      </c>
      <c r="B170" s="7">
        <v>4054</v>
      </c>
      <c r="C170" s="21" t="s">
        <v>194</v>
      </c>
      <c r="D170" s="21" t="s">
        <v>531</v>
      </c>
      <c r="E170" s="13">
        <v>43036.460150462961</v>
      </c>
      <c r="F170" s="13">
        <v>43036.464768518519</v>
      </c>
      <c r="G170" s="7">
        <v>220</v>
      </c>
      <c r="H170" s="21" t="s">
        <v>611</v>
      </c>
      <c r="I170" s="13">
        <v>43036.47383101852</v>
      </c>
      <c r="J170" s="7">
        <v>0</v>
      </c>
      <c r="K170" s="89" t="str">
        <f t="shared" si="62"/>
        <v>4053/4054</v>
      </c>
      <c r="L170" s="185" t="str">
        <f>VLOOKUP(A170,'Trips&amp;Operators'!$C$1:$G$99911,5,FALSE)</f>
        <v>LAMAR NEKESHA</v>
      </c>
      <c r="M170" s="6">
        <f t="shared" si="63"/>
        <v>9.0625000011641532E-3</v>
      </c>
      <c r="N170" s="7">
        <f t="shared" si="85"/>
        <v>13.050000001676381</v>
      </c>
      <c r="O170" s="7"/>
      <c r="P170" s="7"/>
      <c r="Q170" s="22"/>
      <c r="R170" s="174"/>
      <c r="S170" s="221">
        <f t="shared" si="72"/>
        <v>1</v>
      </c>
      <c r="T170" s="174" t="str">
        <f t="shared" si="64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5"/>
        <v>https://d0f6bd738d7f1b3e5a7ca70fe4ff75f0.us-east-1.aws.found.io/app/kibana#/discover/Steve-Slow-Train-Analysis-(2080s-and-2083s)?_g=(refreshInterval:(display:Off,pause:!f,section:0,value:0),time:(from:'2017-10-28T10:02:37-0600',mode:absolute,to:'2017-10-28T12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0" s="204" t="str">
        <f>IF(AA170&lt;VLOOKUP(AG170,Variables!$AC$3:$AD$8,2,FALSE),"Y","N")</f>
        <v>N</v>
      </c>
      <c r="X170" s="204">
        <f t="shared" si="86"/>
        <v>1</v>
      </c>
      <c r="Y170" s="204">
        <f t="shared" si="83"/>
        <v>9.8299999999999998E-2</v>
      </c>
      <c r="Z170" s="204">
        <f t="shared" si="84"/>
        <v>5.8987999999999996</v>
      </c>
      <c r="AA170" s="204">
        <f t="shared" si="66"/>
        <v>5.8004999999999995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7"/>
        <v>1811</v>
      </c>
      <c r="AE170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70" s="74" t="str">
        <f t="shared" si="69"/>
        <v>"C:\Program Files (x86)\AstroGrep\AstroGrep.exe" /e /r /s /spath="%USERPROFILE%\AppData\Local\Temp\OnboardLogs" /stypes="app*4054*20171028*" /stext=" 17:.+((SYSTEM_STATE.+slice.+state.+changed )|(ment ac)|(multiple cpu faults)|(system.+state.+changed )|(\[timeout)|(PRM\|1\|D)|(kpr)|(kdp)|(train st.+moving)|(\|lc)|(penalty))"</v>
      </c>
      <c r="AG170" s="182" t="str">
        <f t="shared" si="70"/>
        <v>NW</v>
      </c>
      <c r="AH170" s="78" t="str">
        <f t="shared" si="73"/>
        <v>"%USERPROFILE%\Documents\GitHub\eaglep3\Utilities\RefineRTDCRunTimes.py" --tripid 1811-28 --locoid 4054 --swversion DE.1.0.9.0 --startMP 204:983 --initTime 2017-10-28T11:02:37 --startdatetime 2017-10-28T11:09:16 --delay 220 --endMP 300:58988 --enddatetime 2017-10-28T11:22:19 --enforcementcount 0 &gt;&gt;%USERPROFILE%\Documents\GitHub\eaglep3-reporting\EC\2017-10-28-refined-times.txt</v>
      </c>
      <c r="AI170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{"issue":{"subject":"","project_id":79,"tracker_id":40,"status_id":1,"priority_id":2,"assigned_to_id":338,"start_date":"2017-10-28","description":"","custom_fields":[{"id":1,"name":"Subdivision","value":"NW"},{"id":4,"name":"Milepost","value":"5.8988"},{"id":17,"name":"Train ID","value":"1811-28"},{"id":16,"name":"Locomotive ID","value":"4054"},{"id":130,"name":"Impact","value":""},{"id":150,"name":"Time of Event (Mountain Time)","value":"11:22:19"},{"id":151,"name":"Denver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75"/>
        <v>start /low /b %USERPROFILE%\Documents\GitHub\eaglep3\Utilities\DownloadLogsFromS3.py --loco 4054 --day 2017-10-28</v>
      </c>
      <c r="AN170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7"/>
        <v>https://d0f6bd738d7f1b3e5a7ca70fe4ff75f0.us-east-1.aws.found.io/app/kibana#/discover/Steve-Slow-Train-Analysis-(2080s-and-2083s)?_g=(refreshInterval:(display:Off,pause:!f,section:0,value:0),time:(from:'2017-10-28T10:02:37-0600',mode:absolute,to:'2017-10-28T12:22:19-0600'))&amp;_a=(columns:!('Message%20ID',Summary),filters:!(),index:'emp_*',interval:auto,query:(query_string:(analyze_wildcard:!t,query:'%22rtdc.l.rtdc.4054%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754</v>
      </c>
      <c r="B171" s="7">
        <v>4053</v>
      </c>
      <c r="C171" s="21" t="s">
        <v>194</v>
      </c>
      <c r="D171" s="21" t="s">
        <v>966</v>
      </c>
      <c r="E171" s="13">
        <v>43036.475995370369</v>
      </c>
      <c r="F171" s="13">
        <v>43036.487500000003</v>
      </c>
      <c r="G171" s="7">
        <v>53</v>
      </c>
      <c r="H171" s="21" t="s">
        <v>533</v>
      </c>
      <c r="I171" s="13">
        <v>43036.496354166666</v>
      </c>
      <c r="J171" s="7">
        <v>0</v>
      </c>
      <c r="K171" s="89" t="str">
        <f t="shared" si="62"/>
        <v>4053/4054</v>
      </c>
      <c r="L171" s="185" t="str">
        <f>VLOOKUP(A171,'Trips&amp;Operators'!$C$1:$G$99911,5,FALSE)</f>
        <v>LAMAR NEKESHA</v>
      </c>
      <c r="M171" s="6">
        <f t="shared" si="63"/>
        <v>8.8541666627861559E-3</v>
      </c>
      <c r="N171" s="7">
        <f t="shared" si="85"/>
        <v>12.749999994412065</v>
      </c>
      <c r="O171" s="7"/>
      <c r="P171" s="7"/>
      <c r="Q171" s="22"/>
      <c r="R171" s="174"/>
      <c r="S171" s="221">
        <f t="shared" si="72"/>
        <v>1</v>
      </c>
      <c r="T171" s="174" t="str">
        <f t="shared" si="64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5"/>
        <v>https://d0f6bd738d7f1b3e5a7ca70fe4ff75f0.us-east-1.aws.found.io/app/kibana#/discover/Steve-Slow-Train-Analysis-(2080s-and-2083s)?_g=(refreshInterval:(display:Off,pause:!f,section:0,value:0),time:(from:'2017-10-28T10:25:26-0600',mode:absolute,to:'2017-10-28T12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1" s="204" t="str">
        <f>IF(AA171&lt;VLOOKUP(AG171,Variables!$AC$3:$AD$8,2,FALSE),"Y","N")</f>
        <v>N</v>
      </c>
      <c r="X171" s="204">
        <f t="shared" si="86"/>
        <v>1</v>
      </c>
      <c r="Y171" s="204">
        <f t="shared" si="83"/>
        <v>5.8673000000000002</v>
      </c>
      <c r="Z171" s="204">
        <f t="shared" si="84"/>
        <v>6.8000000000000005E-2</v>
      </c>
      <c r="AA171" s="204">
        <f t="shared" si="66"/>
        <v>5.7993000000000006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7"/>
        <v>1812</v>
      </c>
      <c r="AE171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71" s="74" t="str">
        <f t="shared" si="69"/>
        <v>"C:\Program Files (x86)\AstroGrep\AstroGrep.exe" /e /r /s /spath="%USERPROFILE%\AppData\Local\Temp\OnboardLogs" /stypes="app*4053*20171028*" /stext=" 17:.+((SYSTEM_STATE.+slice.+state.+changed )|(ment ac)|(multiple cpu faults)|(system.+state.+changed )|(\[timeout)|(PRM\|1\|D)|(kpr)|(kdp)|(train st.+moving)|(\|lc)|(penalty))"</v>
      </c>
      <c r="AG171" s="182" t="str">
        <f t="shared" si="70"/>
        <v>NW</v>
      </c>
      <c r="AH171" s="78" t="str">
        <f t="shared" si="73"/>
        <v>"%USERPROFILE%\Documents\GitHub\eaglep3\Utilities\RefineRTDCRunTimes.py" --tripid 1812-28 --locoid 4053 --swversion DE.1.0.9.0 --startMP 300:58673 --initTime 2017-10-28T11:25:26 --startdatetime 2017-10-28T11:42:00 --delay 53 --endMP 204:680 --enddatetime 2017-10-28T11:54:45 --enforcementcount 0 &gt;&gt;%USERPROFILE%\Documents\GitHub\eaglep3-reporting\EC\2017-10-28-refined-times.txt</v>
      </c>
      <c r="AI171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{"issue":{"subject":"","project_id":79,"tracker_id":40,"status_id":1,"priority_id":2,"assigned_to_id":338,"start_date":"2017-10-28","description":"","custom_fields":[{"id":1,"name":"Subdivision","value":"NW"},{"id":4,"name":"Milepost","value":"0.068"},{"id":17,"name":"Train ID","value":"1812-28"},{"id":16,"name":"Locomotive ID","value":"4053"},{"id":130,"name":"Impact","value":""},{"id":150,"name":"Time of Event (Mountain Time)","value":"11:54:45"},{"id":151,"name":"Denver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75"/>
        <v>start /low /b %USERPROFILE%\Documents\GitHub\eaglep3\Utilities\DownloadLogsFromS3.py --loco 4053 --day 2017-10-28</v>
      </c>
      <c r="AN171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17:54:45"},{"id":29,"name":"Sharepoint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7"/>
        <v>https://d0f6bd738d7f1b3e5a7ca70fe4ff75f0.us-east-1.aws.found.io/app/kibana#/discover/Steve-Slow-Train-Analysis-(2080s-and-2083s)?_g=(refreshInterval:(display:Off,pause:!f,section:0,value:0),time:(from:'2017-10-28T10:25:26-0600',mode:absolute,to:'2017-10-28T12:54:45-0600'))&amp;_a=(columns:!('Message%20ID',Summary),filters:!(),index:'emp_*',interval:auto,query:(query_string:(analyze_wildcard:!t,query:'%22rtdc.l.rtdc.4053%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761</v>
      </c>
      <c r="B172" s="7">
        <v>4054</v>
      </c>
      <c r="C172" s="21" t="s">
        <v>194</v>
      </c>
      <c r="D172" s="21" t="s">
        <v>967</v>
      </c>
      <c r="E172" s="13">
        <v>43036.50371527778</v>
      </c>
      <c r="F172" s="13">
        <v>43036.506967592592</v>
      </c>
      <c r="G172" s="7">
        <v>70</v>
      </c>
      <c r="H172" s="21" t="s">
        <v>968</v>
      </c>
      <c r="I172" s="13">
        <v>43036.516076388885</v>
      </c>
      <c r="J172" s="7">
        <v>0</v>
      </c>
      <c r="K172" s="89" t="str">
        <f t="shared" si="62"/>
        <v>4053/4054</v>
      </c>
      <c r="L172" s="185" t="str">
        <f>VLOOKUP(A172,'Trips&amp;Operators'!$C$1:$G$99911,5,FALSE)</f>
        <v>LAMAR NEKESHA</v>
      </c>
      <c r="M172" s="6">
        <f t="shared" si="63"/>
        <v>9.1087962937308475E-3</v>
      </c>
      <c r="N172" s="7">
        <f t="shared" si="85"/>
        <v>13.11666666297242</v>
      </c>
      <c r="O172" s="7"/>
      <c r="P172" s="7"/>
      <c r="Q172" s="22"/>
      <c r="R172" s="174"/>
      <c r="S172" s="221">
        <f t="shared" si="72"/>
        <v>1</v>
      </c>
      <c r="T172" s="174" t="str">
        <f t="shared" si="64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5"/>
        <v>https://d0f6bd738d7f1b3e5a7ca70fe4ff75f0.us-east-1.aws.found.io/app/kibana#/discover/Steve-Slow-Train-Analysis-(2080s-and-2083s)?_g=(refreshInterval:(display:Off,pause:!f,section:0,value:0),time:(from:'2017-10-28T11:05:21-0600',mode:absolute,to:'2017-10-28T13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2" s="204" t="str">
        <f>IF(AA172&lt;VLOOKUP(AG172,Variables!$AC$3:$AD$8,2,FALSE),"Y","N")</f>
        <v>N</v>
      </c>
      <c r="X172" s="204">
        <f t="shared" si="86"/>
        <v>1</v>
      </c>
      <c r="Y172" s="204">
        <f t="shared" si="83"/>
        <v>9.3899999999999997E-2</v>
      </c>
      <c r="Z172" s="204">
        <f t="shared" si="84"/>
        <v>5.8998999999999997</v>
      </c>
      <c r="AA172" s="204">
        <f t="shared" si="66"/>
        <v>5.806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7"/>
        <v>1813</v>
      </c>
      <c r="AE172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72" s="74" t="str">
        <f t="shared" si="69"/>
        <v>"C:\Program Files (x86)\AstroGrep\AstroGrep.exe" /e /r /s /spath="%USERPROFILE%\AppData\Local\Temp\OnboardLogs" /stypes="app*4054*20171028*" /stext=" 18:.+((SYSTEM_STATE.+slice.+state.+changed )|(ment ac)|(multiple cpu faults)|(system.+state.+changed )|(\[timeout)|(PRM\|1\|D)|(kpr)|(kdp)|(train st.+moving)|(\|lc)|(penalty))"</v>
      </c>
      <c r="AG172" s="182" t="str">
        <f t="shared" si="70"/>
        <v>NW</v>
      </c>
      <c r="AH172" s="78" t="str">
        <f t="shared" si="73"/>
        <v>"%USERPROFILE%\Documents\GitHub\eaglep3\Utilities\RefineRTDCRunTimes.py" --tripid 1813-28 --locoid 4054 --swversion DE.1.0.9.0 --startMP 204:939 --initTime 2017-10-28T12:05:21 --startdatetime 2017-10-28T12:10:02 --delay 70 --endMP 300:58999 --enddatetime 2017-10-28T12:23:09 --enforcementcount 0 &gt;&gt;%USERPROFILE%\Documents\GitHub\eaglep3-reporting\EC\2017-10-28-refined-times.txt</v>
      </c>
      <c r="AI172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{"issue":{"subject":"","project_id":79,"tracker_id":40,"status_id":1,"priority_id":2,"assigned_to_id":338,"start_date":"2017-10-28","description":"","custom_fields":[{"id":1,"name":"Subdivision","value":"NW"},{"id":4,"name":"Milepost","value":"5.8999"},{"id":17,"name":"Train ID","value":"1813-28"},{"id":16,"name":"Locomotive ID","value":"4054"},{"id":130,"name":"Impact","value":""},{"id":150,"name":"Time of Event (Mountain Time)","value":"12:23:09"},{"id":151,"name":"Denver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75"/>
        <v>start /low /b %USERPROFILE%\Documents\GitHub\eaglep3\Utilities\DownloadLogsFromS3.py --loco 4054 --day 2017-10-28</v>
      </c>
      <c r="AN172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7"/>
        <v>https://d0f6bd738d7f1b3e5a7ca70fe4ff75f0.us-east-1.aws.found.io/app/kibana#/discover/Steve-Slow-Train-Analysis-(2080s-and-2083s)?_g=(refreshInterval:(display:Off,pause:!f,section:0,value:0),time:(from:'2017-10-28T11:05:21-0600',mode:absolute,to:'2017-10-28T13:23:09-0600'))&amp;_a=(columns:!('Message%20ID',Summary),filters:!(),index:'emp_*',interval:auto,query:(query_string:(analyze_wildcard:!t,query:'%22rtdc.l.rtdc.4054%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767</v>
      </c>
      <c r="B173" s="7">
        <v>4053</v>
      </c>
      <c r="C173" s="21" t="s">
        <v>194</v>
      </c>
      <c r="D173" s="21" t="s">
        <v>969</v>
      </c>
      <c r="E173" s="13">
        <v>43036.518391203703</v>
      </c>
      <c r="F173" s="13">
        <v>43036.529166666667</v>
      </c>
      <c r="G173" s="7">
        <v>63</v>
      </c>
      <c r="H173" s="21" t="s">
        <v>970</v>
      </c>
      <c r="I173" s="13">
        <v>43036.537997685184</v>
      </c>
      <c r="J173" s="7">
        <v>0</v>
      </c>
      <c r="K173" s="89" t="str">
        <f t="shared" si="62"/>
        <v>4053/4054</v>
      </c>
      <c r="L173" s="185" t="str">
        <f>VLOOKUP(A173,'Trips&amp;Operators'!$C$1:$G$99911,5,FALSE)</f>
        <v>LAMAR NEKESHA</v>
      </c>
      <c r="M173" s="6">
        <f t="shared" si="63"/>
        <v>8.8310185165028088E-3</v>
      </c>
      <c r="N173" s="7">
        <f t="shared" si="85"/>
        <v>12.716666663764045</v>
      </c>
      <c r="O173" s="7"/>
      <c r="P173" s="7"/>
      <c r="Q173" s="22"/>
      <c r="R173" s="174"/>
      <c r="S173" s="221">
        <f t="shared" si="72"/>
        <v>1</v>
      </c>
      <c r="T173" s="174" t="str">
        <f t="shared" si="64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5"/>
        <v>https://d0f6bd738d7f1b3e5a7ca70fe4ff75f0.us-east-1.aws.found.io/app/kibana#/discover/Steve-Slow-Train-Analysis-(2080s-and-2083s)?_g=(refreshInterval:(display:Off,pause:!f,section:0,value:0),time:(from:'2017-10-28T11:26:29-0600',mode:absolute,to:'2017-10-28T13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3" s="204" t="str">
        <f>IF(AA173&lt;VLOOKUP(AG173,Variables!$AC$3:$AD$8,2,FALSE),"Y","N")</f>
        <v>N</v>
      </c>
      <c r="X173" s="204">
        <f t="shared" si="86"/>
        <v>1</v>
      </c>
      <c r="Y173" s="204">
        <f t="shared" si="83"/>
        <v>5.8688000000000002</v>
      </c>
      <c r="Z173" s="204">
        <f t="shared" si="84"/>
        <v>6.8699999999999997E-2</v>
      </c>
      <c r="AA173" s="204">
        <f t="shared" si="66"/>
        <v>5.8001000000000005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7"/>
        <v>1814</v>
      </c>
      <c r="AE173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73" s="74" t="str">
        <f t="shared" si="69"/>
        <v>"C:\Program Files (x86)\AstroGrep\AstroGrep.exe" /e /r /s /spath="%USERPROFILE%\AppData\Local\Temp\OnboardLogs" /stypes="app*4053*20171028*" /stext=" 18:.+((SYSTEM_STATE.+slice.+state.+changed )|(ment ac)|(multiple cpu faults)|(system.+state.+changed )|(\[timeout)|(PRM\|1\|D)|(kpr)|(kdp)|(train st.+moving)|(\|lc)|(penalty))"</v>
      </c>
      <c r="AG173" s="182" t="str">
        <f t="shared" si="70"/>
        <v>NW</v>
      </c>
      <c r="AH173" s="78" t="str">
        <f t="shared" si="73"/>
        <v>"%USERPROFILE%\Documents\GitHub\eaglep3\Utilities\RefineRTDCRunTimes.py" --tripid 1814-28 --locoid 4053 --swversion DE.1.0.9.0 --startMP 300:58688 --initTime 2017-10-28T12:26:29 --startdatetime 2017-10-28T12:42:00 --delay 63 --endMP 204:687 --enddatetime 2017-10-28T12:54:43 --enforcementcount 0 &gt;&gt;%USERPROFILE%\Documents\GitHub\eaglep3-reporting\EC\2017-10-28-refined-times.txt</v>
      </c>
      <c r="AI173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{"issue":{"subject":"","project_id":79,"tracker_id":40,"status_id":1,"priority_id":2,"assigned_to_id":338,"start_date":"2017-10-28","description":"","custom_fields":[{"id":1,"name":"Subdivision","value":"NW"},{"id":4,"name":"Milepost","value":"0.0687"},{"id":17,"name":"Train ID","value":"1814-28"},{"id":16,"name":"Locomotive ID","value":"4053"},{"id":130,"name":"Impact","value":""},{"id":150,"name":"Time of Event (Mountain Time)","value":"12:54:43"},{"id":151,"name":"Denver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75"/>
        <v>start /low /b %USERPROFILE%\Documents\GitHub\eaglep3\Utilities\DownloadLogsFromS3.py --loco 4053 --day 2017-10-28</v>
      </c>
      <c r="AN173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7"/>
        <v>https://d0f6bd738d7f1b3e5a7ca70fe4ff75f0.us-east-1.aws.found.io/app/kibana#/discover/Steve-Slow-Train-Analysis-(2080s-and-2083s)?_g=(refreshInterval:(display:Off,pause:!f,section:0,value:0),time:(from:'2017-10-28T11:26:29-0600',mode:absolute,to:'2017-10-28T13:54:43-0600'))&amp;_a=(columns:!('Message%20ID',Summary),filters:!(),index:'emp_*',interval:auto,query:(query_string:(analyze_wildcard:!t,query:'%22rtdc.l.rtdc.4053%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628</v>
      </c>
      <c r="B174" s="7">
        <v>4054</v>
      </c>
      <c r="C174" s="21" t="s">
        <v>194</v>
      </c>
      <c r="D174" s="21" t="s">
        <v>971</v>
      </c>
      <c r="E174" s="13">
        <v>43036.545451388891</v>
      </c>
      <c r="F174" s="13">
        <v>43036.548564814817</v>
      </c>
      <c r="G174" s="7">
        <v>65</v>
      </c>
      <c r="H174" s="21" t="s">
        <v>972</v>
      </c>
      <c r="I174" s="13">
        <v>43036.557962962965</v>
      </c>
      <c r="J174" s="7">
        <v>0</v>
      </c>
      <c r="K174" s="89" t="str">
        <f t="shared" si="62"/>
        <v>4053/4054</v>
      </c>
      <c r="L174" s="185" t="str">
        <f>VLOOKUP(A174,'Trips&amp;Operators'!$C$1:$G$99911,5,FALSE)</f>
        <v>LAMAR NEKESHA</v>
      </c>
      <c r="M174" s="6">
        <f t="shared" si="63"/>
        <v>9.3981481477385387E-3</v>
      </c>
      <c r="N174" s="7">
        <f t="shared" si="85"/>
        <v>13.533333332743496</v>
      </c>
      <c r="O174" s="7"/>
      <c r="P174" s="7"/>
      <c r="Q174" s="22"/>
      <c r="R174" s="174"/>
      <c r="S174" s="221">
        <f t="shared" ref="S174:S205" si="87">1/IF(AG174="EC",12,1)*SUM(U174:U174)</f>
        <v>1</v>
      </c>
      <c r="T174" s="174" t="str">
        <f t="shared" si="64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5"/>
        <v>https://d0f6bd738d7f1b3e5a7ca70fe4ff75f0.us-east-1.aws.found.io/app/kibana#/discover/Steve-Slow-Train-Analysis-(2080s-and-2083s)?_g=(refreshInterval:(display:Off,pause:!f,section:0,value:0),time:(from:'2017-10-28T12:05:27-0600',mode:absolute,to:'2017-10-28T14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4" s="204" t="str">
        <f>IF(AA174&lt;VLOOKUP(AG174,Variables!$AC$3:$AD$8,2,FALSE),"Y","N")</f>
        <v>N</v>
      </c>
      <c r="X174" s="204">
        <f t="shared" si="86"/>
        <v>1</v>
      </c>
      <c r="Y174" s="204">
        <f t="shared" si="83"/>
        <v>9.7600000000000006E-2</v>
      </c>
      <c r="Z174" s="204">
        <f t="shared" si="84"/>
        <v>5.8952</v>
      </c>
      <c r="AA174" s="204">
        <f t="shared" si="66"/>
        <v>5.7976000000000001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7"/>
        <v>1815</v>
      </c>
      <c r="AE174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74" s="74" t="str">
        <f t="shared" si="69"/>
        <v>"C:\Program Files (x86)\AstroGrep\AstroGrep.exe" /e /r /s /spath="%USERPROFILE%\AppData\Local\Temp\OnboardLogs" /stypes="app*4054*20171028*" /stext=" 19:.+((SYSTEM_STATE.+slice.+state.+changed )|(ment ac)|(multiple cpu faults)|(system.+state.+changed )|(\[timeout)|(PRM\|1\|D)|(kpr)|(kdp)|(train st.+moving)|(\|lc)|(penalty))"</v>
      </c>
      <c r="AG174" s="182" t="str">
        <f t="shared" si="70"/>
        <v>NW</v>
      </c>
      <c r="AH174" s="78" t="str">
        <f t="shared" si="73"/>
        <v>"%USERPROFILE%\Documents\GitHub\eaglep3\Utilities\RefineRTDCRunTimes.py" --tripid 1815-28 --locoid 4054 --swversion DE.1.0.9.0 --startMP 204:976 --initTime 2017-10-28T13:05:27 --startdatetime 2017-10-28T13:09:56 --delay 65 --endMP 300:58952 --enddatetime 2017-10-28T13:23:28 --enforcementcount 0 &gt;&gt;%USERPROFILE%\Documents\GitHub\eaglep3-reporting\EC\2017-10-28-refined-times.txt</v>
      </c>
      <c r="AI174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{"issue":{"subject":"","project_id":79,"tracker_id":40,"status_id":1,"priority_id":2,"assigned_to_id":338,"start_date":"2017-10-28","description":"","custom_fields":[{"id":1,"name":"Subdivision","value":"NW"},{"id":4,"name":"Milepost","value":"5.8952"},{"id":17,"name":"Train ID","value":"1815-28"},{"id":16,"name":"Locomotive ID","value":"4054"},{"id":130,"name":"Impact","value":""},{"id":150,"name":"Time of Event (Mountain Time)","value":"13:23:28"},{"id":151,"name":"Denver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75"/>
        <v>start /low /b %USERPROFILE%\Documents\GitHub\eaglep3\Utilities\DownloadLogsFromS3.py --loco 4054 --day 2017-10-28</v>
      </c>
      <c r="AN174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7"/>
        <v>https://d0f6bd738d7f1b3e5a7ca70fe4ff75f0.us-east-1.aws.found.io/app/kibana#/discover/Steve-Slow-Train-Analysis-(2080s-and-2083s)?_g=(refreshInterval:(display:Off,pause:!f,section:0,value:0),time:(from:'2017-10-28T12:05:27-0600',mode:absolute,to:'2017-10-28T14:23:28-0600'))&amp;_a=(columns:!('Message%20ID',Summary),filters:!(),index:'emp_*',interval:auto,query:(query_string:(analyze_wildcard:!t,query:'%22rtdc.l.rtdc.4054%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775</v>
      </c>
      <c r="B175" s="7">
        <v>4053</v>
      </c>
      <c r="C175" s="21" t="s">
        <v>194</v>
      </c>
      <c r="D175" s="21" t="s">
        <v>973</v>
      </c>
      <c r="E175" s="13">
        <v>43036.560358796298</v>
      </c>
      <c r="F175" s="13">
        <v>43036.570833333331</v>
      </c>
      <c r="G175" s="7">
        <v>50</v>
      </c>
      <c r="H175" s="21" t="s">
        <v>974</v>
      </c>
      <c r="I175" s="13">
        <v>43036.579710648148</v>
      </c>
      <c r="J175" s="7">
        <v>0</v>
      </c>
      <c r="K175" s="89" t="str">
        <f t="shared" si="62"/>
        <v>4053/4054</v>
      </c>
      <c r="L175" s="185" t="str">
        <f>VLOOKUP(A175,'Trips&amp;Operators'!$C$1:$G$99911,5,FALSE)</f>
        <v>LAMAR NEKESHA</v>
      </c>
      <c r="M175" s="6">
        <f t="shared" si="63"/>
        <v>8.8773148163454607E-3</v>
      </c>
      <c r="N175" s="7">
        <f t="shared" si="85"/>
        <v>12.783333335537463</v>
      </c>
      <c r="O175" s="7"/>
      <c r="P175" s="7"/>
      <c r="Q175" s="22"/>
      <c r="R175" s="174"/>
      <c r="S175" s="221">
        <f t="shared" si="87"/>
        <v>1</v>
      </c>
      <c r="T175" s="174" t="str">
        <f t="shared" si="64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5"/>
        <v>https://d0f6bd738d7f1b3e5a7ca70fe4ff75f0.us-east-1.aws.found.io/app/kibana#/discover/Steve-Slow-Train-Analysis-(2080s-and-2083s)?_g=(refreshInterval:(display:Off,pause:!f,section:0,value:0),time:(from:'2017-10-28T12:26:55-0600',mode:absolute,to:'2017-10-28T14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5" s="204" t="str">
        <f>IF(AA175&lt;VLOOKUP(AG175,Variables!$AC$3:$AD$8,2,FALSE),"Y","N")</f>
        <v>N</v>
      </c>
      <c r="X175" s="204">
        <f t="shared" si="86"/>
        <v>1</v>
      </c>
      <c r="Y175" s="204">
        <f t="shared" si="83"/>
        <v>5.8628</v>
      </c>
      <c r="Z175" s="204">
        <f t="shared" si="84"/>
        <v>6.9599999999999995E-2</v>
      </c>
      <c r="AA175" s="204">
        <f t="shared" si="66"/>
        <v>5.7931999999999997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7"/>
        <v>1816</v>
      </c>
      <c r="AE175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75" s="74" t="str">
        <f t="shared" si="69"/>
        <v>"C:\Program Files (x86)\AstroGrep\AstroGrep.exe" /e /r /s /spath="%USERPROFILE%\AppData\Local\Temp\OnboardLogs" /stypes="app*4053*20171028*" /stext=" 19:.+((SYSTEM_STATE.+slice.+state.+changed )|(ment ac)|(multiple cpu faults)|(system.+state.+changed )|(\[timeout)|(PRM\|1\|D)|(kpr)|(kdp)|(train st.+moving)|(\|lc)|(penalty))"</v>
      </c>
      <c r="AG175" s="182" t="str">
        <f t="shared" si="70"/>
        <v>NW</v>
      </c>
      <c r="AH175" s="78" t="str">
        <f t="shared" si="73"/>
        <v>"%USERPROFILE%\Documents\GitHub\eaglep3\Utilities\RefineRTDCRunTimes.py" --tripid 1816-28 --locoid 4053 --swversion DE.1.0.9.0 --startMP 300:58628 --initTime 2017-10-28T13:26:55 --startdatetime 2017-10-28T13:42:00 --delay 50 --endMP 204:696 --enddatetime 2017-10-28T13:54:47 --enforcementcount 0 &gt;&gt;%USERPROFILE%\Documents\GitHub\eaglep3-reporting\EC\2017-10-28-refined-times.txt</v>
      </c>
      <c r="AI175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{"issue":{"subject":"","project_id":79,"tracker_id":40,"status_id":1,"priority_id":2,"assigned_to_id":338,"start_date":"2017-10-28","description":"","custom_fields":[{"id":1,"name":"Subdivision","value":"NW"},{"id":4,"name":"Milepost","value":"0.0696"},{"id":17,"name":"Train ID","value":"1816-28"},{"id":16,"name":"Locomotive ID","value":"4053"},{"id":130,"name":"Impact","value":""},{"id":150,"name":"Time of Event (Mountain Time)","value":"13:54:47"},{"id":151,"name":"Denver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75"/>
        <v>start /low /b %USERPROFILE%\Documents\GitHub\eaglep3\Utilities\DownloadLogsFromS3.py --loco 4053 --day 2017-10-28</v>
      </c>
      <c r="AN175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7"/>
        <v>https://d0f6bd738d7f1b3e5a7ca70fe4ff75f0.us-east-1.aws.found.io/app/kibana#/discover/Steve-Slow-Train-Analysis-(2080s-and-2083s)?_g=(refreshInterval:(display:Off,pause:!f,section:0,value:0),time:(from:'2017-10-28T12:26:55-0600',mode:absolute,to:'2017-10-28T14:54:47-0600'))&amp;_a=(columns:!('Message%20ID',Summary),filters:!(),index:'emp_*',interval:auto,query:(query_string:(analyze_wildcard:!t,query:'%22rtdc.l.rtdc.4053%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780</v>
      </c>
      <c r="B176" s="7">
        <v>4054</v>
      </c>
      <c r="C176" s="21" t="s">
        <v>194</v>
      </c>
      <c r="D176" s="21" t="s">
        <v>971</v>
      </c>
      <c r="E176" s="13">
        <v>43036.581979166665</v>
      </c>
      <c r="F176" s="13">
        <v>43036.589814814812</v>
      </c>
      <c r="G176" s="7">
        <v>143</v>
      </c>
      <c r="H176" s="21" t="s">
        <v>975</v>
      </c>
      <c r="I176" s="13">
        <v>43036.600046296298</v>
      </c>
      <c r="J176" s="7">
        <v>0</v>
      </c>
      <c r="K176" s="89" t="str">
        <f t="shared" si="62"/>
        <v>4053/4054</v>
      </c>
      <c r="L176" s="185" t="str">
        <f>VLOOKUP(A176,'Trips&amp;Operators'!$C$1:$G$99911,5,FALSE)</f>
        <v>SMITH MICHAEL</v>
      </c>
      <c r="M176" s="6">
        <f t="shared" si="63"/>
        <v>1.0231481486698613E-2</v>
      </c>
      <c r="N176" s="7">
        <f t="shared" si="85"/>
        <v>14.733333340846002</v>
      </c>
      <c r="O176" s="7"/>
      <c r="P176" s="7"/>
      <c r="Q176" s="22"/>
      <c r="R176" s="174"/>
      <c r="S176" s="221">
        <f t="shared" si="87"/>
        <v>1</v>
      </c>
      <c r="T176" s="174" t="str">
        <f t="shared" si="64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5"/>
        <v>https://d0f6bd738d7f1b3e5a7ca70fe4ff75f0.us-east-1.aws.found.io/app/kibana#/discover/Steve-Slow-Train-Analysis-(2080s-and-2083s)?_g=(refreshInterval:(display:Off,pause:!f,section:0,value:0),time:(from:'2017-10-28T12:58:03-0600',mode:absolute,to:'2017-10-28T15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6" s="204" t="str">
        <f>IF(AA176&lt;VLOOKUP(AG176,Variables!$AC$3:$AD$8,2,FALSE),"Y","N")</f>
        <v>N</v>
      </c>
      <c r="X176" s="204">
        <f t="shared" si="86"/>
        <v>1</v>
      </c>
      <c r="Y176" s="204">
        <f t="shared" si="83"/>
        <v>9.7600000000000006E-2</v>
      </c>
      <c r="Z176" s="204">
        <f t="shared" si="84"/>
        <v>5.8925999999999998</v>
      </c>
      <c r="AA176" s="204">
        <f t="shared" si="66"/>
        <v>5.7949999999999999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7"/>
        <v>1817</v>
      </c>
      <c r="AE176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76" s="74" t="str">
        <f t="shared" si="69"/>
        <v>"C:\Program Files (x86)\AstroGrep\AstroGrep.exe" /e /r /s /spath="%USERPROFILE%\AppData\Local\Temp\OnboardLogs" /stypes="app*4054*20171028*" /stext=" 20:.+((SYSTEM_STATE.+slice.+state.+changed )|(ment ac)|(multiple cpu faults)|(system.+state.+changed )|(\[timeout)|(PRM\|1\|D)|(kpr)|(kdp)|(train st.+moving)|(\|lc)|(penalty))"</v>
      </c>
      <c r="AG176" s="182" t="str">
        <f t="shared" si="70"/>
        <v>NW</v>
      </c>
      <c r="AH176" s="78" t="str">
        <f t="shared" si="73"/>
        <v>"%USERPROFILE%\Documents\GitHub\eaglep3\Utilities\RefineRTDCRunTimes.py" --tripid 1817-28 --locoid 4054 --swversion DE.1.0.9.0 --startMP 204:976 --initTime 2017-10-28T13:58:03 --startdatetime 2017-10-28T14:09:20 --delay 143 --endMP 300:58926 --enddatetime 2017-10-28T14:24:04 --enforcementcount 0 &gt;&gt;%USERPROFILE%\Documents\GitHub\eaglep3-reporting\EC\2017-10-28-refined-times.txt</v>
      </c>
      <c r="AI176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{"issue":{"subject":"","project_id":79,"tracker_id":40,"status_id":1,"priority_id":2,"assigned_to_id":338,"start_date":"2017-10-28","description":"","custom_fields":[{"id":1,"name":"Subdivision","value":"NW"},{"id":4,"name":"Milepost","value":"5.8926"},{"id":17,"name":"Train ID","value":"1817-28"},{"id":16,"name":"Locomotive ID","value":"4054"},{"id":130,"name":"Impact","value":""},{"id":150,"name":"Time of Event (Mountain Time)","value":"14:24:04"},{"id":151,"name":"Denver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75"/>
        <v>start /low /b %USERPROFILE%\Documents\GitHub\eaglep3\Utilities\DownloadLogsFromS3.py --loco 4054 --day 2017-10-28</v>
      </c>
      <c r="AN176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7"/>
        <v>https://d0f6bd738d7f1b3e5a7ca70fe4ff75f0.us-east-1.aws.found.io/app/kibana#/discover/Steve-Slow-Train-Analysis-(2080s-and-2083s)?_g=(refreshInterval:(display:Off,pause:!f,section:0,value:0),time:(from:'2017-10-28T12:58:03-0600',mode:absolute,to:'2017-10-28T15:24:04-0600'))&amp;_a=(columns:!('Message%20ID',Summary),filters:!(),index:'emp_*',interval:auto,query:(query_string:(analyze_wildcard:!t,query:'%22rtdc.l.rtdc.4054%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631</v>
      </c>
      <c r="B177" s="7">
        <v>4053</v>
      </c>
      <c r="C177" s="21" t="s">
        <v>194</v>
      </c>
      <c r="D177" s="21" t="s">
        <v>976</v>
      </c>
      <c r="E177" s="13">
        <v>43036.602361111109</v>
      </c>
      <c r="F177" s="13">
        <v>43036.604895833334</v>
      </c>
      <c r="G177" s="7">
        <v>82</v>
      </c>
      <c r="H177" s="21" t="s">
        <v>574</v>
      </c>
      <c r="I177" s="13">
        <v>43036.62190972222</v>
      </c>
      <c r="J177" s="7">
        <v>0</v>
      </c>
      <c r="K177" s="89" t="str">
        <f t="shared" si="62"/>
        <v>4053/4054</v>
      </c>
      <c r="L177" s="185" t="str">
        <f>VLOOKUP(A177,'Trips&amp;Operators'!$C$1:$G$99911,5,FALSE)</f>
        <v>SMITH MICHAEL</v>
      </c>
      <c r="M177" s="6">
        <f t="shared" si="63"/>
        <v>1.7013888886140194E-2</v>
      </c>
      <c r="N177" s="7">
        <f t="shared" si="85"/>
        <v>24.499999996041879</v>
      </c>
      <c r="O177" s="7"/>
      <c r="P177" s="7"/>
      <c r="Q177" s="22"/>
      <c r="R177" s="174"/>
      <c r="S177" s="221">
        <f t="shared" si="87"/>
        <v>1</v>
      </c>
      <c r="T177" s="174" t="str">
        <f t="shared" si="64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5"/>
        <v>https://d0f6bd738d7f1b3e5a7ca70fe4ff75f0.us-east-1.aws.found.io/app/kibana#/discover/Steve-Slow-Train-Analysis-(2080s-and-2083s)?_g=(refreshInterval:(display:Off,pause:!f,section:0,value:0),time:(from:'2017-10-28T13:27:24-0600',mode:absolute,to:'2017-10-28T15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7" s="204" t="str">
        <f>IF(AA177&lt;VLOOKUP(AG177,Variables!$AC$3:$AD$8,2,FALSE),"Y","N")</f>
        <v>N</v>
      </c>
      <c r="X177" s="204">
        <f t="shared" si="86"/>
        <v>1</v>
      </c>
      <c r="Y177" s="204">
        <f t="shared" si="83"/>
        <v>5.8605999999999998</v>
      </c>
      <c r="Z177" s="204">
        <f t="shared" si="84"/>
        <v>6.5000000000000002E-2</v>
      </c>
      <c r="AA177" s="204">
        <f t="shared" si="66"/>
        <v>5.7955999999999994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7"/>
        <v>1818</v>
      </c>
      <c r="AE177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77" s="74" t="str">
        <f t="shared" si="69"/>
        <v>"C:\Program Files (x86)\AstroGrep\AstroGrep.exe" /e /r /s /spath="%USERPROFILE%\AppData\Local\Temp\OnboardLogs" /stypes="app*4053*20171028*" /stext=" 20:.+((SYSTEM_STATE.+slice.+state.+changed )|(ment ac)|(multiple cpu faults)|(system.+state.+changed )|(\[timeout)|(PRM\|1\|D)|(kpr)|(kdp)|(train st.+moving)|(\|lc)|(penalty))"</v>
      </c>
      <c r="AG177" s="182" t="str">
        <f t="shared" si="70"/>
        <v>NW</v>
      </c>
      <c r="AH177" s="78" t="str">
        <f t="shared" si="73"/>
        <v>"%USERPROFILE%\Documents\GitHub\eaglep3\Utilities\RefineRTDCRunTimes.py" --tripid 1818-28 --locoid 4053 --swversion DE.1.0.9.0 --startMP 300:58606 --initTime 2017-10-28T14:27:24 --startdatetime 2017-10-28T14:31:03 --delay 82 --endMP 204:650 --enddatetime 2017-10-28T14:55:33 --enforcementcount 0 &gt;&gt;%USERPROFILE%\Documents\GitHub\eaglep3-reporting\EC\2017-10-28-refined-times.txt</v>
      </c>
      <c r="AI177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{"issue":{"subject":"","project_id":79,"tracker_id":40,"status_id":1,"priority_id":2,"assigned_to_id":338,"start_date":"2017-10-28","description":"","custom_fields":[{"id":1,"name":"Subdivision","value":"NW"},{"id":4,"name":"Milepost","value":"0.065"},{"id":17,"name":"Train ID","value":"1818-28"},{"id":16,"name":"Locomotive ID","value":"4053"},{"id":130,"name":"Impact","value":""},{"id":150,"name":"Time of Event (Mountain Time)","value":"14:55:33"},{"id":151,"name":"Denver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75"/>
        <v>start /low /b %USERPROFILE%\Documents\GitHub\eaglep3\Utilities\DownloadLogsFromS3.py --loco 4053 --day 2017-10-28</v>
      </c>
      <c r="AN177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20:55:33"},{"id":29,"name":"Sharepoint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7"/>
        <v>https://d0f6bd738d7f1b3e5a7ca70fe4ff75f0.us-east-1.aws.found.io/app/kibana#/discover/Steve-Slow-Train-Analysis-(2080s-and-2083s)?_g=(refreshInterval:(display:Off,pause:!f,section:0,value:0),time:(from:'2017-10-28T13:27:24-0600',mode:absolute,to:'2017-10-28T15:55:33-0600'))&amp;_a=(columns:!('Message%20ID',Summary),filters:!(),index:'emp_*',interval:auto,query:(query_string:(analyze_wildcard:!t,query:'%22rtdc.l.rtdc.4053%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789</v>
      </c>
      <c r="B178" s="7">
        <v>4054</v>
      </c>
      <c r="C178" s="21" t="s">
        <v>194</v>
      </c>
      <c r="D178" s="21" t="s">
        <v>977</v>
      </c>
      <c r="E178" s="13">
        <v>43036.623726851853</v>
      </c>
      <c r="F178" s="13">
        <v>43036.631435185183</v>
      </c>
      <c r="G178" s="7">
        <v>464</v>
      </c>
      <c r="H178" s="21" t="s">
        <v>978</v>
      </c>
      <c r="I178" s="13">
        <v>43036.641527777778</v>
      </c>
      <c r="J178" s="7">
        <v>0</v>
      </c>
      <c r="K178" s="89" t="str">
        <f t="shared" si="62"/>
        <v>4053/4054</v>
      </c>
      <c r="L178" s="185" t="str">
        <f>VLOOKUP(A178,'Trips&amp;Operators'!$C$1:$G$99911,5,FALSE)</f>
        <v>GONZALEZ ARMANDO</v>
      </c>
      <c r="M178" s="6">
        <f t="shared" si="63"/>
        <v>1.0092592594446614E-2</v>
      </c>
      <c r="N178" s="7">
        <f t="shared" si="85"/>
        <v>14.533333336003125</v>
      </c>
      <c r="O178" s="7"/>
      <c r="P178" s="7"/>
      <c r="Q178" s="22"/>
      <c r="R178" s="174"/>
      <c r="S178" s="221">
        <f t="shared" si="87"/>
        <v>1</v>
      </c>
      <c r="T178" s="174" t="str">
        <f t="shared" si="64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5"/>
        <v>https://d0f6bd738d7f1b3e5a7ca70fe4ff75f0.us-east-1.aws.found.io/app/kibana#/discover/Steve-Slow-Train-Analysis-(2080s-and-2083s)?_g=(refreshInterval:(display:Off,pause:!f,section:0,value:0),time:(from:'2017-10-28T13:58:10-0600',mode:absolute,to:'2017-10-28T16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8" s="204" t="str">
        <f>IF(AA178&lt;VLOOKUP(AG178,Variables!$AC$3:$AD$8,2,FALSE),"Y","N")</f>
        <v>N</v>
      </c>
      <c r="X178" s="204">
        <f t="shared" si="86"/>
        <v>1</v>
      </c>
      <c r="Y178" s="204">
        <f t="shared" si="83"/>
        <v>9.7100000000000006E-2</v>
      </c>
      <c r="Z178" s="204">
        <f t="shared" si="84"/>
        <v>5.8929</v>
      </c>
      <c r="AA178" s="204">
        <f t="shared" si="66"/>
        <v>5.7957999999999998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7"/>
        <v>1819</v>
      </c>
      <c r="AE178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78" s="74" t="str">
        <f t="shared" si="69"/>
        <v>"C:\Program Files (x86)\AstroGrep\AstroGrep.exe" /e /r /s /spath="%USERPROFILE%\AppData\Local\Temp\OnboardLogs" /stypes="app*4054*20171028*" /stext=" 21:.+((SYSTEM_STATE.+slice.+state.+changed )|(ment ac)|(multiple cpu faults)|(system.+state.+changed )|(\[timeout)|(PRM\|1\|D)|(kpr)|(kdp)|(train st.+moving)|(\|lc)|(penalty))"</v>
      </c>
      <c r="AG178" s="182" t="str">
        <f t="shared" si="70"/>
        <v>NW</v>
      </c>
      <c r="AH178" s="78" t="str">
        <f t="shared" si="73"/>
        <v>"%USERPROFILE%\Documents\GitHub\eaglep3\Utilities\RefineRTDCRunTimes.py" --tripid 1819-28 --locoid 4054 --swversion DE.1.0.9.0 --startMP 204:971 --initTime 2017-10-28T14:58:10 --startdatetime 2017-10-28T15:09:16 --delay 464 --endMP 300:58929 --enddatetime 2017-10-28T15:23:48 --enforcementcount 0 &gt;&gt;%USERPROFILE%\Documents\GitHub\eaglep3-reporting\EC\2017-10-28-refined-times.txt</v>
      </c>
      <c r="AI178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{"issue":{"subject":"","project_id":79,"tracker_id":40,"status_id":1,"priority_id":2,"assigned_to_id":338,"start_date":"2017-10-28","description":"","custom_fields":[{"id":1,"name":"Subdivision","value":"NW"},{"id":4,"name":"Milepost","value":"5.8929"},{"id":17,"name":"Train ID","value":"1819-28"},{"id":16,"name":"Locomotive ID","value":"4054"},{"id":130,"name":"Impact","value":""},{"id":150,"name":"Time of Event (Mountain Time)","value":"15:23:48"},{"id":151,"name":"Denver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75"/>
        <v>start /low /b %USERPROFILE%\Documents\GitHub\eaglep3\Utilities\DownloadLogsFromS3.py --loco 4054 --day 2017-10-28</v>
      </c>
      <c r="AN178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7"/>
        <v>https://d0f6bd738d7f1b3e5a7ca70fe4ff75f0.us-east-1.aws.found.io/app/kibana#/discover/Steve-Slow-Train-Analysis-(2080s-and-2083s)?_g=(refreshInterval:(display:Off,pause:!f,section:0,value:0),time:(from:'2017-10-28T13:58:10-0600',mode:absolute,to:'2017-10-28T16:23:48-0600'))&amp;_a=(columns:!('Message%20ID',Summary),filters:!(),index:'emp_*',interval:auto,query:(query_string:(analyze_wildcard:!t,query:'%22rtdc.l.rtdc.4054%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795</v>
      </c>
      <c r="B179" s="7">
        <v>4053</v>
      </c>
      <c r="C179" s="21" t="s">
        <v>194</v>
      </c>
      <c r="D179" s="21" t="s">
        <v>606</v>
      </c>
      <c r="E179" s="13">
        <v>43036.643090277779</v>
      </c>
      <c r="F179" s="13">
        <v>43036.654166666667</v>
      </c>
      <c r="G179" s="7">
        <v>81</v>
      </c>
      <c r="H179" s="21" t="s">
        <v>980</v>
      </c>
      <c r="I179" s="13">
        <v>43036.663900462961</v>
      </c>
      <c r="J179" s="7">
        <v>0</v>
      </c>
      <c r="K179" s="89" t="str">
        <f t="shared" si="62"/>
        <v>4053/4054</v>
      </c>
      <c r="L179" s="185" t="str">
        <f>VLOOKUP(A179,'Trips&amp;Operators'!$C$1:$G$99911,5,FALSE)</f>
        <v>GONZALEZ ARMANDO</v>
      </c>
      <c r="M179" s="6">
        <f t="shared" si="63"/>
        <v>9.7337962943129241E-3</v>
      </c>
      <c r="N179" s="7">
        <f t="shared" si="85"/>
        <v>14.016666663810611</v>
      </c>
      <c r="O179" s="7"/>
      <c r="P179" s="7"/>
      <c r="Q179" s="22"/>
      <c r="R179" s="174"/>
      <c r="S179" s="221">
        <f t="shared" si="87"/>
        <v>1</v>
      </c>
      <c r="T179" s="174" t="str">
        <f t="shared" si="64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5"/>
        <v>https://d0f6bd738d7f1b3e5a7ca70fe4ff75f0.us-east-1.aws.found.io/app/kibana#/discover/Steve-Slow-Train-Analysis-(2080s-and-2083s)?_g=(refreshInterval:(display:Off,pause:!f,section:0,value:0),time:(from:'2017-10-28T14:26:03-0600',mode:absolute,to:'2017-10-28T16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9" s="204" t="str">
        <f>IF(AA179&lt;VLOOKUP(AG179,Variables!$AC$3:$AD$8,2,FALSE),"Y","N")</f>
        <v>N</v>
      </c>
      <c r="X179" s="204">
        <f t="shared" si="86"/>
        <v>1</v>
      </c>
      <c r="Y179" s="204">
        <f t="shared" si="83"/>
        <v>5.8623000000000003</v>
      </c>
      <c r="Z179" s="204">
        <f t="shared" si="84"/>
        <v>6.7100000000000007E-2</v>
      </c>
      <c r="AA179" s="204">
        <f t="shared" si="66"/>
        <v>5.7952000000000004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7"/>
        <v>1820</v>
      </c>
      <c r="AE179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79" s="74" t="str">
        <f t="shared" si="69"/>
        <v>"C:\Program Files (x86)\AstroGrep\AstroGrep.exe" /e /r /s /spath="%USERPROFILE%\AppData\Local\Temp\OnboardLogs" /stypes="app*4053*20171028*" /stext=" 21:.+((SYSTEM_STATE.+slice.+state.+changed )|(ment ac)|(multiple cpu faults)|(system.+state.+changed )|(\[timeout)|(PRM\|1\|D)|(kpr)|(kdp)|(train st.+moving)|(\|lc)|(penalty))"</v>
      </c>
      <c r="AG179" s="182" t="str">
        <f t="shared" si="70"/>
        <v>NW</v>
      </c>
      <c r="AH179" s="78" t="str">
        <f t="shared" si="73"/>
        <v>"%USERPROFILE%\Documents\GitHub\eaglep3\Utilities\RefineRTDCRunTimes.py" --tripid 1820-28 --locoid 4053 --swversion DE.1.0.9.0 --startMP 300:58623 --initTime 2017-10-28T15:26:03 --startdatetime 2017-10-28T15:42:00 --delay 81 --endMP 204:671 --enddatetime 2017-10-28T15:56:01 --enforcementcount 0 &gt;&gt;%USERPROFILE%\Documents\GitHub\eaglep3-reporting\EC\2017-10-28-refined-times.txt</v>
      </c>
      <c r="AI179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{"issue":{"subject":"","project_id":79,"tracker_id":40,"status_id":1,"priority_id":2,"assigned_to_id":338,"start_date":"2017-10-28","description":"","custom_fields":[{"id":1,"name":"Subdivision","value":"NW"},{"id":4,"name":"Milepost","value":"0.0671"},{"id":17,"name":"Train ID","value":"1820-28"},{"id":16,"name":"Locomotive ID","value":"4053"},{"id":130,"name":"Impact","value":""},{"id":150,"name":"Time of Event (Mountain Time)","value":"15:56:01"},{"id":151,"name":"Denver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75"/>
        <v>start /low /b %USERPROFILE%\Documents\GitHub\eaglep3\Utilities\DownloadLogsFromS3.py --loco 4053 --day 2017-10-28</v>
      </c>
      <c r="AN179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21:56:01"},{"id":29,"name":"Sharepoint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7"/>
        <v>https://d0f6bd738d7f1b3e5a7ca70fe4ff75f0.us-east-1.aws.found.io/app/kibana#/discover/Steve-Slow-Train-Analysis-(2080s-and-2083s)?_g=(refreshInterval:(display:Off,pause:!f,section:0,value:0),time:(from:'2017-10-28T14:26:03-0600',mode:absolute,to:'2017-10-28T16:56:01-0600'))&amp;_a=(columns:!('Message%20ID',Summary),filters:!(),index:'emp_*',interval:auto,query:(query_string:(analyze_wildcard:!t,query:'%22rtdc.l.rtdc.4053%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801</v>
      </c>
      <c r="B180" s="7">
        <v>4054</v>
      </c>
      <c r="C180" s="21" t="s">
        <v>194</v>
      </c>
      <c r="D180" s="21" t="s">
        <v>971</v>
      </c>
      <c r="E180" s="13">
        <v>43036.665497685186</v>
      </c>
      <c r="F180" s="13">
        <v>43036.673148148147</v>
      </c>
      <c r="G180" s="7">
        <v>81</v>
      </c>
      <c r="H180" s="21" t="s">
        <v>981</v>
      </c>
      <c r="I180" s="13">
        <v>43036.683078703703</v>
      </c>
      <c r="J180" s="7">
        <v>0</v>
      </c>
      <c r="K180" s="89" t="str">
        <f t="shared" si="62"/>
        <v>4053/4054</v>
      </c>
      <c r="L180" s="185" t="str">
        <f>VLOOKUP(A180,'Trips&amp;Operators'!$C$1:$G$99911,5,FALSE)</f>
        <v>SMITH MICHAEL</v>
      </c>
      <c r="M180" s="6">
        <f t="shared" si="63"/>
        <v>9.930555555911269E-3</v>
      </c>
      <c r="N180" s="7">
        <f t="shared" si="85"/>
        <v>14.300000000512227</v>
      </c>
      <c r="O180" s="7"/>
      <c r="P180" s="7"/>
      <c r="Q180" s="22"/>
      <c r="R180" s="174"/>
      <c r="S180" s="221">
        <f t="shared" si="87"/>
        <v>1</v>
      </c>
      <c r="T180" s="174" t="str">
        <f t="shared" si="64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5"/>
        <v>https://d0f6bd738d7f1b3e5a7ca70fe4ff75f0.us-east-1.aws.found.io/app/kibana#/discover/Steve-Slow-Train-Analysis-(2080s-and-2083s)?_g=(refreshInterval:(display:Off,pause:!f,section:0,value:0),time:(from:'2017-10-28T14:58:19-0600',mode:absolute,to:'2017-10-28T17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0" s="204" t="str">
        <f>IF(AA180&lt;VLOOKUP(AG180,Variables!$AC$3:$AD$8,2,FALSE),"Y","N")</f>
        <v>N</v>
      </c>
      <c r="X180" s="204">
        <f t="shared" si="86"/>
        <v>1</v>
      </c>
      <c r="Y180" s="204">
        <f t="shared" si="83"/>
        <v>9.7600000000000006E-2</v>
      </c>
      <c r="Z180" s="204">
        <f t="shared" si="84"/>
        <v>5.8921999999999999</v>
      </c>
      <c r="AA180" s="204">
        <f t="shared" si="66"/>
        <v>5.7946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7"/>
        <v>1821</v>
      </c>
      <c r="AE180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80" s="74" t="str">
        <f t="shared" si="69"/>
        <v>"C:\Program Files (x86)\AstroGrep\AstroGrep.exe" /e /r /s /spath="%USERPROFILE%\AppData\Local\Temp\OnboardLogs" /stypes="app*4054*20171028*" /stext=" 22:.+((SYSTEM_STATE.+slice.+state.+changed )|(ment ac)|(multiple cpu faults)|(system.+state.+changed )|(\[timeout)|(PRM\|1\|D)|(kpr)|(kdp)|(train st.+moving)|(\|lc)|(penalty))"</v>
      </c>
      <c r="AG180" s="182" t="str">
        <f t="shared" si="70"/>
        <v>NW</v>
      </c>
      <c r="AH180" s="78" t="str">
        <f t="shared" si="73"/>
        <v>"%USERPROFILE%\Documents\GitHub\eaglep3\Utilities\RefineRTDCRunTimes.py" --tripid 1821-28 --locoid 4054 --swversion DE.1.0.9.0 --startMP 204:976 --initTime 2017-10-28T15:58:19 --startdatetime 2017-10-28T16:09:20 --delay 81 --endMP 300:58922 --enddatetime 2017-10-28T16:23:38 --enforcementcount 0 &gt;&gt;%USERPROFILE%\Documents\GitHub\eaglep3-reporting\EC\2017-10-28-refined-times.txt</v>
      </c>
      <c r="AI180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{"issue":{"subject":"","project_id":79,"tracker_id":40,"status_id":1,"priority_id":2,"assigned_to_id":338,"start_date":"2017-10-28","description":"","custom_fields":[{"id":1,"name":"Subdivision","value":"NW"},{"id":4,"name":"Milepost","value":"5.8922"},{"id":17,"name":"Train ID","value":"1821-28"},{"id":16,"name":"Locomotive ID","value":"4054"},{"id":130,"name":"Impact","value":""},{"id":150,"name":"Time of Event (Mountain Time)","value":"16:23:38"},{"id":151,"name":"Denver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75"/>
        <v>start /low /b %USERPROFILE%\Documents\GitHub\eaglep3\Utilities\DownloadLogsFromS3.py --loco 4054 --day 2017-10-28</v>
      </c>
      <c r="AN180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7"/>
        <v>https://d0f6bd738d7f1b3e5a7ca70fe4ff75f0.us-east-1.aws.found.io/app/kibana#/discover/Steve-Slow-Train-Analysis-(2080s-and-2083s)?_g=(refreshInterval:(display:Off,pause:!f,section:0,value:0),time:(from:'2017-10-28T14:58:19-0600',mode:absolute,to:'2017-10-28T17:23:38-0600'))&amp;_a=(columns:!('Message%20ID',Summary),filters:!(),index:'emp_*',interval:auto,query:(query_string:(analyze_wildcard:!t,query:'%22rtdc.l.rtdc.4054%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806</v>
      </c>
      <c r="B181" s="7">
        <v>4053</v>
      </c>
      <c r="C181" s="21" t="s">
        <v>194</v>
      </c>
      <c r="D181" s="21" t="s">
        <v>982</v>
      </c>
      <c r="E181" s="13">
        <v>43036.688009259262</v>
      </c>
      <c r="F181" s="13">
        <v>43036.690613425926</v>
      </c>
      <c r="G181" s="7">
        <v>95</v>
      </c>
      <c r="H181" s="21" t="s">
        <v>983</v>
      </c>
      <c r="I181" s="13">
        <v>43036.705462962964</v>
      </c>
      <c r="J181" s="7">
        <v>0</v>
      </c>
      <c r="K181" s="89" t="str">
        <f t="shared" si="62"/>
        <v>4053/4054</v>
      </c>
      <c r="L181" s="185" t="str">
        <f>VLOOKUP(A181,'Trips&amp;Operators'!$C$1:$G$99911,5,FALSE)</f>
        <v>SMITH MICHAEL</v>
      </c>
      <c r="M181" s="6">
        <f t="shared" si="63"/>
        <v>1.484953703766223E-2</v>
      </c>
      <c r="N181" s="7">
        <f t="shared" si="85"/>
        <v>21.383333334233612</v>
      </c>
      <c r="O181" s="7"/>
      <c r="P181" s="7"/>
      <c r="Q181" s="22"/>
      <c r="R181" s="174"/>
      <c r="S181" s="221">
        <f t="shared" si="87"/>
        <v>1</v>
      </c>
      <c r="T181" s="174" t="str">
        <f t="shared" si="64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5"/>
        <v>https://d0f6bd738d7f1b3e5a7ca70fe4ff75f0.us-east-1.aws.found.io/app/kibana#/discover/Steve-Slow-Train-Analysis-(2080s-and-2083s)?_g=(refreshInterval:(display:Off,pause:!f,section:0,value:0),time:(from:'2017-10-28T15:30:44-0600',mode:absolute,to:'2017-10-28T17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1" s="204" t="str">
        <f>IF(AA181&lt;VLOOKUP(AG181,Variables!$AC$3:$AD$8,2,FALSE),"Y","N")</f>
        <v>N</v>
      </c>
      <c r="X181" s="204">
        <f t="shared" si="86"/>
        <v>1</v>
      </c>
      <c r="Y181" s="204">
        <f t="shared" si="83"/>
        <v>5.8608000000000002</v>
      </c>
      <c r="Z181" s="204">
        <f t="shared" si="84"/>
        <v>6.5699999999999995E-2</v>
      </c>
      <c r="AA181" s="204">
        <f t="shared" si="66"/>
        <v>5.7951000000000006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7"/>
        <v>1822</v>
      </c>
      <c r="AE181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81" s="74" t="str">
        <f t="shared" si="69"/>
        <v>"C:\Program Files (x86)\AstroGrep\AstroGrep.exe" /e /r /s /spath="%USERPROFILE%\AppData\Local\Temp\OnboardLogs" /stypes="app*4053*20171028*" /stext=" 22:.+((SYSTEM_STATE.+slice.+state.+changed )|(ment ac)|(multiple cpu faults)|(system.+state.+changed )|(\[timeout)|(PRM\|1\|D)|(kpr)|(kdp)|(train st.+moving)|(\|lc)|(penalty))"</v>
      </c>
      <c r="AG181" s="182" t="str">
        <f t="shared" si="70"/>
        <v>NW</v>
      </c>
      <c r="AH181" s="78" t="str">
        <f t="shared" si="73"/>
        <v>"%USERPROFILE%\Documents\GitHub\eaglep3\Utilities\RefineRTDCRunTimes.py" --tripid 1822-28 --locoid 4053 --swversion DE.1.0.9.0 --startMP 300:58608 --initTime 2017-10-28T16:30:44 --startdatetime 2017-10-28T16:34:29 --delay 95 --endMP 204:657 --enddatetime 2017-10-28T16:55:52 --enforcementcount 0 &gt;&gt;%USERPROFILE%\Documents\GitHub\eaglep3-reporting\EC\2017-10-28-refined-times.txt</v>
      </c>
      <c r="AI181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{"issue":{"subject":"","project_id":79,"tracker_id":40,"status_id":1,"priority_id":2,"assigned_to_id":338,"start_date":"2017-10-28","description":"","custom_fields":[{"id":1,"name":"Subdivision","value":"NW"},{"id":4,"name":"Milepost","value":"0.0657"},{"id":17,"name":"Train ID","value":"1822-28"},{"id":16,"name":"Locomotive ID","value":"4053"},{"id":130,"name":"Impact","value":""},{"id":150,"name":"Time of Event (Mountain Time)","value":"16:55:52"},{"id":151,"name":"Denver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75"/>
        <v>start /low /b %USERPROFILE%\Documents\GitHub\eaglep3\Utilities\DownloadLogsFromS3.py --loco 4053 --day 2017-10-28</v>
      </c>
      <c r="AN181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7"/>
        <v>https://d0f6bd738d7f1b3e5a7ca70fe4ff75f0.us-east-1.aws.found.io/app/kibana#/discover/Steve-Slow-Train-Analysis-(2080s-and-2083s)?_g=(refreshInterval:(display:Off,pause:!f,section:0,value:0),time:(from:'2017-10-28T15:30:44-0600',mode:absolute,to:'2017-10-28T17:55:52-0600'))&amp;_a=(columns:!('Message%20ID',Summary),filters:!(),index:'emp_*',interval:auto,query:(query_string:(analyze_wildcard:!t,query:'%22rtdc.l.rtdc.4053%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811</v>
      </c>
      <c r="B182" s="7">
        <v>4054</v>
      </c>
      <c r="C182" s="21" t="s">
        <v>194</v>
      </c>
      <c r="D182" s="21" t="s">
        <v>950</v>
      </c>
      <c r="E182" s="13">
        <v>43036.710138888891</v>
      </c>
      <c r="F182" s="13">
        <v>43036.715173611112</v>
      </c>
      <c r="G182" s="7">
        <v>73</v>
      </c>
      <c r="H182" s="21" t="s">
        <v>984</v>
      </c>
      <c r="I182" s="13">
        <v>43036.725173611114</v>
      </c>
      <c r="J182" s="7">
        <v>0</v>
      </c>
      <c r="K182" s="89" t="str">
        <f t="shared" si="62"/>
        <v>4053/4054</v>
      </c>
      <c r="L182" s="185" t="str">
        <f>VLOOKUP(A182,'Trips&amp;Operators'!$C$1:$G$99911,5,FALSE)</f>
        <v>SMITH MICHAEL</v>
      </c>
      <c r="M182" s="6">
        <f t="shared" si="63"/>
        <v>1.0000000002037268E-2</v>
      </c>
      <c r="N182" s="7">
        <f t="shared" si="85"/>
        <v>14.400000002933666</v>
      </c>
      <c r="O182" s="7"/>
      <c r="P182" s="7"/>
      <c r="Q182" s="22"/>
      <c r="R182" s="174"/>
      <c r="S182" s="221">
        <f t="shared" si="87"/>
        <v>1</v>
      </c>
      <c r="T182" s="174" t="str">
        <f t="shared" si="64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5"/>
        <v>https://d0f6bd738d7f1b3e5a7ca70fe4ff75f0.us-east-1.aws.found.io/app/kibana#/discover/Steve-Slow-Train-Analysis-(2080s-and-2083s)?_g=(refreshInterval:(display:Off,pause:!f,section:0,value:0),time:(from:'2017-10-28T16:02:36-0600',mode:absolute,to:'2017-10-28T18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2" s="204" t="str">
        <f>IF(AA182&lt;VLOOKUP(AG182,Variables!$AC$3:$AD$8,2,FALSE),"Y","N")</f>
        <v>N</v>
      </c>
      <c r="X182" s="204">
        <f t="shared" si="86"/>
        <v>1</v>
      </c>
      <c r="Y182" s="204">
        <f t="shared" si="83"/>
        <v>9.6699999999999994E-2</v>
      </c>
      <c r="Z182" s="204">
        <f t="shared" si="84"/>
        <v>5.8912000000000004</v>
      </c>
      <c r="AA182" s="204">
        <f t="shared" si="66"/>
        <v>5.7945000000000002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7"/>
        <v>1823</v>
      </c>
      <c r="AE182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82" s="74" t="str">
        <f t="shared" si="69"/>
        <v>"C:\Program Files (x86)\AstroGrep\AstroGrep.exe" /e /r /s /spath="%USERPROFILE%\AppData\Local\Temp\OnboardLogs" /stypes="app*4054*20171028*" /stext=" 23:.+((SYSTEM_STATE.+slice.+state.+changed )|(ment ac)|(multiple cpu faults)|(system.+state.+changed )|(\[timeout)|(PRM\|1\|D)|(kpr)|(kdp)|(train st.+moving)|(\|lc)|(penalty))"</v>
      </c>
      <c r="AG182" s="182" t="str">
        <f t="shared" si="70"/>
        <v>NW</v>
      </c>
      <c r="AH182" s="78" t="str">
        <f t="shared" si="73"/>
        <v>"%USERPROFILE%\Documents\GitHub\eaglep3\Utilities\RefineRTDCRunTimes.py" --tripid 1823-28 --locoid 4054 --swversion DE.1.0.9.0 --startMP 204:967 --initTime 2017-10-28T17:02:36 --startdatetime 2017-10-28T17:09:51 --delay 73 --endMP 300:58912 --enddatetime 2017-10-28T17:24:15 --enforcementcount 0 &gt;&gt;%USERPROFILE%\Documents\GitHub\eaglep3-reporting\EC\2017-10-28-refined-times.txt</v>
      </c>
      <c r="AI182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{"issue":{"subject":"","project_id":79,"tracker_id":40,"status_id":1,"priority_id":2,"assigned_to_id":338,"start_date":"2017-10-28","description":"","custom_fields":[{"id":1,"name":"Subdivision","value":"NW"},{"id":4,"name":"Milepost","value":"5.8912"},{"id":17,"name":"Train ID","value":"1823-28"},{"id":16,"name":"Locomotive ID","value":"4054"},{"id":130,"name":"Impact","value":""},{"id":150,"name":"Time of Event (Mountain Time)","value":"17:24:15"},{"id":151,"name":"Denver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75"/>
        <v>start /low /b %USERPROFILE%\Documents\GitHub\eaglep3\Utilities\DownloadLogsFromS3.py --loco 4054 --day 2017-10-28</v>
      </c>
      <c r="AN182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7"/>
        <v>https://d0f6bd738d7f1b3e5a7ca70fe4ff75f0.us-east-1.aws.found.io/app/kibana#/discover/Steve-Slow-Train-Analysis-(2080s-and-2083s)?_g=(refreshInterval:(display:Off,pause:!f,section:0,value:0),time:(from:'2017-10-28T16:02:36-0600',mode:absolute,to:'2017-10-28T18:24:15-0600'))&amp;_a=(columns:!('Message%20ID',Summary),filters:!(),index:'emp_*',interval:auto,query:(query_string:(analyze_wildcard:!t,query:'%22rtdc.l.rtdc.4054%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816</v>
      </c>
      <c r="B183" s="7">
        <v>4053</v>
      </c>
      <c r="C183" s="21" t="s">
        <v>194</v>
      </c>
      <c r="D183" s="21" t="s">
        <v>985</v>
      </c>
      <c r="E183" s="13">
        <v>43036.726770833331</v>
      </c>
      <c r="F183" s="13">
        <v>43036.737500000003</v>
      </c>
      <c r="G183" s="7">
        <v>63</v>
      </c>
      <c r="H183" s="21" t="s">
        <v>986</v>
      </c>
      <c r="I183" s="13">
        <v>43036.74726851852</v>
      </c>
      <c r="J183" s="7">
        <v>0</v>
      </c>
      <c r="K183" s="89" t="str">
        <f t="shared" si="62"/>
        <v>4053/4054</v>
      </c>
      <c r="L183" s="185" t="str">
        <f>VLOOKUP(A183,'Trips&amp;Operators'!$C$1:$G$99911,5,FALSE)</f>
        <v>SMITH MICHAEL</v>
      </c>
      <c r="M183" s="6">
        <f t="shared" si="63"/>
        <v>9.7685185173759237E-3</v>
      </c>
      <c r="N183" s="7">
        <f t="shared" si="85"/>
        <v>14.06666666502133</v>
      </c>
      <c r="O183" s="7"/>
      <c r="P183" s="7"/>
      <c r="Q183" s="22"/>
      <c r="R183" s="174"/>
      <c r="S183" s="221">
        <f t="shared" si="87"/>
        <v>1</v>
      </c>
      <c r="T183" s="174" t="str">
        <f t="shared" si="64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5"/>
        <v>https://d0f6bd738d7f1b3e5a7ca70fe4ff75f0.us-east-1.aws.found.io/app/kibana#/discover/Steve-Slow-Train-Analysis-(2080s-and-2083s)?_g=(refreshInterval:(display:Off,pause:!f,section:0,value:0),time:(from:'2017-10-28T16:26:33-0600',mode:absolute,to:'2017-10-28T18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3" s="204" t="str">
        <f>IF(AA183&lt;VLOOKUP(AG183,Variables!$AC$3:$AD$8,2,FALSE),"Y","N")</f>
        <v>N</v>
      </c>
      <c r="X183" s="204">
        <f t="shared" si="86"/>
        <v>1</v>
      </c>
      <c r="Y183" s="204">
        <f t="shared" si="83"/>
        <v>5.8592000000000004</v>
      </c>
      <c r="Z183" s="204">
        <f t="shared" si="84"/>
        <v>6.9800000000000001E-2</v>
      </c>
      <c r="AA183" s="204">
        <f t="shared" si="66"/>
        <v>5.7894000000000005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7"/>
        <v>1824</v>
      </c>
      <c r="AE183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83" s="74" t="str">
        <f t="shared" si="69"/>
        <v>"C:\Program Files (x86)\AstroGrep\AstroGrep.exe" /e /r /s /spath="%USERPROFILE%\AppData\Local\Temp\OnboardLogs" /stypes="app*4053*20171028*" /stext=" 23:.+((SYSTEM_STATE.+slice.+state.+changed )|(ment ac)|(multiple cpu faults)|(system.+state.+changed )|(\[timeout)|(PRM\|1\|D)|(kpr)|(kdp)|(train st.+moving)|(\|lc)|(penalty))"</v>
      </c>
      <c r="AG183" s="182" t="str">
        <f t="shared" si="70"/>
        <v>NW</v>
      </c>
      <c r="AH183" s="78" t="str">
        <f t="shared" si="73"/>
        <v>"%USERPROFILE%\Documents\GitHub\eaglep3\Utilities\RefineRTDCRunTimes.py" --tripid 1824-28 --locoid 4053 --swversion DE.1.0.9.0 --startMP 300:58592 --initTime 2017-10-28T17:26:33 --startdatetime 2017-10-28T17:42:00 --delay 63 --endMP 204:698 --enddatetime 2017-10-28T17:56:04 --enforcementcount 0 &gt;&gt;%USERPROFILE%\Documents\GitHub\eaglep3-reporting\EC\2017-10-28-refined-times.txt</v>
      </c>
      <c r="AI183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{"issue":{"subject":"","project_id":79,"tracker_id":40,"status_id":1,"priority_id":2,"assigned_to_id":338,"start_date":"2017-10-28","description":"","custom_fields":[{"id":1,"name":"Subdivision","value":"NW"},{"id":4,"name":"Milepost","value":"0.0698"},{"id":17,"name":"Train ID","value":"1824-28"},{"id":16,"name":"Locomotive ID","value":"4053"},{"id":130,"name":"Impact","value":""},{"id":150,"name":"Time of Event (Mountain Time)","value":"17:56:04"},{"id":151,"name":"Denver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75"/>
        <v>start /low /b %USERPROFILE%\Documents\GitHub\eaglep3\Utilities\DownloadLogsFromS3.py --loco 4053 --day 2017-10-28</v>
      </c>
      <c r="AN183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7"/>
        <v>https://d0f6bd738d7f1b3e5a7ca70fe4ff75f0.us-east-1.aws.found.io/app/kibana#/discover/Steve-Slow-Train-Analysis-(2080s-and-2083s)?_g=(refreshInterval:(display:Off,pause:!f,section:0,value:0),time:(from:'2017-10-28T16:26:33-0600',mode:absolute,to:'2017-10-28T18:56:04-0600'))&amp;_a=(columns:!('Message%20ID',Summary),filters:!(),index:'emp_*',interval:auto,query:(query_string:(analyze_wildcard:!t,query:'%22rtdc.l.rtdc.4053%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824</v>
      </c>
      <c r="B184" s="7">
        <v>4054</v>
      </c>
      <c r="C184" s="21" t="s">
        <v>194</v>
      </c>
      <c r="D184" s="21" t="s">
        <v>987</v>
      </c>
      <c r="E184" s="13">
        <v>43036.750706018516</v>
      </c>
      <c r="F184" s="13">
        <v>43036.756493055553</v>
      </c>
      <c r="G184" s="7">
        <v>63</v>
      </c>
      <c r="H184" s="21" t="s">
        <v>530</v>
      </c>
      <c r="I184" s="13">
        <v>43036.766516203701</v>
      </c>
      <c r="J184" s="7">
        <v>0</v>
      </c>
      <c r="K184" s="89" t="str">
        <f t="shared" si="62"/>
        <v>4053/4054</v>
      </c>
      <c r="L184" s="185" t="str">
        <f>VLOOKUP(A184,'Trips&amp;Operators'!$C$1:$G$99911,5,FALSE)</f>
        <v>SMITH MICHAEL</v>
      </c>
      <c r="M184" s="6">
        <f t="shared" si="63"/>
        <v>1.0023148148320615E-2</v>
      </c>
      <c r="N184" s="7">
        <f t="shared" si="85"/>
        <v>14.433333333581686</v>
      </c>
      <c r="O184" s="7"/>
      <c r="P184" s="7"/>
      <c r="Q184" s="22"/>
      <c r="R184" s="174"/>
      <c r="S184" s="221">
        <f t="shared" si="87"/>
        <v>1</v>
      </c>
      <c r="T184" s="174" t="str">
        <f t="shared" si="64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5"/>
        <v>https://d0f6bd738d7f1b3e5a7ca70fe4ff75f0.us-east-1.aws.found.io/app/kibana#/discover/Steve-Slow-Train-Analysis-(2080s-and-2083s)?_g=(refreshInterval:(display:Off,pause:!f,section:0,value:0),time:(from:'2017-10-28T17:01:01-0600',mode:absolute,to:'2017-10-28T19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204" t="str">
        <f>IF(AA184&lt;VLOOKUP(AG184,Variables!$AC$3:$AD$8,2,FALSE),"Y","N")</f>
        <v>N</v>
      </c>
      <c r="X184" s="204">
        <f t="shared" si="86"/>
        <v>1</v>
      </c>
      <c r="Y184" s="204">
        <f t="shared" si="83"/>
        <v>9.8100000000000007E-2</v>
      </c>
      <c r="Z184" s="204">
        <f t="shared" si="84"/>
        <v>5.8971</v>
      </c>
      <c r="AA184" s="204">
        <f t="shared" si="66"/>
        <v>5.7990000000000004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7"/>
        <v>1825</v>
      </c>
      <c r="AE184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84" s="74" t="str">
        <f t="shared" si="69"/>
        <v>"C:\Program Files (x86)\AstroGrep\AstroGrep.exe" /e /r /s /spath="%USERPROFILE%\AppData\Local\Temp\OnboardLogs" /stypes="app*4054*20171029*" /stext=" 00:.+((SYSTEM_STATE.+slice.+state.+changed )|(ment ac)|(multiple cpu faults)|(system.+state.+changed )|(\[timeout)|(PRM\|1\|D)|(kpr)|(kdp)|(train st.+moving)|(\|lc)|(penalty))"</v>
      </c>
      <c r="AG184" s="182" t="str">
        <f t="shared" si="70"/>
        <v>NW</v>
      </c>
      <c r="AH184" s="78" t="str">
        <f t="shared" si="73"/>
        <v>"%USERPROFILE%\Documents\GitHub\eaglep3\Utilities\RefineRTDCRunTimes.py" --tripid 1825-28 --locoid 4054 --swversion DE.1.0.9.0 --startMP 204:981 --initTime 2017-10-28T18:01:01 --startdatetime 2017-10-28T18:09:21 --delay 63 --endMP 300:58971 --enddatetime 2017-10-28T18:23:47 --enforcementcount 0 &gt;&gt;%USERPROFILE%\Documents\GitHub\eaglep3-reporting\EC\2017-10-28-refined-times.txt</v>
      </c>
      <c r="AI184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{"issue":{"subject":"","project_id":79,"tracker_id":40,"status_id":1,"priority_id":2,"assigned_to_id":338,"start_date":"2017-10-28","description":"","custom_fields":[{"id":1,"name":"Subdivision","value":"NW"},{"id":4,"name":"Milepost","value":"5.8971"},{"id":17,"name":"Train ID","value":"1825-28"},{"id":16,"name":"Locomotive ID","value":"4054"},{"id":130,"name":"Impact","value":""},{"id":150,"name":"Time of Event (Mountain Time)","value":"18:23:47"},{"id":151,"name":"Denver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75"/>
        <v>start /low /b %USERPROFILE%\Documents\GitHub\eaglep3\Utilities\DownloadLogsFromS3.py --loco 4054 --day 2017-10-28</v>
      </c>
      <c r="AN184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7"/>
        <v>https://d0f6bd738d7f1b3e5a7ca70fe4ff75f0.us-east-1.aws.found.io/app/kibana#/discover/Steve-Slow-Train-Analysis-(2080s-and-2083s)?_g=(refreshInterval:(display:Off,pause:!f,section:0,value:0),time:(from:'2017-10-28T17:01:01-0600',mode:absolute,to:'2017-10-28T19:23:47-0600'))&amp;_a=(columns:!('Message%20ID',Summary),filters:!(),index:'emp_*',interval:auto,query:(query_string:(analyze_wildcard:!t,query:'%22rtdc.l.rtdc.4054%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828</v>
      </c>
      <c r="B185" s="7">
        <v>4053</v>
      </c>
      <c r="C185" s="21" t="s">
        <v>194</v>
      </c>
      <c r="D185" s="21" t="s">
        <v>988</v>
      </c>
      <c r="E185" s="13">
        <v>43036.767905092594</v>
      </c>
      <c r="F185" s="13">
        <v>43036.779166666667</v>
      </c>
      <c r="G185" s="7">
        <v>57</v>
      </c>
      <c r="H185" s="21" t="s">
        <v>610</v>
      </c>
      <c r="I185" s="13">
        <v>43036.7890162037</v>
      </c>
      <c r="J185" s="7">
        <v>0</v>
      </c>
      <c r="K185" s="89" t="str">
        <f t="shared" si="62"/>
        <v>4053/4054</v>
      </c>
      <c r="L185" s="185" t="str">
        <f>VLOOKUP(A185,'Trips&amp;Operators'!$C$1:$G$99911,5,FALSE)</f>
        <v>SMITH MICHAEL</v>
      </c>
      <c r="M185" s="6">
        <f t="shared" si="63"/>
        <v>9.8495370330056176E-3</v>
      </c>
      <c r="N185" s="7">
        <f t="shared" si="85"/>
        <v>14.183333327528089</v>
      </c>
      <c r="O185" s="7"/>
      <c r="P185" s="7"/>
      <c r="Q185" s="22"/>
      <c r="R185" s="174"/>
      <c r="S185" s="221">
        <f t="shared" si="87"/>
        <v>1</v>
      </c>
      <c r="T185" s="174" t="str">
        <f t="shared" si="64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5"/>
        <v>https://d0f6bd738d7f1b3e5a7ca70fe4ff75f0.us-east-1.aws.found.io/app/kibana#/discover/Steve-Slow-Train-Analysis-(2080s-and-2083s)?_g=(refreshInterval:(display:Off,pause:!f,section:0,value:0),time:(from:'2017-10-28T17:25:47-0600',mode:absolute,to:'2017-10-28T19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5" s="204" t="str">
        <f>IF(AA185&lt;VLOOKUP(AG185,Variables!$AC$3:$AD$8,2,FALSE),"Y","N")</f>
        <v>N</v>
      </c>
      <c r="X185" s="204">
        <f t="shared" si="86"/>
        <v>1</v>
      </c>
      <c r="Y185" s="204">
        <f t="shared" si="83"/>
        <v>5.8653000000000004</v>
      </c>
      <c r="Z185" s="204">
        <f t="shared" si="84"/>
        <v>7.0800000000000002E-2</v>
      </c>
      <c r="AA185" s="204">
        <f t="shared" si="66"/>
        <v>5.7945000000000002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7"/>
        <v>1826</v>
      </c>
      <c r="AE185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85" s="74" t="str">
        <f t="shared" si="69"/>
        <v>"C:\Program Files (x86)\AstroGrep\AstroGrep.exe" /e /r /s /spath="%USERPROFILE%\AppData\Local\Temp\OnboardLogs" /stypes="app*4053*20171029*" /stext=" 00:.+((SYSTEM_STATE.+slice.+state.+changed )|(ment ac)|(multiple cpu faults)|(system.+state.+changed )|(\[timeout)|(PRM\|1\|D)|(kpr)|(kdp)|(train st.+moving)|(\|lc)|(penalty))"</v>
      </c>
      <c r="AG185" s="182" t="str">
        <f t="shared" si="70"/>
        <v>NW</v>
      </c>
      <c r="AH185" s="78" t="str">
        <f t="shared" si="73"/>
        <v>"%USERPROFILE%\Documents\GitHub\eaglep3\Utilities\RefineRTDCRunTimes.py" --tripid 1826-28 --locoid 4053 --swversion DE.1.0.9.0 --startMP 300:58653 --initTime 2017-10-28T18:25:47 --startdatetime 2017-10-28T18:42:00 --delay 57 --endMP 204:708 --enddatetime 2017-10-28T18:56:11 --enforcementcount 0 &gt;&gt;%USERPROFILE%\Documents\GitHub\eaglep3-reporting\EC\2017-10-28-refined-times.txt</v>
      </c>
      <c r="AI185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{"issue":{"subject":"","project_id":79,"tracker_id":40,"status_id":1,"priority_id":2,"assigned_to_id":338,"start_date":"2017-10-28","description":"","custom_fields":[{"id":1,"name":"Subdivision","value":"NW"},{"id":4,"name":"Milepost","value":"0.0708"},{"id":17,"name":"Train ID","value":"1826-28"},{"id":16,"name":"Locomotive ID","value":"4053"},{"id":130,"name":"Impact","value":""},{"id":150,"name":"Time of Event (Mountain Time)","value":"18:56:11"},{"id":151,"name":"Denver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75"/>
        <v>start /low /b %USERPROFILE%\Documents\GitHub\eaglep3\Utilities\DownloadLogsFromS3.py --loco 4053 --day 2017-10-28</v>
      </c>
      <c r="AN185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7"/>
        <v>https://d0f6bd738d7f1b3e5a7ca70fe4ff75f0.us-east-1.aws.found.io/app/kibana#/discover/Steve-Slow-Train-Analysis-(2080s-and-2083s)?_g=(refreshInterval:(display:Off,pause:!f,section:0,value:0),time:(from:'2017-10-28T17:25:47-0600',mode:absolute,to:'2017-10-28T19:56:11-0600'))&amp;_a=(columns:!('Message%20ID',Summary),filters:!(),index:'emp_*',interval:auto,query:(query_string:(analyze_wildcard:!t,query:'%22rtdc.l.rtdc.4053%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836</v>
      </c>
      <c r="B186" s="7">
        <v>4054</v>
      </c>
      <c r="C186" s="21" t="s">
        <v>194</v>
      </c>
      <c r="D186" s="21" t="s">
        <v>989</v>
      </c>
      <c r="E186" s="13">
        <v>43036.791689814818</v>
      </c>
      <c r="F186" s="13">
        <v>43036.798148148147</v>
      </c>
      <c r="G186" s="7">
        <v>79</v>
      </c>
      <c r="H186" s="21" t="s">
        <v>607</v>
      </c>
      <c r="I186" s="13">
        <v>43036.80810185185</v>
      </c>
      <c r="J186" s="7">
        <v>0</v>
      </c>
      <c r="K186" s="89" t="str">
        <f t="shared" si="62"/>
        <v>4053/4054</v>
      </c>
      <c r="L186" s="185" t="str">
        <f>VLOOKUP(A186,'Trips&amp;Operators'!$C$1:$G$99911,5,FALSE)</f>
        <v>SMITH MICHAEL</v>
      </c>
      <c r="M186" s="6">
        <f t="shared" si="63"/>
        <v>9.9537037021946162E-3</v>
      </c>
      <c r="N186" s="7">
        <f t="shared" si="85"/>
        <v>14.333333331160247</v>
      </c>
      <c r="O186" s="7"/>
      <c r="P186" s="7"/>
      <c r="Q186" s="22"/>
      <c r="R186" s="174"/>
      <c r="S186" s="221">
        <f t="shared" si="87"/>
        <v>1</v>
      </c>
      <c r="T186" s="174" t="str">
        <f t="shared" si="64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5"/>
        <v>https://d0f6bd738d7f1b3e5a7ca70fe4ff75f0.us-east-1.aws.found.io/app/kibana#/discover/Steve-Slow-Train-Analysis-(2080s-and-2083s)?_g=(refreshInterval:(display:Off,pause:!f,section:0,value:0),time:(from:'2017-10-28T18:00:02-0600',mode:absolute,to:'2017-10-28T20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6" s="204" t="str">
        <f>IF(AA186&lt;VLOOKUP(AG186,Variables!$AC$3:$AD$8,2,FALSE),"Y","N")</f>
        <v>N</v>
      </c>
      <c r="X186" s="204">
        <f t="shared" si="86"/>
        <v>1</v>
      </c>
      <c r="Y186" s="204">
        <f t="shared" si="83"/>
        <v>9.9699999999999997E-2</v>
      </c>
      <c r="Z186" s="204">
        <f t="shared" si="84"/>
        <v>5.8979999999999997</v>
      </c>
      <c r="AA186" s="204">
        <f t="shared" si="66"/>
        <v>5.7982999999999993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7"/>
        <v>1827</v>
      </c>
      <c r="AE186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86" s="74" t="str">
        <f t="shared" si="69"/>
        <v>"C:\Program Files (x86)\AstroGrep\AstroGrep.exe" /e /r /s /spath="%USERPROFILE%\AppData\Local\Temp\OnboardLogs" /stypes="app*4054*20171029*" /stext=" 01:.+((SYSTEM_STATE.+slice.+state.+changed )|(ment ac)|(multiple cpu faults)|(system.+state.+changed )|(\[timeout)|(PRM\|1\|D)|(kpr)|(kdp)|(train st.+moving)|(\|lc)|(penalty))"</v>
      </c>
      <c r="AG186" s="182" t="str">
        <f t="shared" si="70"/>
        <v>NW</v>
      </c>
      <c r="AH186" s="78" t="str">
        <f t="shared" si="73"/>
        <v>"%USERPROFILE%\Documents\GitHub\eaglep3\Utilities\RefineRTDCRunTimes.py" --tripid 1827-28 --locoid 4054 --swversion DE.1.0.9.0 --startMP 204:997 --initTime 2017-10-28T19:00:02 --startdatetime 2017-10-28T19:09:20 --delay 79 --endMP 300:58980 --enddatetime 2017-10-28T19:23:40 --enforcementcount 0 &gt;&gt;%USERPROFILE%\Documents\GitHub\eaglep3-reporting\EC\2017-10-28-refined-times.txt</v>
      </c>
      <c r="AI186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{"issue":{"subject":"","project_id":79,"tracker_id":40,"status_id":1,"priority_id":2,"assigned_to_id":338,"start_date":"2017-10-28","description":"","custom_fields":[{"id":1,"name":"Subdivision","value":"NW"},{"id":4,"name":"Milepost","value":"5.898"},{"id":17,"name":"Train ID","value":"1827-28"},{"id":16,"name":"Locomotive ID","value":"4054"},{"id":130,"name":"Impact","value":""},{"id":150,"name":"Time of Event (Mountain Time)","value":"19:23:40"},{"id":151,"name":"Denver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75"/>
        <v>start /low /b %USERPROFILE%\Documents\GitHub\eaglep3\Utilities\DownloadLogsFromS3.py --loco 4054 --day 2017-10-28</v>
      </c>
      <c r="AN186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7"/>
        <v>https://d0f6bd738d7f1b3e5a7ca70fe4ff75f0.us-east-1.aws.found.io/app/kibana#/discover/Steve-Slow-Train-Analysis-(2080s-and-2083s)?_g=(refreshInterval:(display:Off,pause:!f,section:0,value:0),time:(from:'2017-10-28T18:00:02-0600',mode:absolute,to:'2017-10-28T20:23:40-0600'))&amp;_a=(columns:!('Message%20ID',Summary),filters:!(),index:'emp_*',interval:auto,query:(query_string:(analyze_wildcard:!t,query:'%22rtdc.l.rtdc.4054%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838</v>
      </c>
      <c r="B187" s="7">
        <v>4053</v>
      </c>
      <c r="C187" s="21" t="s">
        <v>194</v>
      </c>
      <c r="D187" s="21" t="s">
        <v>608</v>
      </c>
      <c r="E187" s="13">
        <v>43036.809282407405</v>
      </c>
      <c r="F187" s="13">
        <v>43036.820833333331</v>
      </c>
      <c r="G187" s="7">
        <v>66</v>
      </c>
      <c r="H187" s="21" t="s">
        <v>532</v>
      </c>
      <c r="I187" s="13">
        <v>43036.830625000002</v>
      </c>
      <c r="J187" s="7">
        <v>0</v>
      </c>
      <c r="K187" s="89" t="str">
        <f t="shared" si="62"/>
        <v>4053/4054</v>
      </c>
      <c r="L187" s="185" t="str">
        <f>VLOOKUP(A187,'Trips&amp;Operators'!$C$1:$G$99911,5,FALSE)</f>
        <v>SMITH MICHAEL</v>
      </c>
      <c r="M187" s="6">
        <f t="shared" si="63"/>
        <v>9.7916666709352285E-3</v>
      </c>
      <c r="N187" s="7">
        <f t="shared" si="85"/>
        <v>14.100000006146729</v>
      </c>
      <c r="O187" s="7"/>
      <c r="P187" s="7"/>
      <c r="Q187" s="22"/>
      <c r="R187" s="174"/>
      <c r="S187" s="221">
        <f t="shared" si="87"/>
        <v>1</v>
      </c>
      <c r="T187" s="174" t="str">
        <f t="shared" si="64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5"/>
        <v>https://d0f6bd738d7f1b3e5a7ca70fe4ff75f0.us-east-1.aws.found.io/app/kibana#/discover/Steve-Slow-Train-Analysis-(2080s-and-2083s)?_g=(refreshInterval:(display:Off,pause:!f,section:0,value:0),time:(from:'2017-10-28T18:25:22-0600',mode:absolute,to:'2017-10-28T20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7" s="204" t="str">
        <f>IF(AA187&lt;VLOOKUP(AG187,Variables!$AC$3:$AD$8,2,FALSE),"Y","N")</f>
        <v>N</v>
      </c>
      <c r="X187" s="204">
        <f t="shared" si="86"/>
        <v>1</v>
      </c>
      <c r="Y187" s="204">
        <f t="shared" si="83"/>
        <v>5.8667999999999996</v>
      </c>
      <c r="Z187" s="204">
        <f t="shared" si="84"/>
        <v>6.7500000000000004E-2</v>
      </c>
      <c r="AA187" s="204">
        <f t="shared" si="66"/>
        <v>5.7992999999999997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7"/>
        <v>1828</v>
      </c>
      <c r="AE187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87" s="74" t="str">
        <f t="shared" si="69"/>
        <v>"C:\Program Files (x86)\AstroGrep\AstroGrep.exe" /e /r /s /spath="%USERPROFILE%\AppData\Local\Temp\OnboardLogs" /stypes="app*4053*20171029*" /stext=" 01:.+((SYSTEM_STATE.+slice.+state.+changed )|(ment ac)|(multiple cpu faults)|(system.+state.+changed )|(\[timeout)|(PRM\|1\|D)|(kpr)|(kdp)|(train st.+moving)|(\|lc)|(penalty))"</v>
      </c>
      <c r="AG187" s="182" t="str">
        <f t="shared" si="70"/>
        <v>NW</v>
      </c>
      <c r="AH187" s="78" t="str">
        <f t="shared" si="73"/>
        <v>"%USERPROFILE%\Documents\GitHub\eaglep3\Utilities\RefineRTDCRunTimes.py" --tripid 1828-28 --locoid 4053 --swversion DE.1.0.9.0 --startMP 300:58668 --initTime 2017-10-28T19:25:22 --startdatetime 2017-10-28T19:42:00 --delay 66 --endMP 204:675 --enddatetime 2017-10-28T19:56:06 --enforcementcount 0 &gt;&gt;%USERPROFILE%\Documents\GitHub\eaglep3-reporting\EC\2017-10-28-refined-times.txt</v>
      </c>
      <c r="AI187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{"issue":{"subject":"","project_id":79,"tracker_id":40,"status_id":1,"priority_id":2,"assigned_to_id":338,"start_date":"2017-10-28","description":"","custom_fields":[{"id":1,"name":"Subdivision","value":"NW"},{"id":4,"name":"Milepost","value":"0.0675"},{"id":17,"name":"Train ID","value":"1828-28"},{"id":16,"name":"Locomotive ID","value":"4053"},{"id":130,"name":"Impact","value":""},{"id":150,"name":"Time of Event (Mountain Time)","value":"19:56:06"},{"id":151,"name":"Denver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75"/>
        <v>start /low /b %USERPROFILE%\Documents\GitHub\eaglep3\Utilities\DownloadLogsFromS3.py --loco 4053 --day 2017-10-28</v>
      </c>
      <c r="AN187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7"/>
        <v>https://d0f6bd738d7f1b3e5a7ca70fe4ff75f0.us-east-1.aws.found.io/app/kibana#/discover/Steve-Slow-Train-Analysis-(2080s-and-2083s)?_g=(refreshInterval:(display:Off,pause:!f,section:0,value:0),time:(from:'2017-10-28T18:25:22-0600',mode:absolute,to:'2017-10-28T20:56:06-0600'))&amp;_a=(columns:!('Message%20ID',Summary),filters:!(),index:'emp_*',interval:auto,query:(query_string:(analyze_wildcard:!t,query:'%22rtdc.l.rtdc.4053%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844</v>
      </c>
      <c r="B188" s="7">
        <v>4054</v>
      </c>
      <c r="C188" s="21" t="s">
        <v>194</v>
      </c>
      <c r="D188" s="21" t="s">
        <v>961</v>
      </c>
      <c r="E188" s="13">
        <v>43036.832916666666</v>
      </c>
      <c r="F188" s="13">
        <v>43036.839814814812</v>
      </c>
      <c r="G188" s="7">
        <v>78</v>
      </c>
      <c r="H188" s="21" t="s">
        <v>609</v>
      </c>
      <c r="I188" s="13">
        <v>43036.849664351852</v>
      </c>
      <c r="J188" s="7">
        <v>0</v>
      </c>
      <c r="K188" s="89" t="str">
        <f t="shared" si="62"/>
        <v>4053/4054</v>
      </c>
      <c r="L188" s="185" t="str">
        <f>VLOOKUP(A188,'Trips&amp;Operators'!$C$1:$G$99911,5,FALSE)</f>
        <v>SMITH MICHAEL</v>
      </c>
      <c r="M188" s="6">
        <f t="shared" si="63"/>
        <v>9.8495370402815752E-3</v>
      </c>
      <c r="N188" s="7">
        <f t="shared" si="85"/>
        <v>14.183333338005468</v>
      </c>
      <c r="O188" s="7"/>
      <c r="P188" s="7"/>
      <c r="Q188" s="22"/>
      <c r="R188" s="174"/>
      <c r="S188" s="221">
        <f t="shared" si="87"/>
        <v>1</v>
      </c>
      <c r="T188" s="174" t="str">
        <f t="shared" si="64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5"/>
        <v>https://d0f6bd738d7f1b3e5a7ca70fe4ff75f0.us-east-1.aws.found.io/app/kibana#/discover/Steve-Slow-Train-Analysis-(2080s-and-2083s)?_g=(refreshInterval:(display:Off,pause:!f,section:0,value:0),time:(from:'2017-10-28T18:59:24-0600',mode:absolute,to:'2017-10-28T21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8" s="204" t="str">
        <f>IF(AA188&lt;VLOOKUP(AG188,Variables!$AC$3:$AD$8,2,FALSE),"Y","N")</f>
        <v>N</v>
      </c>
      <c r="X188" s="204">
        <f t="shared" si="86"/>
        <v>1</v>
      </c>
      <c r="Y188" s="204">
        <f t="shared" si="83"/>
        <v>9.7799999999999998E-2</v>
      </c>
      <c r="Z188" s="204">
        <f t="shared" si="84"/>
        <v>5.8958000000000004</v>
      </c>
      <c r="AA188" s="204">
        <f t="shared" si="66"/>
        <v>5.798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7"/>
        <v>1829</v>
      </c>
      <c r="AE188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88" s="74" t="str">
        <f t="shared" si="69"/>
        <v>"C:\Program Files (x86)\AstroGrep\AstroGrep.exe" /e /r /s /spath="%USERPROFILE%\AppData\Local\Temp\OnboardLogs" /stypes="app*4054*20171029*" /stext=" 02:.+((SYSTEM_STATE.+slice.+state.+changed )|(ment ac)|(multiple cpu faults)|(system.+state.+changed )|(\[timeout)|(PRM\|1\|D)|(kpr)|(kdp)|(train st.+moving)|(\|lc)|(penalty))"</v>
      </c>
      <c r="AG188" s="182" t="str">
        <f t="shared" si="70"/>
        <v>NW</v>
      </c>
      <c r="AH188" s="78" t="str">
        <f t="shared" si="73"/>
        <v>"%USERPROFILE%\Documents\GitHub\eaglep3\Utilities\RefineRTDCRunTimes.py" --tripid 1829-28 --locoid 4054 --swversion DE.1.0.9.0 --startMP 204:978 --initTime 2017-10-28T19:59:24 --startdatetime 2017-10-28T20:09:20 --delay 78 --endMP 300:58958 --enddatetime 2017-10-28T20:23:31 --enforcementcount 0 &gt;&gt;%USERPROFILE%\Documents\GitHub\eaglep3-reporting\EC\2017-10-28-refined-times.txt</v>
      </c>
      <c r="AI188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{"issue":{"subject":"","project_id":79,"tracker_id":40,"status_id":1,"priority_id":2,"assigned_to_id":338,"start_date":"2017-10-28","description":"","custom_fields":[{"id":1,"name":"Subdivision","value":"NW"},{"id":4,"name":"Milepost","value":"5.8958"},{"id":17,"name":"Train ID","value":"1829-28"},{"id":16,"name":"Locomotive ID","value":"4054"},{"id":130,"name":"Impact","value":""},{"id":150,"name":"Time of Event (Mountain Time)","value":"20:23:31"},{"id":151,"name":"Denver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75"/>
        <v>start /low /b %USERPROFILE%\Documents\GitHub\eaglep3\Utilities\DownloadLogsFromS3.py --loco 4054 --day 2017-10-28</v>
      </c>
      <c r="AN188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7"/>
        <v>https://d0f6bd738d7f1b3e5a7ca70fe4ff75f0.us-east-1.aws.found.io/app/kibana#/discover/Steve-Slow-Train-Analysis-(2080s-and-2083s)?_g=(refreshInterval:(display:Off,pause:!f,section:0,value:0),time:(from:'2017-10-28T18:59:24-0600',mode:absolute,to:'2017-10-28T21:23:31-0600'))&amp;_a=(columns:!('Message%20ID',Summary),filters:!(),index:'emp_*',interval:auto,query:(query_string:(analyze_wildcard:!t,query:'%22rtdc.l.rtdc.4054%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850</v>
      </c>
      <c r="B189" s="7">
        <v>4053</v>
      </c>
      <c r="C189" s="21" t="s">
        <v>194</v>
      </c>
      <c r="D189" s="21" t="s">
        <v>992</v>
      </c>
      <c r="E189" s="13">
        <v>43036.85119212963</v>
      </c>
      <c r="F189" s="13">
        <v>43036.862500000003</v>
      </c>
      <c r="G189" s="7">
        <v>73</v>
      </c>
      <c r="H189" s="21" t="s">
        <v>993</v>
      </c>
      <c r="I189" s="13">
        <v>43036.872245370374</v>
      </c>
      <c r="J189" s="7">
        <v>0</v>
      </c>
      <c r="K189" s="89" t="str">
        <f t="shared" si="62"/>
        <v>4053/4054</v>
      </c>
      <c r="L189" s="185" t="str">
        <f>VLOOKUP(A189,'Trips&amp;Operators'!$C$1:$G$99911,5,FALSE)</f>
        <v>SMITH MICHAEL</v>
      </c>
      <c r="M189" s="6">
        <f t="shared" si="63"/>
        <v>9.7453703710925765E-3</v>
      </c>
      <c r="N189" s="7">
        <f t="shared" si="85"/>
        <v>14.03333333437331</v>
      </c>
      <c r="O189" s="7"/>
      <c r="P189" s="7"/>
      <c r="Q189" s="22"/>
      <c r="R189" s="174"/>
      <c r="S189" s="221">
        <f t="shared" si="87"/>
        <v>1</v>
      </c>
      <c r="T189" s="174" t="str">
        <f t="shared" si="64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5"/>
        <v>https://d0f6bd738d7f1b3e5a7ca70fe4ff75f0.us-east-1.aws.found.io/app/kibana#/discover/Steve-Slow-Train-Analysis-(2080s-and-2083s)?_g=(refreshInterval:(display:Off,pause:!f,section:0,value:0),time:(from:'2017-10-28T19:25:43-0600',mode:absolute,to:'2017-10-28T21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9" s="204" t="str">
        <f>IF(AA189&lt;VLOOKUP(AG189,Variables!$AC$3:$AD$8,2,FALSE),"Y","N")</f>
        <v>N</v>
      </c>
      <c r="X189" s="204">
        <f t="shared" si="86"/>
        <v>1</v>
      </c>
      <c r="Y189" s="204">
        <f t="shared" si="83"/>
        <v>5.8647</v>
      </c>
      <c r="Z189" s="204">
        <f t="shared" si="84"/>
        <v>6.6600000000000006E-2</v>
      </c>
      <c r="AA189" s="204">
        <f t="shared" si="66"/>
        <v>5.7980999999999998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7"/>
        <v>1830</v>
      </c>
      <c r="AE189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89" s="74" t="str">
        <f t="shared" si="69"/>
        <v>"C:\Program Files (x86)\AstroGrep\AstroGrep.exe" /e /r /s /spath="%USERPROFILE%\AppData\Local\Temp\OnboardLogs" /stypes="app*4053*20171029*" /stext=" 02:.+((SYSTEM_STATE.+slice.+state.+changed )|(ment ac)|(multiple cpu faults)|(system.+state.+changed )|(\[timeout)|(PRM\|1\|D)|(kpr)|(kdp)|(train st.+moving)|(\|lc)|(penalty))"</v>
      </c>
      <c r="AG189" s="182" t="str">
        <f t="shared" si="70"/>
        <v>NW</v>
      </c>
      <c r="AH189" s="78" t="str">
        <f t="shared" si="73"/>
        <v>"%USERPROFILE%\Documents\GitHub\eaglep3\Utilities\RefineRTDCRunTimes.py" --tripid 1830-28 --locoid 4053 --swversion DE.1.0.9.0 --startMP 300:58647 --initTime 2017-10-28T20:25:43 --startdatetime 2017-10-28T20:42:00 --delay 73 --endMP 204:666 --enddatetime 2017-10-28T20:56:02 --enforcementcount 0 &gt;&gt;%USERPROFILE%\Documents\GitHub\eaglep3-reporting\EC\2017-10-28-refined-times.txt</v>
      </c>
      <c r="AI189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{"issue":{"subject":"","project_id":79,"tracker_id":40,"status_id":1,"priority_id":2,"assigned_to_id":338,"start_date":"2017-10-28","description":"","custom_fields":[{"id":1,"name":"Subdivision","value":"NW"},{"id":4,"name":"Milepost","value":"0.0666"},{"id":17,"name":"Train ID","value":"1830-28"},{"id":16,"name":"Locomotive ID","value":"4053"},{"id":130,"name":"Impact","value":""},{"id":150,"name":"Time of Event (Mountain Time)","value":"20:56:02"},{"id":151,"name":"Denver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75"/>
        <v>start /low /b %USERPROFILE%\Documents\GitHub\eaglep3\Utilities\DownloadLogsFromS3.py --loco 4053 --day 2017-10-28</v>
      </c>
      <c r="AN189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7"/>
        <v>https://d0f6bd738d7f1b3e5a7ca70fe4ff75f0.us-east-1.aws.found.io/app/kibana#/discover/Steve-Slow-Train-Analysis-(2080s-and-2083s)?_g=(refreshInterval:(display:Off,pause:!f,section:0,value:0),time:(from:'2017-10-28T19:25:43-0600',mode:absolute,to:'2017-10-28T21:56:02-0600'))&amp;_a=(columns:!('Message%20ID',Summary),filters:!(),index:'emp_*',interval:auto,query:(query_string:(analyze_wildcard:!t,query:'%22rtdc.l.rtdc.4053%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853</v>
      </c>
      <c r="B190" s="7">
        <v>4054</v>
      </c>
      <c r="C190" s="21" t="s">
        <v>194</v>
      </c>
      <c r="D190" s="21" t="s">
        <v>994</v>
      </c>
      <c r="E190" s="13">
        <v>43036.874050925922</v>
      </c>
      <c r="F190" s="13">
        <v>43036.881932870368</v>
      </c>
      <c r="G190" s="7">
        <v>80</v>
      </c>
      <c r="H190" s="21" t="s">
        <v>995</v>
      </c>
      <c r="I190" s="13">
        <v>43036.892083333332</v>
      </c>
      <c r="J190" s="7">
        <v>0</v>
      </c>
      <c r="K190" s="89" t="str">
        <f t="shared" si="62"/>
        <v>4053/4054</v>
      </c>
      <c r="L190" s="185" t="str">
        <f>VLOOKUP(A190,'Trips&amp;Operators'!$C$1:$G$99911,5,FALSE)</f>
        <v>SMITH MICHAEL</v>
      </c>
      <c r="M190" s="6">
        <f t="shared" si="63"/>
        <v>1.0150462963792961E-2</v>
      </c>
      <c r="N190" s="7">
        <f t="shared" si="85"/>
        <v>14.616666667861864</v>
      </c>
      <c r="O190" s="7"/>
      <c r="P190" s="7"/>
      <c r="Q190" s="22"/>
      <c r="R190" s="174"/>
      <c r="S190" s="221">
        <f t="shared" si="87"/>
        <v>1</v>
      </c>
      <c r="T190" s="174" t="str">
        <f t="shared" si="64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5"/>
        <v>https://d0f6bd738d7f1b3e5a7ca70fe4ff75f0.us-east-1.aws.found.io/app/kibana#/discover/Steve-Slow-Train-Analysis-(2080s-and-2083s)?_g=(refreshInterval:(display:Off,pause:!f,section:0,value:0),time:(from:'2017-10-28T19:58:38-0600',mode:absolute,to:'2017-10-28T22:24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0" s="204" t="str">
        <f>IF(AA190&lt;VLOOKUP(AG190,Variables!$AC$3:$AD$8,2,FALSE),"Y","N")</f>
        <v>N</v>
      </c>
      <c r="X190" s="204">
        <f t="shared" si="86"/>
        <v>1</v>
      </c>
      <c r="Y190" s="204">
        <f t="shared" si="83"/>
        <v>9.6500000000000002E-2</v>
      </c>
      <c r="Z190" s="204">
        <f t="shared" si="84"/>
        <v>5.8930999999999996</v>
      </c>
      <c r="AA190" s="204">
        <f t="shared" si="66"/>
        <v>5.7965999999999998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7"/>
        <v>1831</v>
      </c>
      <c r="AE190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90" s="74" t="str">
        <f t="shared" si="69"/>
        <v>"C:\Program Files (x86)\AstroGrep\AstroGrep.exe" /e /r /s /spath="%USERPROFILE%\AppData\Local\Temp\OnboardLogs" /stypes="app*4054*20171029*" /stext=" 03:.+((SYSTEM_STATE.+slice.+state.+changed )|(ment ac)|(multiple cpu faults)|(system.+state.+changed )|(\[timeout)|(PRM\|1\|D)|(kpr)|(kdp)|(train st.+moving)|(\|lc)|(penalty))"</v>
      </c>
      <c r="AG190" s="182" t="str">
        <f t="shared" si="70"/>
        <v>NW</v>
      </c>
      <c r="AH190" s="78" t="str">
        <f t="shared" si="73"/>
        <v>"%USERPROFILE%\Documents\GitHub\eaglep3\Utilities\RefineRTDCRunTimes.py" --tripid 1831-28 --locoid 4054 --swversion DE.1.0.9.0 --startMP 204:965 --initTime 2017-10-28T20:58:38 --startdatetime 2017-10-28T21:09:59 --delay 80 --endMP 300:58931 --enddatetime 2017-10-28T21:24:36 --enforcementcount 0 &gt;&gt;%USERPROFILE%\Documents\GitHub\eaglep3-reporting\EC\2017-10-28-refined-times.txt</v>
      </c>
      <c r="AI190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{"issue":{"subject":"","project_id":79,"tracker_id":40,"status_id":1,"priority_id":2,"assigned_to_id":338,"start_date":"2017-10-28","description":"","custom_fields":[{"id":1,"name":"Subdivision","value":"NW"},{"id":4,"name":"Milepost","value":"5.8931"},{"id":17,"name":"Train ID","value":"1831-28"},{"id":16,"name":"Locomotive ID","value":"4054"},{"id":130,"name":"Impact","value":""},{"id":150,"name":"Time of Event (Mountain Time)","value":"21:24:36"},{"id":151,"name":"Denver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75"/>
        <v>start /low /b %USERPROFILE%\Documents\GitHub\eaglep3\Utilities\DownloadLogsFromS3.py --loco 4054 --day 2017-10-28</v>
      </c>
      <c r="AN190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7"/>
        <v>https://d0f6bd738d7f1b3e5a7ca70fe4ff75f0.us-east-1.aws.found.io/app/kibana#/discover/Steve-Slow-Train-Analysis-(2080s-and-2083s)?_g=(refreshInterval:(display:Off,pause:!f,section:0,value:0),time:(from:'2017-10-28T19:58:38-0600',mode:absolute,to:'2017-10-28T22:24:36-0600'))&amp;_a=(columns:!('Message%20ID',Summary),filters:!(),index:'emp_*',interval:auto,query:(query_string:(analyze_wildcard:!t,query:'%22rtdc.l.rtdc.4054%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855</v>
      </c>
      <c r="B191" s="7">
        <v>4053</v>
      </c>
      <c r="C191" s="21" t="s">
        <v>194</v>
      </c>
      <c r="D191" s="21" t="s">
        <v>996</v>
      </c>
      <c r="E191" s="13">
        <v>43036.893310185187</v>
      </c>
      <c r="F191" s="13">
        <v>43036.904166666667</v>
      </c>
      <c r="G191" s="7">
        <v>70</v>
      </c>
      <c r="H191" s="21" t="s">
        <v>997</v>
      </c>
      <c r="I191" s="13">
        <v>43036.913981481484</v>
      </c>
      <c r="J191" s="7">
        <v>0</v>
      </c>
      <c r="K191" s="89" t="str">
        <f t="shared" si="62"/>
        <v>4053/4054</v>
      </c>
      <c r="L191" s="185" t="str">
        <f>VLOOKUP(A191,'Trips&amp;Operators'!$C$1:$G$99911,5,FALSE)</f>
        <v>SMITH MICHAEL</v>
      </c>
      <c r="M191" s="6">
        <f t="shared" si="63"/>
        <v>9.8148148172185756E-3</v>
      </c>
      <c r="N191" s="7">
        <f t="shared" si="85"/>
        <v>14.133333336794749</v>
      </c>
      <c r="O191" s="7"/>
      <c r="P191" s="7"/>
      <c r="Q191" s="22"/>
      <c r="R191" s="174"/>
      <c r="S191" s="221">
        <f t="shared" si="87"/>
        <v>1</v>
      </c>
      <c r="T191" s="174" t="str">
        <f t="shared" si="64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5"/>
        <v>https://d0f6bd738d7f1b3e5a7ca70fe4ff75f0.us-east-1.aws.found.io/app/kibana#/discover/Steve-Slow-Train-Analysis-(2080s-and-2083s)?_g=(refreshInterval:(display:Off,pause:!f,section:0,value:0),time:(from:'2017-10-28T20:26:22-0600',mode:absolute,to:'2017-10-28T22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1" s="204" t="str">
        <f>IF(AA191&lt;VLOOKUP(AG191,Variables!$AC$3:$AD$8,2,FALSE),"Y","N")</f>
        <v>N</v>
      </c>
      <c r="X191" s="204">
        <f t="shared" si="86"/>
        <v>1</v>
      </c>
      <c r="Y191" s="204">
        <f t="shared" ref="Y191:Y222" si="88">RIGHT(D191,LEN(D191)-4)/10000</f>
        <v>5.8609</v>
      </c>
      <c r="Z191" s="204">
        <f t="shared" ref="Z191:Z222" si="89">RIGHT(H191,LEN(H191)-4)/10000</f>
        <v>6.8199999999999997E-2</v>
      </c>
      <c r="AA191" s="204">
        <f t="shared" si="66"/>
        <v>5.7927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7"/>
        <v>1832</v>
      </c>
      <c r="AE191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91" s="74" t="str">
        <f t="shared" si="69"/>
        <v>"C:\Program Files (x86)\AstroGrep\AstroGrep.exe" /e /r /s /spath="%USERPROFILE%\AppData\Local\Temp\OnboardLogs" /stypes="app*4053*20171029*" /stext=" 03:.+((SYSTEM_STATE.+slice.+state.+changed )|(ment ac)|(multiple cpu faults)|(system.+state.+changed )|(\[timeout)|(PRM\|1\|D)|(kpr)|(kdp)|(train st.+moving)|(\|lc)|(penalty))"</v>
      </c>
      <c r="AG191" s="182" t="str">
        <f t="shared" si="70"/>
        <v>NW</v>
      </c>
      <c r="AH191" s="78" t="str">
        <f t="shared" si="73"/>
        <v>"%USERPROFILE%\Documents\GitHub\eaglep3\Utilities\RefineRTDCRunTimes.py" --tripid 1832-28 --locoid 4053 --swversion DE.1.0.9.0 --startMP 300:58609 --initTime 2017-10-28T21:26:22 --startdatetime 2017-10-28T21:42:00 --delay 70 --endMP 204:682 --enddatetime 2017-10-28T21:56:08 --enforcementcount 0 &gt;&gt;%USERPROFILE%\Documents\GitHub\eaglep3-reporting\EC\2017-10-28-refined-times.txt</v>
      </c>
      <c r="AI191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{"issue":{"subject":"","project_id":79,"tracker_id":40,"status_id":1,"priority_id":2,"assigned_to_id":338,"start_date":"2017-10-28","description":"","custom_fields":[{"id":1,"name":"Subdivision","value":"NW"},{"id":4,"name":"Milepost","value":"0.0682"},{"id":17,"name":"Train ID","value":"1832-28"},{"id":16,"name":"Locomotive ID","value":"4053"},{"id":130,"name":"Impact","value":""},{"id":150,"name":"Time of Event (Mountain Time)","value":"21:56:08"},{"id":151,"name":"Denver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75"/>
        <v>start /low /b %USERPROFILE%\Documents\GitHub\eaglep3\Utilities\DownloadLogsFromS3.py --loco 4053 --day 2017-10-28</v>
      </c>
      <c r="AN191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03:56:08"},{"id":29,"name":"Sharepoint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7"/>
        <v>https://d0f6bd738d7f1b3e5a7ca70fe4ff75f0.us-east-1.aws.found.io/app/kibana#/discover/Steve-Slow-Train-Analysis-(2080s-and-2083s)?_g=(refreshInterval:(display:Off,pause:!f,section:0,value:0),time:(from:'2017-10-28T20:26:22-0600',mode:absolute,to:'2017-10-28T22:56:08-0600'))&amp;_a=(columns:!('Message%20ID',Summary),filters:!(),index:'emp_*',interval:auto,query:(query_string:(analyze_wildcard:!t,query:'%22rtdc.l.rtdc.4053%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859</v>
      </c>
      <c r="B192" s="7">
        <v>4054</v>
      </c>
      <c r="C192" s="21" t="s">
        <v>194</v>
      </c>
      <c r="D192" s="21" t="s">
        <v>977</v>
      </c>
      <c r="E192" s="13">
        <v>43036.917256944442</v>
      </c>
      <c r="F192" s="13">
        <v>43036.923136574071</v>
      </c>
      <c r="G192" s="7">
        <v>106</v>
      </c>
      <c r="H192" s="21" t="s">
        <v>613</v>
      </c>
      <c r="I192" s="13">
        <v>43036.932615740741</v>
      </c>
      <c r="J192" s="7">
        <v>0</v>
      </c>
      <c r="K192" s="89" t="str">
        <f t="shared" si="62"/>
        <v>4053/4054</v>
      </c>
      <c r="L192" s="185" t="str">
        <f>VLOOKUP(A192,'Trips&amp;Operators'!$C$1:$G$99911,5,FALSE)</f>
        <v>SMITH MICHAEL</v>
      </c>
      <c r="M192" s="6">
        <f t="shared" si="63"/>
        <v>9.4791666706441902E-3</v>
      </c>
      <c r="N192" s="7">
        <f t="shared" si="85"/>
        <v>13.650000005727634</v>
      </c>
      <c r="O192" s="7"/>
      <c r="P192" s="7"/>
      <c r="Q192" s="22"/>
      <c r="R192" s="174"/>
      <c r="S192" s="221">
        <f t="shared" si="87"/>
        <v>1</v>
      </c>
      <c r="T192" s="174" t="str">
        <f t="shared" si="64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5"/>
        <v>https://d0f6bd738d7f1b3e5a7ca70fe4ff75f0.us-east-1.aws.found.io/app/kibana#/discover/Steve-Slow-Train-Analysis-(2080s-and-2083s)?_g=(refreshInterval:(display:Off,pause:!f,section:0,value:0),time:(from:'2017-10-28T21:00:51-0600',mode:absolute,to:'2017-10-28T23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2" s="204" t="str">
        <f>IF(AA192&lt;VLOOKUP(AG192,Variables!$AC$3:$AD$8,2,FALSE),"Y","N")</f>
        <v>N</v>
      </c>
      <c r="X192" s="204">
        <f t="shared" si="86"/>
        <v>1</v>
      </c>
      <c r="Y192" s="204">
        <f t="shared" si="88"/>
        <v>9.7100000000000006E-2</v>
      </c>
      <c r="Z192" s="204">
        <f t="shared" si="89"/>
        <v>5.9009</v>
      </c>
      <c r="AA192" s="204">
        <f t="shared" si="66"/>
        <v>5.8037999999999998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7"/>
        <v>1833</v>
      </c>
      <c r="AE192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92" s="74" t="str">
        <f t="shared" si="69"/>
        <v>"C:\Program Files (x86)\AstroGrep\AstroGrep.exe" /e /r /s /spath="%USERPROFILE%\AppData\Local\Temp\OnboardLogs" /stypes="app*4054*20171029*" /stext=" 04:.+((SYSTEM_STATE.+slice.+state.+changed )|(ment ac)|(multiple cpu faults)|(system.+state.+changed )|(\[timeout)|(PRM\|1\|D)|(kpr)|(kdp)|(train st.+moving)|(\|lc)|(penalty))"</v>
      </c>
      <c r="AG192" s="182" t="str">
        <f t="shared" si="70"/>
        <v>NW</v>
      </c>
      <c r="AH192" s="78" t="str">
        <f t="shared" si="73"/>
        <v>"%USERPROFILE%\Documents\GitHub\eaglep3\Utilities\RefineRTDCRunTimes.py" --tripid 1833-28 --locoid 4054 --swversion DE.1.0.9.0 --startMP 204:971 --initTime 2017-10-28T22:00:51 --startdatetime 2017-10-28T22:09:19 --delay 106 --endMP 300:59009 --enddatetime 2017-10-28T22:22:58 --enforcementcount 0 &gt;&gt;%USERPROFILE%\Documents\GitHub\eaglep3-reporting\EC\2017-10-28-refined-times.txt</v>
      </c>
      <c r="AI192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{"issue":{"subject":"","project_id":79,"tracker_id":40,"status_id":1,"priority_id":2,"assigned_to_id":338,"start_date":"2017-10-28","description":"","custom_fields":[{"id":1,"name":"Subdivision","value":"NW"},{"id":4,"name":"Milepost","value":"5.9009"},{"id":17,"name":"Train ID","value":"1833-28"},{"id":16,"name":"Locomotive ID","value":"4054"},{"id":130,"name":"Impact","value":""},{"id":150,"name":"Time of Event (Mountain Time)","value":"22:22:58"},{"id":151,"name":"Denver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75"/>
        <v>start /low /b %USERPROFILE%\Documents\GitHub\eaglep3\Utilities\DownloadLogsFromS3.py --loco 4054 --day 2017-10-28</v>
      </c>
      <c r="AN192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7"/>
        <v>https://d0f6bd738d7f1b3e5a7ca70fe4ff75f0.us-east-1.aws.found.io/app/kibana#/discover/Steve-Slow-Train-Analysis-(2080s-and-2083s)?_g=(refreshInterval:(display:Off,pause:!f,section:0,value:0),time:(from:'2017-10-28T21:00:51-0600',mode:absolute,to:'2017-10-28T23:22:58-0600'))&amp;_a=(columns:!('Message%20ID',Summary),filters:!(),index:'emp_*',interval:auto,query:(query_string:(analyze_wildcard:!t,query:'%22rtdc.l.rtdc.4054%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860</v>
      </c>
      <c r="B193" s="7">
        <v>4053</v>
      </c>
      <c r="C193" s="21" t="s">
        <v>194</v>
      </c>
      <c r="D193" s="21" t="s">
        <v>998</v>
      </c>
      <c r="E193" s="13">
        <v>43036.933946759258</v>
      </c>
      <c r="F193" s="13">
        <v>43036.945833333331</v>
      </c>
      <c r="G193" s="7">
        <v>97</v>
      </c>
      <c r="H193" s="21" t="s">
        <v>603</v>
      </c>
      <c r="I193" s="13">
        <v>43036.955694444441</v>
      </c>
      <c r="J193" s="7">
        <v>0</v>
      </c>
      <c r="K193" s="89" t="str">
        <f t="shared" si="62"/>
        <v>4053/4054</v>
      </c>
      <c r="L193" s="185" t="str">
        <f>VLOOKUP(A193,'Trips&amp;Operators'!$C$1:$G$99911,5,FALSE)</f>
        <v>SMITH MICHAEL</v>
      </c>
      <c r="M193" s="6">
        <f t="shared" si="63"/>
        <v>9.8611111097852699E-3</v>
      </c>
      <c r="N193" s="7">
        <f t="shared" si="85"/>
        <v>14.199999998090789</v>
      </c>
      <c r="O193" s="7"/>
      <c r="P193" s="7"/>
      <c r="Q193" s="22"/>
      <c r="R193" s="174"/>
      <c r="S193" s="221">
        <f t="shared" si="87"/>
        <v>1</v>
      </c>
      <c r="T193" s="174" t="str">
        <f t="shared" si="64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5"/>
        <v>https://d0f6bd738d7f1b3e5a7ca70fe4ff75f0.us-east-1.aws.found.io/app/kibana#/discover/Steve-Slow-Train-Analysis-(2080s-and-2083s)?_g=(refreshInterval:(display:Off,pause:!f,section:0,value:0),time:(from:'2017-10-28T21:24:53-0600',mode:absolute,to:'2017-10-28T23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3" s="204" t="str">
        <f>IF(AA193&lt;VLOOKUP(AG193,Variables!$AC$3:$AD$8,2,FALSE),"Y","N")</f>
        <v>N</v>
      </c>
      <c r="X193" s="204">
        <f t="shared" si="86"/>
        <v>1</v>
      </c>
      <c r="Y193" s="204">
        <f t="shared" si="88"/>
        <v>5.8697999999999997</v>
      </c>
      <c r="Z193" s="204">
        <f t="shared" si="89"/>
        <v>6.9199999999999998E-2</v>
      </c>
      <c r="AA193" s="204">
        <f t="shared" si="66"/>
        <v>5.8005999999999993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7"/>
        <v>1834</v>
      </c>
      <c r="AE193" s="77" t="str">
        <f t="shared" si="6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193" s="74" t="str">
        <f t="shared" si="69"/>
        <v>"C:\Program Files (x86)\AstroGrep\AstroGrep.exe" /e /r /s /spath="%USERPROFILE%\AppData\Local\Temp\OnboardLogs" /stypes="app*4053*20171029*" /stext=" 04:.+((SYSTEM_STATE.+slice.+state.+changed )|(ment ac)|(multiple cpu faults)|(system.+state.+changed )|(\[timeout)|(PRM\|1\|D)|(kpr)|(kdp)|(train st.+moving)|(\|lc)|(penalty))"</v>
      </c>
      <c r="AG193" s="182" t="str">
        <f t="shared" si="70"/>
        <v>NW</v>
      </c>
      <c r="AH193" s="78" t="str">
        <f t="shared" si="73"/>
        <v>"%USERPROFILE%\Documents\GitHub\eaglep3\Utilities\RefineRTDCRunTimes.py" --tripid 1834-28 --locoid 4053 --swversion DE.1.0.9.0 --startMP 300:58698 --initTime 2017-10-28T22:24:53 --startdatetime 2017-10-28T22:42:00 --delay 97 --endMP 204:692 --enddatetime 2017-10-28T22:56:12 --enforcementcount 0 &gt;&gt;%USERPROFILE%\Documents\GitHub\eaglep3-reporting\EC\2017-10-28-refined-times.txt</v>
      </c>
      <c r="AI193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{"issue":{"subject":"","project_id":79,"tracker_id":40,"status_id":1,"priority_id":2,"assigned_to_id":338,"start_date":"2017-10-28","description":"","custom_fields":[{"id":1,"name":"Subdivision","value":"NW"},{"id":4,"name":"Milepost","value":"0.0692"},{"id":17,"name":"Train ID","value":"1834-28"},{"id":16,"name":"Locomotive ID","value":"4053"},{"id":130,"name":"Impact","value":""},{"id":150,"name":"Time of Event (Mountain Time)","value":"22:56:12"},{"id":151,"name":"Denver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75"/>
        <v>start /low /b %USERPROFILE%\Documents\GitHub\eaglep3\Utilities\DownloadLogsFromS3.py --loco 4053 --day 2017-10-28</v>
      </c>
      <c r="AN193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7"/>
        <v>https://d0f6bd738d7f1b3e5a7ca70fe4ff75f0.us-east-1.aws.found.io/app/kibana#/discover/Steve-Slow-Train-Analysis-(2080s-and-2083s)?_g=(refreshInterval:(display:Off,pause:!f,section:0,value:0),time:(from:'2017-10-28T21:24:53-0600',mode:absolute,to:'2017-10-28T23:56:12-0600'))&amp;_a=(columns:!('Message%20ID',Summary),filters:!(),index:'emp_*',interval:auto,query:(query_string:(analyze_wildcard:!t,query:'%22rtdc.l.rtdc.4053%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863</v>
      </c>
      <c r="B194" s="7">
        <v>4054</v>
      </c>
      <c r="C194" s="21" t="s">
        <v>194</v>
      </c>
      <c r="D194" s="21" t="s">
        <v>999</v>
      </c>
      <c r="E194" s="13">
        <v>43036.957546296297</v>
      </c>
      <c r="F194" s="13">
        <v>43036.964814814812</v>
      </c>
      <c r="G194" s="7">
        <v>74</v>
      </c>
      <c r="H194" s="21" t="s">
        <v>604</v>
      </c>
      <c r="I194" s="13">
        <v>43036.974745370368</v>
      </c>
      <c r="J194" s="7">
        <v>0</v>
      </c>
      <c r="K194" s="89" t="str">
        <f t="shared" si="62"/>
        <v>4053/4054</v>
      </c>
      <c r="L194" s="185" t="str">
        <f>VLOOKUP(A194,'Trips&amp;Operators'!$C$1:$G$99911,5,FALSE)</f>
        <v>SMITH MICHAEL</v>
      </c>
      <c r="M194" s="6">
        <f t="shared" si="63"/>
        <v>9.930555555911269E-3</v>
      </c>
      <c r="N194" s="7">
        <f t="shared" si="85"/>
        <v>14.300000000512227</v>
      </c>
      <c r="O194" s="7"/>
      <c r="P194" s="7"/>
      <c r="Q194" s="22"/>
      <c r="R194" s="174"/>
      <c r="S194" s="221">
        <f t="shared" si="87"/>
        <v>1</v>
      </c>
      <c r="T194" s="174" t="str">
        <f t="shared" si="64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5"/>
        <v>https://d0f6bd738d7f1b3e5a7ca70fe4ff75f0.us-east-1.aws.found.io/app/kibana#/discover/Steve-Slow-Train-Analysis-(2080s-and-2083s)?_g=(refreshInterval:(display:Off,pause:!f,section:0,value:0),time:(from:'2017-10-28T21:58:52-0600',mode:absolute,to:'2017-10-29T00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4" s="204" t="str">
        <f>IF(AA194&lt;VLOOKUP(AG194,Variables!$AC$3:$AD$8,2,FALSE),"Y","N")</f>
        <v>N</v>
      </c>
      <c r="X194" s="204">
        <f t="shared" si="86"/>
        <v>1</v>
      </c>
      <c r="Y194" s="204">
        <f t="shared" si="88"/>
        <v>9.7900000000000001E-2</v>
      </c>
      <c r="Z194" s="204">
        <f t="shared" si="89"/>
        <v>5.899</v>
      </c>
      <c r="AA194" s="204">
        <f t="shared" si="66"/>
        <v>5.8010999999999999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7"/>
        <v>1835</v>
      </c>
      <c r="AE194" s="77" t="str">
        <f t="shared" si="68"/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194" s="74" t="str">
        <f t="shared" si="69"/>
        <v>"C:\Program Files (x86)\AstroGrep\AstroGrep.exe" /e /r /s /spath="%USERPROFILE%\AppData\Local\Temp\OnboardLogs" /stypes="app*4054*20171029*" /stext=" 05:.+((SYSTEM_STATE.+slice.+state.+changed )|(ment ac)|(multiple cpu faults)|(system.+state.+changed )|(\[timeout)|(PRM\|1\|D)|(kpr)|(kdp)|(train st.+moving)|(\|lc)|(penalty))"</v>
      </c>
      <c r="AG194" s="182" t="str">
        <f t="shared" si="70"/>
        <v>NW</v>
      </c>
      <c r="AH194" s="78" t="str">
        <f t="shared" si="73"/>
        <v>"%USERPROFILE%\Documents\GitHub\eaglep3\Utilities\RefineRTDCRunTimes.py" --tripid 1835-28 --locoid 4054 --swversion DE.1.0.9.0 --startMP 204:979 --initTime 2017-10-28T22:58:52 --startdatetime 2017-10-28T23:09:20 --delay 74 --endMP 300:58990 --enddatetime 2017-10-28T23:23:38 --enforcementcount 0 &gt;&gt;%USERPROFILE%\Documents\GitHub\eaglep3-reporting\EC\2017-10-28-refined-times.txt</v>
      </c>
      <c r="AI194" s="96" t="str">
        <f t="shared" si="74"/>
        <v>echo {"issue":{"subject":"","project_id":79,"tracker_id":40,"status_id":1,"priority_id":2,"assigned_to_id":338,"start_date":"2017-10-28","description":"","custom_fields":[{"id":1,"name":"Subdivision","value":"NW"},{"id":4,"name":"Milepost","value":"5.899"},{"id":17,"name":"Train ID","value":"1835-28"},{"id":16,"name":"Locomotive ID","value":"4054"},{"id":130,"name":"Impact","value":""},{"id":150,"name":"Time of Event (Mountain Time)","value":"23:23:38"},{"id":151,"name":"Denver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75"/>
        <v>start /low /b %USERPROFILE%\Documents\GitHub\eaglep3\Utilities\DownloadLogsFromS3.py --loco 4054 --day 2017-10-28</v>
      </c>
      <c r="AN194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7"/>
        <v>https://d0f6bd738d7f1b3e5a7ca70fe4ff75f0.us-east-1.aws.found.io/app/kibana#/discover/Steve-Slow-Train-Analysis-(2080s-and-2083s)?_g=(refreshInterval:(display:Off,pause:!f,section:0,value:0),time:(from:'2017-10-28T21:58:52-0600',mode:absolute,to:'2017-10-29T00:23:38-0600'))&amp;_a=(columns:!('Message%20ID',Summary),filters:!(),index:'emp_*',interval:auto,query:(query_string:(analyze_wildcard:!t,query:'%22rtdc.l.rtdc.4054%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656</v>
      </c>
      <c r="B195" s="7">
        <v>4023</v>
      </c>
      <c r="C195" s="21" t="s">
        <v>194</v>
      </c>
      <c r="D195" s="21" t="s">
        <v>1045</v>
      </c>
      <c r="E195" s="13">
        <v>43036.133900462963</v>
      </c>
      <c r="F195" s="13">
        <v>43036.139004629629</v>
      </c>
      <c r="G195" s="7">
        <v>155</v>
      </c>
      <c r="H195" s="21" t="s">
        <v>1046</v>
      </c>
      <c r="I195" s="13">
        <v>43036.145624999997</v>
      </c>
      <c r="J195" s="7">
        <v>0</v>
      </c>
      <c r="K195" s="89" t="str">
        <f t="shared" si="62"/>
        <v>4023/4024</v>
      </c>
      <c r="L195" s="185" t="str">
        <f>VLOOKUP(A195,'Trips&amp;Operators'!$C$1:$G$99911,5,FALSE)</f>
        <v>MAELZER KURT</v>
      </c>
      <c r="M195" s="6">
        <f t="shared" si="63"/>
        <v>6.6203703681821935E-3</v>
      </c>
      <c r="N195" s="7">
        <f t="shared" ref="N195:N226" si="90">24*60*SUM($M195:$M195)</f>
        <v>9.5333333301823586</v>
      </c>
      <c r="O195" s="7"/>
      <c r="P195" s="7"/>
      <c r="Q195" s="22"/>
      <c r="R195" s="174"/>
      <c r="S195" s="221">
        <f t="shared" si="87"/>
        <v>1</v>
      </c>
      <c r="T195" s="174" t="str">
        <f t="shared" si="64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5"/>
        <v>https://d0f6bd738d7f1b3e5a7ca70fe4ff75f0.us-east-1.aws.found.io/app/kibana#/discover/Steve-Slow-Train-Analysis-(2080s-and-2083s)?_g=(refreshInterval:(display:Off,pause:!f,section:0,value:0),time:(from:'2017-10-28T02:12:49-0600',mode:absolute,to:'2017-10-28T04:29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5" s="204" t="str">
        <f>IF(AA195&lt;VLOOKUP(AG195,Variables!$AC$3:$AD$8,2,FALSE),"Y","N")</f>
        <v>Y</v>
      </c>
      <c r="X195" s="204">
        <f t="shared" si="86"/>
        <v>-1533</v>
      </c>
      <c r="Y195" s="204">
        <f t="shared" si="88"/>
        <v>1.9716</v>
      </c>
      <c r="Z195" s="204">
        <f t="shared" si="89"/>
        <v>1.32E-2</v>
      </c>
      <c r="AA195" s="204">
        <f t="shared" si="66"/>
        <v>1.9583999999999999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7"/>
        <v>302</v>
      </c>
      <c r="AE195" s="77" t="str">
        <f t="shared" si="68"/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AF195" s="74" t="str">
        <f t="shared" si="69"/>
        <v>"C:\Program Files (x86)\AstroGrep\AstroGrep.exe" /e /r /s /spath="%USERPROFILE%\AppData\Local\Temp\OnboardLogs" /stypes="app*4023*20171028*" /stext=" 09:.+((SYSTEM_STATE.+slice.+state.+changed )|(ment ac)|(multiple cpu faults)|(system.+state.+changed )|(\[timeout)|(PRM\|1\|D)|(kpr)|(kdp)|(train st.+moving)|(\|lc)|(penalty))"</v>
      </c>
      <c r="AG195" s="182" t="str">
        <f t="shared" si="70"/>
        <v>Other</v>
      </c>
      <c r="AH195" s="78" t="str">
        <f t="shared" si="73"/>
        <v>"%USERPROFILE%\Documents\GitHub\eaglep3\Utilities\RefineRTDCRunTimes.py" --tripid 302-28 --locoid 4023 --swversion DE.1.0.9.0 --startMP 300:19716 --initTime 2017-10-28T03:12:49 --startdatetime 2017-10-28T03:20:10 --delay 155 --endMP 204:132 --enddatetime 2017-10-28T03:29:42 --enforcementcount 0 &gt;&gt;%USERPROFILE%\Documents\GitHub\eaglep3-reporting\EC\2017-10-28-refined-times.txt</v>
      </c>
      <c r="AI195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{"issue":{"subject":"","project_id":79,"tracker_id":40,"status_id":1,"priority_id":2,"assigned_to_id":338,"start_date":"2017-10-28","description":"","custom_fields":[{"id":1,"name":"Subdivision","value":"Other"},{"id":4,"name":"Milepost","value":"0.0132"},{"id":17,"name":"Train ID","value":"302-28"},{"id":16,"name":"Locomotive ID","value":"4023"},{"id":130,"name":"Impact","value":""},{"id":150,"name":"Time of Event (Mountain Time)","value":"03:29:42"},{"id":151,"name":"Denver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75"/>
        <v>start /low /b %USERPROFILE%\Documents\GitHub\eaglep3\Utilities\DownloadLogsFromS3.py --loco 4023 --day 2017-10-28</v>
      </c>
      <c r="AN195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09:29:42"},{"id":29,"name":"Sharepoint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7"/>
        <v>https://d0f6bd738d7f1b3e5a7ca70fe4ff75f0.us-east-1.aws.found.io/app/kibana#/discover/Steve-Slow-Train-Analysis-(2080s-and-2083s)?_g=(refreshInterval:(display:Off,pause:!f,section:0,value:0),time:(from:'2017-10-28T02:12:49-0600',mode:absolute,to:'2017-10-28T04:29:42-0600'))&amp;_a=(columns:!('Message%20ID',Summary),filters:!(),index:'emp_*',interval:auto,query:(query_string:(analyze_wildcard:!t,query:'%22rtdc.l.rtdc.4023%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614</v>
      </c>
      <c r="B196" s="7">
        <v>4043</v>
      </c>
      <c r="C196" s="21" t="s">
        <v>194</v>
      </c>
      <c r="D196" s="21" t="s">
        <v>1047</v>
      </c>
      <c r="E196" s="13">
        <v>43036.15724537037</v>
      </c>
      <c r="F196" s="13">
        <v>43036.163159722222</v>
      </c>
      <c r="G196" s="7">
        <v>79</v>
      </c>
      <c r="H196" s="21" t="s">
        <v>1048</v>
      </c>
      <c r="I196" s="13">
        <v>43036.167256944442</v>
      </c>
      <c r="J196" s="7">
        <v>0</v>
      </c>
      <c r="K196" s="89" t="str">
        <f t="shared" si="62"/>
        <v>4043/4044</v>
      </c>
      <c r="L196" s="185" t="str">
        <f>VLOOKUP(A196,'Trips&amp;Operators'!$C$1:$G$99911,5,FALSE)</f>
        <v>DAVIS WENDY</v>
      </c>
      <c r="M196" s="6">
        <f t="shared" si="63"/>
        <v>4.0972222195705399E-3</v>
      </c>
      <c r="N196" s="7">
        <f t="shared" si="90"/>
        <v>5.8999999961815774</v>
      </c>
      <c r="O196" s="7"/>
      <c r="P196" s="7"/>
      <c r="Q196" s="22"/>
      <c r="R196" s="174"/>
      <c r="S196" s="221">
        <f t="shared" si="87"/>
        <v>1</v>
      </c>
      <c r="T196" s="174" t="str">
        <f t="shared" si="64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5"/>
        <v>https://d0f6bd738d7f1b3e5a7ca70fe4ff75f0.us-east-1.aws.found.io/app/kibana#/discover/Steve-Slow-Train-Analysis-(2080s-and-2083s)?_g=(refreshInterval:(display:Off,pause:!f,section:0,value:0),time:(from:'2017-10-28T02:46:26-0600',mode:absolute,to:'2017-10-28T05:00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6" s="204" t="str">
        <f>IF(AA196&lt;VLOOKUP(AG196,Variables!$AC$3:$AD$8,2,FALSE),"Y","N")</f>
        <v>Y</v>
      </c>
      <c r="X196" s="204">
        <f t="shared" si="86"/>
        <v>2</v>
      </c>
      <c r="Y196" s="204">
        <f t="shared" si="88"/>
        <v>2.2259000000000002</v>
      </c>
      <c r="Z196" s="204">
        <f t="shared" si="89"/>
        <v>0.45390000000000003</v>
      </c>
      <c r="AA196" s="204">
        <f t="shared" si="66"/>
        <v>1.7720000000000002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7"/>
        <v>304</v>
      </c>
      <c r="AE196" s="77" t="str">
        <f t="shared" si="68"/>
        <v>aws s3 cp s3://rtdc.mdm.uploadarchive.raw/RTDC4043/ "%USERPROFILE%\AppData\Local\Temp\OnboardLogs"\RTDC4043\2017-10-28 --exclude "*" --recursive --include "*20171028*" &amp; "%USERPROFILE%\Documents\GitHub\mrs-test-scripts\Headless Mode &amp; Sideloading\WalkAndUnGZ.bat" "%USERPROFILE%\AppData\Local\Temp\OnboardLogs"\RTDC4043\2017-10-28 &amp; aws s3 cp s3://rtdc.mdm.uploadarchive.raw/RTDC4043/ "%USERPROFILE%\AppData\Local\Temp\OnboardLogs"\RTDC4043\2017-10-29 --exclude "*" --recursive --include "*20171029*" &amp; "%USERPROFILE%\Documents\GitHub\mrs-test-scripts\Headless Mode &amp; Sideloading\WalkAndUnGZ.bat" "%USERPROFILE%\AppData\Local\Temp\OnboardLogs"\RTDC4043\2017-10-29</v>
      </c>
      <c r="AF196" s="74" t="str">
        <f t="shared" si="69"/>
        <v>"C:\Program Files (x86)\AstroGrep\AstroGrep.exe" /e /r /s /spath="%USERPROFILE%\AppData\Local\Temp\OnboardLogs" /stypes="app*4043*20171028*" /stext=" 10:.+((SYSTEM_STATE.+slice.+state.+changed )|(ment ac)|(multiple cpu faults)|(system.+state.+changed )|(\[timeout)|(PRM\|1\|D)|(kpr)|(kdp)|(train st.+moving)|(\|lc)|(penalty))"</v>
      </c>
      <c r="AG196" s="182" t="str">
        <f t="shared" si="70"/>
        <v>Other</v>
      </c>
      <c r="AH196" s="78" t="str">
        <f t="shared" si="73"/>
        <v>"%USERPROFILE%\Documents\GitHub\eaglep3\Utilities\RefineRTDCRunTimes.py" --tripid 304-28 --locoid 4043 --swversion DE.1.0.9.0 --startMP 300:22259 --initTime 2017-10-28T03:46:26 --startdatetime 2017-10-28T03:54:57 --delay 79 --endMP 204:4539 --enddatetime 2017-10-28T04:00:51 --enforcementcount 0 &gt;&gt;%USERPROFILE%\Documents\GitHub\eaglep3-reporting\EC\2017-10-28-refined-times.txt</v>
      </c>
      <c r="AI196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{"issue":{"subject":"","project_id":79,"tracker_id":40,"status_id":1,"priority_id":2,"assigned_to_id":338,"start_date":"2017-10-28","description":"","custom_fields":[{"id":1,"name":"Subdivision","value":"Other"},{"id":4,"name":"Milepost","value":"0.4539"},{"id":17,"name":"Train ID","value":"304-28"},{"id":16,"name":"Locomotive ID","value":"4043"},{"id":130,"name":"Impact","value":""},{"id":150,"name":"Time of Event (Mountain Time)","value":"04:00:51"},{"id":151,"name":"Denver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75"/>
        <v>start /low /b %USERPROFILE%\Documents\GitHub\eaglep3\Utilities\DownloadLogsFromS3.py --loco 4043 --day 2017-10-28</v>
      </c>
      <c r="AN196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10:00:51"},{"id":29,"name":"Sharepoint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7"/>
        <v>https://d0f6bd738d7f1b3e5a7ca70fe4ff75f0.us-east-1.aws.found.io/app/kibana#/discover/Steve-Slow-Train-Analysis-(2080s-and-2083s)?_g=(refreshInterval:(display:Off,pause:!f,section:0,value:0),time:(from:'2017-10-28T02:46:26-0600',mode:absolute,to:'2017-10-28T05:00:51-0600'))&amp;_a=(columns:!('Message%20ID',Summary),filters:!(),index:'emp_*',interval:auto,query:(query_string:(analyze_wildcard:!t,query:'%22rtdc.l.rtdc.4043%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663</v>
      </c>
      <c r="B197" s="7">
        <v>4003</v>
      </c>
      <c r="C197" s="21" t="s">
        <v>194</v>
      </c>
      <c r="D197" s="21" t="s">
        <v>1049</v>
      </c>
      <c r="E197" s="13">
        <v>43036.170428240737</v>
      </c>
      <c r="F197" s="13">
        <v>43036.179791666669</v>
      </c>
      <c r="G197" s="7">
        <v>390</v>
      </c>
      <c r="H197" s="21" t="s">
        <v>482</v>
      </c>
      <c r="I197" s="13">
        <v>43036.185289351852</v>
      </c>
      <c r="J197" s="7">
        <v>0</v>
      </c>
      <c r="K197" s="89" t="str">
        <f t="shared" si="62"/>
        <v>4003/4004</v>
      </c>
      <c r="L197" s="185" t="str">
        <f>VLOOKUP(A197,'Trips&amp;Operators'!$C$1:$G$99911,5,FALSE)</f>
        <v>PAGE MARCUS</v>
      </c>
      <c r="M197" s="6">
        <f t="shared" si="63"/>
        <v>5.4976851824903861E-3</v>
      </c>
      <c r="N197" s="7">
        <f t="shared" si="90"/>
        <v>7.9166666627861559</v>
      </c>
      <c r="O197" s="7"/>
      <c r="P197" s="7"/>
      <c r="Q197" s="22"/>
      <c r="R197" s="174"/>
      <c r="S197" s="221">
        <f t="shared" si="87"/>
        <v>1</v>
      </c>
      <c r="T197" s="174" t="str">
        <f t="shared" si="64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5"/>
        <v>https://d0f6bd738d7f1b3e5a7ca70fe4ff75f0.us-east-1.aws.found.io/app/kibana#/discover/Steve-Slow-Train-Analysis-(2080s-and-2083s)?_g=(refreshInterval:(display:Off,pause:!f,section:0,value:0),time:(from:'2017-10-28T03:05:25-0600',mode:absolute,to:'2017-10-28T05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204" t="str">
        <f>IF(AA197&lt;VLOOKUP(AG197,Variables!$AC$3:$AD$8,2,FALSE),"Y","N")</f>
        <v>Y</v>
      </c>
      <c r="X197" s="204">
        <f t="shared" si="86"/>
        <v>2</v>
      </c>
      <c r="Y197" s="204">
        <f t="shared" si="88"/>
        <v>2.3464</v>
      </c>
      <c r="Z197" s="204">
        <f t="shared" si="89"/>
        <v>1.6E-2</v>
      </c>
      <c r="AA197" s="204">
        <f t="shared" si="66"/>
        <v>2.3304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7"/>
        <v>306</v>
      </c>
      <c r="AE197" s="77" t="str">
        <f t="shared" si="68"/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AF197" s="74" t="str">
        <f t="shared" si="69"/>
        <v>"C:\Program Files (x86)\AstroGrep\AstroGrep.exe" /e /r /s /spath="%USERPROFILE%\AppData\Local\Temp\OnboardLogs" /stypes="app*4003*20171028*" /stext=" 10:.+((SYSTEM_STATE.+slice.+state.+changed )|(ment ac)|(multiple cpu faults)|(system.+state.+changed )|(\[timeout)|(PRM\|1\|D)|(kpr)|(kdp)|(train st.+moving)|(\|lc)|(penalty))"</v>
      </c>
      <c r="AG197" s="182" t="str">
        <f t="shared" si="70"/>
        <v>Other</v>
      </c>
      <c r="AH197" s="78" t="str">
        <f t="shared" si="73"/>
        <v>"%USERPROFILE%\Documents\GitHub\eaglep3\Utilities\RefineRTDCRunTimes.py" --tripid 306-28 --locoid 4003 --swversion DE.1.0.9.0 --startMP 300:23464 --initTime 2017-10-28T04:05:25 --startdatetime 2017-10-28T04:18:54 --delay 390 --endMP 204:160 --enddatetime 2017-10-28T04:26:49 --enforcementcount 0 &gt;&gt;%USERPROFILE%\Documents\GitHub\eaglep3-reporting\EC\2017-10-28-refined-times.txt</v>
      </c>
      <c r="AI197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{"issue":{"subject":"","project_id":79,"tracker_id":40,"status_id":1,"priority_id":2,"assigned_to_id":338,"start_date":"2017-10-28","description":"","custom_fields":[{"id":1,"name":"Subdivision","value":"Other"},{"id":4,"name":"Milepost","value":"0.016"},{"id":17,"name":"Train ID","value":"306-28"},{"id":16,"name":"Locomotive ID","value":"4003"},{"id":130,"name":"Impact","value":""},{"id":150,"name":"Time of Event (Mountain Time)","value":"04:26:49"},{"id":151,"name":"Denver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75"/>
        <v>start /low /b %USERPROFILE%\Documents\GitHub\eaglep3\Utilities\DownloadLogsFromS3.py --loco 4003 --day 2017-10-28</v>
      </c>
      <c r="AN197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10:26:49"},{"id":29,"name":"Sharepoint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7"/>
        <v>https://d0f6bd738d7f1b3e5a7ca70fe4ff75f0.us-east-1.aws.found.io/app/kibana#/discover/Steve-Slow-Train-Analysis-(2080s-and-2083s)?_g=(refreshInterval:(display:Off,pause:!f,section:0,value:0),time:(from:'2017-10-28T03:05:25-0600',mode:absolute,to:'2017-10-28T05:26:49-0600'))&amp;_a=(columns:!('Message%20ID',Summary),filters:!(),index:'emp_*',interval:auto,query:(query_string:(analyze_wildcard:!t,query:'%22rtdc.l.rtdc.4003%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874</v>
      </c>
      <c r="B198" s="7">
        <v>4024</v>
      </c>
      <c r="C198" s="21" t="s">
        <v>194</v>
      </c>
      <c r="D198" s="21" t="s">
        <v>376</v>
      </c>
      <c r="E198" s="13">
        <v>43037.046712962961</v>
      </c>
      <c r="F198" s="13">
        <v>43037.048275462963</v>
      </c>
      <c r="G198" s="7">
        <v>73</v>
      </c>
      <c r="H198" s="21" t="s">
        <v>377</v>
      </c>
      <c r="I198" s="13">
        <v>43037.058310185188</v>
      </c>
      <c r="J198" s="7">
        <v>0</v>
      </c>
      <c r="K198" s="89" t="str">
        <f t="shared" si="62"/>
        <v>4023/4024</v>
      </c>
      <c r="L198" s="185" t="str">
        <f>VLOOKUP(A198,'Trips&amp;Operators'!$C$1:$G$99911,5,FALSE)</f>
        <v>FORTUNATO FRANK</v>
      </c>
      <c r="M198" s="6">
        <f t="shared" si="63"/>
        <v>1.0034722225100268E-2</v>
      </c>
      <c r="N198" s="7">
        <f t="shared" si="90"/>
        <v>14.450000004144385</v>
      </c>
      <c r="O198" s="7"/>
      <c r="P198" s="7"/>
      <c r="Q198" s="22"/>
      <c r="R198" s="174"/>
      <c r="S198" s="221">
        <f t="shared" si="87"/>
        <v>1</v>
      </c>
      <c r="T198" s="174" t="str">
        <f t="shared" si="64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5"/>
        <v>https://d0f6bd738d7f1b3e5a7ca70fe4ff75f0.us-east-1.aws.found.io/app/kibana#/discover/Steve-Slow-Train-Analysis-(2080s-and-2083s)?_g=(refreshInterval:(display:Off,pause:!f,section:0,value:0),time:(from:'2017-10-29T00:07:16-0600',mode:absolute,to:'2017-10-29T02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8" s="204" t="str">
        <f>IF(AA198&lt;VLOOKUP(AG198,Variables!$AC$3:$AD$8,2,FALSE),"Y","N")</f>
        <v>Y</v>
      </c>
      <c r="X198" s="204">
        <f t="shared" si="86"/>
        <v>1</v>
      </c>
      <c r="Y198" s="204">
        <f t="shared" si="88"/>
        <v>4.4200000000000003E-2</v>
      </c>
      <c r="Z198" s="204">
        <f t="shared" si="89"/>
        <v>2.3346</v>
      </c>
      <c r="AA198" s="204">
        <f t="shared" si="66"/>
        <v>2.2904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7"/>
        <v>307</v>
      </c>
      <c r="AE198" s="77" t="str">
        <f t="shared" si="68"/>
        <v>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 &amp; aws s3 cp s3://rtdc.mdm.uploadarchive.raw/RTDC4024/ "%USERPROFILE%\AppData\Local\Temp\OnboardLogs"\RTDC4024\2017-10-30 --exclude "*" --recursive --include "*20171030*" &amp; "%USERPROFILE%\Documents\GitHub\mrs-test-scripts\Headless Mode &amp; Sideloading\WalkAndUnGZ.bat" "%USERPROFILE%\AppData\Local\Temp\OnboardLogs"\RTDC4024\2017-10-30</v>
      </c>
      <c r="AF198" s="74" t="str">
        <f t="shared" si="69"/>
        <v>"C:\Program Files (x86)\AstroGrep\AstroGrep.exe" /e /r /s /spath="%USERPROFILE%\AppData\Local\Temp\OnboardLogs" /stypes="app*4024*20171029*" /stext=" 07:.+((SYSTEM_STATE.+slice.+state.+changed )|(ment ac)|(multiple cpu faults)|(system.+state.+changed )|(\[timeout)|(PRM\|1\|D)|(kpr)|(kdp)|(train st.+moving)|(\|lc)|(penalty))"</v>
      </c>
      <c r="AG198" s="182" t="str">
        <f t="shared" si="70"/>
        <v>Other</v>
      </c>
      <c r="AH198" s="78" t="str">
        <f t="shared" si="73"/>
        <v>"%USERPROFILE%\Documents\GitHub\eaglep3\Utilities\RefineRTDCRunTimes.py" --tripid 307-28 --locoid 4024 --swversion DE.1.0.9.0 --startMP 204:442 --initTime 2017-10-29T01:07:16 --startdatetime 2017-10-29T01:09:31 --delay 73 --endMP 300:23346 --enddatetime 2017-10-29T01:23:58 --enforcementcount 0 &gt;&gt;%USERPROFILE%\Documents\GitHub\eaglep3-reporting\EC\2017-10-28-refined-times.txt</v>
      </c>
      <c r="AI198" s="96" t="str">
        <f t="shared" si="74"/>
        <v>echo {"issue":{"subject":"","project_id":79,"tracker_id":40,"status_id":1,"priority_id":2,"assigned_to_id":338,"start_date":"2017-10-29","description":"","custom_fields":[{"id":1,"name":"Subdivision","value":"Other"},{"id":4,"name":"Milepost","value":"2.3346"},{"id":17,"name":"Train ID","value":"307-28"},{"id":16,"name":"Locomotive ID","value":"4024"},{"id":130,"name":"Impact","value":""},{"id":150,"name":"Time of Event (Mountain Time)","value":"01:23:58"},{"id":151,"name":"Denver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75"/>
        <v>start /low /b %USERPROFILE%\Documents\GitHub\eaglep3\Utilities\DownloadLogsFromS3.py --loco 4024 --day 2017-10-29</v>
      </c>
      <c r="AN198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7"/>
        <v>https://d0f6bd738d7f1b3e5a7ca70fe4ff75f0.us-east-1.aws.found.io/app/kibana#/discover/Steve-Slow-Train-Analysis-(2080s-and-2083s)?_g=(refreshInterval:(display:Off,pause:!f,section:0,value:0),time:(from:'2017-10-29T00:07:16-0600',mode:absolute,to:'2017-10-29T02:23:58-0600'))&amp;_a=(columns:!('Message%20ID',Summary),filters:!(),index:'emp_*',interval:auto,query:(query_string:(analyze_wildcard:!t,query:'%22rtdc.l.rtdc.4024%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660</v>
      </c>
      <c r="B199" s="7">
        <v>4061</v>
      </c>
      <c r="C199" s="21" t="s">
        <v>194</v>
      </c>
      <c r="D199" s="21" t="s">
        <v>1050</v>
      </c>
      <c r="E199" s="13">
        <v>43036.171331018515</v>
      </c>
      <c r="F199" s="13">
        <v>43036.17628472222</v>
      </c>
      <c r="G199" s="7">
        <v>80</v>
      </c>
      <c r="H199" s="21" t="s">
        <v>893</v>
      </c>
      <c r="I199" s="13">
        <v>43036.187569444446</v>
      </c>
      <c r="J199" s="7">
        <v>0</v>
      </c>
      <c r="K199" s="89" t="str">
        <f t="shared" si="62"/>
        <v>4061/4062</v>
      </c>
      <c r="L199" s="185" t="str">
        <f>VLOOKUP(A199,'Trips&amp;Operators'!$C$1:$G$99911,5,FALSE)</f>
        <v>BARRON PERLA</v>
      </c>
      <c r="M199" s="6">
        <f t="shared" si="63"/>
        <v>1.1284722226264421E-2</v>
      </c>
      <c r="N199" s="7">
        <f t="shared" si="90"/>
        <v>16.250000005820766</v>
      </c>
      <c r="O199" s="7"/>
      <c r="P199" s="7"/>
      <c r="Q199" s="22"/>
      <c r="R199" s="174"/>
      <c r="S199" s="221">
        <f t="shared" si="87"/>
        <v>1</v>
      </c>
      <c r="T199" s="174" t="str">
        <f t="shared" si="64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5"/>
        <v>https://d0f6bd738d7f1b3e5a7ca70fe4ff75f0.us-east-1.aws.found.io/app/kibana#/discover/Steve-Slow-Train-Analysis-(2080s-and-2083s)?_g=(refreshInterval:(display:Off,pause:!f,section:0,value:0),time:(from:'2017-10-28T03:06:43-0600',mode:absolute,to:'2017-10-28T05:30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99" s="204" t="str">
        <f>IF(AA199&lt;VLOOKUP(AG199,Variables!$AC$3:$AD$8,2,FALSE),"Y","N")</f>
        <v>Y</v>
      </c>
      <c r="X199" s="204">
        <f t="shared" si="86"/>
        <v>1</v>
      </c>
      <c r="Y199" s="204">
        <f t="shared" si="88"/>
        <v>2.3723999999999998</v>
      </c>
      <c r="Z199" s="204">
        <f t="shared" si="89"/>
        <v>1.6299999999999999E-2</v>
      </c>
      <c r="AA199" s="204">
        <f t="shared" si="66"/>
        <v>2.3560999999999996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7"/>
        <v>308</v>
      </c>
      <c r="AE199" s="77" t="str">
        <f t="shared" si="68"/>
        <v>aws s3 cp s3://rtdc.mdm.uploadarchive.raw/RTDC4061/ "%USERPROFILE%\AppData\Local\Temp\OnboardLogs"\RTDC4061\2017-10-28 --exclude "*" --recursive --include "*20171028*" &amp; "%USERPROFILE%\Documents\GitHub\mrs-test-scripts\Headless Mode &amp; Sideloading\WalkAndUnGZ.bat" "%USERPROFILE%\AppData\Local\Temp\OnboardLogs"\RTDC4061\2017-10-28 &amp; 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</v>
      </c>
      <c r="AF199" s="74" t="str">
        <f t="shared" si="69"/>
        <v>"C:\Program Files (x86)\AstroGrep\AstroGrep.exe" /e /r /s /spath="%USERPROFILE%\AppData\Local\Temp\OnboardLogs" /stypes="app*4061*20171028*" /stext=" 10:.+((SYSTEM_STATE.+slice.+state.+changed )|(ment ac)|(multiple cpu faults)|(system.+state.+changed )|(\[timeout)|(PRM\|1\|D)|(kpr)|(kdp)|(train st.+moving)|(\|lc)|(penalty))"</v>
      </c>
      <c r="AG199" s="182" t="str">
        <f t="shared" si="70"/>
        <v>Other</v>
      </c>
      <c r="AH199" s="78" t="str">
        <f t="shared" si="73"/>
        <v>"%USERPROFILE%\Documents\GitHub\eaglep3\Utilities\RefineRTDCRunTimes.py" --tripid 308-28 --locoid 4061 --swversion DE.1.0.9.0 --startMP 300:23724 --initTime 2017-10-28T04:06:43 --startdatetime 2017-10-28T04:13:51 --delay 80 --endMP 204:163 --enddatetime 2017-10-28T04:30:06 --enforcementcount 0 &gt;&gt;%USERPROFILE%\Documents\GitHub\eaglep3-reporting\EC\2017-10-28-refined-times.txt</v>
      </c>
      <c r="AI199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{"issue":{"subject":"","project_id":79,"tracker_id":40,"status_id":1,"priority_id":2,"assigned_to_id":338,"start_date":"2017-10-28","description":"","custom_fields":[{"id":1,"name":"Subdivision","value":"Other"},{"id":4,"name":"Milepost","value":"0.0163"},{"id":17,"name":"Train ID","value":"308-28"},{"id":16,"name":"Locomotive ID","value":"4061"},{"id":130,"name":"Impact","value":""},{"id":150,"name":"Time of Event (Mountain Time)","value":"04:30:06"},{"id":151,"name":"Denver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75"/>
        <v>start /low /b %USERPROFILE%\Documents\GitHub\eaglep3\Utilities\DownloadLogsFromS3.py --loco 4061 --day 2017-10-28</v>
      </c>
      <c r="AN199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10:30:06"},{"id":29,"name":"Sharepoint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7"/>
        <v>https://d0f6bd738d7f1b3e5a7ca70fe4ff75f0.us-east-1.aws.found.io/app/kibana#/discover/Steve-Slow-Train-Analysis-(2080s-and-2083s)?_g=(refreshInterval:(display:Off,pause:!f,section:0,value:0),time:(from:'2017-10-28T03:06:43-0600',mode:absolute,to:'2017-10-28T05:30:06-0600'))&amp;_a=(columns:!('Message%20ID',Summary),filters:!(),index:'emp_*',interval:auto,query:(query_string:(analyze_wildcard:!t,query:'%22rtdc.l.rtdc.4061%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876</v>
      </c>
      <c r="B200" s="7">
        <v>4012</v>
      </c>
      <c r="C200" s="21" t="s">
        <v>194</v>
      </c>
      <c r="D200" s="21" t="s">
        <v>520</v>
      </c>
      <c r="E200" s="13">
        <v>43037.065787037034</v>
      </c>
      <c r="F200" s="13">
        <v>43037.06759259259</v>
      </c>
      <c r="G200" s="7">
        <v>59</v>
      </c>
      <c r="H200" s="21" t="s">
        <v>1051</v>
      </c>
      <c r="I200" s="13">
        <v>43037.076377314814</v>
      </c>
      <c r="J200" s="7">
        <v>0</v>
      </c>
      <c r="K200" s="89" t="str">
        <f t="shared" si="62"/>
        <v>4011/4012</v>
      </c>
      <c r="L200" s="185" t="str">
        <f>VLOOKUP(A200,'Trips&amp;Operators'!$C$1:$G$99911,5,FALSE)</f>
        <v>ELBAUM MIKE</v>
      </c>
      <c r="M200" s="6">
        <f t="shared" si="63"/>
        <v>8.7847222239361145E-3</v>
      </c>
      <c r="N200" s="7">
        <f t="shared" si="90"/>
        <v>12.650000002468005</v>
      </c>
      <c r="O200" s="7"/>
      <c r="P200" s="7"/>
      <c r="Q200" s="22"/>
      <c r="R200" s="174"/>
      <c r="S200" s="221">
        <f t="shared" si="87"/>
        <v>1</v>
      </c>
      <c r="T200" s="174" t="str">
        <f t="shared" si="64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5"/>
        <v>https://d0f6bd738d7f1b3e5a7ca70fe4ff75f0.us-east-1.aws.found.io/app/kibana#/discover/Steve-Slow-Train-Analysis-(2080s-and-2083s)?_g=(refreshInterval:(display:Off,pause:!f,section:0,value:0),time:(from:'2017-10-29T00:34:44-0600',mode:absolute,to:'2017-10-29T02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0" s="204" t="str">
        <f>IF(AA200&lt;VLOOKUP(AG200,Variables!$AC$3:$AD$8,2,FALSE),"Y","N")</f>
        <v>Y</v>
      </c>
      <c r="X200" s="204">
        <f t="shared" ref="X200:X232" si="91">VALUE(LEFT(AD200,4))-VALUE(LEFT(AD199,4))</f>
        <v>1</v>
      </c>
      <c r="Y200" s="204">
        <f t="shared" si="88"/>
        <v>5.62E-2</v>
      </c>
      <c r="Z200" s="204">
        <f t="shared" si="89"/>
        <v>2.3298999999999999</v>
      </c>
      <c r="AA200" s="204">
        <f t="shared" si="66"/>
        <v>2.2736999999999998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7"/>
        <v>309</v>
      </c>
      <c r="AE200" s="77" t="str">
        <f t="shared" si="68"/>
        <v>aws s3 cp s3://rtdc.mdm.uploadarchive.raw/RTDC4012/ "%USERPROFILE%\AppData\Local\Temp\OnboardLogs"\RTDC4012\2017-10-29 --exclude "*" --recursive --include "*20171029*" &amp; "%USERPROFILE%\Documents\GitHub\mrs-test-scripts\Headless Mode &amp; Sideloading\WalkAndUnGZ.bat" "%USERPROFILE%\AppData\Local\Temp\OnboardLogs"\RTDC4012\2017-10-29 &amp; aws s3 cp s3://rtdc.mdm.uploadarchive.raw/RTDC4012/ "%USERPROFILE%\AppData\Local\Temp\OnboardLogs"\RTDC4012\2017-10-30 --exclude "*" --recursive --include "*20171030*" &amp; "%USERPROFILE%\Documents\GitHub\mrs-test-scripts\Headless Mode &amp; Sideloading\WalkAndUnGZ.bat" "%USERPROFILE%\AppData\Local\Temp\OnboardLogs"\RTDC4012\2017-10-30</v>
      </c>
      <c r="AF200" s="74" t="str">
        <f t="shared" si="69"/>
        <v>"C:\Program Files (x86)\AstroGrep\AstroGrep.exe" /e /r /s /spath="%USERPROFILE%\AppData\Local\Temp\OnboardLogs" /stypes="app*4012*20171029*" /stext=" 07:.+((SYSTEM_STATE.+slice.+state.+changed )|(ment ac)|(multiple cpu faults)|(system.+state.+changed )|(\[timeout)|(PRM\|1\|D)|(kpr)|(kdp)|(train st.+moving)|(\|lc)|(penalty))"</v>
      </c>
      <c r="AG200" s="182" t="str">
        <f t="shared" si="70"/>
        <v>Other</v>
      </c>
      <c r="AH200" s="78" t="str">
        <f t="shared" si="73"/>
        <v>"%USERPROFILE%\Documents\GitHub\eaglep3\Utilities\RefineRTDCRunTimes.py" --tripid 309-28 --locoid 4012 --swversion DE.1.0.9.0 --startMP 204:562 --initTime 2017-10-29T01:34:44 --startdatetime 2017-10-29T01:37:20 --delay 59 --endMP 300:23299 --enddatetime 2017-10-29T01:49:59 --enforcementcount 0 &gt;&gt;%USERPROFILE%\Documents\GitHub\eaglep3-reporting\EC\2017-10-28-refined-times.txt</v>
      </c>
      <c r="AI200" s="96" t="str">
        <f t="shared" si="74"/>
        <v>echo {"issue":{"subject":"","project_id":79,"tracker_id":40,"status_id":1,"priority_id":2,"assigned_to_id":338,"start_date":"2017-10-29","description":"","custom_fields":[{"id":1,"name":"Subdivision","value":"Other"},{"id":4,"name":"Milepost","value":"2.3299"},{"id":17,"name":"Train ID","value":"309-28"},{"id":16,"name":"Locomotive ID","value":"4012"},{"id":130,"name":"Impact","value":""},{"id":150,"name":"Time of Event (Mountain Time)","value":"01:49:59"},{"id":151,"name":"Denver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75"/>
        <v>start /low /b %USERPROFILE%\Documents\GitHub\eaglep3\Utilities\DownloadLogsFromS3.py --loco 4012 --day 2017-10-29</v>
      </c>
      <c r="AN200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7"/>
        <v>https://d0f6bd738d7f1b3e5a7ca70fe4ff75f0.us-east-1.aws.found.io/app/kibana#/discover/Steve-Slow-Train-Analysis-(2080s-and-2083s)?_g=(refreshInterval:(display:Off,pause:!f,section:0,value:0),time:(from:'2017-10-29T00:34:44-0600',mode:absolute,to:'2017-10-29T02:49:59-0600'))&amp;_a=(columns:!('Message%20ID',Summary),filters:!(),index:'emp_*',interval:auto,query:(query_string:(analyze_wildcard:!t,query:'%22rtdc.l.rtdc.4012%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618</v>
      </c>
      <c r="B201" s="7">
        <v>4031</v>
      </c>
      <c r="C201" s="21" t="s">
        <v>194</v>
      </c>
      <c r="D201" s="21" t="s">
        <v>1052</v>
      </c>
      <c r="E201" s="13">
        <v>43036.201840277776</v>
      </c>
      <c r="F201" s="13">
        <v>43036.209074074075</v>
      </c>
      <c r="G201" s="7">
        <v>193</v>
      </c>
      <c r="H201" s="21" t="s">
        <v>897</v>
      </c>
      <c r="I201" s="13">
        <v>43036.215231481481</v>
      </c>
      <c r="J201" s="7">
        <v>0</v>
      </c>
      <c r="K201" s="89" t="str">
        <f t="shared" si="62"/>
        <v>4031/4032</v>
      </c>
      <c r="L201" s="185" t="str">
        <f>VLOOKUP(A201,'Trips&amp;Operators'!$C$1:$G$99911,5,FALSE)</f>
        <v>LALONDE GREGORY</v>
      </c>
      <c r="M201" s="6">
        <f t="shared" si="63"/>
        <v>6.1574074061354622E-3</v>
      </c>
      <c r="N201" s="7">
        <f t="shared" si="90"/>
        <v>8.8666666648350656</v>
      </c>
      <c r="O201" s="7"/>
      <c r="P201" s="7"/>
      <c r="Q201" s="22"/>
      <c r="R201" s="174"/>
      <c r="S201" s="221">
        <f t="shared" si="87"/>
        <v>1</v>
      </c>
      <c r="T201" s="174" t="str">
        <f t="shared" si="64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5"/>
        <v>https://d0f6bd738d7f1b3e5a7ca70fe4ff75f0.us-east-1.aws.found.io/app/kibana#/discover/Steve-Slow-Train-Analysis-(2080s-and-2083s)?_g=(refreshInterval:(display:Off,pause:!f,section:0,value:0),time:(from:'2017-10-28T03:50:39-0600',mode:absolute,to:'2017-10-28T06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204" t="str">
        <f>IF(AA201&lt;VLOOKUP(AG201,Variables!$AC$3:$AD$8,2,FALSE),"Y","N")</f>
        <v>Y</v>
      </c>
      <c r="X201" s="204">
        <f t="shared" si="91"/>
        <v>1</v>
      </c>
      <c r="Y201" s="204">
        <f t="shared" si="88"/>
        <v>2.544</v>
      </c>
      <c r="Z201" s="204">
        <f t="shared" si="89"/>
        <v>2.29E-2</v>
      </c>
      <c r="AA201" s="204">
        <f t="shared" si="66"/>
        <v>2.5211000000000001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7"/>
        <v>310</v>
      </c>
      <c r="AE201" s="77" t="str">
        <f t="shared" si="68"/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AF201" s="74" t="str">
        <f t="shared" si="69"/>
        <v>"C:\Program Files (x86)\AstroGrep\AstroGrep.exe" /e /r /s /spath="%USERPROFILE%\AppData\Local\Temp\OnboardLogs" /stypes="app*4031*20171028*" /stext=" 11:.+((SYSTEM_STATE.+slice.+state.+changed )|(ment ac)|(multiple cpu faults)|(system.+state.+changed )|(\[timeout)|(PRM\|1\|D)|(kpr)|(kdp)|(train st.+moving)|(\|lc)|(penalty))"</v>
      </c>
      <c r="AG201" s="182" t="str">
        <f t="shared" si="70"/>
        <v>Other</v>
      </c>
      <c r="AH201" s="78" t="str">
        <f t="shared" si="73"/>
        <v>"%USERPROFILE%\Documents\GitHub\eaglep3\Utilities\RefineRTDCRunTimes.py" --tripid 310-28 --locoid 4031 --swversion DE.1.0.9.0 --startMP 300:25440 --initTime 2017-10-28T04:50:39 --startdatetime 2017-10-28T05:01:04 --delay 193 --endMP 204:229 --enddatetime 2017-10-28T05:09:56 --enforcementcount 0 &gt;&gt;%USERPROFILE%\Documents\GitHub\eaglep3-reporting\EC\2017-10-28-refined-times.txt</v>
      </c>
      <c r="AI201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{"issue":{"subject":"","project_id":79,"tracker_id":40,"status_id":1,"priority_id":2,"assigned_to_id":338,"start_date":"2017-10-28","description":"","custom_fields":[{"id":1,"name":"Subdivision","value":"Other"},{"id":4,"name":"Milepost","value":"0.0229"},{"id":17,"name":"Train ID","value":"310-28"},{"id":16,"name":"Locomotive ID","value":"4031"},{"id":130,"name":"Impact","value":""},{"id":150,"name":"Time of Event (Mountain Time)","value":"05:09:56"},{"id":151,"name":"Denver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75"/>
        <v>start /low /b %USERPROFILE%\Documents\GitHub\eaglep3\Utilities\DownloadLogsFromS3.py --loco 4031 --day 2017-10-28</v>
      </c>
      <c r="AN201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7"/>
        <v>https://d0f6bd738d7f1b3e5a7ca70fe4ff75f0.us-east-1.aws.found.io/app/kibana#/discover/Steve-Slow-Train-Analysis-(2080s-and-2083s)?_g=(refreshInterval:(display:Off,pause:!f,section:0,value:0),time:(from:'2017-10-28T03:50:39-0600',mode:absolute,to:'2017-10-28T06:09:56-0600'))&amp;_a=(columns:!('Message%20ID',Summary),filters:!(),index:'emp_*',interval:auto,query:(query_string:(analyze_wildcard:!t,query:'%22rtdc.l.rtdc.4031%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621</v>
      </c>
      <c r="B202" s="7">
        <v>4041</v>
      </c>
      <c r="C202" s="21" t="s">
        <v>194</v>
      </c>
      <c r="D202" s="21" t="s">
        <v>1053</v>
      </c>
      <c r="E202" s="13">
        <v>43036.217858796299</v>
      </c>
      <c r="F202" s="13">
        <v>25568.708333333332</v>
      </c>
      <c r="G202" s="7">
        <v>122</v>
      </c>
      <c r="H202" s="21" t="s">
        <v>1054</v>
      </c>
      <c r="I202" s="13">
        <v>25568.708333333332</v>
      </c>
      <c r="J202" s="7">
        <v>0</v>
      </c>
      <c r="K202" s="89" t="str">
        <f t="shared" si="62"/>
        <v>4041/4042</v>
      </c>
      <c r="L202" s="185" t="str">
        <f>VLOOKUP(A202,'Trips&amp;Operators'!$C$1:$G$99911,5,FALSE)</f>
        <v>WILLIAMS DONTE</v>
      </c>
      <c r="M202" s="6">
        <f t="shared" si="63"/>
        <v>0</v>
      </c>
      <c r="N202" s="7">
        <f t="shared" si="90"/>
        <v>0</v>
      </c>
      <c r="O202" s="7"/>
      <c r="P202" s="7"/>
      <c r="Q202" s="22"/>
      <c r="R202" s="174"/>
      <c r="S202" s="221">
        <f t="shared" si="87"/>
        <v>1</v>
      </c>
      <c r="T202" s="174" t="str">
        <f t="shared" si="64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5"/>
        <v>https://d0f6bd738d7f1b3e5a7ca70fe4ff75f0.us-east-1.aws.found.io/app/kibana#/discover/Steve-Slow-Train-Analysis-(2080s-and-2083s)?_g=(refreshInterval:(display:Off,pause:!f,section:0,value:0),time:(from:'2017-10-28T04:13:43-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2" s="204" t="str">
        <f>IF(AA202&lt;VLOOKUP(AG202,Variables!$AC$3:$AD$8,2,FALSE),"Y","N")</f>
        <v>Y</v>
      </c>
      <c r="X202" s="204">
        <f t="shared" si="91"/>
        <v>2</v>
      </c>
      <c r="Y202" s="204">
        <f t="shared" si="88"/>
        <v>2.3605999999999998</v>
      </c>
      <c r="Z202" s="204">
        <f t="shared" si="89"/>
        <v>0.45019999999999999</v>
      </c>
      <c r="AA202" s="204">
        <f t="shared" si="66"/>
        <v>1.9103999999999999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7"/>
        <v>312</v>
      </c>
      <c r="AE202" s="77" t="str">
        <f t="shared" si="68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02" s="74" t="str">
        <f t="shared" si="69"/>
        <v>"C:\Program Files (x86)\AstroGrep\AstroGrep.exe" /e /r /s /spath="%USERPROFILE%\AppData\Local\Temp\OnboardLogs" /stypes="app*4041*19691231*" /stext=" 23:.+((SYSTEM_STATE.+slice.+state.+changed )|(ment ac)|(multiple cpu faults)|(system.+state.+changed )|(\[timeout)|(PRM\|1\|D)|(kpr)|(kdp)|(train st.+moving)|(\|lc)|(penalty))"</v>
      </c>
      <c r="AG202" s="182" t="str">
        <f t="shared" si="70"/>
        <v>Other</v>
      </c>
      <c r="AH202" s="78" t="str">
        <f t="shared" si="73"/>
        <v>"%USERPROFILE%\Documents\GitHub\eaglep3\Utilities\RefineRTDCRunTimes.py" --tripid 312-28 --locoid 4041 --swversion DE.1.0.9.0 --startMP 300:23606 --initTime 2017-10-28T05:13:43 --startdatetime 1969-12-31T17:00:00 --delay 122 --endMP 204:4502 --enddatetime 1969-12-31T17:00:00 --enforcementcount 0 &gt;&gt;%USERPROFILE%\Documents\GitHub\eaglep3-reporting\EC\2017-10-28-refined-times.txt</v>
      </c>
      <c r="AI202" s="96" t="str">
        <f t="shared" si="74"/>
        <v>echo {"issue":{"subject":"","project_id":79,"tracker_id":40,"status_id":1,"priority_id":2,"assigned_to_id":338,"start_date":"1969-12-31","description":"","custom_fields":[{"id":1,"name":"Subdivision","value":"Other"},{"id":4,"name":"Milepost","value":"0.4502"},{"id":17,"name":"Train ID","value":"312-28"},{"id":16,"name":"Locomotive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75"/>
        <v>start /low /b %USERPROFILE%\Documents\GitHub\eaglep3\Utilities\DownloadLogsFromS3.py --loco 4041 --day 1969-12-31</v>
      </c>
      <c r="AN202" s="151" t="str">
        <f t="shared" si="7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7"/>
        <v>https://d0f6bd738d7f1b3e5a7ca70fe4ff75f0.us-east-1.aws.found.io/app/kibana#/discover/Steve-Slow-Train-Analysis-(2080s-and-2083s)?_g=(refreshInterval:(display:Off,pause:!f,section:0,value:0),time:(from:'2017-10-28T04:13:43-0600',mode:absolute,to:'1969-12-31T18:00:00-0600'))&amp;_a=(columns:!('Message%20ID',Summary),filters:!(),index:'emp_*',interval:auto,query:(query_string:(analyze_wildcard:!t,query:'%22rtdc.l.rtdc.4041%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627</v>
      </c>
      <c r="B203" s="7">
        <v>4034</v>
      </c>
      <c r="C203" s="21" t="s">
        <v>194</v>
      </c>
      <c r="D203" s="21" t="s">
        <v>936</v>
      </c>
      <c r="E203" s="13">
        <v>43036.307662037034</v>
      </c>
      <c r="F203" s="13">
        <v>43036.314305555556</v>
      </c>
      <c r="G203" s="7">
        <v>244</v>
      </c>
      <c r="H203" s="21" t="s">
        <v>937</v>
      </c>
      <c r="I203" s="13">
        <v>43036.335613425923</v>
      </c>
      <c r="J203" s="7">
        <v>0</v>
      </c>
      <c r="K203" s="89" t="str">
        <f t="shared" si="62"/>
        <v>4033/4034</v>
      </c>
      <c r="L203" s="185" t="str">
        <f>VLOOKUP(A203,'Trips&amp;Operators'!$C$1:$G$99911,5,FALSE)</f>
        <v>ROMERO CHAD</v>
      </c>
      <c r="M203" s="6">
        <f t="shared" si="63"/>
        <v>2.1307870367309079E-2</v>
      </c>
      <c r="N203" s="7">
        <f t="shared" si="90"/>
        <v>30.683333328925073</v>
      </c>
      <c r="O203" s="7"/>
      <c r="P203" s="7"/>
      <c r="Q203" s="22"/>
      <c r="R203" s="174"/>
      <c r="S203" s="221">
        <f t="shared" si="87"/>
        <v>0</v>
      </c>
      <c r="T203" s="174" t="str">
        <f t="shared" si="64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216" t="str">
        <f t="shared" si="65"/>
        <v>https://d0f6bd738d7f1b3e5a7ca70fe4ff75f0.us-east-1.aws.found.io/app/kibana#/discover/Steve-Slow-Train-Analysis-(2080s-and-2083s)?_g=(refreshInterval:(display:Off,pause:!f,section:0,value:0),time:(from:'2017-10-28T06:23:02-0600',mode:absolute,to:'2017-10-28T09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3" s="204" t="str">
        <f>IF(AA203&lt;VLOOKUP(AG203,Variables!$AC$3:$AD$8,2,FALSE),"Y","N")</f>
        <v>Y</v>
      </c>
      <c r="X203" s="204">
        <f t="shared" si="91"/>
        <v>1389</v>
      </c>
      <c r="Y203" s="204">
        <f t="shared" si="88"/>
        <v>2.9748000000000001</v>
      </c>
      <c r="Z203" s="204">
        <f t="shared" si="89"/>
        <v>11.0328</v>
      </c>
      <c r="AA203" s="204">
        <f t="shared" si="66"/>
        <v>8.0579999999999998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7"/>
        <v>1701</v>
      </c>
      <c r="AE203" s="77" t="str">
        <f t="shared" si="68"/>
        <v>aws s3 cp s3://rtdc.mdm.uploadarchive.raw/RTDC4034/ "%USERPROFILE%\AppData\Local\Temp\OnboardLogs"\RTDC4034\2017-10-28 --exclude "*" --recursive --include "*20171028*" &amp; "%USERPROFILE%\Documents\GitHub\mrs-test-scripts\Headless Mode &amp; Sideloading\WalkAndUnGZ.bat" "%USERPROFILE%\AppData\Local\Temp\OnboardLogs"\RTDC4034\2017-10-28 &amp; aws s3 cp s3://rtdc.mdm.uploadarchive.raw/RTDC4034/ "%USERPROFILE%\AppData\Local\Temp\OnboardLogs"\RTDC4034\2017-10-29 --exclude "*" --recursive --include "*20171029*" &amp; "%USERPROFILE%\Documents\GitHub\mrs-test-scripts\Headless Mode &amp; Sideloading\WalkAndUnGZ.bat" "%USERPROFILE%\AppData\Local\Temp\OnboardLogs"\RTDC4034\2017-10-29</v>
      </c>
      <c r="AF203" s="74" t="str">
        <f t="shared" si="69"/>
        <v>"C:\Program Files (x86)\AstroGrep\AstroGrep.exe" /e /r /s /spath="%USERPROFILE%\AppData\Local\Temp\OnboardLogs" /stypes="app*4034*20171028*" /stext=" 14:.+((SYSTEM_STATE.+slice.+state.+changed )|(ment ac)|(multiple cpu faults)|(system.+state.+changed )|(\[timeout)|(PRM\|1\|D)|(kpr)|(kdp)|(train st.+moving)|(\|lc)|(penalty))"</v>
      </c>
      <c r="AG203" s="182" t="str">
        <f t="shared" si="70"/>
        <v>Other</v>
      </c>
      <c r="AH203" s="78" t="str">
        <f t="shared" si="73"/>
        <v>"%USERPROFILE%\Documents\GitHub\eaglep3\Utilities\RefineRTDCRunTimes.py" --tripid 1701-28 --locoid 4034 --swversion DE.1.0.9.0 --startMP 300:29748 --initTime 2017-10-28T07:23:02 --startdatetime 2017-10-28T07:32:36 --delay 244 --endMP 300:110328 --enddatetime 2017-10-28T08:03:17 --enforcementcount 0 &gt;&gt;%USERPROFILE%\Documents\GitHub\eaglep3-reporting\EC\2017-10-28-refined-times.txt</v>
      </c>
      <c r="AI203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{"issue":{"subject":"","project_id":79,"tracker_id":40,"status_id":1,"priority_id":2,"assigned_to_id":338,"start_date":"2017-10-28","description":"","custom_fields":[{"id":1,"name":"Subdivision","value":"Other"},{"id":4,"name":"Milepost","value":"11.0328"},{"id":17,"name":"Train ID","value":"1701-28"},{"id":16,"name":"Locomotive ID","value":"4034"},{"id":130,"name":"Impact","value":""},{"id":150,"name":"Time of Event (Mountain Time)","value":"08:03:17"},{"id":151,"name":"Denver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75"/>
        <v>start /low /b %USERPROFILE%\Documents\GitHub\eaglep3\Utilities\DownloadLogsFromS3.py --loco 4034 --day 2017-10-28</v>
      </c>
      <c r="AN203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7"/>
        <v>https://d0f6bd738d7f1b3e5a7ca70fe4ff75f0.us-east-1.aws.found.io/app/kibana#/discover/Steve-Slow-Train-Analysis-(2080s-and-2083s)?_g=(refreshInterval:(display:Off,pause:!f,section:0,value:0),time:(from:'2017-10-28T06:23:02-0600',mode:absolute,to:'2017-10-28T09:03:17-0600'))&amp;_a=(columns:!('Message%20ID',Summary),filters:!(),index:'emp_*',interval:auto,query:(query_string:(analyze_wildcard:!t,query:'%22rtdc.l.rtdc.4034%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627</v>
      </c>
      <c r="B204" s="7">
        <v>4033</v>
      </c>
      <c r="C204" s="21" t="s">
        <v>194</v>
      </c>
      <c r="D204" s="21" t="s">
        <v>938</v>
      </c>
      <c r="E204" s="13">
        <v>43036.485069444447</v>
      </c>
      <c r="F204" s="13">
        <v>43036.487407407411</v>
      </c>
      <c r="G204" s="7">
        <v>85</v>
      </c>
      <c r="H204" s="21" t="s">
        <v>939</v>
      </c>
      <c r="I204" s="13">
        <v>43036.513090277775</v>
      </c>
      <c r="J204" s="7">
        <v>0</v>
      </c>
      <c r="K204" s="89" t="str">
        <f t="shared" si="62"/>
        <v>4033/4034</v>
      </c>
      <c r="L204" s="185" t="str">
        <f>VLOOKUP(A204,'Trips&amp;Operators'!$C$1:$G$99911,5,FALSE)</f>
        <v>ROMERO CHAD</v>
      </c>
      <c r="M204" s="6">
        <f t="shared" si="63"/>
        <v>2.5682870364107657E-2</v>
      </c>
      <c r="N204" s="7">
        <f t="shared" si="90"/>
        <v>36.983333324315026</v>
      </c>
      <c r="O204" s="7"/>
      <c r="P204" s="7"/>
      <c r="Q204" s="22"/>
      <c r="R204" s="174"/>
      <c r="S204" s="221">
        <f t="shared" si="87"/>
        <v>0</v>
      </c>
      <c r="T204" s="174" t="str">
        <f t="shared" si="64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16" t="str">
        <f t="shared" si="65"/>
        <v>https://d0f6bd738d7f1b3e5a7ca70fe4ff75f0.us-east-1.aws.found.io/app/kibana#/discover/Steve-Slow-Train-Analysis-(2080s-and-2083s)?_g=(refreshInterval:(display:Off,pause:!f,section:0,value:0),time:(from:'2017-10-28T10:38:30-0600',mode:absolute,to:'2017-10-28T13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4" s="204" t="str">
        <f>IF(AA204&lt;VLOOKUP(AG204,Variables!$AC$3:$AD$8,2,FALSE),"Y","N")</f>
        <v>Y</v>
      </c>
      <c r="X204" s="204">
        <f t="shared" si="91"/>
        <v>0</v>
      </c>
      <c r="Y204" s="204">
        <f t="shared" si="88"/>
        <v>11.226599999999999</v>
      </c>
      <c r="Z204" s="204">
        <f t="shared" si="89"/>
        <v>2.8778000000000001</v>
      </c>
      <c r="AA204" s="204">
        <f t="shared" si="66"/>
        <v>8.3487999999999989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7"/>
        <v>1701</v>
      </c>
      <c r="AE204" s="77" t="str">
        <f t="shared" si="68"/>
        <v>aws s3 cp s3://rtdc.mdm.uploadarchive.raw/RTDC4033/ "%USERPROFILE%\AppData\Local\Temp\OnboardLogs"\RTDC4033\2017-10-28 --exclude "*" --recursive --include "*20171028*" &amp; "%USERPROFILE%\Documents\GitHub\mrs-test-scripts\Headless Mode &amp; Sideloading\WalkAndUnGZ.bat" "%USERPROFILE%\AppData\Local\Temp\OnboardLogs"\RTDC4033\2017-10-28 &amp; aws s3 cp s3://rtdc.mdm.uploadarchive.raw/RTDC4033/ "%USERPROFILE%\AppData\Local\Temp\OnboardLogs"\RTDC4033\2017-10-29 --exclude "*" --recursive --include "*20171029*" &amp; "%USERPROFILE%\Documents\GitHub\mrs-test-scripts\Headless Mode &amp; Sideloading\WalkAndUnGZ.bat" "%USERPROFILE%\AppData\Local\Temp\OnboardLogs"\RTDC4033\2017-10-29</v>
      </c>
      <c r="AF204" s="74" t="str">
        <f t="shared" si="69"/>
        <v>"C:\Program Files (x86)\AstroGrep\AstroGrep.exe" /e /r /s /spath="%USERPROFILE%\AppData\Local\Temp\OnboardLogs" /stypes="app*4033*20171028*" /stext=" 18:.+((SYSTEM_STATE.+slice.+state.+changed )|(ment ac)|(multiple cpu faults)|(system.+state.+changed )|(\[timeout)|(PRM\|1\|D)|(kpr)|(kdp)|(train st.+moving)|(\|lc)|(penalty))"</v>
      </c>
      <c r="AG204" s="182" t="str">
        <f t="shared" si="70"/>
        <v>Other</v>
      </c>
      <c r="AH204" s="78" t="str">
        <f t="shared" si="73"/>
        <v>"%USERPROFILE%\Documents\GitHub\eaglep3\Utilities\RefineRTDCRunTimes.py" --tripid 1701-28 --locoid 4033 --swversion DE.1.0.9.0 --startMP 300:112266 --initTime 2017-10-28T11:38:30 --startdatetime 2017-10-28T11:41:52 --delay 85 --endMP 300:28778 --enddatetime 2017-10-28T12:18:51 --enforcementcount 0 &gt;&gt;%USERPROFILE%\Documents\GitHub\eaglep3-reporting\EC\2017-10-28-refined-times.txt</v>
      </c>
      <c r="AI204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{"issue":{"subject":"","project_id":79,"tracker_id":40,"status_id":1,"priority_id":2,"assigned_to_id":338,"start_date":"2017-10-28","description":"","custom_fields":[{"id":1,"name":"Subdivision","value":"Other"},{"id":4,"name":"Milepost","value":"2.8778"},{"id":17,"name":"Train ID","value":"1701-28"},{"id":16,"name":"Locomotive ID","value":"4033"},{"id":130,"name":"Impact","value":""},{"id":150,"name":"Time of Event (Mountain Time)","value":"12:18:51"},{"id":151,"name":"Denver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75"/>
        <v>start /low /b %USERPROFILE%\Documents\GitHub\eaglep3\Utilities\DownloadLogsFromS3.py --loco 4033 --day 2017-10-28</v>
      </c>
      <c r="AN204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18:18:51"},{"id":29,"name":"Sharepoint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7"/>
        <v>https://d0f6bd738d7f1b3e5a7ca70fe4ff75f0.us-east-1.aws.found.io/app/kibana#/discover/Steve-Slow-Train-Analysis-(2080s-and-2083s)?_g=(refreshInterval:(display:Off,pause:!f,section:0,value:0),time:(from:'2017-10-28T10:38:30-0600',mode:absolute,to:'2017-10-28T13:18:51-0600'))&amp;_a=(columns:!('Message%20ID',Summary),filters:!(),index:'emp_*',interval:auto,query:(query_string:(analyze_wildcard:!t,query:'%22rtdc.l.rtdc.4033%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676</v>
      </c>
      <c r="B205" s="7">
        <v>4054</v>
      </c>
      <c r="C205" s="21" t="s">
        <v>194</v>
      </c>
      <c r="D205" s="21" t="s">
        <v>1004</v>
      </c>
      <c r="E205" s="13">
        <v>43036.221261574072</v>
      </c>
      <c r="F205" s="13">
        <v>43036.228148148148</v>
      </c>
      <c r="G205" s="7">
        <v>76</v>
      </c>
      <c r="H205" s="21" t="s">
        <v>1005</v>
      </c>
      <c r="I205" s="13">
        <v>43036.23337962963</v>
      </c>
      <c r="J205" s="7">
        <v>0</v>
      </c>
      <c r="K205" s="89" t="str">
        <f t="shared" ref="K205:K232" si="92">IF(ISEVEN(B205),(B205-1)&amp;"/"&amp;B205,B205&amp;"/"&amp;(B205+1))</f>
        <v>4053/4054</v>
      </c>
      <c r="L205" s="185" t="str">
        <f>VLOOKUP(A205,'Trips&amp;Operators'!$C$1:$G$99911,5,FALSE)</f>
        <v>LAMAR NEKESHA</v>
      </c>
      <c r="M205" s="6">
        <f t="shared" ref="M205:M232" si="93">I205-F205</f>
        <v>5.2314814820419997E-3</v>
      </c>
      <c r="N205" s="7">
        <f t="shared" si="90"/>
        <v>7.5333333341404796</v>
      </c>
      <c r="O205" s="7"/>
      <c r="P205" s="7"/>
      <c r="Q205" s="22"/>
      <c r="R205" s="174"/>
      <c r="S205" s="221">
        <f t="shared" si="87"/>
        <v>0</v>
      </c>
      <c r="T205" s="174" t="str">
        <f t="shared" ref="T205:T232" si="94"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216" t="str">
        <f t="shared" ref="V205:V232" si="9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-28T04:18:37-0600',mode:absolute,to:'2017-10-28T06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5" s="204" t="str">
        <f>IF(AA205&lt;VLOOKUP(AG205,Variables!$AC$3:$AD$8,2,FALSE),"Y","N")</f>
        <v>Y</v>
      </c>
      <c r="X205" s="204">
        <f t="shared" si="91"/>
        <v>200</v>
      </c>
      <c r="Y205" s="204">
        <f t="shared" si="88"/>
        <v>2.9733000000000001</v>
      </c>
      <c r="Z205" s="204">
        <f t="shared" si="89"/>
        <v>5.8994</v>
      </c>
      <c r="AA205" s="204">
        <f t="shared" ref="AA205:AA268" si="96">ABS(Z205-Y205)</f>
        <v>2.9260999999999999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32" si="97">VALUE(LEFT(A205,LEN(A205)-3))</f>
        <v>1901</v>
      </c>
      <c r="AE205" s="77" t="str">
        <f t="shared" ref="AE205:AE232" si="9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AF205" s="74" t="str">
        <f t="shared" ref="AF205:AF232" si="9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/stypes="app*4054*20171028*" /stext=" 11:.+((SYSTEM_STATE.+slice.+state.+changed )|(ment ac)|(multiple cpu faults)|(system.+state.+changed )|(\[timeout)|(PRM\|1\|D)|(kpr)|(kdp)|(train st.+moving)|(\|lc)|(penalty))"</v>
      </c>
      <c r="AG205" s="182" t="str">
        <f t="shared" ref="AG205:AG232" si="100">DetSubdiv(A205)</f>
        <v>Other</v>
      </c>
      <c r="AH205" s="78" t="str">
        <f t="shared" si="73"/>
        <v>"%USERPROFILE%\Documents\GitHub\eaglep3\Utilities\RefineRTDCRunTimes.py" --tripid 1901-28 --locoid 4054 --swversion DE.1.0.9.0 --startMP 300:29733 --initTime 2017-10-28T05:18:37 --startdatetime 2017-10-28T05:28:32 --delay 76 --endMP 300:58994 --enddatetime 2017-10-28T05:36:04 --enforcementcount 0 &gt;&gt;%USERPROFILE%\Documents\GitHub\eaglep3-reporting\EC\2017-10-28-refined-times.txt</v>
      </c>
      <c r="AI205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{"issue":{"subject":"","project_id":79,"tracker_id":40,"status_id":1,"priority_id":2,"assigned_to_id":338,"start_date":"2017-10-28","description":"","custom_fields":[{"id":1,"name":"Subdivision","value":"Other"},{"id":4,"name":"Milepost","value":"5.8994"},{"id":17,"name":"Train ID","value":"1901-28"},{"id":16,"name":"Locomotive ID","value":"4054"},{"id":130,"name":"Impact","value":""},{"id":150,"name":"Time of Event (Mountain Time)","value":"05:36:04"},{"id":151,"name":"Denver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75"/>
        <v>start /low /b %USERPROFILE%\Documents\GitHub\eaglep3\Utilities\DownloadLogsFromS3.py --loco 4054 --day 2017-10-28</v>
      </c>
      <c r="AN205" s="151" t="str">
        <f t="shared" si="76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77"/>
        <v>https://d0f6bd738d7f1b3e5a7ca70fe4ff75f0.us-east-1.aws.found.io/app/kibana#/discover/Steve-Slow-Train-Analysis-(2080s-and-2083s)?_g=(refreshInterval:(display:Off,pause:!f,section:0,value:0),time:(from:'2017-10-28T04:18:37-0600',mode:absolute,to:'2017-10-28T06:36:04-0600'))&amp;_a=(columns:!('Message%20ID',Summary),filters:!(),index:'emp_*',interval:auto,query:(query_string:(analyze_wildcard:!t,query:'%22rtdc.l.rtdc.4054%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867</v>
      </c>
      <c r="B206" s="7">
        <v>4053</v>
      </c>
      <c r="C206" s="21" t="s">
        <v>194</v>
      </c>
      <c r="D206" s="21" t="s">
        <v>1006</v>
      </c>
      <c r="E206" s="13">
        <v>43036.975949074076</v>
      </c>
      <c r="F206" s="13">
        <v>43036.977662037039</v>
      </c>
      <c r="G206" s="7">
        <v>59</v>
      </c>
      <c r="H206" s="21" t="s">
        <v>1007</v>
      </c>
      <c r="I206" s="13">
        <v>43036.986319444448</v>
      </c>
      <c r="J206" s="7">
        <v>0</v>
      </c>
      <c r="K206" s="89" t="str">
        <f t="shared" si="92"/>
        <v>4053/4054</v>
      </c>
      <c r="L206" s="185" t="str">
        <f>VLOOKUP(A206,'Trips&amp;Operators'!$C$1:$G$99911,5,FALSE)</f>
        <v>SMITH MICHAEL</v>
      </c>
      <c r="M206" s="6">
        <f t="shared" si="93"/>
        <v>8.6574074084637687E-3</v>
      </c>
      <c r="N206" s="7">
        <f t="shared" si="90"/>
        <v>12.466666668187827</v>
      </c>
      <c r="O206" s="7"/>
      <c r="P206" s="7"/>
      <c r="Q206" s="22"/>
      <c r="R206" s="174"/>
      <c r="S206" s="221">
        <f t="shared" ref="S206:S232" si="101">1/IF(AG206="EC",12,1)*SUM(U206:U206)</f>
        <v>0</v>
      </c>
      <c r="T206" s="174" t="str">
        <f t="shared" si="94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16" t="str">
        <f t="shared" si="95"/>
        <v>https://d0f6bd738d7f1b3e5a7ca70fe4ff75f0.us-east-1.aws.found.io/app/kibana#/discover/Steve-Slow-Train-Analysis-(2080s-and-2083s)?_g=(refreshInterval:(display:Off,pause:!f,section:0,value:0),time:(from:'2017-10-28T22:25:22-0600',mode:absolute,to:'2017-10-29T00:40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6" s="204" t="str">
        <f>IF(AA206&lt;VLOOKUP(AG206,Variables!$AC$3:$AD$8,2,FALSE),"Y","N")</f>
        <v>Y</v>
      </c>
      <c r="X206" s="204">
        <f t="shared" si="91"/>
        <v>1</v>
      </c>
      <c r="Y206" s="204">
        <f t="shared" si="88"/>
        <v>5.8677000000000001</v>
      </c>
      <c r="Z206" s="204">
        <f t="shared" si="89"/>
        <v>2.8782000000000001</v>
      </c>
      <c r="AA206" s="204">
        <f t="shared" si="96"/>
        <v>2.9895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97"/>
        <v>1902</v>
      </c>
      <c r="AE206" s="77" t="str">
        <f t="shared" si="98"/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AF206" s="74" t="str">
        <f t="shared" si="99"/>
        <v>"C:\Program Files (x86)\AstroGrep\AstroGrep.exe" /e /r /s /spath="%USERPROFILE%\AppData\Local\Temp\OnboardLogs" /stypes="app*4053*20171029*" /stext=" 05:.+((SYSTEM_STATE.+slice.+state.+changed )|(ment ac)|(multiple cpu faults)|(system.+state.+changed )|(\[timeout)|(PRM\|1\|D)|(kpr)|(kdp)|(train st.+moving)|(\|lc)|(penalty))"</v>
      </c>
      <c r="AG206" s="182" t="str">
        <f t="shared" si="100"/>
        <v>Other</v>
      </c>
      <c r="AH206" s="78" t="str">
        <f t="shared" si="73"/>
        <v>"%USERPROFILE%\Documents\GitHub\eaglep3\Utilities\RefineRTDCRunTimes.py" --tripid 1902-28 --locoid 4053 --swversion DE.1.0.9.0 --startMP 300:58677 --initTime 2017-10-28T23:25:22 --startdatetime 2017-10-28T23:27:50 --delay 59 --endMP 300:28782 --enddatetime 2017-10-28T23:40:18 --enforcementcount 0 &gt;&gt;%USERPROFILE%\Documents\GitHub\eaglep3-reporting\EC\2017-10-28-refined-times.txt</v>
      </c>
      <c r="AI206" s="96" t="str">
        <f t="shared" si="74"/>
        <v>echo {"issue":{"subject":"","project_id":79,"tracker_id":40,"status_id":1,"priority_id":2,"assigned_to_id":338,"start_date":"2017-10-28","description":"","custom_fields":[{"id":1,"name":"Subdivision","value":"Other"},{"id":4,"name":"Milepost","value":"2.8782"},{"id":17,"name":"Train ID","value":"1902-28"},{"id":16,"name":"Locomotive ID","value":"4053"},{"id":130,"name":"Impact","value":""},{"id":150,"name":"Time of Event (Mountain Time)","value":"23:40:18"},{"id":151,"name":"Denver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75"/>
        <v>start /low /b %USERPROFILE%\Documents\GitHub\eaglep3\Utilities\DownloadLogsFromS3.py --loco 4053 --day 2017-10-28</v>
      </c>
      <c r="AN206" s="151" t="str">
        <f t="shared" si="76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05:40:18"},{"id":29,"name":"Sharepoint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77"/>
        <v>https://d0f6bd738d7f1b3e5a7ca70fe4ff75f0.us-east-1.aws.found.io/app/kibana#/discover/Steve-Slow-Train-Analysis-(2080s-and-2083s)?_g=(refreshInterval:(display:Off,pause:!f,section:0,value:0),time:(from:'2017-10-28T22:25:22-0600',mode:absolute,to:'2017-10-29T00:40:18-0600'))&amp;_a=(columns:!('Message%20ID',Summary),filters:!(),index:'emp_*',interval:auto,query:(query_string:(analyze_wildcard:!t,query:'%22rtdc.l.rtdc.4053%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688</v>
      </c>
      <c r="B207" s="7">
        <v>4009</v>
      </c>
      <c r="C207" s="21" t="s">
        <v>194</v>
      </c>
      <c r="D207" s="21" t="s">
        <v>1055</v>
      </c>
      <c r="E207" s="13">
        <v>43036.241168981483</v>
      </c>
      <c r="F207" s="13">
        <v>43036.24523148148</v>
      </c>
      <c r="G207" s="7">
        <v>64</v>
      </c>
      <c r="H207" s="21" t="s">
        <v>1056</v>
      </c>
      <c r="I207" s="13">
        <v>43036.259189814817</v>
      </c>
      <c r="J207" s="7">
        <v>0</v>
      </c>
      <c r="K207" s="89" t="str">
        <f t="shared" si="92"/>
        <v>4009/4010</v>
      </c>
      <c r="L207" s="185" t="str">
        <f>VLOOKUP(A207,'Trips&amp;Operators'!$C$1:$G$99911,5,FALSE)</f>
        <v>HUFFSMITH MONTY</v>
      </c>
      <c r="M207" s="6">
        <f t="shared" si="93"/>
        <v>1.3958333336631767E-2</v>
      </c>
      <c r="N207" s="7">
        <f t="shared" si="90"/>
        <v>20.100000004749745</v>
      </c>
      <c r="O207" s="7"/>
      <c r="P207" s="7"/>
      <c r="Q207" s="22"/>
      <c r="R207" s="174"/>
      <c r="S207" s="221">
        <f t="shared" si="101"/>
        <v>1</v>
      </c>
      <c r="T207" s="174" t="str">
        <f t="shared" si="94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95"/>
        <v>https://d0f6bd738d7f1b3e5a7ca70fe4ff75f0.us-east-1.aws.found.io/app/kibana#/discover/Steve-Slow-Train-Analysis-(2080s-and-2083s)?_g=(refreshInterval:(display:Off,pause:!f,section:0,value:0),time:(from:'2017-10-28T04:47:17-0600',mode:absolute,to:'2017-10-28T07:13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7" s="204" t="str">
        <f>IF(AA207&lt;VLOOKUP(AG207,Variables!$AC$3:$AD$8,2,FALSE),"Y","N")</f>
        <v>Y</v>
      </c>
      <c r="X207" s="204">
        <f t="shared" si="91"/>
        <v>-1852</v>
      </c>
      <c r="Y207" s="204">
        <f t="shared" si="88"/>
        <v>2.3473999999999999</v>
      </c>
      <c r="Z207" s="204">
        <f t="shared" si="89"/>
        <v>0.1162</v>
      </c>
      <c r="AA207" s="204">
        <f t="shared" si="96"/>
        <v>2.2311999999999999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97"/>
        <v>50</v>
      </c>
      <c r="AE207" s="77" t="str">
        <f t="shared" si="98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207" s="74" t="str">
        <f t="shared" si="99"/>
        <v>"C:\Program Files (x86)\AstroGrep\AstroGrep.exe" /e /r /s /spath="%USERPROFILE%\AppData\Local\Temp\OnboardLogs" /stypes="app*4009*20171028*" /stext=" 12:.+((SYSTEM_STATE.+slice.+state.+changed )|(ment ac)|(multiple cpu faults)|(system.+state.+changed )|(\[timeout)|(PRM\|1\|D)|(kpr)|(kdp)|(train st.+moving)|(\|lc)|(penalty))"</v>
      </c>
      <c r="AG207" s="182" t="str">
        <f t="shared" si="100"/>
        <v>Shuttle/Test</v>
      </c>
      <c r="AH207" s="78" t="str">
        <f t="shared" ref="AH207:AH232" si="102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50-28 --locoid 4009 --swversion DE.1.0.9.0 --startMP 300:23474 --initTime 2017-10-28T05:47:17 --startdatetime 2017-10-28T05:53:08 --delay 64 --endMP 204:1162 --enddatetime 2017-10-28T06:13:14 --enforcementcount 0 &gt;&gt;%USERPROFILE%\Documents\GitHub\eaglep3-reporting\EC\2017-10-28-refined-times.txt</v>
      </c>
      <c r="AI207" s="96" t="str">
        <f t="shared" ref="AI207:AI232" si="103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-28","description":"","custom_fields":[{"id":1,"name":"Subdivision","value":"Shuttle/Test"},{"id":4,"name":"Milepost","value":"0.1162"},{"id":17,"name":"Train ID","value":"50-28"},{"id":16,"name":"Locomotive ID","value":"4009"},{"id":130,"name":"Impact","value":""},{"id":150,"name":"Time of Event (Mountain Time)","value":"06:13:14"},{"id":151,"name":"Denver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:AM232" si="104">"start /low /b "&amp;dls3logs&amp;" --loco "&amp;B207&amp;" --day "&amp;TEXT(F207,"YYYY-MM-DD")</f>
        <v>start /low /b %USERPROFILE%\Documents\GitHub\eaglep3\Utilities\DownloadLogsFromS3.py --loco 4009 --day 2017-10-28</v>
      </c>
      <c r="AN207" s="151" t="str">
        <f t="shared" ref="AN207:AN232" si="105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12:13:14"},{"id":29,"name":"Sharepoint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:AO232" si="106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-28T04:47:17-0600',mode:absolute,to:'2017-10-28T07:13:14-0600'))&amp;_a=(columns:!('Message%20ID',Summary),filters:!(),index:'emp_*',interval:auto,query:(query_string:(analyze_wildcard:!t,query:'%22rtdc.l.rtdc.4009%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655</v>
      </c>
      <c r="B208" s="7">
        <v>4064</v>
      </c>
      <c r="C208" s="21" t="s">
        <v>194</v>
      </c>
      <c r="D208" s="21" t="s">
        <v>1057</v>
      </c>
      <c r="E208" s="13">
        <v>43036.128993055558</v>
      </c>
      <c r="F208" s="13">
        <v>43036.137256944443</v>
      </c>
      <c r="G208" s="7">
        <v>150</v>
      </c>
      <c r="H208" s="21" t="s">
        <v>1058</v>
      </c>
      <c r="I208" s="13">
        <v>43036.13853009259</v>
      </c>
      <c r="J208" s="7">
        <v>0</v>
      </c>
      <c r="K208" s="89" t="str">
        <f t="shared" si="92"/>
        <v>4063/4064</v>
      </c>
      <c r="L208" s="185" t="str">
        <f>VLOOKUP(A208,'Trips&amp;Operators'!$C$1:$G$99911,5,FALSE)</f>
        <v>MOSES BRADLEY</v>
      </c>
      <c r="M208" s="6">
        <f t="shared" si="93"/>
        <v>1.2731481474475004E-3</v>
      </c>
      <c r="N208" s="7">
        <f t="shared" si="90"/>
        <v>1.8333333323244005</v>
      </c>
      <c r="O208" s="7"/>
      <c r="P208" s="7"/>
      <c r="Q208" s="22"/>
      <c r="R208" s="174"/>
      <c r="S208" s="221">
        <f t="shared" si="101"/>
        <v>0</v>
      </c>
      <c r="T208" s="174" t="str">
        <f t="shared" si="94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6" t="str">
        <f t="shared" si="95"/>
        <v>https://d0f6bd738d7f1b3e5a7ca70fe4ff75f0.us-east-1.aws.found.io/app/kibana#/discover/Steve-Slow-Train-Analysis-(2080s-and-2083s)?_g=(refreshInterval:(display:Off,pause:!f,section:0,value:0),time:(from:'2017-10-28T02:05:45-0600',mode:absolute,to:'2017-10-28T04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204" t="str">
        <f>IF(AA208&lt;VLOOKUP(AG208,Variables!$AC$3:$AD$8,2,FALSE),"Y","N")</f>
        <v>Y</v>
      </c>
      <c r="X208" s="204">
        <f t="shared" si="91"/>
        <v>1</v>
      </c>
      <c r="Y208" s="204">
        <f t="shared" si="88"/>
        <v>4.5999999999999999E-2</v>
      </c>
      <c r="Z208" s="204">
        <f t="shared" si="89"/>
        <v>0.35399999999999998</v>
      </c>
      <c r="AA208" s="204">
        <f t="shared" si="96"/>
        <v>0.308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97"/>
        <v>51</v>
      </c>
      <c r="AE208" s="77" t="str">
        <f t="shared" si="98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208" s="74" t="str">
        <f t="shared" si="99"/>
        <v>"C:\Program Files (x86)\AstroGrep\AstroGrep.exe" /e /r /s /spath="%USERPROFILE%\AppData\Local\Temp\OnboardLogs" /stypes="app*4064*20171028*" /stext=" 09:.+((SYSTEM_STATE.+slice.+state.+changed )|(ment ac)|(multiple cpu faults)|(system.+state.+changed )|(\[timeout)|(PRM\|1\|D)|(kpr)|(kdp)|(train st.+moving)|(\|lc)|(penalty))"</v>
      </c>
      <c r="AG208" s="182" t="str">
        <f t="shared" si="100"/>
        <v>Shuttle/Test</v>
      </c>
      <c r="AH208" s="78" t="str">
        <f t="shared" si="102"/>
        <v>"%USERPROFILE%\Documents\GitHub\eaglep3\Utilities\RefineRTDCRunTimes.py" --tripid 51-28 --locoid 4064 --swversion DE.1.0.9.0 --startMP 204:460 --initTime 2017-10-28T03:05:45 --startdatetime 2017-10-28T03:17:39 --delay 150 --endMP 204:3540 --enddatetime 2017-10-28T03:19:29 --enforcementcount 0 &gt;&gt;%USERPROFILE%\Documents\GitHub\eaglep3-reporting\EC\2017-10-28-refined-times.txt</v>
      </c>
      <c r="AI208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0.354"},{"id":17,"name":"Train ID","value":"51-28"},{"id":16,"name":"Locomotive ID","value":"4064"},{"id":130,"name":"Impact","value":""},{"id":150,"name":"Time of Event (Mountain Time)","value":"03:19:29"},{"id":151,"name":"Denver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104"/>
        <v>start /low /b %USERPROFILE%\Documents\GitHub\eaglep3\Utilities\DownloadLogsFromS3.py --loco 4064 --day 2017-10-28</v>
      </c>
      <c r="AN208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09:19:29"},{"id":29,"name":"Sharepoint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06"/>
        <v>https://d0f6bd738d7f1b3e5a7ca70fe4ff75f0.us-east-1.aws.found.io/app/kibana#/discover/Steve-Slow-Train-Analysis-(2080s-and-2083s)?_g=(refreshInterval:(display:Off,pause:!f,section:0,value:0),time:(from:'2017-10-28T02:05:45-0600',mode:absolute,to:'2017-10-28T04:19:29-0600'))&amp;_a=(columns:!('Message%20ID',Summary),filters:!(),index:'emp_*',interval:auto,query:(query_string:(analyze_wildcard:!t,query:'%22rtdc.l.rtdc.4064%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655</v>
      </c>
      <c r="B209" s="7">
        <v>4010</v>
      </c>
      <c r="C209" s="21" t="s">
        <v>194</v>
      </c>
      <c r="D209" s="21" t="s">
        <v>1059</v>
      </c>
      <c r="E209" s="13">
        <v>43036.260729166665</v>
      </c>
      <c r="F209" s="13">
        <v>43036.266331018516</v>
      </c>
      <c r="G209" s="7">
        <v>74</v>
      </c>
      <c r="H209" s="21" t="s">
        <v>1060</v>
      </c>
      <c r="I209" s="13">
        <v>43036.268078703702</v>
      </c>
      <c r="J209" s="7">
        <v>0</v>
      </c>
      <c r="K209" s="89" t="str">
        <f t="shared" si="92"/>
        <v>4009/4010</v>
      </c>
      <c r="L209" s="185" t="str">
        <f>VLOOKUP(A209,'Trips&amp;Operators'!$C$1:$G$99911,5,FALSE)</f>
        <v>MOSES BRADLEY</v>
      </c>
      <c r="M209" s="6">
        <f t="shared" si="93"/>
        <v>1.747685186273884E-3</v>
      </c>
      <c r="N209" s="7">
        <f t="shared" si="90"/>
        <v>2.516666668234393</v>
      </c>
      <c r="O209" s="7"/>
      <c r="P209" s="7"/>
      <c r="Q209" s="22"/>
      <c r="R209" s="174"/>
      <c r="S209" s="221">
        <f t="shared" si="101"/>
        <v>0</v>
      </c>
      <c r="T209" s="174" t="str">
        <f t="shared" si="94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 t="shared" si="95"/>
        <v>https://d0f6bd738d7f1b3e5a7ca70fe4ff75f0.us-east-1.aws.found.io/app/kibana#/discover/Steve-Slow-Train-Analysis-(2080s-and-2083s)?_g=(refreshInterval:(display:Off,pause:!f,section:0,value:0),time:(from:'2017-10-28T05:15:27-0600',mode:absolute,to:'2017-10-28T07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9" s="204" t="str">
        <f>IF(AA209&lt;VLOOKUP(AG209,Variables!$AC$3:$AD$8,2,FALSE),"Y","N")</f>
        <v>Y</v>
      </c>
      <c r="X209" s="204">
        <f t="shared" si="91"/>
        <v>0</v>
      </c>
      <c r="Y209" s="204">
        <f t="shared" si="88"/>
        <v>0.14979999999999999</v>
      </c>
      <c r="Z209" s="204">
        <f t="shared" si="89"/>
        <v>0.34949999999999998</v>
      </c>
      <c r="AA209" s="204">
        <f t="shared" si="96"/>
        <v>0.19969999999999999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97"/>
        <v>51</v>
      </c>
      <c r="AE209" s="77" t="str">
        <f t="shared" si="98"/>
        <v>aws s3 cp s3://rtdc.mdm.uploadarchive.raw/RTDC4010/ "%USERPROFILE%\AppData\Local\Temp\OnboardLogs"\RTDC4010\2017-10-28 --exclude "*" --recursive --include "*20171028*" &amp; "%USERPROFILE%\Documents\GitHub\mrs-test-scripts\Headless Mode &amp; Sideloading\WalkAndUnGZ.bat" "%USERPROFILE%\AppData\Local\Temp\OnboardLogs"\RTDC4010\2017-10-28 &amp; aws s3 cp s3://rtdc.mdm.uploadarchive.raw/RTDC4010/ "%USERPROFILE%\AppData\Local\Temp\OnboardLogs"\RTDC4010\2017-10-29 --exclude "*" --recursive --include "*20171029*" &amp; "%USERPROFILE%\Documents\GitHub\mrs-test-scripts\Headless Mode &amp; Sideloading\WalkAndUnGZ.bat" "%USERPROFILE%\AppData\Local\Temp\OnboardLogs"\RTDC4010\2017-10-29</v>
      </c>
      <c r="AF209" s="74" t="str">
        <f t="shared" si="99"/>
        <v>"C:\Program Files (x86)\AstroGrep\AstroGrep.exe" /e /r /s /spath="%USERPROFILE%\AppData\Local\Temp\OnboardLogs" /stypes="app*4010*20171028*" /stext=" 12:.+((SYSTEM_STATE.+slice.+state.+changed )|(ment ac)|(multiple cpu faults)|(system.+state.+changed )|(\[timeout)|(PRM\|1\|D)|(kpr)|(kdp)|(train st.+moving)|(\|lc)|(penalty))"</v>
      </c>
      <c r="AG209" s="182" t="str">
        <f t="shared" si="100"/>
        <v>Shuttle/Test</v>
      </c>
      <c r="AH209" s="78" t="str">
        <f t="shared" si="102"/>
        <v>"%USERPROFILE%\Documents\GitHub\eaglep3\Utilities\RefineRTDCRunTimes.py" --tripid 51-28 --locoid 4010 --swversion DE.1.0.9.0 --startMP 204:1498 --initTime 2017-10-28T06:15:27 --startdatetime 2017-10-28T06:23:31 --delay 74 --endMP 204:3495 --enddatetime 2017-10-28T06:26:02 --enforcementcount 0 &gt;&gt;%USERPROFILE%\Documents\GitHub\eaglep3-reporting\EC\2017-10-28-refined-times.txt</v>
      </c>
      <c r="AI209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0.3495"},{"id":17,"name":"Train ID","value":"51-28"},{"id":16,"name":"Locomotive ID","value":"4010"},{"id":130,"name":"Impact","value":""},{"id":150,"name":"Time of Event (Mountain Time)","value":"06:26:02"},{"id":151,"name":"Denver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104"/>
        <v>start /low /b %USERPROFILE%\Documents\GitHub\eaglep3\Utilities\DownloadLogsFromS3.py --loco 4010 --day 2017-10-28</v>
      </c>
      <c r="AN209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06"/>
        <v>https://d0f6bd738d7f1b3e5a7ca70fe4ff75f0.us-east-1.aws.found.io/app/kibana#/discover/Steve-Slow-Train-Analysis-(2080s-and-2083s)?_g=(refreshInterval:(display:Off,pause:!f,section:0,value:0),time:(from:'2017-10-28T05:15:27-0600',mode:absolute,to:'2017-10-28T07:26:02-0600'))&amp;_a=(columns:!('Message%20ID',Summary),filters:!(),index:'emp_*',interval:auto,query:(query_string:(analyze_wildcard:!t,query:'%22rtdc.l.rtdc.4010%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655</v>
      </c>
      <c r="B210" s="7">
        <v>4009</v>
      </c>
      <c r="C210" s="21" t="s">
        <v>194</v>
      </c>
      <c r="D210" s="21" t="s">
        <v>1061</v>
      </c>
      <c r="E210" s="13">
        <v>43036.264699074076</v>
      </c>
      <c r="F210" s="13">
        <v>43036.266331018516</v>
      </c>
      <c r="G210" s="7">
        <v>63</v>
      </c>
      <c r="H210" s="21" t="s">
        <v>565</v>
      </c>
      <c r="I210" s="13">
        <v>43036.268078703702</v>
      </c>
      <c r="J210" s="7">
        <v>0</v>
      </c>
      <c r="K210" s="89" t="str">
        <f t="shared" si="92"/>
        <v>4009/4010</v>
      </c>
      <c r="L210" s="185" t="str">
        <f>VLOOKUP(A210,'Trips&amp;Operators'!$C$1:$G$99911,5,FALSE)</f>
        <v>MOSES BRADLEY</v>
      </c>
      <c r="M210" s="6">
        <f t="shared" si="93"/>
        <v>1.747685186273884E-3</v>
      </c>
      <c r="N210" s="7">
        <f t="shared" si="90"/>
        <v>2.516666668234393</v>
      </c>
      <c r="O210" s="7"/>
      <c r="P210" s="7"/>
      <c r="Q210" s="22"/>
      <c r="R210" s="174"/>
      <c r="S210" s="221">
        <f t="shared" si="101"/>
        <v>0</v>
      </c>
      <c r="T210" s="174" t="str">
        <f t="shared" si="94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 t="shared" si="95"/>
        <v>https://d0f6bd738d7f1b3e5a7ca70fe4ff75f0.us-east-1.aws.found.io/app/kibana#/discover/Steve-Slow-Train-Analysis-(2080s-and-2083s)?_g=(refreshInterval:(display:Off,pause:!f,section:0,value:0),time:(from:'2017-10-28T05:21:10-0600',mode:absolute,to:'2017-10-28T07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0" s="204" t="str">
        <f>IF(AA210&lt;VLOOKUP(AG210,Variables!$AC$3:$AD$8,2,FALSE),"Y","N")</f>
        <v>Y</v>
      </c>
      <c r="X210" s="204">
        <f t="shared" si="91"/>
        <v>0</v>
      </c>
      <c r="Y210" s="204">
        <f t="shared" si="88"/>
        <v>0.32140000000000002</v>
      </c>
      <c r="Z210" s="204">
        <f t="shared" si="89"/>
        <v>1.23E-2</v>
      </c>
      <c r="AA210" s="204">
        <f t="shared" si="96"/>
        <v>0.30910000000000004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97"/>
        <v>51</v>
      </c>
      <c r="AE210" s="77" t="str">
        <f t="shared" si="98"/>
        <v>aws s3 cp s3://rtdc.mdm.uploadarchive.raw/RTDC4009/ "%USERPROFILE%\AppData\Local\Temp\OnboardLogs"\RTDC4009\2017-10-28 --exclude "*" --recursive --include "*20171028*" &amp; "%USERPROFILE%\Documents\GitHub\mrs-test-scripts\Headless Mode &amp; Sideloading\WalkAndUnGZ.bat" "%USERPROFILE%\AppData\Local\Temp\OnboardLogs"\RTDC4009\2017-10-28 &amp; aws s3 cp s3://rtdc.mdm.uploadarchive.raw/RTDC4009/ "%USERPROFILE%\AppData\Local\Temp\OnboardLogs"\RTDC4009\2017-10-29 --exclude "*" --recursive --include "*20171029*" &amp; "%USERPROFILE%\Documents\GitHub\mrs-test-scripts\Headless Mode &amp; Sideloading\WalkAndUnGZ.bat" "%USERPROFILE%\AppData\Local\Temp\OnboardLogs"\RTDC4009\2017-10-29</v>
      </c>
      <c r="AF210" s="74" t="str">
        <f t="shared" si="99"/>
        <v>"C:\Program Files (x86)\AstroGrep\AstroGrep.exe" /e /r /s /spath="%USERPROFILE%\AppData\Local\Temp\OnboardLogs" /stypes="app*4009*20171028*" /stext=" 12:.+((SYSTEM_STATE.+slice.+state.+changed )|(ment ac)|(multiple cpu faults)|(system.+state.+changed )|(\[timeout)|(PRM\|1\|D)|(kpr)|(kdp)|(train st.+moving)|(\|lc)|(penalty))"</v>
      </c>
      <c r="AG210" s="182" t="str">
        <f t="shared" si="100"/>
        <v>Shuttle/Test</v>
      </c>
      <c r="AH210" s="78" t="str">
        <f t="shared" si="102"/>
        <v>"%USERPROFILE%\Documents\GitHub\eaglep3\Utilities\RefineRTDCRunTimes.py" --tripid 51-28 --locoid 4009 --swversion DE.1.0.9.0 --startMP 204:3214 --initTime 2017-10-28T06:21:10 --startdatetime 2017-10-28T06:23:31 --delay 63 --endMP 204:123 --enddatetime 2017-10-28T06:26:02 --enforcementcount 0 &gt;&gt;%USERPROFILE%\Documents\GitHub\eaglep3-reporting\EC\2017-10-28-refined-times.txt</v>
      </c>
      <c r="AI210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0.0123"},{"id":17,"name":"Train ID","value":"51-28"},{"id":16,"name":"Locomotive ID","value":"4009"},{"id":130,"name":"Impact","value":""},{"id":150,"name":"Time of Event (Mountain Time)","value":"06:26:02"},{"id":151,"name":"Denver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104"/>
        <v>start /low /b %USERPROFILE%\Documents\GitHub\eaglep3\Utilities\DownloadLogsFromS3.py --loco 4009 --day 2017-10-28</v>
      </c>
      <c r="AN210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06"/>
        <v>https://d0f6bd738d7f1b3e5a7ca70fe4ff75f0.us-east-1.aws.found.io/app/kibana#/discover/Steve-Slow-Train-Analysis-(2080s-and-2083s)?_g=(refreshInterval:(display:Off,pause:!f,section:0,value:0),time:(from:'2017-10-28T05:21:10-0600',mode:absolute,to:'2017-10-28T07:26:02-0600'))&amp;_a=(columns:!('Message%20ID',Summary),filters:!(),index:'emp_*',interval:auto,query:(query_string:(analyze_wildcard:!t,query:'%22rtdc.l.rtdc.4009%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657</v>
      </c>
      <c r="B211" s="7">
        <v>4063</v>
      </c>
      <c r="C211" s="21" t="s">
        <v>194</v>
      </c>
      <c r="D211" s="21" t="s">
        <v>1062</v>
      </c>
      <c r="E211" s="13">
        <v>43036.139965277776</v>
      </c>
      <c r="F211" s="13">
        <v>43036.142384259256</v>
      </c>
      <c r="G211" s="7">
        <v>62</v>
      </c>
      <c r="H211" s="21" t="s">
        <v>602</v>
      </c>
      <c r="I211" s="13">
        <v>43036.143553240741</v>
      </c>
      <c r="J211" s="7">
        <v>0</v>
      </c>
      <c r="K211" s="89" t="str">
        <f t="shared" si="92"/>
        <v>4063/4064</v>
      </c>
      <c r="L211" s="185" t="str">
        <f>VLOOKUP(A211,'Trips&amp;Operators'!$C$1:$G$99911,5,FALSE)</f>
        <v>MOSES BRADLEY</v>
      </c>
      <c r="M211" s="6">
        <f t="shared" si="93"/>
        <v>1.1689814855344594E-3</v>
      </c>
      <c r="N211" s="7">
        <f t="shared" si="90"/>
        <v>1.6833333391696215</v>
      </c>
      <c r="O211" s="7"/>
      <c r="P211" s="7"/>
      <c r="Q211" s="22"/>
      <c r="R211" s="174"/>
      <c r="S211" s="221">
        <f t="shared" si="101"/>
        <v>0</v>
      </c>
      <c r="T211" s="174" t="str">
        <f t="shared" si="94"/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95"/>
        <v>https://d0f6bd738d7f1b3e5a7ca70fe4ff75f0.us-east-1.aws.found.io/app/kibana#/discover/Steve-Slow-Train-Analysis-(2080s-and-2083s)?_g=(refreshInterval:(display:Off,pause:!f,section:0,value:0),time:(from:'2017-10-28T02:21:33-0600',mode:absolute,to:'2017-10-28T04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1" s="204" t="str">
        <f>IF(AA211&lt;VLOOKUP(AG211,Variables!$AC$3:$AD$8,2,FALSE),"Y","N")</f>
        <v>Y</v>
      </c>
      <c r="X211" s="204">
        <f t="shared" si="91"/>
        <v>1</v>
      </c>
      <c r="Y211" s="204">
        <f t="shared" si="88"/>
        <v>0.32150000000000001</v>
      </c>
      <c r="Z211" s="204">
        <f t="shared" si="89"/>
        <v>0.1158</v>
      </c>
      <c r="AA211" s="204">
        <f t="shared" si="96"/>
        <v>0.20569999999999999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97"/>
        <v>52</v>
      </c>
      <c r="AE211" s="77" t="str">
        <f t="shared" si="98"/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AF211" s="74" t="str">
        <f t="shared" si="99"/>
        <v>"C:\Program Files (x86)\AstroGrep\AstroGrep.exe" /e /r /s /spath="%USERPROFILE%\AppData\Local\Temp\OnboardLogs" /stypes="app*4063*20171028*" /stext=" 09:.+((SYSTEM_STATE.+slice.+state.+changed )|(ment ac)|(multiple cpu faults)|(system.+state.+changed )|(\[timeout)|(PRM\|1\|D)|(kpr)|(kdp)|(train st.+moving)|(\|lc)|(penalty))"</v>
      </c>
      <c r="AG211" s="182" t="str">
        <f t="shared" si="100"/>
        <v>Shuttle/Test</v>
      </c>
      <c r="AH211" s="78" t="str">
        <f t="shared" si="102"/>
        <v>"%USERPROFILE%\Documents\GitHub\eaglep3\Utilities\RefineRTDCRunTimes.py" --tripid 52-28 --locoid 4063 --swversion DE.1.0.9.0 --startMP 204:3215 --initTime 2017-10-28T03:21:33 --startdatetime 2017-10-28T03:25:02 --delay 62 --endMP 204:1158 --enddatetime 2017-10-28T03:26:43 --enforcementcount 0 &gt;&gt;%USERPROFILE%\Documents\GitHub\eaglep3-reporting\EC\2017-10-28-refined-times.txt</v>
      </c>
      <c r="AI211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0.1158"},{"id":17,"name":"Train ID","value":"52-28"},{"id":16,"name":"Locomotive ID","value":"4063"},{"id":130,"name":"Impact","value":""},{"id":150,"name":"Time of Event (Mountain Time)","value":"03:26:43"},{"id":151,"name":"Denver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104"/>
        <v>start /low /b %USERPROFILE%\Documents\GitHub\eaglep3\Utilities\DownloadLogsFromS3.py --loco 4063 --day 2017-10-28</v>
      </c>
      <c r="AN211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09:26:43"},{"id":29,"name":"Sharepoint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06"/>
        <v>https://d0f6bd738d7f1b3e5a7ca70fe4ff75f0.us-east-1.aws.found.io/app/kibana#/discover/Steve-Slow-Train-Analysis-(2080s-and-2083s)?_g=(refreshInterval:(display:Off,pause:!f,section:0,value:0),time:(from:'2017-10-28T02:21:33-0600',mode:absolute,to:'2017-10-28T04:26:43-0600'))&amp;_a=(columns:!('Message%20ID',Summary),filters:!(),index:'emp_*',interval:auto,query:(query_string:(analyze_wildcard:!t,query:'%22rtdc.l.rtdc.4063%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672</v>
      </c>
      <c r="B212" s="7">
        <v>4064</v>
      </c>
      <c r="C212" s="21" t="s">
        <v>194</v>
      </c>
      <c r="D212" s="21" t="s">
        <v>1063</v>
      </c>
      <c r="E212" s="13">
        <v>43036.207986111112</v>
      </c>
      <c r="F212" s="13">
        <v>43036.217083333337</v>
      </c>
      <c r="G212" s="7">
        <v>85</v>
      </c>
      <c r="H212" s="21" t="s">
        <v>1064</v>
      </c>
      <c r="I212" s="13">
        <v>43036.218217592592</v>
      </c>
      <c r="J212" s="7">
        <v>0</v>
      </c>
      <c r="K212" s="89" t="str">
        <f t="shared" si="92"/>
        <v>4063/4064</v>
      </c>
      <c r="L212" s="185" t="str">
        <f>VLOOKUP(A212,'Trips&amp;Operators'!$C$1:$G$99911,5,FALSE)</f>
        <v>MOSES BRADLEY</v>
      </c>
      <c r="M212" s="6">
        <f t="shared" si="93"/>
        <v>1.1342592551955022E-3</v>
      </c>
      <c r="N212" s="7">
        <f t="shared" si="90"/>
        <v>1.6333333274815232</v>
      </c>
      <c r="O212" s="7"/>
      <c r="P212" s="7"/>
      <c r="Q212" s="22"/>
      <c r="R212" s="174"/>
      <c r="S212" s="221">
        <f t="shared" si="101"/>
        <v>0</v>
      </c>
      <c r="T212" s="174" t="str">
        <f t="shared" si="94"/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95"/>
        <v>https://d0f6bd738d7f1b3e5a7ca70fe4ff75f0.us-east-1.aws.found.io/app/kibana#/discover/Steve-Slow-Train-Analysis-(2080s-and-2083s)?_g=(refreshInterval:(display:Off,pause:!f,section:0,value:0),time:(from:'2017-10-28T03:59:30-0600',mode:absolute,to:'2017-10-28T06:14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2" s="204" t="str">
        <f>IF(AA212&lt;VLOOKUP(AG212,Variables!$AC$3:$AD$8,2,FALSE),"Y","N")</f>
        <v>Y</v>
      </c>
      <c r="X212" s="204">
        <f t="shared" si="91"/>
        <v>1</v>
      </c>
      <c r="Y212" s="204">
        <f t="shared" si="88"/>
        <v>0.1477</v>
      </c>
      <c r="Z212" s="204">
        <f t="shared" si="89"/>
        <v>0.41249999999999998</v>
      </c>
      <c r="AA212" s="204">
        <f t="shared" si="96"/>
        <v>0.26479999999999998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97"/>
        <v>53</v>
      </c>
      <c r="AE212" s="77" t="str">
        <f t="shared" si="98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212" s="74" t="str">
        <f t="shared" si="99"/>
        <v>"C:\Program Files (x86)\AstroGrep\AstroGrep.exe" /e /r /s /spath="%USERPROFILE%\AppData\Local\Temp\OnboardLogs" /stypes="app*4064*20171028*" /stext=" 11:.+((SYSTEM_STATE.+slice.+state.+changed )|(ment ac)|(multiple cpu faults)|(system.+state.+changed )|(\[timeout)|(PRM\|1\|D)|(kpr)|(kdp)|(train st.+moving)|(\|lc)|(penalty))"</v>
      </c>
      <c r="AG212" s="182" t="str">
        <f t="shared" si="100"/>
        <v>Shuttle/Test</v>
      </c>
      <c r="AH212" s="78" t="str">
        <f t="shared" si="102"/>
        <v>"%USERPROFILE%\Documents\GitHub\eaglep3\Utilities\RefineRTDCRunTimes.py" --tripid 53-28 --locoid 4064 --swversion DE.1.0.9.0 --startMP 204:1477 --initTime 2017-10-28T04:59:30 --startdatetime 2017-10-28T05:12:36 --delay 85 --endMP 204:4125 --enddatetime 2017-10-28T05:14:14 --enforcementcount 0 &gt;&gt;%USERPROFILE%\Documents\GitHub\eaglep3-reporting\EC\2017-10-28-refined-times.txt</v>
      </c>
      <c r="AI212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0.4125"},{"id":17,"name":"Train ID","value":"53-28"},{"id":16,"name":"Locomotive ID","value":"4064"},{"id":130,"name":"Impact","value":""},{"id":150,"name":"Time of Event (Mountain Time)","value":"05:14:14"},{"id":151,"name":"Denver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104"/>
        <v>start /low /b %USERPROFILE%\Documents\GitHub\eaglep3\Utilities\DownloadLogsFromS3.py --loco 4064 --day 2017-10-28</v>
      </c>
      <c r="AN212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11:14:14"},{"id":29,"name":"Sharepoint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06"/>
        <v>https://d0f6bd738d7f1b3e5a7ca70fe4ff75f0.us-east-1.aws.found.io/app/kibana#/discover/Steve-Slow-Train-Analysis-(2080s-and-2083s)?_g=(refreshInterval:(display:Off,pause:!f,section:0,value:0),time:(from:'2017-10-28T03:59:30-0600',mode:absolute,to:'2017-10-28T06:14:14-0600'))&amp;_a=(columns:!('Message%20ID',Summary),filters:!(),index:'emp_*',interval:auto,query:(query_string:(analyze_wildcard:!t,query:'%22rtdc.l.rtdc.4064%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699</v>
      </c>
      <c r="B213" s="7">
        <v>4041</v>
      </c>
      <c r="C213" s="21" t="s">
        <v>194</v>
      </c>
      <c r="D213" s="21" t="s">
        <v>1065</v>
      </c>
      <c r="E213" s="13">
        <v>43036.280555555553</v>
      </c>
      <c r="F213" s="13">
        <v>43036.282118055555</v>
      </c>
      <c r="G213" s="7">
        <v>71</v>
      </c>
      <c r="H213" s="21" t="s">
        <v>352</v>
      </c>
      <c r="I213" s="13">
        <v>43036.283356481479</v>
      </c>
      <c r="J213" s="7">
        <v>0</v>
      </c>
      <c r="K213" s="89" t="str">
        <f t="shared" si="92"/>
        <v>4041/4042</v>
      </c>
      <c r="L213" s="185" t="str">
        <f>VLOOKUP(A213,'Trips&amp;Operators'!$C$1:$G$99911,5,FALSE)</f>
        <v>LANGERAK WILLIAM</v>
      </c>
      <c r="M213" s="6">
        <f t="shared" si="93"/>
        <v>1.2384259243845008E-3</v>
      </c>
      <c r="N213" s="7">
        <f t="shared" si="90"/>
        <v>1.7833333311136812</v>
      </c>
      <c r="O213" s="7"/>
      <c r="P213" s="7"/>
      <c r="Q213" s="22"/>
      <c r="R213" s="174"/>
      <c r="S213" s="221">
        <f t="shared" si="101"/>
        <v>0</v>
      </c>
      <c r="T213" s="174" t="str">
        <f t="shared" si="94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 t="shared" si="95"/>
        <v>https://d0f6bd738d7f1b3e5a7ca70fe4ff75f0.us-east-1.aws.found.io/app/kibana#/discover/Steve-Slow-Train-Analysis-(2080s-and-2083s)?_g=(refreshInterval:(display:Off,pause:!f,section:0,value:0),time:(from:'2017-10-28T05:44:00-0600',mode:absolute,to:'2017-10-28T07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3" s="204" t="str">
        <f>IF(AA213&lt;VLOOKUP(AG213,Variables!$AC$3:$AD$8,2,FALSE),"Y","N")</f>
        <v>Y</v>
      </c>
      <c r="X213" s="204">
        <f t="shared" si="91"/>
        <v>2</v>
      </c>
      <c r="Y213" s="204">
        <f t="shared" si="88"/>
        <v>0.32050000000000001</v>
      </c>
      <c r="Z213" s="204">
        <f t="shared" si="89"/>
        <v>1.4500000000000001E-2</v>
      </c>
      <c r="AA213" s="204">
        <f t="shared" si="96"/>
        <v>0.30599999999999999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97"/>
        <v>55</v>
      </c>
      <c r="AE213" s="77" t="str">
        <f t="shared" si="98"/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AF213" s="74" t="str">
        <f t="shared" si="99"/>
        <v>"C:\Program Files (x86)\AstroGrep\AstroGrep.exe" /e /r /s /spath="%USERPROFILE%\AppData\Local\Temp\OnboardLogs" /stypes="app*4041*20171028*" /stext=" 12:.+((SYSTEM_STATE.+slice.+state.+changed )|(ment ac)|(multiple cpu faults)|(system.+state.+changed )|(\[timeout)|(PRM\|1\|D)|(kpr)|(kdp)|(train st.+moving)|(\|lc)|(penalty))"</v>
      </c>
      <c r="AG213" s="182" t="str">
        <f t="shared" si="100"/>
        <v>Shuttle/Test</v>
      </c>
      <c r="AH213" s="78" t="str">
        <f t="shared" si="102"/>
        <v>"%USERPROFILE%\Documents\GitHub\eaglep3\Utilities\RefineRTDCRunTimes.py" --tripid 55-28 --locoid 4041 --swversion DE.1.0.9.0 --startMP 204:3205 --initTime 2017-10-28T06:44:00 --startdatetime 2017-10-28T06:46:15 --delay 71 --endMP 204:145 --enddatetime 2017-10-28T06:48:02 --enforcementcount 0 &gt;&gt;%USERPROFILE%\Documents\GitHub\eaglep3-reporting\EC\2017-10-28-refined-times.txt</v>
      </c>
      <c r="AI213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0.0145"},{"id":17,"name":"Train ID","value":"55-28"},{"id":16,"name":"Locomotive ID","value":"4041"},{"id":130,"name":"Impact","value":""},{"id":150,"name":"Time of Event (Mountain Time)","value":"06:48:02"},{"id":151,"name":"Denver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104"/>
        <v>start /low /b %USERPROFILE%\Documents\GitHub\eaglep3\Utilities\DownloadLogsFromS3.py --loco 4041 --day 2017-10-28</v>
      </c>
      <c r="AN213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06"/>
        <v>https://d0f6bd738d7f1b3e5a7ca70fe4ff75f0.us-east-1.aws.found.io/app/kibana#/discover/Steve-Slow-Train-Analysis-(2080s-and-2083s)?_g=(refreshInterval:(display:Off,pause:!f,section:0,value:0),time:(from:'2017-10-28T05:44:00-0600',mode:absolute,to:'2017-10-28T07:48:02-0600'))&amp;_a=(columns:!('Message%20ID',Summary),filters:!(),index:'emp_*',interval:auto,query:(query_string:(analyze_wildcard:!t,query:'%22rtdc.l.rtdc.4041%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699</v>
      </c>
      <c r="B214" s="7">
        <v>4042</v>
      </c>
      <c r="C214" s="21" t="s">
        <v>194</v>
      </c>
      <c r="D214" s="21" t="s">
        <v>1066</v>
      </c>
      <c r="E214" s="13">
        <v>43036.275590277779</v>
      </c>
      <c r="F214" s="13">
        <v>43036.282118055555</v>
      </c>
      <c r="G214" s="7">
        <v>119</v>
      </c>
      <c r="H214" s="21" t="s">
        <v>1067</v>
      </c>
      <c r="I214" s="13">
        <v>43036.283356481479</v>
      </c>
      <c r="J214" s="7">
        <v>0</v>
      </c>
      <c r="K214" s="89" t="str">
        <f t="shared" si="92"/>
        <v>4041/4042</v>
      </c>
      <c r="L214" s="185" t="str">
        <f>VLOOKUP(A214,'Trips&amp;Operators'!$C$1:$G$99911,5,FALSE)</f>
        <v>LANGERAK WILLIAM</v>
      </c>
      <c r="M214" s="6">
        <f t="shared" si="93"/>
        <v>1.2384259243845008E-3</v>
      </c>
      <c r="N214" s="7">
        <f t="shared" si="90"/>
        <v>1.7833333311136812</v>
      </c>
      <c r="O214" s="7"/>
      <c r="P214" s="7"/>
      <c r="Q214" s="22"/>
      <c r="R214" s="174"/>
      <c r="S214" s="221">
        <f t="shared" si="101"/>
        <v>0</v>
      </c>
      <c r="T214" s="174" t="str">
        <f t="shared" si="94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95"/>
        <v>https://d0f6bd738d7f1b3e5a7ca70fe4ff75f0.us-east-1.aws.found.io/app/kibana#/discover/Steve-Slow-Train-Analysis-(2080s-and-2083s)?_g=(refreshInterval:(display:Off,pause:!f,section:0,value:0),time:(from:'2017-10-28T05:36:51-0600',mode:absolute,to:'2017-10-28T07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4" s="204" t="str">
        <f>IF(AA214&lt;VLOOKUP(AG214,Variables!$AC$3:$AD$8,2,FALSE),"Y","N")</f>
        <v>Y</v>
      </c>
      <c r="X214" s="204">
        <f t="shared" si="91"/>
        <v>0</v>
      </c>
      <c r="Y214" s="204">
        <f t="shared" si="88"/>
        <v>0.1148</v>
      </c>
      <c r="Z214" s="204">
        <f t="shared" si="89"/>
        <v>0.35420000000000001</v>
      </c>
      <c r="AA214" s="204">
        <f t="shared" si="96"/>
        <v>0.2394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97"/>
        <v>55</v>
      </c>
      <c r="AE214" s="77" t="str">
        <f t="shared" si="98"/>
        <v>aws s3 cp s3://rtdc.mdm.uploadarchive.raw/RTDC4042/ "%USERPROFILE%\AppData\Local\Temp\OnboardLogs"\RTDC4042\2017-10-28 --exclude "*" --recursive --include "*20171028*" &amp; "%USERPROFILE%\Documents\GitHub\mrs-test-scripts\Headless Mode &amp; Sideloading\WalkAndUnGZ.bat" "%USERPROFILE%\AppData\Local\Temp\OnboardLogs"\RTDC4042\2017-10-28 &amp; aws s3 cp s3://rtdc.mdm.uploadarchive.raw/RTDC4042/ "%USERPROFILE%\AppData\Local\Temp\OnboardLogs"\RTDC4042\2017-10-29 --exclude "*" --recursive --include "*20171029*" &amp; "%USERPROFILE%\Documents\GitHub\mrs-test-scripts\Headless Mode &amp; Sideloading\WalkAndUnGZ.bat" "%USERPROFILE%\AppData\Local\Temp\OnboardLogs"\RTDC4042\2017-10-29</v>
      </c>
      <c r="AF214" s="74" t="str">
        <f t="shared" si="99"/>
        <v>"C:\Program Files (x86)\AstroGrep\AstroGrep.exe" /e /r /s /spath="%USERPROFILE%\AppData\Local\Temp\OnboardLogs" /stypes="app*4042*20171028*" /stext=" 12:.+((SYSTEM_STATE.+slice.+state.+changed )|(ment ac)|(multiple cpu faults)|(system.+state.+changed )|(\[timeout)|(PRM\|1\|D)|(kpr)|(kdp)|(train st.+moving)|(\|lc)|(penalty))"</v>
      </c>
      <c r="AG214" s="182" t="str">
        <f t="shared" si="100"/>
        <v>Shuttle/Test</v>
      </c>
      <c r="AH214" s="78" t="str">
        <f t="shared" si="102"/>
        <v>"%USERPROFILE%\Documents\GitHub\eaglep3\Utilities\RefineRTDCRunTimes.py" --tripid 55-28 --locoid 4042 --swversion DE.1.0.9.0 --startMP 204:1148 --initTime 2017-10-28T06:36:51 --startdatetime 2017-10-28T06:46:15 --delay 119 --endMP 204:3542 --enddatetime 2017-10-28T06:48:02 --enforcementcount 0 &gt;&gt;%USERPROFILE%\Documents\GitHub\eaglep3-reporting\EC\2017-10-28-refined-times.txt</v>
      </c>
      <c r="AI214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0.3542"},{"id":17,"name":"Train ID","value":"55-28"},{"id":16,"name":"Locomotive ID","value":"4042"},{"id":130,"name":"Impact","value":""},{"id":150,"name":"Time of Event (Mountain Time)","value":"06:48:02"},{"id":151,"name":"Denver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04"/>
        <v>start /low /b %USERPROFILE%\Documents\GitHub\eaglep3\Utilities\DownloadLogsFromS3.py --loco 4042 --day 2017-10-28</v>
      </c>
      <c r="AN214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12:48:02"},{"id":29,"name":"Sharepoint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06"/>
        <v>https://d0f6bd738d7f1b3e5a7ca70fe4ff75f0.us-east-1.aws.found.io/app/kibana#/discover/Steve-Slow-Train-Analysis-(2080s-and-2083s)?_g=(refreshInterval:(display:Off,pause:!f,section:0,value:0),time:(from:'2017-10-28T05:36:51-0600',mode:absolute,to:'2017-10-28T07:48:02-0600'))&amp;_a=(columns:!('Message%20ID',Summary),filters:!(),index:'emp_*',interval:auto,query:(query_string:(analyze_wildcard:!t,query:'%22rtdc.l.rtdc.4042%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865</v>
      </c>
      <c r="B215" s="7">
        <v>4056</v>
      </c>
      <c r="C215" s="21" t="s">
        <v>194</v>
      </c>
      <c r="D215" s="21" t="s">
        <v>1068</v>
      </c>
      <c r="E215" s="13">
        <v>43036.96503472222</v>
      </c>
      <c r="F215" s="13">
        <v>43036.973622685182</v>
      </c>
      <c r="G215" s="7">
        <v>115</v>
      </c>
      <c r="H215" s="21" t="s">
        <v>1069</v>
      </c>
      <c r="I215" s="13">
        <v>43036.976747685185</v>
      </c>
      <c r="J215" s="7">
        <v>0</v>
      </c>
      <c r="K215" s="89" t="str">
        <f t="shared" si="92"/>
        <v>4055/4056</v>
      </c>
      <c r="L215" s="185" t="str">
        <f>VLOOKUP(A215,'Trips&amp;Operators'!$C$1:$G$99911,5,FALSE)</f>
        <v>GUNTHIER ERIC</v>
      </c>
      <c r="M215" s="6">
        <f t="shared" si="93"/>
        <v>3.125000002910383E-3</v>
      </c>
      <c r="N215" s="7">
        <f t="shared" si="90"/>
        <v>4.5000000041909516</v>
      </c>
      <c r="O215" s="7"/>
      <c r="P215" s="7"/>
      <c r="Q215" s="22"/>
      <c r="R215" s="174"/>
      <c r="S215" s="221">
        <f t="shared" si="101"/>
        <v>0</v>
      </c>
      <c r="T215" s="174" t="str">
        <f t="shared" si="94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95"/>
        <v>https://d0f6bd738d7f1b3e5a7ca70fe4ff75f0.us-east-1.aws.found.io/app/kibana#/discover/Steve-Slow-Train-Analysis-(2080s-and-2083s)?_g=(refreshInterval:(display:Off,pause:!f,section:0,value:0),time:(from:'2017-10-28T22:09:39-0600',mode:absolute,to:'2017-10-29T00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204" t="str">
        <f>IF(AA215&lt;VLOOKUP(AG215,Variables!$AC$3:$AD$8,2,FALSE),"Y","N")</f>
        <v>Y</v>
      </c>
      <c r="X215" s="204">
        <f t="shared" si="91"/>
        <v>2</v>
      </c>
      <c r="Y215" s="204">
        <f t="shared" si="88"/>
        <v>10.764099999999999</v>
      </c>
      <c r="Z215" s="204">
        <f t="shared" si="89"/>
        <v>12.8277</v>
      </c>
      <c r="AA215" s="204">
        <f t="shared" si="96"/>
        <v>2.063600000000001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97"/>
        <v>57</v>
      </c>
      <c r="AE215" s="77" t="str">
        <f t="shared" si="98"/>
        <v>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 &amp; aws s3 cp s3://rtdc.mdm.uploadarchive.raw/RTDC4056/ "%USERPROFILE%\AppData\Local\Temp\OnboardLogs"\RTDC4056\2017-10-29 --exclude "*" --recursive --include "*20171029*" &amp; "%USERPROFILE%\Documents\GitHub\mrs-test-scripts\Headless Mode &amp; Sideloading\WalkAndUnGZ.bat" "%USERPROFILE%\AppData\Local\Temp\OnboardLogs"\RTDC4056\2017-10-29</v>
      </c>
      <c r="AF215" s="74" t="str">
        <f t="shared" si="99"/>
        <v>"C:\Program Files (x86)\AstroGrep\AstroGrep.exe" /e /r /s /spath="%USERPROFILE%\AppData\Local\Temp\OnboardLogs" /stypes="app*4056*20171029*" /stext=" 05:.+((SYSTEM_STATE.+slice.+state.+changed )|(ment ac)|(multiple cpu faults)|(system.+state.+changed )|(\[timeout)|(PRM\|1\|D)|(kpr)|(kdp)|(train st.+moving)|(\|lc)|(penalty))"</v>
      </c>
      <c r="AG215" s="182" t="str">
        <f t="shared" si="100"/>
        <v>Shuttle/Test</v>
      </c>
      <c r="AH215" s="78" t="str">
        <f t="shared" si="102"/>
        <v>"%USERPROFILE%\Documents\GitHub\eaglep3\Utilities\RefineRTDCRunTimes.py" --tripid 57-28 --locoid 4056 --swversion DE.1.0.9.0 --startMP 204:107641 --initTime 2017-10-28T23:09:39 --startdatetime 2017-10-28T23:22:01 --delay 115 --endMP 204:128277 --enddatetime 2017-10-28T23:26:31 --enforcementcount 0 &gt;&gt;%USERPROFILE%\Documents\GitHub\eaglep3-reporting\EC\2017-10-28-refined-times.txt</v>
      </c>
      <c r="AI215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12.8277"},{"id":17,"name":"Train ID","value":"57-28"},{"id":16,"name":"Locomotive ID","value":"4056"},{"id":130,"name":"Impact","value":""},{"id":150,"name":"Time of Event (Mountain Time)","value":"23:26:31"},{"id":151,"name":"Denver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04"/>
        <v>start /low /b %USERPROFILE%\Documents\GitHub\eaglep3\Utilities\DownloadLogsFromS3.py --loco 4056 --day 2017-10-28</v>
      </c>
      <c r="AN215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06"/>
        <v>https://d0f6bd738d7f1b3e5a7ca70fe4ff75f0.us-east-1.aws.found.io/app/kibana#/discover/Steve-Slow-Train-Analysis-(2080s-and-2083s)?_g=(refreshInterval:(display:Off,pause:!f,section:0,value:0),time:(from:'2017-10-28T22:09:39-0600',mode:absolute,to:'2017-10-29T00:26:31-0600'))&amp;_a=(columns:!('Message%20ID',Summary),filters:!(),index:'emp_*',interval:auto,query:(query_string:(analyze_wildcard:!t,query:'%22rtdc.l.rtdc.4056%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715</v>
      </c>
      <c r="B216" s="7">
        <v>4049</v>
      </c>
      <c r="C216" s="21" t="s">
        <v>194</v>
      </c>
      <c r="D216" s="21" t="s">
        <v>1070</v>
      </c>
      <c r="E216" s="13">
        <v>43036.328333333331</v>
      </c>
      <c r="F216" s="13">
        <v>43036.331203703703</v>
      </c>
      <c r="G216" s="7">
        <v>57</v>
      </c>
      <c r="H216" s="21" t="s">
        <v>1056</v>
      </c>
      <c r="I216" s="13">
        <v>43036.342291666668</v>
      </c>
      <c r="J216" s="7">
        <v>0</v>
      </c>
      <c r="K216" s="89" t="str">
        <f t="shared" si="92"/>
        <v>4049/4050</v>
      </c>
      <c r="L216" s="185" t="str">
        <f>VLOOKUP(A216,'Trips&amp;Operators'!$C$1:$G$99911,5,FALSE)</f>
        <v>BIRENBAUM THOMAS</v>
      </c>
      <c r="M216" s="6">
        <f t="shared" si="93"/>
        <v>1.1087962964666076E-2</v>
      </c>
      <c r="N216" s="7">
        <f t="shared" si="90"/>
        <v>15.966666669119149</v>
      </c>
      <c r="O216" s="7"/>
      <c r="P216" s="7"/>
      <c r="Q216" s="22"/>
      <c r="R216" s="174"/>
      <c r="S216" s="221">
        <f t="shared" si="101"/>
        <v>1</v>
      </c>
      <c r="T216" s="174" t="str">
        <f t="shared" si="94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95"/>
        <v>https://d0f6bd738d7f1b3e5a7ca70fe4ff75f0.us-east-1.aws.found.io/app/kibana#/discover/Steve-Slow-Train-Analysis-(2080s-and-2083s)?_g=(refreshInterval:(display:Off,pause:!f,section:0,value:0),time:(from:'2017-10-28T06:52:48-0600',mode:absolute,to:'2017-10-28T09:12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6" s="204" t="str">
        <f>IF(AA216&lt;VLOOKUP(AG216,Variables!$AC$3:$AD$8,2,FALSE),"Y","N")</f>
        <v>Y</v>
      </c>
      <c r="X216" s="204">
        <f t="shared" si="91"/>
        <v>15</v>
      </c>
      <c r="Y216" s="204">
        <f t="shared" si="88"/>
        <v>2.3412999999999999</v>
      </c>
      <c r="Z216" s="204">
        <f t="shared" si="89"/>
        <v>0.1162</v>
      </c>
      <c r="AA216" s="204">
        <f t="shared" si="96"/>
        <v>2.2250999999999999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97"/>
        <v>72</v>
      </c>
      <c r="AE216" s="77" t="str">
        <f t="shared" si="98"/>
        <v>aws s3 cp s3://rtdc.mdm.uploadarchive.raw/RTDC4049/ "%USERPROFILE%\AppData\Local\Temp\OnboardLogs"\RTDC4049\2017-10-28 --exclude "*" --recursive --include "*20171028*" &amp; "%USERPROFILE%\Documents\GitHub\mrs-test-scripts\Headless Mode &amp; Sideloading\WalkAndUnGZ.bat" "%USERPROFILE%\AppData\Local\Temp\OnboardLogs"\RTDC4049\2017-10-28 &amp; 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</v>
      </c>
      <c r="AF216" s="74" t="str">
        <f t="shared" si="99"/>
        <v>"C:\Program Files (x86)\AstroGrep\AstroGrep.exe" /e /r /s /spath="%USERPROFILE%\AppData\Local\Temp\OnboardLogs" /stypes="app*4049*20171028*" /stext=" 14:.+((SYSTEM_STATE.+slice.+state.+changed )|(ment ac)|(multiple cpu faults)|(system.+state.+changed )|(\[timeout)|(PRM\|1\|D)|(kpr)|(kdp)|(train st.+moving)|(\|lc)|(penalty))"</v>
      </c>
      <c r="AG216" s="182" t="str">
        <f t="shared" si="100"/>
        <v>Shuttle/Test</v>
      </c>
      <c r="AH216" s="78" t="str">
        <f t="shared" si="102"/>
        <v>"%USERPROFILE%\Documents\GitHub\eaglep3\Utilities\RefineRTDCRunTimes.py" --tripid 72-28 --locoid 4049 --swversion DE.1.0.9.0 --startMP 300:23413 --initTime 2017-10-28T07:52:48 --startdatetime 2017-10-28T07:56:56 --delay 57 --endMP 204:1162 --enddatetime 2017-10-28T08:12:54 --enforcementcount 0 &gt;&gt;%USERPROFILE%\Documents\GitHub\eaglep3-reporting\EC\2017-10-28-refined-times.txt</v>
      </c>
      <c r="AI216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0.1162"},{"id":17,"name":"Train ID","value":"72-28"},{"id":16,"name":"Locomotive ID","value":"4049"},{"id":130,"name":"Impact","value":""},{"id":150,"name":"Time of Event (Mountain Time)","value":"08:12:54"},{"id":151,"name":"Denver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04"/>
        <v>start /low /b %USERPROFILE%\Documents\GitHub\eaglep3\Utilities\DownloadLogsFromS3.py --loco 4049 --day 2017-10-28</v>
      </c>
      <c r="AN216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14:12:54"},{"id":29,"name":"Sharepoint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06"/>
        <v>https://d0f6bd738d7f1b3e5a7ca70fe4ff75f0.us-east-1.aws.found.io/app/kibana#/discover/Steve-Slow-Train-Analysis-(2080s-and-2083s)?_g=(refreshInterval:(display:Off,pause:!f,section:0,value:0),time:(from:'2017-10-28T06:52:48-0600',mode:absolute,to:'2017-10-28T09:12:54-0600'))&amp;_a=(columns:!('Message%20ID',Summary),filters:!(),index:'emp_*',interval:auto,query:(query_string:(analyze_wildcard:!t,query:'%22rtdc.l.rtdc.4049%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727</v>
      </c>
      <c r="B217" s="7">
        <v>4062</v>
      </c>
      <c r="C217" s="21" t="s">
        <v>194</v>
      </c>
      <c r="D217" s="21" t="s">
        <v>1071</v>
      </c>
      <c r="E217" s="13">
        <v>43036.36991898148</v>
      </c>
      <c r="F217" s="13">
        <v>43036.376759259256</v>
      </c>
      <c r="G217" s="7">
        <v>54</v>
      </c>
      <c r="H217" s="21" t="s">
        <v>377</v>
      </c>
      <c r="I217" s="13">
        <v>43036.387824074074</v>
      </c>
      <c r="J217" s="7">
        <v>0</v>
      </c>
      <c r="K217" s="89" t="str">
        <f t="shared" si="92"/>
        <v>4061/4062</v>
      </c>
      <c r="L217" s="185" t="str">
        <f>VLOOKUP(A217,'Trips&amp;Operators'!$C$1:$G$99911,5,FALSE)</f>
        <v>BIRENBAUM THOMAS</v>
      </c>
      <c r="M217" s="6">
        <f t="shared" si="93"/>
        <v>1.1064814818382729E-2</v>
      </c>
      <c r="N217" s="7">
        <f t="shared" si="90"/>
        <v>15.93333333847113</v>
      </c>
      <c r="O217" s="7"/>
      <c r="P217" s="7"/>
      <c r="Q217" s="22"/>
      <c r="R217" s="174"/>
      <c r="S217" s="221">
        <f t="shared" si="101"/>
        <v>1</v>
      </c>
      <c r="T217" s="174" t="str">
        <f t="shared" si="94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95"/>
        <v>https://d0f6bd738d7f1b3e5a7ca70fe4ff75f0.us-east-1.aws.found.io/app/kibana#/discover/Steve-Slow-Train-Analysis-(2080s-and-2083s)?_g=(refreshInterval:(display:Off,pause:!f,section:0,value:0),time:(from:'2017-10-28T07:52:41-0600',mode:absolute,to:'2017-10-28T10:18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7" s="204" t="str">
        <f>IF(AA217&lt;VLOOKUP(AG217,Variables!$AC$3:$AD$8,2,FALSE),"Y","N")</f>
        <v>Y</v>
      </c>
      <c r="X217" s="204">
        <f t="shared" si="91"/>
        <v>1</v>
      </c>
      <c r="Y217" s="204">
        <f t="shared" si="88"/>
        <v>0.1183</v>
      </c>
      <c r="Z217" s="204">
        <f t="shared" si="89"/>
        <v>2.3346</v>
      </c>
      <c r="AA217" s="204">
        <f t="shared" si="96"/>
        <v>2.2162999999999999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97"/>
        <v>73</v>
      </c>
      <c r="AE217" s="77" t="str">
        <f t="shared" si="98"/>
        <v>aws s3 cp s3://rtdc.mdm.uploadarchive.raw/RTDC4062/ "%USERPROFILE%\AppData\Local\Temp\OnboardLogs"\RTDC4062\2017-10-28 --exclude "*" --recursive --include "*20171028*" &amp; "%USERPROFILE%\Documents\GitHub\mrs-test-scripts\Headless Mode &amp; Sideloading\WalkAndUnGZ.bat" "%USERPROFILE%\AppData\Local\Temp\OnboardLogs"\RTDC4062\2017-10-28 &amp; 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</v>
      </c>
      <c r="AF217" s="74" t="str">
        <f t="shared" si="99"/>
        <v>"C:\Program Files (x86)\AstroGrep\AstroGrep.exe" /e /r /s /spath="%USERPROFILE%\AppData\Local\Temp\OnboardLogs" /stypes="app*4062*20171028*" /stext=" 15:.+((SYSTEM_STATE.+slice.+state.+changed )|(ment ac)|(multiple cpu faults)|(system.+state.+changed )|(\[timeout)|(PRM\|1\|D)|(kpr)|(kdp)|(train st.+moving)|(\|lc)|(penalty))"</v>
      </c>
      <c r="AG217" s="182" t="str">
        <f t="shared" si="100"/>
        <v>Shuttle/Test</v>
      </c>
      <c r="AH217" s="78" t="str">
        <f t="shared" si="102"/>
        <v>"%USERPROFILE%\Documents\GitHub\eaglep3\Utilities\RefineRTDCRunTimes.py" --tripid 73-28 --locoid 4062 --swversion DE.1.0.9.0 --startMP 204:1183 --initTime 2017-10-28T08:52:41 --startdatetime 2017-10-28T09:02:32 --delay 54 --endMP 300:23346 --enddatetime 2017-10-28T09:18:28 --enforcementcount 0 &gt;&gt;%USERPROFILE%\Documents\GitHub\eaglep3-reporting\EC\2017-10-28-refined-times.txt</v>
      </c>
      <c r="AI217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2.3346"},{"id":17,"name":"Train ID","value":"73-28"},{"id":16,"name":"Locomotive ID","value":"4062"},{"id":130,"name":"Impact","value":""},{"id":150,"name":"Time of Event (Mountain Time)","value":"09:18:28"},{"id":151,"name":"Denver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04"/>
        <v>start /low /b %USERPROFILE%\Documents\GitHub\eaglep3\Utilities\DownloadLogsFromS3.py --loco 4062 --day 2017-10-28</v>
      </c>
      <c r="AN217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15:18:28"},{"id":29,"name":"Sharepoint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06"/>
        <v>https://d0f6bd738d7f1b3e5a7ca70fe4ff75f0.us-east-1.aws.found.io/app/kibana#/discover/Steve-Slow-Train-Analysis-(2080s-and-2083s)?_g=(refreshInterval:(display:Off,pause:!f,section:0,value:0),time:(from:'2017-10-28T07:52:41-0600',mode:absolute,to:'2017-10-28T10:18:28-0600'))&amp;_a=(columns:!('Message%20ID',Summary),filters:!(),index:'emp_*',interval:auto,query:(query_string:(analyze_wildcard:!t,query:'%22rtdc.l.rtdc.4062%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642</v>
      </c>
      <c r="B218" s="7">
        <v>4064</v>
      </c>
      <c r="C218" s="21" t="s">
        <v>194</v>
      </c>
      <c r="D218" s="21" t="s">
        <v>1072</v>
      </c>
      <c r="E218" s="13">
        <v>43036.980381944442</v>
      </c>
      <c r="F218" s="13">
        <v>43036.983831018515</v>
      </c>
      <c r="G218" s="7">
        <v>99</v>
      </c>
      <c r="H218" s="21" t="s">
        <v>1073</v>
      </c>
      <c r="I218" s="13">
        <v>43036.983969907407</v>
      </c>
      <c r="J218" s="7">
        <v>0</v>
      </c>
      <c r="K218" s="89" t="str">
        <f t="shared" si="92"/>
        <v>4063/4064</v>
      </c>
      <c r="L218" s="185" t="str">
        <f>VLOOKUP(A218,'Trips&amp;Operators'!$C$1:$G$99911,5,FALSE)</f>
        <v>CASSIDY BRANDON</v>
      </c>
      <c r="M218" s="6">
        <f t="shared" si="93"/>
        <v>1.3888889225199819E-4</v>
      </c>
      <c r="N218" s="7">
        <f t="shared" si="90"/>
        <v>0.20000000484287739</v>
      </c>
      <c r="O218" s="7"/>
      <c r="P218" s="7"/>
      <c r="Q218" s="22"/>
      <c r="R218" s="174"/>
      <c r="S218" s="221">
        <f t="shared" si="101"/>
        <v>0</v>
      </c>
      <c r="T218" s="174" t="str">
        <f t="shared" si="94"/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95"/>
        <v>https://d0f6bd738d7f1b3e5a7ca70fe4ff75f0.us-east-1.aws.found.io/app/kibana#/discover/Steve-Slow-Train-Analysis-(2080s-and-2083s)?_g=(refreshInterval:(display:Off,pause:!f,section:0,value:0),time:(from:'2017-10-28T22:31:45-0600',mode:absolute,to:'2017-10-29T00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8" s="204" t="str">
        <f>IF(AA218&lt;VLOOKUP(AG218,Variables!$AC$3:$AD$8,2,FALSE),"Y","N")</f>
        <v>Y</v>
      </c>
      <c r="X218" s="204">
        <f t="shared" si="91"/>
        <v>1</v>
      </c>
      <c r="Y218" s="204">
        <f t="shared" si="88"/>
        <v>10.783099999999999</v>
      </c>
      <c r="Z218" s="204">
        <f t="shared" si="89"/>
        <v>10.8089</v>
      </c>
      <c r="AA218" s="204">
        <f t="shared" si="96"/>
        <v>2.5800000000000267E-2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97"/>
        <v>74</v>
      </c>
      <c r="AE218" s="77" t="str">
        <f t="shared" si="98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218" s="74" t="str">
        <f t="shared" si="99"/>
        <v>"C:\Program Files (x86)\AstroGrep\AstroGrep.exe" /e /r /s /spath="%USERPROFILE%\AppData\Local\Temp\OnboardLogs" /stypes="app*4064*20171029*" /stext=" 05:.+((SYSTEM_STATE.+slice.+state.+changed )|(ment ac)|(multiple cpu faults)|(system.+state.+changed )|(\[timeout)|(PRM\|1\|D)|(kpr)|(kdp)|(train st.+moving)|(\|lc)|(penalty))"</v>
      </c>
      <c r="AG218" s="182" t="str">
        <f t="shared" si="100"/>
        <v>Shuttle/Test</v>
      </c>
      <c r="AH218" s="78" t="str">
        <f t="shared" si="102"/>
        <v>"%USERPROFILE%\Documents\GitHub\eaglep3\Utilities\RefineRTDCRunTimes.py" --tripid 74-28 --locoid 4064 --swversion DE.1.0.9.0 --startMP 204:107831 --initTime 2017-10-28T23:31:45 --startdatetime 2017-10-28T23:36:43 --delay 99 --endMP 204:108089 --enddatetime 2017-10-28T23:36:55 --enforcementcount 0 &gt;&gt;%USERPROFILE%\Documents\GitHub\eaglep3-reporting\EC\2017-10-28-refined-times.txt</v>
      </c>
      <c r="AI218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10.8089"},{"id":17,"name":"Train ID","value":"74-28"},{"id":16,"name":"Locomotive ID","value":"4064"},{"id":130,"name":"Impact","value":""},{"id":150,"name":"Time of Event (Mountain Time)","value":"23:36:55"},{"id":151,"name":"Denver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04"/>
        <v>start /low /b %USERPROFILE%\Documents\GitHub\eaglep3\Utilities\DownloadLogsFromS3.py --loco 4064 --day 2017-10-28</v>
      </c>
      <c r="AN218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06"/>
        <v>https://d0f6bd738d7f1b3e5a7ca70fe4ff75f0.us-east-1.aws.found.io/app/kibana#/discover/Steve-Slow-Train-Analysis-(2080s-and-2083s)?_g=(refreshInterval:(display:Off,pause:!f,section:0,value:0),time:(from:'2017-10-28T22:31:45-0600',mode:absolute,to:'2017-10-29T00:36:55-0600'))&amp;_a=(columns:!('Message%20ID',Summary),filters:!(),index:'emp_*',interval:auto,query:(query_string:(analyze_wildcard:!t,query:'%22rtdc.l.rtdc.4064%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642</v>
      </c>
      <c r="B219" s="7">
        <v>4064</v>
      </c>
      <c r="C219" s="21" t="s">
        <v>194</v>
      </c>
      <c r="D219" s="21" t="s">
        <v>1074</v>
      </c>
      <c r="E219" s="13">
        <v>43036.842083333337</v>
      </c>
      <c r="F219" s="13">
        <v>43036.845023148147</v>
      </c>
      <c r="G219" s="7">
        <v>92</v>
      </c>
      <c r="H219" s="21" t="s">
        <v>1075</v>
      </c>
      <c r="I219" s="13">
        <v>43036.864062499997</v>
      </c>
      <c r="J219" s="7">
        <v>0</v>
      </c>
      <c r="K219" s="89" t="str">
        <f t="shared" si="92"/>
        <v>4063/4064</v>
      </c>
      <c r="L219" s="185" t="str">
        <f>VLOOKUP(A219,'Trips&amp;Operators'!$C$1:$G$99911,5,FALSE)</f>
        <v>CASSIDY BRANDON</v>
      </c>
      <c r="M219" s="6">
        <f t="shared" si="93"/>
        <v>1.9039351849642117E-2</v>
      </c>
      <c r="N219" s="7">
        <f t="shared" si="90"/>
        <v>27.416666663484648</v>
      </c>
      <c r="O219" s="7"/>
      <c r="P219" s="7"/>
      <c r="Q219" s="22"/>
      <c r="R219" s="174"/>
      <c r="S219" s="221">
        <f t="shared" si="101"/>
        <v>0</v>
      </c>
      <c r="T219" s="174" t="str">
        <f t="shared" si="94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95"/>
        <v>https://d0f6bd738d7f1b3e5a7ca70fe4ff75f0.us-east-1.aws.found.io/app/kibana#/discover/Steve-Slow-Train-Analysis-(2080s-and-2083s)?_g=(refreshInterval:(display:Off,pause:!f,section:0,value:0),time:(from:'2017-10-28T19:12:36-0600',mode:absolute,to:'2017-10-28T21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9" s="204" t="str">
        <f>IF(AA219&lt;VLOOKUP(AG219,Variables!$AC$3:$AD$8,2,FALSE),"Y","N")</f>
        <v>Y</v>
      </c>
      <c r="X219" s="204">
        <f t="shared" si="91"/>
        <v>0</v>
      </c>
      <c r="Y219" s="204">
        <f t="shared" si="88"/>
        <v>0.1484</v>
      </c>
      <c r="Z219" s="204">
        <f t="shared" si="89"/>
        <v>10.7376</v>
      </c>
      <c r="AA219" s="204">
        <f t="shared" si="96"/>
        <v>10.5892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97"/>
        <v>74</v>
      </c>
      <c r="AE219" s="77" t="str">
        <f t="shared" si="98"/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AF219" s="74" t="str">
        <f t="shared" si="99"/>
        <v>"C:\Program Files (x86)\AstroGrep\AstroGrep.exe" /e /r /s /spath="%USERPROFILE%\AppData\Local\Temp\OnboardLogs" /stypes="app*4064*20171029*" /stext=" 02:.+((SYSTEM_STATE.+slice.+state.+changed )|(ment ac)|(multiple cpu faults)|(system.+state.+changed )|(\[timeout)|(PRM\|1\|D)|(kpr)|(kdp)|(train st.+moving)|(\|lc)|(penalty))"</v>
      </c>
      <c r="AG219" s="182" t="str">
        <f t="shared" si="100"/>
        <v>Shuttle/Test</v>
      </c>
      <c r="AH219" s="78" t="str">
        <f t="shared" si="102"/>
        <v>"%USERPROFILE%\Documents\GitHub\eaglep3\Utilities\RefineRTDCRunTimes.py" --tripid 74-28 --locoid 4064 --swversion DE.1.0.9.0 --startMP 204:1484 --initTime 2017-10-28T20:12:36 --startdatetime 2017-10-28T20:16:50 --delay 92 --endMP 204:107376 --enddatetime 2017-10-28T20:44:15 --enforcementcount 0 &gt;&gt;%USERPROFILE%\Documents\GitHub\eaglep3-reporting\EC\2017-10-28-refined-times.txt</v>
      </c>
      <c r="AI219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10.7376"},{"id":17,"name":"Train ID","value":"74-28"},{"id":16,"name":"Locomotive ID","value":"4064"},{"id":130,"name":"Impact","value":""},{"id":150,"name":"Time of Event (Mountain Time)","value":"20:44:15"},{"id":151,"name":"Denver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04"/>
        <v>start /low /b %USERPROFILE%\Documents\GitHub\eaglep3\Utilities\DownloadLogsFromS3.py --loco 4064 --day 2017-10-28</v>
      </c>
      <c r="AN219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06"/>
        <v>https://d0f6bd738d7f1b3e5a7ca70fe4ff75f0.us-east-1.aws.found.io/app/kibana#/discover/Steve-Slow-Train-Analysis-(2080s-and-2083s)?_g=(refreshInterval:(display:Off,pause:!f,section:0,value:0),time:(from:'2017-10-28T19:12:36-0600',mode:absolute,to:'2017-10-28T21:44:15-0600'))&amp;_a=(columns:!('Message%20ID',Summary),filters:!(),index:'emp_*',interval:auto,query:(query_string:(analyze_wildcard:!t,query:'%22rtdc.l.rtdc.4064%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802</v>
      </c>
      <c r="B220" s="7">
        <v>4050</v>
      </c>
      <c r="C220" s="21" t="s">
        <v>194</v>
      </c>
      <c r="D220" s="21" t="s">
        <v>1076</v>
      </c>
      <c r="E220" s="13">
        <v>43036.66846064815</v>
      </c>
      <c r="F220" s="13">
        <v>43036.672766203701</v>
      </c>
      <c r="G220" s="7">
        <v>69</v>
      </c>
      <c r="H220" s="21" t="s">
        <v>599</v>
      </c>
      <c r="I220" s="13">
        <v>43036.679791666669</v>
      </c>
      <c r="J220" s="7">
        <v>0</v>
      </c>
      <c r="K220" s="89" t="str">
        <f t="shared" si="92"/>
        <v>4049/4050</v>
      </c>
      <c r="L220" s="185" t="str">
        <f>VLOOKUP(A220,'Trips&amp;Operators'!$C$1:$G$99911,5,FALSE)</f>
        <v>LOPES KIMBERLY</v>
      </c>
      <c r="M220" s="6">
        <f t="shared" si="93"/>
        <v>7.0254629681585357E-3</v>
      </c>
      <c r="N220" s="7">
        <f t="shared" si="90"/>
        <v>10.116666674148291</v>
      </c>
      <c r="O220" s="7"/>
      <c r="P220" s="7"/>
      <c r="Q220" s="22"/>
      <c r="R220" s="174"/>
      <c r="S220" s="221">
        <f t="shared" si="101"/>
        <v>1</v>
      </c>
      <c r="T220" s="174" t="str">
        <f t="shared" si="94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95"/>
        <v>https://d0f6bd738d7f1b3e5a7ca70fe4ff75f0.us-east-1.aws.found.io/app/kibana#/discover/Steve-Slow-Train-Analysis-(2080s-and-2083s)?_g=(refreshInterval:(display:Off,pause:!f,section:0,value:0),time:(from:'2017-10-28T15:02:35-0600',mode:absolute,to:'2017-10-28T17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0" s="204" t="str">
        <f>IF(AA220&lt;VLOOKUP(AG220,Variables!$AC$3:$AD$8,2,FALSE),"Y","N")</f>
        <v>Y</v>
      </c>
      <c r="X220" s="204">
        <f t="shared" si="91"/>
        <v>1</v>
      </c>
      <c r="Y220" s="204">
        <f t="shared" si="88"/>
        <v>0.14710000000000001</v>
      </c>
      <c r="Z220" s="204">
        <f t="shared" si="89"/>
        <v>2.331</v>
      </c>
      <c r="AA220" s="204">
        <f t="shared" si="96"/>
        <v>2.1839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97"/>
        <v>75</v>
      </c>
      <c r="AE220" s="77" t="str">
        <f t="shared" si="98"/>
        <v>aws s3 cp s3://rtdc.mdm.uploadarchive.raw/RTDC4050/ "%USERPROFILE%\AppData\Local\Temp\OnboardLogs"\RTDC4050\2017-10-28 --exclude "*" --recursive --include "*20171028*" &amp; "%USERPROFILE%\Documents\GitHub\mrs-test-scripts\Headless Mode &amp; Sideloading\WalkAndUnGZ.bat" "%USERPROFILE%\AppData\Local\Temp\OnboardLogs"\RTDC4050\2017-10-28 &amp; 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</v>
      </c>
      <c r="AF220" s="74" t="str">
        <f t="shared" si="99"/>
        <v>"C:\Program Files (x86)\AstroGrep\AstroGrep.exe" /e /r /s /spath="%USERPROFILE%\AppData\Local\Temp\OnboardLogs" /stypes="app*4050*20171028*" /stext=" 22:.+((SYSTEM_STATE.+slice.+state.+changed )|(ment ac)|(multiple cpu faults)|(system.+state.+changed )|(\[timeout)|(PRM\|1\|D)|(kpr)|(kdp)|(train st.+moving)|(\|lc)|(penalty))"</v>
      </c>
      <c r="AG220" s="182" t="str">
        <f t="shared" si="100"/>
        <v>Shuttle/Test</v>
      </c>
      <c r="AH220" s="78" t="str">
        <f t="shared" si="102"/>
        <v>"%USERPROFILE%\Documents\GitHub\eaglep3\Utilities\RefineRTDCRunTimes.py" --tripid 75-28 --locoid 4050 --swversion DE.1.0.9.0 --startMP 204:1471 --initTime 2017-10-28T16:02:35 --startdatetime 2017-10-28T16:08:47 --delay 69 --endMP 300:23310 --enddatetime 2017-10-28T16:18:54 --enforcementcount 0 &gt;&gt;%USERPROFILE%\Documents\GitHub\eaglep3-reporting\EC\2017-10-28-refined-times.txt</v>
      </c>
      <c r="AI220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2.331"},{"id":17,"name":"Train ID","value":"75-28"},{"id":16,"name":"Locomotive ID","value":"4050"},{"id":130,"name":"Impact","value":""},{"id":150,"name":"Time of Event (Mountain Time)","value":"16:18:54"},{"id":151,"name":"Denver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04"/>
        <v>start /low /b %USERPROFILE%\Documents\GitHub\eaglep3\Utilities\DownloadLogsFromS3.py --loco 4050 --day 2017-10-28</v>
      </c>
      <c r="AN220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22:18:54"},{"id":29,"name":"Sharepoint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06"/>
        <v>https://d0f6bd738d7f1b3e5a7ca70fe4ff75f0.us-east-1.aws.found.io/app/kibana#/discover/Steve-Slow-Train-Analysis-(2080s-and-2083s)?_g=(refreshInterval:(display:Off,pause:!f,section:0,value:0),time:(from:'2017-10-28T15:02:35-0600',mode:absolute,to:'2017-10-28T17:18:54-0600'))&amp;_a=(columns:!('Message%20ID',Summary),filters:!(),index:'emp_*',interval:auto,query:(query_string:(analyze_wildcard:!t,query:'%22rtdc.l.rtdc.4050%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818</v>
      </c>
      <c r="B221" s="7">
        <v>4055</v>
      </c>
      <c r="C221" s="21" t="s">
        <v>194</v>
      </c>
      <c r="D221" s="21" t="s">
        <v>1077</v>
      </c>
      <c r="E221" s="13">
        <v>43036.731249999997</v>
      </c>
      <c r="F221" s="13">
        <v>43036.736631944441</v>
      </c>
      <c r="G221" s="7">
        <v>332</v>
      </c>
      <c r="H221" s="21" t="s">
        <v>1078</v>
      </c>
      <c r="I221" s="13">
        <v>43036.742395833331</v>
      </c>
      <c r="J221" s="7">
        <v>0</v>
      </c>
      <c r="K221" s="89" t="str">
        <f t="shared" si="92"/>
        <v>4055/4056</v>
      </c>
      <c r="L221" s="185" t="str">
        <f>VLOOKUP(A221,'Trips&amp;Operators'!$C$1:$G$99911,5,FALSE)</f>
        <v>GUNTHIER ERIC</v>
      </c>
      <c r="M221" s="6">
        <f t="shared" si="93"/>
        <v>5.7638888902147301E-3</v>
      </c>
      <c r="N221" s="7">
        <f t="shared" si="90"/>
        <v>8.3000000019092113</v>
      </c>
      <c r="O221" s="7"/>
      <c r="P221" s="7"/>
      <c r="Q221" s="22"/>
      <c r="R221" s="174"/>
      <c r="S221" s="221">
        <f t="shared" si="101"/>
        <v>1</v>
      </c>
      <c r="T221" s="174" t="str">
        <f t="shared" si="94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95"/>
        <v>https://d0f6bd738d7f1b3e5a7ca70fe4ff75f0.us-east-1.aws.found.io/app/kibana#/discover/Steve-Slow-Train-Analysis-(2080s-and-2083s)?_g=(refreshInterval:(display:Off,pause:!f,section:0,value:0),time:(from:'2017-10-28T16:33:00-0600',mode:absolute,to:'2017-10-28T18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1" s="204" t="str">
        <f>IF(AA221&lt;VLOOKUP(AG221,Variables!$AC$3:$AD$8,2,FALSE),"Y","N")</f>
        <v>Y</v>
      </c>
      <c r="X221" s="204">
        <f t="shared" si="91"/>
        <v>1</v>
      </c>
      <c r="Y221" s="204">
        <f t="shared" si="88"/>
        <v>2.3285</v>
      </c>
      <c r="Z221" s="204">
        <f t="shared" si="89"/>
        <v>8.9800000000000005E-2</v>
      </c>
      <c r="AA221" s="204">
        <f t="shared" si="96"/>
        <v>2.2387000000000001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97"/>
        <v>76</v>
      </c>
      <c r="AE221" s="77" t="str">
        <f t="shared" si="98"/>
        <v>aws s3 cp s3://rtdc.mdm.uploadarchive.raw/RTDC4055/ "%USERPROFILE%\AppData\Local\Temp\OnboardLogs"\RTDC4055\2017-10-28 --exclude "*" --recursive --include "*20171028*" &amp; "%USERPROFILE%\Documents\GitHub\mrs-test-scripts\Headless Mode &amp; Sideloading\WalkAndUnGZ.bat" "%USERPROFILE%\AppData\Local\Temp\OnboardLogs"\RTDC4055\2017-10-28 &amp; aws s3 cp s3://rtdc.mdm.uploadarchive.raw/RTDC4055/ "%USERPROFILE%\AppData\Local\Temp\OnboardLogs"\RTDC4055\2017-10-29 --exclude "*" --recursive --include "*20171029*" &amp; "%USERPROFILE%\Documents\GitHub\mrs-test-scripts\Headless Mode &amp; Sideloading\WalkAndUnGZ.bat" "%USERPROFILE%\AppData\Local\Temp\OnboardLogs"\RTDC4055\2017-10-29</v>
      </c>
      <c r="AF221" s="74" t="str">
        <f t="shared" si="99"/>
        <v>"C:\Program Files (x86)\AstroGrep\AstroGrep.exe" /e /r /s /spath="%USERPROFILE%\AppData\Local\Temp\OnboardLogs" /stypes="app*4055*20171028*" /stext=" 23:.+((SYSTEM_STATE.+slice.+state.+changed )|(ment ac)|(multiple cpu faults)|(system.+state.+changed )|(\[timeout)|(PRM\|1\|D)|(kpr)|(kdp)|(train st.+moving)|(\|lc)|(penalty))"</v>
      </c>
      <c r="AG221" s="182" t="str">
        <f t="shared" si="100"/>
        <v>Shuttle/Test</v>
      </c>
      <c r="AH221" s="78" t="str">
        <f t="shared" si="102"/>
        <v>"%USERPROFILE%\Documents\GitHub\eaglep3\Utilities\RefineRTDCRunTimes.py" --tripid 76-28 --locoid 4055 --swversion DE.1.0.9.0 --startMP 300:23285 --initTime 2017-10-28T17:33:00 --startdatetime 2017-10-28T17:40:45 --delay 332 --endMP 204:898 --enddatetime 2017-10-28T17:49:03 --enforcementcount 0 &gt;&gt;%USERPROFILE%\Documents\GitHub\eaglep3-reporting\EC\2017-10-28-refined-times.txt</v>
      </c>
      <c r="AI221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0.0898"},{"id":17,"name":"Train ID","value":"76-28"},{"id":16,"name":"Locomotive ID","value":"4055"},{"id":130,"name":"Impact","value":""},{"id":150,"name":"Time of Event (Mountain Time)","value":"17:49:03"},{"id":151,"name":"Denver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04"/>
        <v>start /low /b %USERPROFILE%\Documents\GitHub\eaglep3\Utilities\DownloadLogsFromS3.py --loco 4055 --day 2017-10-28</v>
      </c>
      <c r="AN221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06"/>
        <v>https://d0f6bd738d7f1b3e5a7ca70fe4ff75f0.us-east-1.aws.found.io/app/kibana#/discover/Steve-Slow-Train-Analysis-(2080s-and-2083s)?_g=(refreshInterval:(display:Off,pause:!f,section:0,value:0),time:(from:'2017-10-28T16:33:00-0600',mode:absolute,to:'2017-10-28T18:49:03-0600'))&amp;_a=(columns:!('Message%20ID',Summary),filters:!(),index:'emp_*',interval:auto,query:(query_string:(analyze_wildcard:!t,query:'%22rtdc.l.rtdc.4055%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818</v>
      </c>
      <c r="B222" s="7">
        <v>4056</v>
      </c>
      <c r="C222" s="21" t="s">
        <v>194</v>
      </c>
      <c r="D222" s="21" t="s">
        <v>1079</v>
      </c>
      <c r="E222" s="13">
        <v>43036.846122685187</v>
      </c>
      <c r="F222" s="13">
        <v>43036.851493055554</v>
      </c>
      <c r="G222" s="7">
        <v>68</v>
      </c>
      <c r="H222" s="21" t="s">
        <v>1080</v>
      </c>
      <c r="I222" s="13">
        <v>43036.852210648147</v>
      </c>
      <c r="J222" s="7">
        <v>0</v>
      </c>
      <c r="K222" s="89" t="str">
        <f t="shared" si="92"/>
        <v>4055/4056</v>
      </c>
      <c r="L222" s="185" t="str">
        <f>VLOOKUP(A222,'Trips&amp;Operators'!$C$1:$G$99911,5,FALSE)</f>
        <v>GUNTHIER ERIC</v>
      </c>
      <c r="M222" s="6">
        <f t="shared" si="93"/>
        <v>7.1759259299142286E-4</v>
      </c>
      <c r="N222" s="7">
        <f t="shared" si="90"/>
        <v>1.0333333339076489</v>
      </c>
      <c r="O222" s="7"/>
      <c r="P222" s="7"/>
      <c r="Q222" s="22"/>
      <c r="R222" s="174"/>
      <c r="S222" s="221">
        <f t="shared" si="101"/>
        <v>0</v>
      </c>
      <c r="T222" s="174" t="str">
        <f t="shared" si="94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95"/>
        <v>https://d0f6bd738d7f1b3e5a7ca70fe4ff75f0.us-east-1.aws.found.io/app/kibana#/discover/Steve-Slow-Train-Analysis-(2080s-and-2083s)?_g=(refreshInterval:(display:Off,pause:!f,section:0,value:0),time:(from:'2017-10-28T19:18:25-0600',mode:absolute,to:'2017-10-28T21:27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2" s="204" t="str">
        <f>IF(AA222&lt;VLOOKUP(AG222,Variables!$AC$3:$AD$8,2,FALSE),"Y","N")</f>
        <v>Y</v>
      </c>
      <c r="X222" s="204">
        <f t="shared" si="91"/>
        <v>0</v>
      </c>
      <c r="Y222" s="204">
        <f t="shared" si="88"/>
        <v>0.1207</v>
      </c>
      <c r="Z222" s="204">
        <f t="shared" si="89"/>
        <v>0.55459999999999998</v>
      </c>
      <c r="AA222" s="204">
        <f t="shared" si="96"/>
        <v>0.43389999999999995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97"/>
        <v>76</v>
      </c>
      <c r="AE222" s="77" t="str">
        <f t="shared" si="98"/>
        <v>aws s3 cp s3://rtdc.mdm.uploadarchive.raw/RTDC4056/ "%USERPROFILE%\AppData\Local\Temp\OnboardLogs"\RTDC4056\2017-10-28 --exclude "*" --recursive --include "*20171028*" &amp; "%USERPROFILE%\Documents\GitHub\mrs-test-scripts\Headless Mode &amp; Sideloading\WalkAndUnGZ.bat" "%USERPROFILE%\AppData\Local\Temp\OnboardLogs"\RTDC4056\2017-10-28 &amp; aws s3 cp s3://rtdc.mdm.uploadarchive.raw/RTDC4056/ "%USERPROFILE%\AppData\Local\Temp\OnboardLogs"\RTDC4056\2017-10-29 --exclude "*" --recursive --include "*20171029*" &amp; "%USERPROFILE%\Documents\GitHub\mrs-test-scripts\Headless Mode &amp; Sideloading\WalkAndUnGZ.bat" "%USERPROFILE%\AppData\Local\Temp\OnboardLogs"\RTDC4056\2017-10-29</v>
      </c>
      <c r="AF222" s="74" t="str">
        <f t="shared" si="99"/>
        <v>"C:\Program Files (x86)\AstroGrep\AstroGrep.exe" /e /r /s /spath="%USERPROFILE%\AppData\Local\Temp\OnboardLogs" /stypes="app*4056*20171029*" /stext=" 02:.+((SYSTEM_STATE.+slice.+state.+changed )|(ment ac)|(multiple cpu faults)|(system.+state.+changed )|(\[timeout)|(PRM\|1\|D)|(kpr)|(kdp)|(train st.+moving)|(\|lc)|(penalty))"</v>
      </c>
      <c r="AG222" s="182" t="str">
        <f t="shared" si="100"/>
        <v>Shuttle/Test</v>
      </c>
      <c r="AH222" s="78" t="str">
        <f t="shared" si="102"/>
        <v>"%USERPROFILE%\Documents\GitHub\eaglep3\Utilities\RefineRTDCRunTimes.py" --tripid 76-28 --locoid 4056 --swversion DE.1.0.9.0 --startMP 204:1207 --initTime 2017-10-28T20:18:25 --startdatetime 2017-10-28T20:26:09 --delay 68 --endMP 300:5546 --enddatetime 2017-10-28T20:27:11 --enforcementcount 0 &gt;&gt;%USERPROFILE%\Documents\GitHub\eaglep3-reporting\EC\2017-10-28-refined-times.txt</v>
      </c>
      <c r="AI222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0.5546"},{"id":17,"name":"Train ID","value":"76-28"},{"id":16,"name":"Locomotive ID","value":"4056"},{"id":130,"name":"Impact","value":""},{"id":150,"name":"Time of Event (Mountain Time)","value":"20:27:11"},{"id":151,"name":"Denver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04"/>
        <v>start /low /b %USERPROFILE%\Documents\GitHub\eaglep3\Utilities\DownloadLogsFromS3.py --loco 4056 --day 2017-10-28</v>
      </c>
      <c r="AN222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02:27:11"},{"id":29,"name":"Sharepoint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06"/>
        <v>https://d0f6bd738d7f1b3e5a7ca70fe4ff75f0.us-east-1.aws.found.io/app/kibana#/discover/Steve-Slow-Train-Analysis-(2080s-and-2083s)?_g=(refreshInterval:(display:Off,pause:!f,section:0,value:0),time:(from:'2017-10-28T19:18:25-0600',mode:absolute,to:'2017-10-28T21:27:11-0600'))&amp;_a=(columns:!('Message%20ID',Summary),filters:!(),index:'emp_*',interval:auto,query:(query_string:(analyze_wildcard:!t,query:'%22rtdc.l.rtdc.4056%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814</v>
      </c>
      <c r="B223" s="7">
        <v>4060</v>
      </c>
      <c r="C223" s="21" t="s">
        <v>194</v>
      </c>
      <c r="D223" s="21" t="s">
        <v>1081</v>
      </c>
      <c r="E223" s="13">
        <v>43036.71670138889</v>
      </c>
      <c r="F223" s="13">
        <v>43036.724398148152</v>
      </c>
      <c r="G223" s="7">
        <v>80</v>
      </c>
      <c r="H223" s="21" t="s">
        <v>1082</v>
      </c>
      <c r="I223" s="13">
        <v>43036.730902777781</v>
      </c>
      <c r="J223" s="7">
        <v>0</v>
      </c>
      <c r="K223" s="89" t="str">
        <f t="shared" si="92"/>
        <v>4059/4060</v>
      </c>
      <c r="L223" s="185" t="str">
        <f>VLOOKUP(A223,'Trips&amp;Operators'!$C$1:$G$99911,5,FALSE)</f>
        <v>GONZALEZ ARMANDO</v>
      </c>
      <c r="M223" s="6">
        <f t="shared" si="93"/>
        <v>6.5046296294895001E-3</v>
      </c>
      <c r="N223" s="7">
        <f t="shared" si="90"/>
        <v>9.3666666664648801</v>
      </c>
      <c r="O223" s="7"/>
      <c r="P223" s="7"/>
      <c r="Q223" s="22"/>
      <c r="R223" s="174"/>
      <c r="S223" s="221">
        <f t="shared" si="101"/>
        <v>1</v>
      </c>
      <c r="T223" s="174" t="str">
        <f t="shared" si="94"/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95"/>
        <v>https://d0f6bd738d7f1b3e5a7ca70fe4ff75f0.us-east-1.aws.found.io/app/kibana#/discover/Steve-Slow-Train-Analysis-(2080s-and-2083s)?_g=(refreshInterval:(display:Off,pause:!f,section:0,value:0),time:(from:'2017-10-28T16:12:03-0600',mode:absolute,to:'2017-10-28T18:32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3" s="204" t="str">
        <f>IF(AA223&lt;VLOOKUP(AG223,Variables!$AC$3:$AD$8,2,FALSE),"Y","N")</f>
        <v>Y</v>
      </c>
      <c r="X223" s="204">
        <f t="shared" si="91"/>
        <v>1</v>
      </c>
      <c r="Y223" s="204">
        <f t="shared" ref="Y223:Y232" si="107">RIGHT(D223,LEN(D223)-4)/10000</f>
        <v>0.1145</v>
      </c>
      <c r="Z223" s="204">
        <f t="shared" ref="Z223:Z232" si="108">RIGHT(H223,LEN(H223)-4)/10000</f>
        <v>2.3296999999999999</v>
      </c>
      <c r="AA223" s="204">
        <f t="shared" si="96"/>
        <v>2.2151999999999998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97"/>
        <v>77</v>
      </c>
      <c r="AE223" s="77" t="str">
        <f t="shared" si="98"/>
        <v>aws s3 cp s3://rtdc.mdm.uploadarchive.raw/RTDC4060/ "%USERPROFILE%\AppData\Local\Temp\OnboardLogs"\RTDC4060\2017-10-28 --exclude "*" --recursive --include "*20171028*" &amp; "%USERPROFILE%\Documents\GitHub\mrs-test-scripts\Headless Mode &amp; Sideloading\WalkAndUnGZ.bat" "%USERPROFILE%\AppData\Local\Temp\OnboardLogs"\RTDC4060\2017-10-28 &amp; 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</v>
      </c>
      <c r="AF223" s="74" t="str">
        <f t="shared" si="99"/>
        <v>"C:\Program Files (x86)\AstroGrep\AstroGrep.exe" /e /r /s /spath="%USERPROFILE%\AppData\Local\Temp\OnboardLogs" /stypes="app*4060*20171028*" /stext=" 23:.+((SYSTEM_STATE.+slice.+state.+changed )|(ment ac)|(multiple cpu faults)|(system.+state.+changed )|(\[timeout)|(PRM\|1\|D)|(kpr)|(kdp)|(train st.+moving)|(\|lc)|(penalty))"</v>
      </c>
      <c r="AG223" s="182" t="str">
        <f t="shared" si="100"/>
        <v>Shuttle/Test</v>
      </c>
      <c r="AH223" s="78" t="str">
        <f t="shared" si="102"/>
        <v>"%USERPROFILE%\Documents\GitHub\eaglep3\Utilities\RefineRTDCRunTimes.py" --tripid 77-28 --locoid 4060 --swversion DE.1.0.9.0 --startMP 204:1145 --initTime 2017-10-28T17:12:03 --startdatetime 2017-10-28T17:23:08 --delay 80 --endMP 300:23297 --enddatetime 2017-10-28T17:32:30 --enforcementcount 0 &gt;&gt;%USERPROFILE%\Documents\GitHub\eaglep3-reporting\EC\2017-10-28-refined-times.txt</v>
      </c>
      <c r="AI223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2.3297"},{"id":17,"name":"Train ID","value":"77-28"},{"id":16,"name":"Locomotive ID","value":"4060"},{"id":130,"name":"Impact","value":""},{"id":150,"name":"Time of Event (Mountain Time)","value":"17:32:30"},{"id":151,"name":"Denver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04"/>
        <v>start /low /b %USERPROFILE%\Documents\GitHub\eaglep3\Utilities\DownloadLogsFromS3.py --loco 4060 --day 2017-10-28</v>
      </c>
      <c r="AN223" s="151" t="str">
        <f t="shared" si="105"/>
        <v>echo {"issue":{"subject":"","project_id":30,"tracker_id":4,"status_id":1,"priority_id":1,"assigned_to_id":10,"start_date":"2017-10-28","description":"","custom_fields":[{"id":30,"name":"Category","value":"Issue"},{"id":3,"name":"Functional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UTC","value":"2017-10-28 23:32:30"},{"id":29,"name":"Sharepoint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06"/>
        <v>https://d0f6bd738d7f1b3e5a7ca70fe4ff75f0.us-east-1.aws.found.io/app/kibana#/discover/Steve-Slow-Train-Analysis-(2080s-and-2083s)?_g=(refreshInterval:(display:Off,pause:!f,section:0,value:0),time:(from:'2017-10-28T16:12:03-0600',mode:absolute,to:'2017-10-28T18:32:30-0600'))&amp;_a=(columns:!('Message%20ID',Summary),filters:!(),index:'emp_*',interval:auto,query:(query_string:(analyze_wildcard:!t,query:'%22rtdc.l.rtdc.4060%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638</v>
      </c>
      <c r="B224" s="7">
        <v>4047</v>
      </c>
      <c r="C224" s="21" t="s">
        <v>194</v>
      </c>
      <c r="D224" s="21" t="s">
        <v>1083</v>
      </c>
      <c r="E224" s="13">
        <v>43036.811168981483</v>
      </c>
      <c r="F224" s="13">
        <v>43036.815451388888</v>
      </c>
      <c r="G224" s="7">
        <v>97</v>
      </c>
      <c r="H224" s="21" t="s">
        <v>335</v>
      </c>
      <c r="I224" s="13">
        <v>43036.828541666669</v>
      </c>
      <c r="J224" s="7">
        <v>0</v>
      </c>
      <c r="K224" s="89" t="str">
        <f t="shared" si="92"/>
        <v>4047/4048</v>
      </c>
      <c r="L224" s="185" t="str">
        <f>VLOOKUP(A224,'Trips&amp;Operators'!$C$1:$G$99911,5,FALSE)</f>
        <v>WEST BRYAN</v>
      </c>
      <c r="M224" s="6">
        <f t="shared" si="93"/>
        <v>1.3090277781884652E-2</v>
      </c>
      <c r="N224" s="7">
        <f t="shared" si="90"/>
        <v>18.850000005913898</v>
      </c>
      <c r="O224" s="7"/>
      <c r="P224" s="7"/>
      <c r="Q224" s="22"/>
      <c r="R224" s="174"/>
      <c r="S224" s="221">
        <f t="shared" si="101"/>
        <v>1</v>
      </c>
      <c r="T224" s="174" t="str">
        <f t="shared" si="94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 t="shared" si="95"/>
        <v>https://d0f6bd738d7f1b3e5a7ca70fe4ff75f0.us-east-1.aws.found.io/app/kibana#/discover/Steve-Slow-Train-Analysis-(2080s-and-2083s)?_g=(refreshInterval:(display:Off,pause:!f,section:0,value:0),time:(from:'2017-10-28T18:28:05-0600',mode:absolute,to:'2017-10-28T20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24" s="204" t="str">
        <f>IF(AA224&lt;VLOOKUP(AG224,Variables!$AC$3:$AD$8,2,FALSE),"Y","N")</f>
        <v>Y</v>
      </c>
      <c r="X224" s="204">
        <f t="shared" si="91"/>
        <v>1</v>
      </c>
      <c r="Y224" s="204">
        <f t="shared" si="107"/>
        <v>2.3582000000000001</v>
      </c>
      <c r="Z224" s="204">
        <f t="shared" si="108"/>
        <v>1.4999999999999999E-2</v>
      </c>
      <c r="AA224" s="204">
        <f t="shared" si="96"/>
        <v>2.3431999999999999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97"/>
        <v>78</v>
      </c>
      <c r="AE224" s="77" t="str">
        <f t="shared" si="98"/>
        <v>aws s3 cp s3://rtdc.mdm.uploadarchive.raw/RTDC4047/ "%USERPROFILE%\AppData\Local\Temp\OnboardLogs"\RTDC4047\2017-10-28 --exclude "*" --recursive --include "*20171028*" &amp; "%USERPROFILE%\Documents\GitHub\mrs-test-scripts\Headless Mode &amp; Sideloading\WalkAndUnGZ.bat" "%USERPROFILE%\AppData\Local\Temp\OnboardLogs"\RTDC4047\2017-10-28 &amp; aws s3 cp s3://rtdc.mdm.uploadarchive.raw/RTDC4047/ "%USERPROFILE%\AppData\Local\Temp\OnboardLogs"\RTDC4047\2017-10-29 --exclude "*" --recursive --include "*20171029*" &amp; "%USERPROFILE%\Documents\GitHub\mrs-test-scripts\Headless Mode &amp; Sideloading\WalkAndUnGZ.bat" "%USERPROFILE%\AppData\Local\Temp\OnboardLogs"\RTDC4047\2017-10-29</v>
      </c>
      <c r="AF224" s="74" t="str">
        <f t="shared" si="99"/>
        <v>"C:\Program Files (x86)\AstroGrep\AstroGrep.exe" /e /r /s /spath="%USERPROFILE%\AppData\Local\Temp\OnboardLogs" /stypes="app*4047*20171029*" /stext=" 01:.+((SYSTEM_STATE.+slice.+state.+changed )|(ment ac)|(multiple cpu faults)|(system.+state.+changed )|(\[timeout)|(PRM\|1\|D)|(kpr)|(kdp)|(train st.+moving)|(\|lc)|(penalty))"</v>
      </c>
      <c r="AG224" s="182" t="str">
        <f t="shared" si="100"/>
        <v>Shuttle/Test</v>
      </c>
      <c r="AH224" s="78" t="str">
        <f t="shared" si="102"/>
        <v>"%USERPROFILE%\Documents\GitHub\eaglep3\Utilities\RefineRTDCRunTimes.py" --tripid 78-28 --locoid 4047 --swversion DE.1.0.9.0 --startMP 300:23582 --initTime 2017-10-28T19:28:05 --startdatetime 2017-10-28T19:34:15 --delay 97 --endMP 204:150 --enddatetime 2017-10-28T19:53:06 --enforcementcount 0 &gt;&gt;%USERPROFILE%\Documents\GitHub\eaglep3-reporting\EC\2017-10-28-refined-times.txt</v>
      </c>
      <c r="AI224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0.015"},{"id":17,"name":"Train ID","value":"78-28"},{"id":16,"name":"Locomotive ID","value":"4047"},{"id":130,"name":"Impact","value":""},{"id":150,"name":"Time of Event (Mountain Time)","value":"19:53:06"},{"id":151,"name":"Denver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04"/>
        <v>start /low /b %USERPROFILE%\Documents\GitHub\eaglep3\Utilities\DownloadLogsFromS3.py --loco 4047 --day 2017-10-28</v>
      </c>
      <c r="AN224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06"/>
        <v>https://d0f6bd738d7f1b3e5a7ca70fe4ff75f0.us-east-1.aws.found.io/app/kibana#/discover/Steve-Slow-Train-Analysis-(2080s-and-2083s)?_g=(refreshInterval:(display:Off,pause:!f,section:0,value:0),time:(from:'2017-10-28T18:28:05-0600',mode:absolute,to:'2017-10-28T20:53:06-0600'))&amp;_a=(columns:!('Message%20ID',Summary),filters:!(),index:'emp_*',interval:auto,query:(query_string:(analyze_wildcard:!t,query:'%22rtdc.l.rtdc.4047%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638</v>
      </c>
      <c r="B225" s="7">
        <v>4047</v>
      </c>
      <c r="C225" s="21" t="s">
        <v>194</v>
      </c>
      <c r="D225" s="21" t="s">
        <v>1084</v>
      </c>
      <c r="E225" s="13">
        <v>43036.940567129626</v>
      </c>
      <c r="F225" s="13">
        <v>43037.008391203701</v>
      </c>
      <c r="G225" s="7">
        <v>54</v>
      </c>
      <c r="H225" s="21" t="s">
        <v>1085</v>
      </c>
      <c r="I225" s="13">
        <v>43037.013101851851</v>
      </c>
      <c r="J225" s="7">
        <v>0</v>
      </c>
      <c r="K225" s="89" t="str">
        <f t="shared" si="92"/>
        <v>4047/4048</v>
      </c>
      <c r="L225" s="185" t="str">
        <f>VLOOKUP(A225,'Trips&amp;Operators'!$C$1:$G$99911,5,FALSE)</f>
        <v>WEST BRYAN</v>
      </c>
      <c r="M225" s="6">
        <f t="shared" si="93"/>
        <v>4.7106481506489217E-3</v>
      </c>
      <c r="N225" s="7">
        <f t="shared" si="90"/>
        <v>6.7833333369344473</v>
      </c>
      <c r="O225" s="7"/>
      <c r="P225" s="7"/>
      <c r="Q225" s="22"/>
      <c r="R225" s="174"/>
      <c r="S225" s="221">
        <f t="shared" si="101"/>
        <v>0</v>
      </c>
      <c r="T225" s="174" t="str">
        <f t="shared" si="94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95"/>
        <v>https://d0f6bd738d7f1b3e5a7ca70fe4ff75f0.us-east-1.aws.found.io/app/kibana#/discover/Steve-Slow-Train-Analysis-(2080s-and-2083s)?_g=(refreshInterval:(display:Off,pause:!f,section:0,value:0),time:(from:'2017-10-28T21:34:25-0600',mode:absolute,to:'2017-10-29T01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25" s="204" t="str">
        <f>IF(AA225&lt;VLOOKUP(AG225,Variables!$AC$3:$AD$8,2,FALSE),"Y","N")</f>
        <v>Y</v>
      </c>
      <c r="X225" s="204">
        <f t="shared" si="91"/>
        <v>0</v>
      </c>
      <c r="Y225" s="204">
        <f t="shared" si="107"/>
        <v>23.297000000000001</v>
      </c>
      <c r="Z225" s="204">
        <f t="shared" si="108"/>
        <v>18.9848</v>
      </c>
      <c r="AA225" s="204">
        <f t="shared" si="96"/>
        <v>4.3122000000000007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97"/>
        <v>78</v>
      </c>
      <c r="AE225" s="77" t="str">
        <f t="shared" si="98"/>
        <v>aws s3 cp s3://rtdc.mdm.uploadarchive.raw/RTDC4047/ "%USERPROFILE%\AppData\Local\Temp\OnboardLogs"\RTDC4047\2017-10-29 --exclude "*" --recursive --include "*20171029*" &amp; "%USERPROFILE%\Documents\GitHub\mrs-test-scripts\Headless Mode &amp; Sideloading\WalkAndUnGZ.bat" "%USERPROFILE%\AppData\Local\Temp\OnboardLogs"\RTDC4047\2017-10-29 &amp; aws s3 cp s3://rtdc.mdm.uploadarchive.raw/RTDC4047/ "%USERPROFILE%\AppData\Local\Temp\OnboardLogs"\RTDC4047\2017-10-30 --exclude "*" --recursive --include "*20171030*" &amp; "%USERPROFILE%\Documents\GitHub\mrs-test-scripts\Headless Mode &amp; Sideloading\WalkAndUnGZ.bat" "%USERPROFILE%\AppData\Local\Temp\OnboardLogs"\RTDC4047\2017-10-30</v>
      </c>
      <c r="AF225" s="74" t="str">
        <f t="shared" si="99"/>
        <v>"C:\Program Files (x86)\AstroGrep\AstroGrep.exe" /e /r /s /spath="%USERPROFILE%\AppData\Local\Temp\OnboardLogs" /stypes="app*4047*20171029*" /stext=" 06:.+((SYSTEM_STATE.+slice.+state.+changed )|(ment ac)|(multiple cpu faults)|(system.+state.+changed )|(\[timeout)|(PRM\|1\|D)|(kpr)|(kdp)|(train st.+moving)|(\|lc)|(penalty))"</v>
      </c>
      <c r="AG225" s="182" t="str">
        <f t="shared" si="100"/>
        <v>Shuttle/Test</v>
      </c>
      <c r="AH225" s="78" t="str">
        <f t="shared" si="102"/>
        <v>"%USERPROFILE%\Documents\GitHub\eaglep3\Utilities\RefineRTDCRunTimes.py" --tripid 78-28 --locoid 4047 --swversion DE.1.0.9.0 --startMP 204:232970 --initTime 2017-10-28T22:34:25 --startdatetime 2017-10-29T00:12:05 --delay 54 --endMP 204:189848 --enddatetime 2017-10-29T00:18:52 --enforcementcount 0 &gt;&gt;%USERPROFILE%\Documents\GitHub\eaglep3-reporting\EC\2017-10-28-refined-times.txt</v>
      </c>
      <c r="AI225" s="96" t="str">
        <f t="shared" si="103"/>
        <v>echo {"issue":{"subject":"","project_id":79,"tracker_id":40,"status_id":1,"priority_id":2,"assigned_to_id":338,"start_date":"2017-10-29","description":"","custom_fields":[{"id":1,"name":"Subdivision","value":"Shuttle/Test"},{"id":4,"name":"Milepost","value":"18.9848"},{"id":17,"name":"Train ID","value":"78-28"},{"id":16,"name":"Locomotive ID","value":"4047"},{"id":130,"name":"Impact","value":""},{"id":150,"name":"Time of Event (Mountain Time)","value":"00:18:52"},{"id":151,"name":"Denver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04"/>
        <v>start /low /b %USERPROFILE%\Documents\GitHub\eaglep3\Utilities\DownloadLogsFromS3.py --loco 4047 --day 2017-10-29</v>
      </c>
      <c r="AN225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06:18:52"},{"id":29,"name":"Sharepoint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06"/>
        <v>https://d0f6bd738d7f1b3e5a7ca70fe4ff75f0.us-east-1.aws.found.io/app/kibana#/discover/Steve-Slow-Train-Analysis-(2080s-and-2083s)?_g=(refreshInterval:(display:Off,pause:!f,section:0,value:0),time:(from:'2017-10-28T21:34:25-0600',mode:absolute,to:'2017-10-29T01:18:52-0600'))&amp;_a=(columns:!('Message%20ID',Summary),filters:!(),index:'emp_*',interval:auto,query:(query_string:(analyze_wildcard:!t,query:'%22rtdc.l.rtdc.4047%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638</v>
      </c>
      <c r="B226" s="7">
        <v>4047</v>
      </c>
      <c r="C226" s="21" t="s">
        <v>194</v>
      </c>
      <c r="D226" s="21" t="s">
        <v>1086</v>
      </c>
      <c r="E226" s="13">
        <v>43036.901550925926</v>
      </c>
      <c r="F226" s="13">
        <v>43036.926921296297</v>
      </c>
      <c r="G226" s="7">
        <v>78</v>
      </c>
      <c r="H226" s="21" t="s">
        <v>1087</v>
      </c>
      <c r="I226" s="13">
        <v>43036.932337962964</v>
      </c>
      <c r="J226" s="7">
        <v>0</v>
      </c>
      <c r="K226" s="89" t="str">
        <f t="shared" si="92"/>
        <v>4047/4048</v>
      </c>
      <c r="L226" s="185" t="str">
        <f>VLOOKUP(A226,'Trips&amp;Operators'!$C$1:$G$99911,5,FALSE)</f>
        <v>WEST BRYAN</v>
      </c>
      <c r="M226" s="6">
        <f t="shared" si="93"/>
        <v>5.4166666668606922E-3</v>
      </c>
      <c r="N226" s="7">
        <f t="shared" si="90"/>
        <v>7.8000000002793968</v>
      </c>
      <c r="O226" s="7"/>
      <c r="P226" s="7"/>
      <c r="Q226" s="22"/>
      <c r="R226" s="174"/>
      <c r="S226" s="221">
        <f t="shared" si="101"/>
        <v>0</v>
      </c>
      <c r="T226" s="174" t="str">
        <f t="shared" si="94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95"/>
        <v>https://d0f6bd738d7f1b3e5a7ca70fe4ff75f0.us-east-1.aws.found.io/app/kibana#/discover/Steve-Slow-Train-Analysis-(2080s-and-2083s)?_g=(refreshInterval:(display:Off,pause:!f,section:0,value:0),time:(from:'2017-10-28T20:38:14-0600',mode:absolute,to:'2017-10-28T23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26" s="204" t="str">
        <f>IF(AA226&lt;VLOOKUP(AG226,Variables!$AC$3:$AD$8,2,FALSE),"Y","N")</f>
        <v>Y</v>
      </c>
      <c r="X226" s="204">
        <f t="shared" si="91"/>
        <v>0</v>
      </c>
      <c r="Y226" s="204">
        <f t="shared" si="107"/>
        <v>23.299600000000002</v>
      </c>
      <c r="Z226" s="204">
        <f t="shared" si="108"/>
        <v>18.9941</v>
      </c>
      <c r="AA226" s="204">
        <f t="shared" si="96"/>
        <v>4.3055000000000021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97"/>
        <v>78</v>
      </c>
      <c r="AE226" s="77" t="str">
        <f t="shared" si="98"/>
        <v>aws s3 cp s3://rtdc.mdm.uploadarchive.raw/RTDC4047/ "%USERPROFILE%\AppData\Local\Temp\OnboardLogs"\RTDC4047\2017-10-28 --exclude "*" --recursive --include "*20171028*" &amp; "%USERPROFILE%\Documents\GitHub\mrs-test-scripts\Headless Mode &amp; Sideloading\WalkAndUnGZ.bat" "%USERPROFILE%\AppData\Local\Temp\OnboardLogs"\RTDC4047\2017-10-28 &amp; aws s3 cp s3://rtdc.mdm.uploadarchive.raw/RTDC4047/ "%USERPROFILE%\AppData\Local\Temp\OnboardLogs"\RTDC4047\2017-10-29 --exclude "*" --recursive --include "*20171029*" &amp; "%USERPROFILE%\Documents\GitHub\mrs-test-scripts\Headless Mode &amp; Sideloading\WalkAndUnGZ.bat" "%USERPROFILE%\AppData\Local\Temp\OnboardLogs"\RTDC4047\2017-10-29</v>
      </c>
      <c r="AF226" s="74" t="str">
        <f t="shared" si="99"/>
        <v>"C:\Program Files (x86)\AstroGrep\AstroGrep.exe" /e /r /s /spath="%USERPROFILE%\AppData\Local\Temp\OnboardLogs" /stypes="app*4047*20171029*" /stext=" 04:.+((SYSTEM_STATE.+slice.+state.+changed )|(ment ac)|(multiple cpu faults)|(system.+state.+changed )|(\[timeout)|(PRM\|1\|D)|(kpr)|(kdp)|(train st.+moving)|(\|lc)|(penalty))"</v>
      </c>
      <c r="AG226" s="182" t="str">
        <f t="shared" si="100"/>
        <v>Shuttle/Test</v>
      </c>
      <c r="AH226" s="78" t="str">
        <f t="shared" si="102"/>
        <v>"%USERPROFILE%\Documents\GitHub\eaglep3\Utilities\RefineRTDCRunTimes.py" --tripid 78-28 --locoid 4047 --swversion DE.1.0.9.0 --startMP 204:232996 --initTime 2017-10-28T21:38:14 --startdatetime 2017-10-28T22:14:46 --delay 78 --endMP 204:189941 --enddatetime 2017-10-28T22:22:34 --enforcementcount 0 &gt;&gt;%USERPROFILE%\Documents\GitHub\eaglep3-reporting\EC\2017-10-28-refined-times.txt</v>
      </c>
      <c r="AI226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18.9941"},{"id":17,"name":"Train ID","value":"78-28"},{"id":16,"name":"Locomotive ID","value":"4047"},{"id":130,"name":"Impact","value":""},{"id":150,"name":"Time of Event (Mountain Time)","value":"22:22:34"},{"id":151,"name":"Denver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04"/>
        <v>start /low /b %USERPROFILE%\Documents\GitHub\eaglep3\Utilities\DownloadLogsFromS3.py --loco 4047 --day 2017-10-28</v>
      </c>
      <c r="AN226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06"/>
        <v>https://d0f6bd738d7f1b3e5a7ca70fe4ff75f0.us-east-1.aws.found.io/app/kibana#/discover/Steve-Slow-Train-Analysis-(2080s-and-2083s)?_g=(refreshInterval:(display:Off,pause:!f,section:0,value:0),time:(from:'2017-10-28T20:38:14-0600',mode:absolute,to:'2017-10-28T23:22:34-0600'))&amp;_a=(columns:!('Message%20ID',Summary),filters:!(),index:'emp_*',interval:auto,query:(query_string:(analyze_wildcard:!t,query:'%22rtdc.l.rtdc.4047%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638</v>
      </c>
      <c r="B227" s="7">
        <v>4047</v>
      </c>
      <c r="C227" s="21" t="s">
        <v>194</v>
      </c>
      <c r="D227" s="21" t="s">
        <v>559</v>
      </c>
      <c r="E227" s="13">
        <v>43037.022199074076</v>
      </c>
      <c r="F227" s="13">
        <v>43037.06759259259</v>
      </c>
      <c r="G227" s="7">
        <v>60</v>
      </c>
      <c r="H227" s="21" t="s">
        <v>497</v>
      </c>
      <c r="I227" s="13">
        <v>43037.073287037034</v>
      </c>
      <c r="J227" s="7">
        <v>0</v>
      </c>
      <c r="K227" s="89" t="str">
        <f t="shared" si="92"/>
        <v>4047/4048</v>
      </c>
      <c r="L227" s="185" t="str">
        <f>VLOOKUP(A227,'Trips&amp;Operators'!$C$1:$G$99911,5,FALSE)</f>
        <v>WEST BRYAN</v>
      </c>
      <c r="M227" s="6">
        <f t="shared" si="93"/>
        <v>5.694444444088731E-3</v>
      </c>
      <c r="N227" s="7">
        <f t="shared" ref="N227:N232" si="109">24*60*SUM($M227:$M227)</f>
        <v>8.1999999994877726</v>
      </c>
      <c r="O227" s="7"/>
      <c r="P227" s="7"/>
      <c r="Q227" s="22"/>
      <c r="R227" s="174" t="s">
        <v>1114</v>
      </c>
      <c r="S227" s="221">
        <f t="shared" si="101"/>
        <v>0</v>
      </c>
      <c r="T227" s="174" t="str">
        <f t="shared" si="94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95"/>
        <v>https://d0f6bd738d7f1b3e5a7ca70fe4ff75f0.us-east-1.aws.found.io/app/kibana#/discover/Steve-Slow-Train-Analysis-(2080s-and-2083s)?_g=(refreshInterval:(display:Off,pause:!f,section:0,value:0),time:(from:'2017-10-28T23:31:58-0600',mode:absolute,to:'2017-10-29T02:45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27" s="204" t="str">
        <f>IF(AA227&lt;VLOOKUP(AG227,Variables!$AC$3:$AD$8,2,FALSE),"Y","N")</f>
        <v>Y</v>
      </c>
      <c r="X227" s="204">
        <f t="shared" si="91"/>
        <v>0</v>
      </c>
      <c r="Y227" s="204">
        <f t="shared" si="107"/>
        <v>23.297799999999999</v>
      </c>
      <c r="Z227" s="204">
        <f t="shared" si="108"/>
        <v>23.298200000000001</v>
      </c>
      <c r="AA227" s="204">
        <f t="shared" si="96"/>
        <v>4.0000000000262048E-4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97"/>
        <v>78</v>
      </c>
      <c r="AE227" s="77" t="str">
        <f t="shared" si="98"/>
        <v>aws s3 cp s3://rtdc.mdm.uploadarchive.raw/RTDC4047/ "%USERPROFILE%\AppData\Local\Temp\OnboardLogs"\RTDC4047\2017-10-29 --exclude "*" --recursive --include "*20171029*" &amp; "%USERPROFILE%\Documents\GitHub\mrs-test-scripts\Headless Mode &amp; Sideloading\WalkAndUnGZ.bat" "%USERPROFILE%\AppData\Local\Temp\OnboardLogs"\RTDC4047\2017-10-29 &amp; aws s3 cp s3://rtdc.mdm.uploadarchive.raw/RTDC4047/ "%USERPROFILE%\AppData\Local\Temp\OnboardLogs"\RTDC4047\2017-10-30 --exclude "*" --recursive --include "*20171030*" &amp; "%USERPROFILE%\Documents\GitHub\mrs-test-scripts\Headless Mode &amp; Sideloading\WalkAndUnGZ.bat" "%USERPROFILE%\AppData\Local\Temp\OnboardLogs"\RTDC4047\2017-10-30</v>
      </c>
      <c r="AF227" s="74" t="str">
        <f t="shared" si="99"/>
        <v>"C:\Program Files (x86)\AstroGrep\AstroGrep.exe" /e /r /s /spath="%USERPROFILE%\AppData\Local\Temp\OnboardLogs" /stypes="app*4047*20171029*" /stext=" 07:.+((SYSTEM_STATE.+slice.+state.+changed )|(ment ac)|(multiple cpu faults)|(system.+state.+changed )|(\[timeout)|(PRM\|1\|D)|(kpr)|(kdp)|(train st.+moving)|(\|lc)|(penalty))"</v>
      </c>
      <c r="AG227" s="182" t="str">
        <f t="shared" si="100"/>
        <v>Shuttle/Test</v>
      </c>
      <c r="AH227" s="78" t="str">
        <f t="shared" si="102"/>
        <v>"%USERPROFILE%\Documents\GitHub\eaglep3\Utilities\RefineRTDCRunTimes.py" --tripid 78-28 --locoid 4047 --swversion DE.1.0.9.0 --startMP 204:232978 --initTime 2017-10-29T00:31:58 --startdatetime 2017-10-29T01:37:20 --delay 60 --endMP 204:232982 --enddatetime 2017-10-29T01:45:32 --enforcementcount 0 &gt;&gt;%USERPROFILE%\Documents\GitHub\eaglep3-reporting\EC\2017-10-28-refined-times.txt</v>
      </c>
      <c r="AI227" s="96" t="str">
        <f t="shared" si="103"/>
        <v>echo {"issue":{"subject":"Unhealthy at Chambers due to train stop","project_id":79,"tracker_id":40,"status_id":1,"priority_id":2,"assigned_to_id":338,"start_date":"2017-10-29","description":"","custom_fields":[{"id":1,"name":"Subdivision","value":"Shuttle/Test"},{"id":4,"name":"Milepost","value":"23.2982"},{"id":17,"name":"Train ID","value":"78-28"},{"id":16,"name":"Locomotive ID","value":"4047"},{"id":130,"name":"Impact","value":""},{"id":150,"name":"Time of Event (Mountain Time)","value":"01:45:32"},{"id":151,"name":"Denver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04"/>
        <v>start /low /b %USERPROFILE%\Documents\GitHub\eaglep3\Utilities\DownloadLogsFromS3.py --loco 4047 --day 2017-10-29</v>
      </c>
      <c r="AN227" s="151" t="str">
        <f t="shared" si="105"/>
        <v>echo {"issue":{"subject":"Unhealthy at Chambers due to train stop","project_id":30,"tracker_id":4,"status_id":1,"priority_id":1,"assigned_to_id":10,"start_date":"2017-10-29","description":"","custom_fields":[{"id":30,"name":"Category","value":"Issue"},{"id":3,"name":"Functional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07:45:32"},{"id":29,"name":"Sharepoint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06"/>
        <v>https://d0f6bd738d7f1b3e5a7ca70fe4ff75f0.us-east-1.aws.found.io/app/kibana#/discover/Steve-Slow-Train-Analysis-(2080s-and-2083s)?_g=(refreshInterval:(display:Off,pause:!f,section:0,value:0),time:(from:'2017-10-28T23:31:58-0600',mode:absolute,to:'2017-10-29T02:45:32-0600'))&amp;_a=(columns:!('Message%20ID',Summary),filters:!(),index:'emp_*',interval:auto,query:(query_string:(analyze_wildcard:!t,query:'%22rtdc.l.rtdc.4047%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638</v>
      </c>
      <c r="B228" s="7">
        <v>4047</v>
      </c>
      <c r="C228" s="21" t="s">
        <v>194</v>
      </c>
      <c r="D228" s="21" t="s">
        <v>581</v>
      </c>
      <c r="E228" s="13">
        <v>43037.084548611114</v>
      </c>
      <c r="F228" s="13">
        <v>43037.116886574076</v>
      </c>
      <c r="G228" s="7">
        <v>61</v>
      </c>
      <c r="H228" s="21" t="s">
        <v>560</v>
      </c>
      <c r="I228" s="13">
        <v>43037.123437499999</v>
      </c>
      <c r="J228" s="7">
        <v>0</v>
      </c>
      <c r="K228" s="89" t="str">
        <f t="shared" si="92"/>
        <v>4047/4048</v>
      </c>
      <c r="L228" s="185" t="str">
        <f>VLOOKUP(A228,'Trips&amp;Operators'!$C$1:$G$99911,5,FALSE)</f>
        <v>WEST BRYAN</v>
      </c>
      <c r="M228" s="6">
        <f t="shared" si="93"/>
        <v>6.5509259220561944E-3</v>
      </c>
      <c r="N228" s="7">
        <f t="shared" si="109"/>
        <v>9.4333333277609199</v>
      </c>
      <c r="O228" s="7"/>
      <c r="P228" s="7"/>
      <c r="Q228" s="22"/>
      <c r="R228" s="174"/>
      <c r="S228" s="221">
        <f t="shared" si="101"/>
        <v>1</v>
      </c>
      <c r="T228" s="174" t="str">
        <f t="shared" si="94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 t="shared" si="95"/>
        <v>https://d0f6bd738d7f1b3e5a7ca70fe4ff75f0.us-east-1.aws.found.io/app/kibana#/discover/Steve-Slow-Train-Analysis-(2080s-and-2083s)?_g=(refreshInterval:(display:Off,pause:!f,section:0,value:0),time:(from:'2017-10-29T01:01:45-0600',mode:absolute,to:'2017-10-29T03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W228" s="204" t="str">
        <f>IF(AA228&lt;VLOOKUP(AG228,Variables!$AC$3:$AD$8,2,FALSE),"Y","N")</f>
        <v>Y</v>
      </c>
      <c r="X228" s="204">
        <f t="shared" si="91"/>
        <v>0</v>
      </c>
      <c r="Y228" s="204">
        <f t="shared" si="107"/>
        <v>23.296900000000001</v>
      </c>
      <c r="Z228" s="204">
        <f t="shared" si="108"/>
        <v>1.61E-2</v>
      </c>
      <c r="AA228" s="204">
        <f t="shared" si="96"/>
        <v>23.280799999999999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97"/>
        <v>78</v>
      </c>
      <c r="AE228" s="77" t="str">
        <f t="shared" si="98"/>
        <v>aws s3 cp s3://rtdc.mdm.uploadarchive.raw/RTDC4047/ "%USERPROFILE%\AppData\Local\Temp\OnboardLogs"\RTDC4047\2017-10-29 --exclude "*" --recursive --include "*20171029*" &amp; "%USERPROFILE%\Documents\GitHub\mrs-test-scripts\Headless Mode &amp; Sideloading\WalkAndUnGZ.bat" "%USERPROFILE%\AppData\Local\Temp\OnboardLogs"\RTDC4047\2017-10-29 &amp; aws s3 cp s3://rtdc.mdm.uploadarchive.raw/RTDC4047/ "%USERPROFILE%\AppData\Local\Temp\OnboardLogs"\RTDC4047\2017-10-30 --exclude "*" --recursive --include "*20171030*" &amp; "%USERPROFILE%\Documents\GitHub\mrs-test-scripts\Headless Mode &amp; Sideloading\WalkAndUnGZ.bat" "%USERPROFILE%\AppData\Local\Temp\OnboardLogs"\RTDC4047\2017-10-30</v>
      </c>
      <c r="AF228" s="74" t="str">
        <f t="shared" si="99"/>
        <v>"C:\Program Files (x86)\AstroGrep\AstroGrep.exe" /e /r /s /spath="%USERPROFILE%\AppData\Local\Temp\OnboardLogs" /stypes="app*4047*20171029*" /stext=" 08:.+((SYSTEM_STATE.+slice.+state.+changed )|(ment ac)|(multiple cpu faults)|(system.+state.+changed )|(\[timeout)|(PRM\|1\|D)|(kpr)|(kdp)|(train st.+moving)|(\|lc)|(penalty))"</v>
      </c>
      <c r="AG228" s="182" t="str">
        <f t="shared" si="100"/>
        <v>Shuttle/Test</v>
      </c>
      <c r="AH228" s="78" t="str">
        <f t="shared" si="102"/>
        <v>"%USERPROFILE%\Documents\GitHub\eaglep3\Utilities\RefineRTDCRunTimes.py" --tripid 78-28 --locoid 4047 --swversion DE.1.0.9.0 --startMP 204:232969 --initTime 2017-10-29T02:01:45 --startdatetime 2017-10-29T02:48:19 --delay 61 --endMP 204:161 --enddatetime 2017-10-29T02:57:45 --enforcementcount 0 &gt;&gt;%USERPROFILE%\Documents\GitHub\eaglep3-reporting\EC\2017-10-28-refined-times.txt</v>
      </c>
      <c r="AI228" s="96" t="str">
        <f t="shared" si="103"/>
        <v>echo {"issue":{"subject":"","project_id":79,"tracker_id":40,"status_id":1,"priority_id":2,"assigned_to_id":338,"start_date":"2017-10-29","description":"","custom_fields":[{"id":1,"name":"Subdivision","value":"Shuttle/Test"},{"id":4,"name":"Milepost","value":"0.0161"},{"id":17,"name":"Train ID","value":"78-28"},{"id":16,"name":"Locomotive ID","value":"4047"},{"id":130,"name":"Impact","value":""},{"id":150,"name":"Time of Event (Mountain Time)","value":"02:57:45"},{"id":151,"name":"Denver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04"/>
        <v>start /low /b %USERPROFILE%\Documents\GitHub\eaglep3\Utilities\DownloadLogsFromS3.py --loco 4047 --day 2017-10-29</v>
      </c>
      <c r="AN228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08:57:45"},{"id":29,"name":"Sharepoint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06"/>
        <v>https://d0f6bd738d7f1b3e5a7ca70fe4ff75f0.us-east-1.aws.found.io/app/kibana#/discover/Steve-Slow-Train-Analysis-(2080s-and-2083s)?_g=(refreshInterval:(display:Off,pause:!f,section:0,value:0),time:(from:'2017-10-29T01:01:45-0600',mode:absolute,to:'2017-10-29T03:57:45-0600'))&amp;_a=(columns:!('Message%20ID',Summary),filters:!(),index:'emp_*',interval:auto,query:(query_string:(analyze_wildcard:!t,query:'%22rtdc.l.rtdc.4047%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846</v>
      </c>
      <c r="B229" s="7">
        <v>4048</v>
      </c>
      <c r="C229" s="21" t="s">
        <v>194</v>
      </c>
      <c r="D229" s="21" t="s">
        <v>477</v>
      </c>
      <c r="E229" s="13">
        <v>43036.83697916667</v>
      </c>
      <c r="F229" s="13">
        <v>43036.887974537036</v>
      </c>
      <c r="G229" s="7">
        <v>103</v>
      </c>
      <c r="H229" s="21" t="s">
        <v>554</v>
      </c>
      <c r="I229" s="13">
        <v>43036.899664351855</v>
      </c>
      <c r="J229" s="7">
        <v>0</v>
      </c>
      <c r="K229" s="89" t="str">
        <f t="shared" si="92"/>
        <v>4047/4048</v>
      </c>
      <c r="L229" s="185" t="str">
        <f>VLOOKUP(A229,'Trips&amp;Operators'!$C$1:$G$99911,5,FALSE)</f>
        <v>WEST BRYAN</v>
      </c>
      <c r="M229" s="6">
        <f t="shared" si="93"/>
        <v>1.1689814818964805E-2</v>
      </c>
      <c r="N229" s="7">
        <f t="shared" si="109"/>
        <v>16.83333333930932</v>
      </c>
      <c r="O229" s="7"/>
      <c r="P229" s="7"/>
      <c r="Q229" s="22"/>
      <c r="R229" s="174"/>
      <c r="S229" s="221">
        <f t="shared" si="101"/>
        <v>1</v>
      </c>
      <c r="T229" s="174" t="str">
        <f t="shared" si="94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 t="shared" si="95"/>
        <v>https://d0f6bd738d7f1b3e5a7ca70fe4ff75f0.us-east-1.aws.found.io/app/kibana#/discover/Steve-Slow-Train-Analysis-(2080s-and-2083s)?_g=(refreshInterval:(display:Off,pause:!f,section:0,value:0),time:(from:'2017-10-28T19:05:15-0600',mode:absolute,to:'2017-10-28T22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29" s="204" t="str">
        <f>IF(AA229&lt;VLOOKUP(AG229,Variables!$AC$3:$AD$8,2,FALSE),"Y","N")</f>
        <v>Y</v>
      </c>
      <c r="X229" s="204">
        <f t="shared" si="91"/>
        <v>1</v>
      </c>
      <c r="Y229" s="204">
        <f t="shared" si="107"/>
        <v>4.4900000000000002E-2</v>
      </c>
      <c r="Z229" s="204">
        <f t="shared" si="108"/>
        <v>23.3264</v>
      </c>
      <c r="AA229" s="204">
        <f t="shared" si="96"/>
        <v>23.281500000000001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97"/>
        <v>79</v>
      </c>
      <c r="AE229" s="77" t="str">
        <f t="shared" si="98"/>
        <v>aws s3 cp s3://rtdc.mdm.uploadarchive.raw/RTDC4048/ "%USERPROFILE%\AppData\Local\Temp\OnboardLogs"\RTDC4048\2017-10-28 --exclude "*" --recursive --include "*20171028*" &amp; "%USERPROFILE%\Documents\GitHub\mrs-test-scripts\Headless Mode &amp; Sideloading\WalkAndUnGZ.bat" "%USERPROFILE%\AppData\Local\Temp\OnboardLogs"\RTDC4048\2017-10-28 &amp; aws s3 cp s3://rtdc.mdm.uploadarchive.raw/RTDC4048/ "%USERPROFILE%\AppData\Local\Temp\OnboardLogs"\RTDC4048\2017-10-29 --exclude "*" --recursive --include "*20171029*" &amp; "%USERPROFILE%\Documents\GitHub\mrs-test-scripts\Headless Mode &amp; Sideloading\WalkAndUnGZ.bat" "%USERPROFILE%\AppData\Local\Temp\OnboardLogs"\RTDC4048\2017-10-29</v>
      </c>
      <c r="AF229" s="74" t="str">
        <f t="shared" si="99"/>
        <v>"C:\Program Files (x86)\AstroGrep\AstroGrep.exe" /e /r /s /spath="%USERPROFILE%\AppData\Local\Temp\OnboardLogs" /stypes="app*4048*20171029*" /stext=" 03:.+((SYSTEM_STATE.+slice.+state.+changed )|(ment ac)|(multiple cpu faults)|(system.+state.+changed )|(\[timeout)|(PRM\|1\|D)|(kpr)|(kdp)|(train st.+moving)|(\|lc)|(penalty))"</v>
      </c>
      <c r="AG229" s="182" t="str">
        <f t="shared" si="100"/>
        <v>Shuttle/Test</v>
      </c>
      <c r="AH229" s="78" t="str">
        <f t="shared" si="102"/>
        <v>"%USERPROFILE%\Documents\GitHub\eaglep3\Utilities\RefineRTDCRunTimes.py" --tripid 79-28 --locoid 4048 --swversion DE.1.0.9.0 --startMP 204:449 --initTime 2017-10-28T20:05:15 --startdatetime 2017-10-28T21:18:41 --delay 103 --endMP 204:233264 --enddatetime 2017-10-28T21:35:31 --enforcementcount 0 &gt;&gt;%USERPROFILE%\Documents\GitHub\eaglep3-reporting\EC\2017-10-28-refined-times.txt</v>
      </c>
      <c r="AI229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23.3264"},{"id":17,"name":"Train ID","value":"79-28"},{"id":16,"name":"Locomotive ID","value":"4048"},{"id":130,"name":"Impact","value":""},{"id":150,"name":"Time of Event (Mountain Time)","value":"21:35:31"},{"id":151,"name":"Denver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04"/>
        <v>start /low /b %USERPROFILE%\Documents\GitHub\eaglep3\Utilities\DownloadLogsFromS3.py --loco 4048 --day 2017-10-28</v>
      </c>
      <c r="AN229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06"/>
        <v>https://d0f6bd738d7f1b3e5a7ca70fe4ff75f0.us-east-1.aws.found.io/app/kibana#/discover/Steve-Slow-Train-Analysis-(2080s-and-2083s)?_g=(refreshInterval:(display:Off,pause:!f,section:0,value:0),time:(from:'2017-10-28T19:05:15-0600',mode:absolute,to:'2017-10-28T22:35:31-0600'))&amp;_a=(columns:!('Message%20ID',Summary),filters:!(),index:'emp_*',interval:auto,query:(query_string:(analyze_wildcard:!t,query:'%22rtdc.l.rtdc.4048%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846</v>
      </c>
      <c r="B230" s="7">
        <v>4048</v>
      </c>
      <c r="C230" s="21" t="s">
        <v>194</v>
      </c>
      <c r="D230" s="21" t="s">
        <v>1088</v>
      </c>
      <c r="E230" s="13">
        <v>43036.912986111114</v>
      </c>
      <c r="F230" s="13">
        <v>43036.934618055559</v>
      </c>
      <c r="G230" s="7">
        <v>51</v>
      </c>
      <c r="H230" s="21" t="s">
        <v>383</v>
      </c>
      <c r="I230" s="13">
        <v>43036.939016203702</v>
      </c>
      <c r="J230" s="7">
        <v>0</v>
      </c>
      <c r="K230" s="89" t="str">
        <f t="shared" si="92"/>
        <v>4047/4048</v>
      </c>
      <c r="L230" s="185" t="str">
        <f>VLOOKUP(A230,'Trips&amp;Operators'!$C$1:$G$99911,5,FALSE)</f>
        <v>WEST BRYAN</v>
      </c>
      <c r="M230" s="6">
        <f t="shared" si="93"/>
        <v>4.3981481430819258E-3</v>
      </c>
      <c r="N230" s="7">
        <f t="shared" si="109"/>
        <v>6.3333333260379732</v>
      </c>
      <c r="O230" s="7"/>
      <c r="P230" s="7"/>
      <c r="Q230" s="22"/>
      <c r="R230" s="174"/>
      <c r="S230" s="221">
        <f t="shared" si="101"/>
        <v>0</v>
      </c>
      <c r="T230" s="174" t="str">
        <f t="shared" si="94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95"/>
        <v>https://d0f6bd738d7f1b3e5a7ca70fe4ff75f0.us-east-1.aws.found.io/app/kibana#/discover/Steve-Slow-Train-Analysis-(2080s-and-2083s)?_g=(refreshInterval:(display:Off,pause:!f,section:0,value:0),time:(from:'2017-10-28T20:54:42-0600',mode:absolute,to:'2017-10-28T23:32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30" s="204" t="str">
        <f>IF(AA230&lt;VLOOKUP(AG230,Variables!$AC$3:$AD$8,2,FALSE),"Y","N")</f>
        <v>Y</v>
      </c>
      <c r="X230" s="204">
        <f t="shared" si="91"/>
        <v>0</v>
      </c>
      <c r="Y230" s="204">
        <f t="shared" si="107"/>
        <v>19.023900000000001</v>
      </c>
      <c r="Z230" s="204">
        <f t="shared" si="108"/>
        <v>23.329699999999999</v>
      </c>
      <c r="AA230" s="204">
        <f t="shared" si="96"/>
        <v>4.3057999999999979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97"/>
        <v>79</v>
      </c>
      <c r="AE230" s="77" t="str">
        <f t="shared" si="98"/>
        <v>aws s3 cp s3://rtdc.mdm.uploadarchive.raw/RTDC4048/ "%USERPROFILE%\AppData\Local\Temp\OnboardLogs"\RTDC4048\2017-10-28 --exclude "*" --recursive --include "*20171028*" &amp; "%USERPROFILE%\Documents\GitHub\mrs-test-scripts\Headless Mode &amp; Sideloading\WalkAndUnGZ.bat" "%USERPROFILE%\AppData\Local\Temp\OnboardLogs"\RTDC4048\2017-10-28 &amp; aws s3 cp s3://rtdc.mdm.uploadarchive.raw/RTDC4048/ "%USERPROFILE%\AppData\Local\Temp\OnboardLogs"\RTDC4048\2017-10-29 --exclude "*" --recursive --include "*20171029*" &amp; "%USERPROFILE%\Documents\GitHub\mrs-test-scripts\Headless Mode &amp; Sideloading\WalkAndUnGZ.bat" "%USERPROFILE%\AppData\Local\Temp\OnboardLogs"\RTDC4048\2017-10-29</v>
      </c>
      <c r="AF230" s="74" t="str">
        <f t="shared" si="99"/>
        <v>"C:\Program Files (x86)\AstroGrep\AstroGrep.exe" /e /r /s /spath="%USERPROFILE%\AppData\Local\Temp\OnboardLogs" /stypes="app*4048*20171029*" /stext=" 04:.+((SYSTEM_STATE.+slice.+state.+changed )|(ment ac)|(multiple cpu faults)|(system.+state.+changed )|(\[timeout)|(PRM\|1\|D)|(kpr)|(kdp)|(train st.+moving)|(\|lc)|(penalty))"</v>
      </c>
      <c r="AG230" s="182" t="str">
        <f t="shared" si="100"/>
        <v>Shuttle/Test</v>
      </c>
      <c r="AH230" s="78" t="str">
        <f t="shared" si="102"/>
        <v>"%USERPROFILE%\Documents\GitHub\eaglep3\Utilities\RefineRTDCRunTimes.py" --tripid 79-28 --locoid 4048 --swversion DE.1.0.9.0 --startMP 204:190239 --initTime 2017-10-28T21:54:42 --startdatetime 2017-10-28T22:25:51 --delay 51 --endMP 204:233297 --enddatetime 2017-10-28T22:32:11 --enforcementcount 0 &gt;&gt;%USERPROFILE%\Documents\GitHub\eaglep3-reporting\EC\2017-10-28-refined-times.txt</v>
      </c>
      <c r="AI230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23.3297"},{"id":17,"name":"Train ID","value":"79-28"},{"id":16,"name":"Locomotive ID","value":"4048"},{"id":130,"name":"Impact","value":""},{"id":150,"name":"Time of Event (Mountain Time)","value":"22:32:11"},{"id":151,"name":"Denver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04"/>
        <v>start /low /b %USERPROFILE%\Documents\GitHub\eaglep3\Utilities\DownloadLogsFromS3.py --loco 4048 --day 2017-10-28</v>
      </c>
      <c r="AN230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04:32:11"},{"id":29,"name":"Sharepoint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06"/>
        <v>https://d0f6bd738d7f1b3e5a7ca70fe4ff75f0.us-east-1.aws.found.io/app/kibana#/discover/Steve-Slow-Train-Analysis-(2080s-and-2083s)?_g=(refreshInterval:(display:Off,pause:!f,section:0,value:0),time:(from:'2017-10-28T20:54:42-0600',mode:absolute,to:'2017-10-28T23:32:11-0600'))&amp;_a=(columns:!('Message%20ID',Summary),filters:!(),index:'emp_*',interval:auto,query:(query_string:(analyze_wildcard:!t,query:'%22rtdc.l.rtdc.4048%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846</v>
      </c>
      <c r="B231" s="7">
        <v>4048</v>
      </c>
      <c r="C231" s="21" t="s">
        <v>194</v>
      </c>
      <c r="D231" s="21" t="s">
        <v>1089</v>
      </c>
      <c r="E231" s="13">
        <v>43036.886342592596</v>
      </c>
      <c r="F231" s="13">
        <v>43036.914722222224</v>
      </c>
      <c r="G231" s="7">
        <v>49</v>
      </c>
      <c r="H231" s="21" t="s">
        <v>521</v>
      </c>
      <c r="I231" s="13">
        <v>43036.922627314816</v>
      </c>
      <c r="J231" s="7">
        <v>0</v>
      </c>
      <c r="K231" s="89" t="str">
        <f t="shared" si="92"/>
        <v>4047/4048</v>
      </c>
      <c r="L231" s="185" t="str">
        <f>VLOOKUP(A231,'Trips&amp;Operators'!$C$1:$G$99911,5,FALSE)</f>
        <v>WEST BRYAN</v>
      </c>
      <c r="M231" s="6">
        <f t="shared" si="93"/>
        <v>7.9050925924093463E-3</v>
      </c>
      <c r="N231" s="7">
        <f t="shared" si="109"/>
        <v>11.383333333069459</v>
      </c>
      <c r="O231" s="7"/>
      <c r="P231" s="7"/>
      <c r="Q231" s="22"/>
      <c r="R231" s="174"/>
      <c r="S231" s="221">
        <f t="shared" si="101"/>
        <v>0</v>
      </c>
      <c r="T231" s="174" t="str">
        <f t="shared" si="94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95"/>
        <v>https://d0f6bd738d7f1b3e5a7ca70fe4ff75f0.us-east-1.aws.found.io/app/kibana#/discover/Steve-Slow-Train-Analysis-(2080s-and-2083s)?_g=(refreshInterval:(display:Off,pause:!f,section:0,value:0),time:(from:'2017-10-28T20:16:20-0600',mode:absolute,to:'2017-10-28T23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31" s="204" t="str">
        <f>IF(AA231&lt;VLOOKUP(AG231,Variables!$AC$3:$AD$8,2,FALSE),"Y","N")</f>
        <v>Y</v>
      </c>
      <c r="X231" s="204">
        <f t="shared" si="91"/>
        <v>0</v>
      </c>
      <c r="Y231" s="204">
        <f t="shared" si="107"/>
        <v>19.029599999999999</v>
      </c>
      <c r="Z231" s="204">
        <f t="shared" si="108"/>
        <v>23.330400000000001</v>
      </c>
      <c r="AA231" s="204">
        <f t="shared" si="96"/>
        <v>4.3008000000000024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97"/>
        <v>79</v>
      </c>
      <c r="AE231" s="77" t="str">
        <f t="shared" si="98"/>
        <v>aws s3 cp s3://rtdc.mdm.uploadarchive.raw/RTDC4048/ "%USERPROFILE%\AppData\Local\Temp\OnboardLogs"\RTDC4048\2017-10-28 --exclude "*" --recursive --include "*20171028*" &amp; "%USERPROFILE%\Documents\GitHub\mrs-test-scripts\Headless Mode &amp; Sideloading\WalkAndUnGZ.bat" "%USERPROFILE%\AppData\Local\Temp\OnboardLogs"\RTDC4048\2017-10-28 &amp; aws s3 cp s3://rtdc.mdm.uploadarchive.raw/RTDC4048/ "%USERPROFILE%\AppData\Local\Temp\OnboardLogs"\RTDC4048\2017-10-29 --exclude "*" --recursive --include "*20171029*" &amp; "%USERPROFILE%\Documents\GitHub\mrs-test-scripts\Headless Mode &amp; Sideloading\WalkAndUnGZ.bat" "%USERPROFILE%\AppData\Local\Temp\OnboardLogs"\RTDC4048\2017-10-29</v>
      </c>
      <c r="AF231" s="74" t="str">
        <f t="shared" si="99"/>
        <v>"C:\Program Files (x86)\AstroGrep\AstroGrep.exe" /e /r /s /spath="%USERPROFILE%\AppData\Local\Temp\OnboardLogs" /stypes="app*4048*20171029*" /stext=" 04:.+((SYSTEM_STATE.+slice.+state.+changed )|(ment ac)|(multiple cpu faults)|(system.+state.+changed )|(\[timeout)|(PRM\|1\|D)|(kpr)|(kdp)|(train st.+moving)|(\|lc)|(penalty))"</v>
      </c>
      <c r="AG231" s="182" t="str">
        <f t="shared" si="100"/>
        <v>Shuttle/Test</v>
      </c>
      <c r="AH231" s="78" t="str">
        <f t="shared" si="102"/>
        <v>"%USERPROFILE%\Documents\GitHub\eaglep3\Utilities\RefineRTDCRunTimes.py" --tripid 79-28 --locoid 4048 --swversion DE.1.0.9.0 --startMP 204:190296 --initTime 2017-10-28T21:16:20 --startdatetime 2017-10-28T21:57:12 --delay 49 --endMP 204:233304 --enddatetime 2017-10-28T22:08:35 --enforcementcount 0 &gt;&gt;%USERPROFILE%\Documents\GitHub\eaglep3-reporting\EC\2017-10-28-refined-times.txt</v>
      </c>
      <c r="AI231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23.3304"},{"id":17,"name":"Train ID","value":"79-28"},{"id":16,"name":"Locomotive ID","value":"4048"},{"id":130,"name":"Impact","value":""},{"id":150,"name":"Time of Event (Mountain Time)","value":"22:08:35"},{"id":151,"name":"Denver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04"/>
        <v>start /low /b %USERPROFILE%\Documents\GitHub\eaglep3\Utilities\DownloadLogsFromS3.py --loco 4048 --day 2017-10-28</v>
      </c>
      <c r="AN231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04:08:35"},{"id":29,"name":"Sharepoint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06"/>
        <v>https://d0f6bd738d7f1b3e5a7ca70fe4ff75f0.us-east-1.aws.found.io/app/kibana#/discover/Steve-Slow-Train-Analysis-(2080s-and-2083s)?_g=(refreshInterval:(display:Off,pause:!f,section:0,value:0),time:(from:'2017-10-28T20:16:20-0600',mode:absolute,to:'2017-10-28T23:08:35-0600'))&amp;_a=(columns:!('Message%20ID',Summary),filters:!(),index:'emp_*',interval:auto,query:(query_string:(analyze_wildcard:!t,query:'%22rtdc.l.rtdc.4048%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846</v>
      </c>
      <c r="B232" s="7">
        <v>4048</v>
      </c>
      <c r="C232" s="21" t="s">
        <v>194</v>
      </c>
      <c r="D232" s="21" t="s">
        <v>1090</v>
      </c>
      <c r="E232" s="13">
        <v>43036.951307870368</v>
      </c>
      <c r="F232" s="13">
        <v>43036.9528587963</v>
      </c>
      <c r="G232" s="7">
        <v>50</v>
      </c>
      <c r="H232" s="21" t="s">
        <v>494</v>
      </c>
      <c r="I232" s="13">
        <v>43036.959456018521</v>
      </c>
      <c r="J232" s="7">
        <v>0</v>
      </c>
      <c r="K232" s="89" t="str">
        <f t="shared" si="92"/>
        <v>4047/4048</v>
      </c>
      <c r="L232" s="185" t="str">
        <f>VLOOKUP(A232,'Trips&amp;Operators'!$C$1:$G$99911,5,FALSE)</f>
        <v>WEST BRYAN</v>
      </c>
      <c r="M232" s="6">
        <f t="shared" si="93"/>
        <v>6.5972222218988463E-3</v>
      </c>
      <c r="N232" s="7">
        <f t="shared" si="109"/>
        <v>9.4999999995343387</v>
      </c>
      <c r="O232" s="7"/>
      <c r="P232" s="7"/>
      <c r="Q232" s="22"/>
      <c r="R232" s="174"/>
      <c r="S232" s="221">
        <f t="shared" si="101"/>
        <v>0</v>
      </c>
      <c r="T232" s="174" t="str">
        <f t="shared" si="94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95"/>
        <v>https://d0f6bd738d7f1b3e5a7ca70fe4ff75f0.us-east-1.aws.found.io/app/kibana#/discover/Steve-Slow-Train-Analysis-(2080s-and-2083s)?_g=(refreshInterval:(display:Off,pause:!f,section:0,value:0),time:(from:'2017-10-28T21:49:53-0600',mode:absolute,to:'2017-10-29T00:01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32" s="204" t="str">
        <f>IF(AA232&lt;VLOOKUP(AG232,Variables!$AC$3:$AD$8,2,FALSE),"Y","N")</f>
        <v>Y</v>
      </c>
      <c r="X232" s="204">
        <f t="shared" si="91"/>
        <v>0</v>
      </c>
      <c r="Y232" s="204">
        <f t="shared" si="107"/>
        <v>19.0154</v>
      </c>
      <c r="Z232" s="204">
        <f t="shared" si="108"/>
        <v>23.328800000000001</v>
      </c>
      <c r="AA232" s="204">
        <f t="shared" si="96"/>
        <v>4.3134000000000015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97"/>
        <v>79</v>
      </c>
      <c r="AE232" s="77" t="str">
        <f t="shared" si="98"/>
        <v>aws s3 cp s3://rtdc.mdm.uploadarchive.raw/RTDC4048/ "%USERPROFILE%\AppData\Local\Temp\OnboardLogs"\RTDC4048\2017-10-28 --exclude "*" --recursive --include "*20171028*" &amp; "%USERPROFILE%\Documents\GitHub\mrs-test-scripts\Headless Mode &amp; Sideloading\WalkAndUnGZ.bat" "%USERPROFILE%\AppData\Local\Temp\OnboardLogs"\RTDC4048\2017-10-28 &amp; aws s3 cp s3://rtdc.mdm.uploadarchive.raw/RTDC4048/ "%USERPROFILE%\AppData\Local\Temp\OnboardLogs"\RTDC4048\2017-10-29 --exclude "*" --recursive --include "*20171029*" &amp; "%USERPROFILE%\Documents\GitHub\mrs-test-scripts\Headless Mode &amp; Sideloading\WalkAndUnGZ.bat" "%USERPROFILE%\AppData\Local\Temp\OnboardLogs"\RTDC4048\2017-10-29</v>
      </c>
      <c r="AF232" s="74" t="str">
        <f t="shared" si="99"/>
        <v>"C:\Program Files (x86)\AstroGrep\AstroGrep.exe" /e /r /s /spath="%USERPROFILE%\AppData\Local\Temp\OnboardLogs" /stypes="app*4048*20171029*" /stext=" 05:.+((SYSTEM_STATE.+slice.+state.+changed )|(ment ac)|(multiple cpu faults)|(system.+state.+changed )|(\[timeout)|(PRM\|1\|D)|(kpr)|(kdp)|(train st.+moving)|(\|lc)|(penalty))"</v>
      </c>
      <c r="AG232" s="182" t="str">
        <f t="shared" si="100"/>
        <v>Shuttle/Test</v>
      </c>
      <c r="AH232" s="78" t="str">
        <f t="shared" si="102"/>
        <v>"%USERPROFILE%\Documents\GitHub\eaglep3\Utilities\RefineRTDCRunTimes.py" --tripid 79-28 --locoid 4048 --swversion DE.1.0.9.0 --startMP 204:190154 --initTime 2017-10-28T22:49:53 --startdatetime 2017-10-28T22:52:07 --delay 50 --endMP 204:233288 --enddatetime 2017-10-28T23:01:37 --enforcementcount 0 &gt;&gt;%USERPROFILE%\Documents\GitHub\eaglep3-reporting\EC\2017-10-28-refined-times.txt</v>
      </c>
      <c r="AI232" s="96" t="str">
        <f t="shared" si="103"/>
        <v>echo {"issue":{"subject":"","project_id":79,"tracker_id":40,"status_id":1,"priority_id":2,"assigned_to_id":338,"start_date":"2017-10-28","description":"","custom_fields":[{"id":1,"name":"Subdivision","value":"Shuttle/Test"},{"id":4,"name":"Milepost","value":"23.3288"},{"id":17,"name":"Train ID","value":"79-28"},{"id":16,"name":"Locomotive ID","value":"4048"},{"id":130,"name":"Impact","value":""},{"id":150,"name":"Time of Event (Mountain Time)","value":"23:01:37"},{"id":151,"name":"Denver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04"/>
        <v>start /low /b %USERPROFILE%\Documents\GitHub\eaglep3\Utilities\DownloadLogsFromS3.py --loco 4048 --day 2017-10-28</v>
      </c>
      <c r="AN232" s="151" t="str">
        <f t="shared" si="10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05:01:37"},{"id":29,"name":"Sharepoint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06"/>
        <v>https://d0f6bd738d7f1b3e5a7ca70fe4ff75f0.us-east-1.aws.found.io/app/kibana#/discover/Steve-Slow-Train-Analysis-(2080s-and-2083s)?_g=(refreshInterval:(display:Off,pause:!f,section:0,value:0),time:(from:'2017-10-28T21:49:53-0600',mode:absolute,to:'2017-10-29T00:01:37-0600'))&amp;_a=(columns:!('Message%20ID',Summary),filters:!(),index:'emp_*',interval:auto,query:(query_string:(analyze_wildcard:!t,query:'%22rtdc.l.rtdc.4048%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4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4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4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4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4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</sheetData>
  <autoFilter ref="A12:AG422">
    <sortState ref="A13:AG422">
      <sortCondition ref="AG13:AG232"/>
      <sortCondition ref="AD13:AD232"/>
    </sortState>
  </autoFilter>
  <sortState ref="A13:AN327">
    <sortCondition ref="AG13:AG327"/>
    <sortCondition ref="AD13:AD327"/>
  </sortState>
  <mergeCells count="1">
    <mergeCell ref="A11:P11"/>
  </mergeCells>
  <conditionalFormatting sqref="W11:W12 W428:X1048576 W13:X232">
    <cfRule type="cellIs" dxfId="10" priority="457" operator="equal">
      <formula>"Y"</formula>
    </cfRule>
  </conditionalFormatting>
  <conditionalFormatting sqref="X428:X1048576 X13:X232">
    <cfRule type="cellIs" dxfId="9" priority="440" operator="greaterThan">
      <formula>1</formula>
    </cfRule>
  </conditionalFormatting>
  <conditionalFormatting sqref="X428:X1048576 X12:X232">
    <cfRule type="cellIs" dxfId="8" priority="437" operator="equal">
      <formula>0</formula>
    </cfRule>
  </conditionalFormatting>
  <conditionalFormatting sqref="A13:S232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P21" sqref="P21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26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- 2017-10-28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350</v>
      </c>
      <c r="X6" s="181" t="s">
        <v>343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43036.733865740738</v>
      </c>
      <c r="B7" s="30" t="s">
        <v>420</v>
      </c>
      <c r="C7" s="30" t="s">
        <v>633</v>
      </c>
      <c r="D7" s="30" t="s">
        <v>49</v>
      </c>
      <c r="E7" s="30" t="s">
        <v>185</v>
      </c>
      <c r="F7" s="42">
        <v>0</v>
      </c>
      <c r="G7" s="42">
        <v>209</v>
      </c>
      <c r="H7" s="42">
        <v>27019</v>
      </c>
      <c r="I7" s="42">
        <v>27198</v>
      </c>
      <c r="J7" s="30" t="s">
        <v>186</v>
      </c>
      <c r="K7" s="42">
        <v>27053</v>
      </c>
      <c r="L7" s="131" t="s">
        <v>50</v>
      </c>
      <c r="M7" s="132">
        <f t="shared" ref="M7:M34" si="0">CONVERT((I7-K7)/10000,"mi","ft")*IF(L7="Increasing Mileposts (1)",-1,1)</f>
        <v>-76.56</v>
      </c>
      <c r="N7" s="133" t="str">
        <f>VLOOKUP(C7,'Trips&amp;Operators'!$C$1:$G$99911,5,FALSE)</f>
        <v>BERLING GARY</v>
      </c>
      <c r="O7" s="176" t="s">
        <v>178</v>
      </c>
      <c r="P7" s="134" t="s">
        <v>353</v>
      </c>
      <c r="Q7" s="30"/>
      <c r="R7" s="81" t="str">
        <f>VLOOKUP(C7,'Train Runs'!$A$13:$AE$10081,31,0)</f>
        <v>aws s3 cp s3://rtdc.mdm.uploadarchive.raw/RTDC4032/ "%USERPROFILE%\AppData\Local\Temp\OnboardLogs"\RTDC4032\2017-10-28 --exclude "*" --recursive --include "*20171028*" &amp; "%USERPROFILE%\Documents\GitHub\mrs-test-scripts\Headless Mode &amp; Sideloading\WalkAndUnGZ.bat" "%USERPROFILE%\AppData\Local\Temp\OnboardLogs"\RTDC4032\2017-10-28 &amp; aws s3 cp s3://rtdc.mdm.uploadarchive.raw/RTDC4032/ "%USERPROFILE%\AppData\Local\Temp\OnboardLogs"\RTDC4032\2017-10-29 --exclude "*" --recursive --include "*20171029*" &amp; "%USERPROFILE%\Documents\GitHub\mrs-test-scripts\Headless Mode &amp; Sideloading\WalkAndUnGZ.bat" "%USERPROFILE%\AppData\Local\Temp\OnboardLogs"\RTDC4032\2017-10-29</v>
      </c>
      <c r="S7" s="84" t="str">
        <f>VLOOKUP(C7,'Train Runs'!$A$13:$AE$10081,22,0)</f>
        <v>https://d0f6bd738d7f1b3e5a7ca70fe4ff75f0.us-east-1.aws.found.io/app/kibana#/discover/Steve-Slow-Train-Analysis-(2080s-and-2083s)?_g=(refreshInterval:(display:Off,pause:!f,section:0,value:0),time:(from:'2017-10-28T16:23:26-0600',mode:absolute,to:'2017-10-28T19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86" t="str">
        <f t="shared" ref="T7:T3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/stypes="*4032*201710282*" /stext=" 23:.+((SYSTEM_STATE.+slice.+state.+changed )|(ment ac)|(multiple cpu faults)|(system.+state.+changed )|(\[timeout)|(PRM\|1\|D)|(kpr)|(kdp)|(train st.+moving)|(\|lc)|(penalty))"</v>
      </c>
      <c r="U7" s="9" t="str">
        <f t="shared" ref="U7:U34" si="2">MID(B7,13,4)</f>
        <v>4032</v>
      </c>
      <c r="V7" s="31">
        <f t="shared" ref="V7:V34" si="3">A7-utc_offset/24</f>
        <v>43036.983865740738</v>
      </c>
      <c r="W7" s="45" t="str">
        <f t="shared" ref="W7:W34" si="4">DetSubdiv(C7)</f>
        <v>EC</v>
      </c>
      <c r="X7" s="22">
        <f t="shared" ref="X7:X34" si="5">VALUE(LEFT(C7,LEN(C7)-3))</f>
        <v>211</v>
      </c>
      <c r="Y7" s="96" t="str">
        <f t="shared" ref="Y7:Y3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Arrival","project_id":79,"tracker_id":40,"status_id":1,"priority_id":2,"assigned_to_id":338,"start_date":"2017-10-28","description":"","custom_fields":[{"id":1,"name":"Subdivision","value":"EC"},{"id":4,"name":"Milepost","value":"2.7053"},{"id":17,"name":"Train ID","value":"211-28"},{"id":16,"name":"Locomotive ID","value":"4032"},{"id":130,"name":"Impact","value":""},{"id":150,"name":"Time of Event (Mountain Time)","value":"17:36:46"},{"id":151,"name":"Denver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4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/c/Users/stu/AppData/Local/Temp/OnboardLogs/RTDC4032 --include="*4032*201710282*"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"%USERPROFILE%\AppData\Local\Temp\OnboardLogs"\RTDC4032\*4032*201710282* &gt;&gt; 2017-10-28-SliceDisagreementCheck.txt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4032 --day 2017-10-28</v>
      </c>
    </row>
    <row r="8" spans="1:32" s="1" customFormat="1" x14ac:dyDescent="0.3">
      <c r="A8" s="31">
        <v>43036.587719907409</v>
      </c>
      <c r="B8" s="30" t="s">
        <v>629</v>
      </c>
      <c r="C8" s="30" t="s">
        <v>630</v>
      </c>
      <c r="D8" s="30" t="s">
        <v>49</v>
      </c>
      <c r="E8" s="30" t="s">
        <v>185</v>
      </c>
      <c r="F8" s="42">
        <v>140</v>
      </c>
      <c r="G8" s="42">
        <v>195</v>
      </c>
      <c r="H8" s="42">
        <v>63699</v>
      </c>
      <c r="I8" s="42">
        <v>63428</v>
      </c>
      <c r="J8" s="30" t="s">
        <v>186</v>
      </c>
      <c r="K8" s="42">
        <v>63309</v>
      </c>
      <c r="L8" s="131" t="s">
        <v>51</v>
      </c>
      <c r="M8" s="132">
        <f t="shared" si="0"/>
        <v>62.832000000000001</v>
      </c>
      <c r="N8" s="133" t="str">
        <f>VLOOKUP(C8,'Trips&amp;Operators'!$C$1:$G$99911,5,FALSE)</f>
        <v>HOLCOMB KAMDEN</v>
      </c>
      <c r="O8" s="176" t="s">
        <v>178</v>
      </c>
      <c r="P8" s="134" t="s">
        <v>353</v>
      </c>
      <c r="Q8" s="30"/>
      <c r="R8" s="81" t="str">
        <f>VLOOKUP(C8,'Train Runs'!$A$13:$AE$10081,31,0)</f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S8" s="84" t="str">
        <f>VLOOKUP(C8,'Train Runs'!$A$13:$AE$10081,22,0)</f>
        <v>https://d0f6bd738d7f1b3e5a7ca70fe4ff75f0.us-east-1.aws.found.io/app/kibana#/discover/Steve-Slow-Train-Analysis-(2080s-and-2083s)?_g=(refreshInterval:(display:Off,pause:!f,section:0,value:0),time:(from:'2017-10-28T12:37:38-0600',mode:absolute,to:'2017-10-28T15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8" s="86" t="str">
        <f t="shared" si="1"/>
        <v>"C:\Program Files (x86)\AstroGrep\AstroGrep.exe" /e /r /s /spath="%USERPROFILE%\AppData\Local\Temp\OnboardLogs" /stypes="*4063*201710282*"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4063</v>
      </c>
      <c r="V8" s="31">
        <f t="shared" si="3"/>
        <v>43036.837719907409</v>
      </c>
      <c r="W8" s="45" t="str">
        <f t="shared" si="4"/>
        <v>EC</v>
      </c>
      <c r="X8" s="22">
        <f t="shared" si="5"/>
        <v>174</v>
      </c>
      <c r="Y8" s="96" t="str">
        <f t="shared" si="6"/>
        <v>echo {"issue":{"subject":"Early Arrival","project_id":79,"tracker_id":40,"status_id":1,"priority_id":2,"assigned_to_id":338,"start_date":"2017-10-28","description":"","custom_fields":[{"id":1,"name":"Subdivision","value":"EC"},{"id":4,"name":"Milepost","value":"6.3309"},{"id":17,"name":"Train ID","value":"174-28"},{"id":16,"name":"Locomotive ID","value":"4063"},{"id":130,"name":"Impact","value":""},{"id":150,"name":"Time of Event (Mountain Time)","value":"14:06:19"},{"id":151,"name":"Denver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/c/Users/stu/AppData/Local/Temp/OnboardLogs/RTDC4063 --include="*4063*201710282*"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"%USERPROFILE%\AppData\Local\Temp\OnboardLogs"\RTDC4063\*4063*201710282* &gt;&gt; 2017-10-28-SliceDisagreementCheck.txt</v>
      </c>
      <c r="AE8" s="145" t="str">
        <f t="shared" ref="AE8:AE34" si="9">"start /low /b "&amp;dls3logs&amp;" --loco "&amp;U8&amp;" --day "&amp;TEXT(V8,"YYYY-MM-DD")</f>
        <v>start /low /b %USERPROFILE%\Documents\GitHub\eaglep3\Utilities\DownloadLogsFromS3.py --loco 4063 --day 2017-10-28</v>
      </c>
    </row>
    <row r="9" spans="1:32" s="1" customFormat="1" x14ac:dyDescent="0.3">
      <c r="A9" s="31">
        <v>43036.19253472222</v>
      </c>
      <c r="B9" s="30" t="s">
        <v>401</v>
      </c>
      <c r="C9" s="30" t="s">
        <v>615</v>
      </c>
      <c r="D9" s="30" t="s">
        <v>49</v>
      </c>
      <c r="E9" s="30" t="s">
        <v>185</v>
      </c>
      <c r="F9" s="42">
        <v>0</v>
      </c>
      <c r="G9" s="42">
        <v>605</v>
      </c>
      <c r="H9" s="42">
        <v>107908</v>
      </c>
      <c r="I9" s="42">
        <v>110406</v>
      </c>
      <c r="J9" s="30" t="s">
        <v>186</v>
      </c>
      <c r="K9" s="42">
        <v>108954</v>
      </c>
      <c r="L9" s="131" t="s">
        <v>50</v>
      </c>
      <c r="M9" s="132">
        <f t="shared" si="0"/>
        <v>-766.65599999999995</v>
      </c>
      <c r="N9" s="133" t="str">
        <f>VLOOKUP(C9,'Trips&amp;Operators'!$C$1:$G$99911,5,FALSE)</f>
        <v>DAVIS WENDY</v>
      </c>
      <c r="O9" s="176" t="s">
        <v>178</v>
      </c>
      <c r="P9" s="134" t="s">
        <v>1111</v>
      </c>
      <c r="Q9" s="30"/>
      <c r="R9" s="81" t="str">
        <f>VLOOKUP(C9,'Train Runs'!$A$13:$AE$10081,31,0)</f>
        <v>aws s3 cp s3://rtdc.mdm.uploadarchive.raw/RTDC4044/ "%USERPROFILE%\AppData\Local\Temp\OnboardLogs"\RTDC4044\2017-10-28 --exclude "*" --recursive --include "*20171028*" &amp; "%USERPROFILE%\Documents\GitHub\mrs-test-scripts\Headless Mode &amp; Sideloading\WalkAndUnGZ.bat" "%USERPROFILE%\AppData\Local\Temp\OnboardLogs"\RTDC4044\2017-10-28 &amp; aws s3 cp s3://rtdc.mdm.uploadarchive.raw/RTDC4044/ "%USERPROFILE%\AppData\Local\Temp\OnboardLogs"\RTDC4044\2017-10-29 --exclude "*" --recursive --include "*20171029*" &amp; "%USERPROFILE%\Documents\GitHub\mrs-test-scripts\Headless Mode &amp; Sideloading\WalkAndUnGZ.bat" "%USERPROFILE%\AppData\Local\Temp\OnboardLogs"\RTDC4044\2017-10-29</v>
      </c>
      <c r="S9" s="84" t="str">
        <f>VLOOKUP(C9,'Train Runs'!$A$13:$AE$10081,22,0)</f>
        <v>https://d0f6bd738d7f1b3e5a7ca70fe4ff75f0.us-east-1.aws.found.io/app/kibana#/discover/Steve-Slow-Train-Analysis-(2080s-and-2083s)?_g=(refreshInterval:(display:Off,pause:!f,section:0,value:0),time:(from:'2017-10-28T03:07:09-0600',mode:absolute,to:'2017-10-28T05:41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9" s="86" t="str">
        <f t="shared" si="1"/>
        <v>"C:\Program Files (x86)\AstroGrep\AstroGrep.exe" /e /r /s /spath="%USERPROFILE%\AppData\Local\Temp\OnboardLogs" /stypes="*4044*201710281*" /stext=" 10:.+((SYSTEM_STATE.+slice.+state.+changed )|(ment ac)|(multiple cpu faults)|(system.+state.+changed )|(\[timeout)|(PRM\|1\|D)|(kpr)|(kdp)|(train st.+moving)|(\|lc)|(penalty))"</v>
      </c>
      <c r="U9" s="9" t="str">
        <f t="shared" si="2"/>
        <v>4044</v>
      </c>
      <c r="V9" s="31">
        <f t="shared" si="3"/>
        <v>43036.44253472222</v>
      </c>
      <c r="W9" s="45" t="str">
        <f t="shared" si="4"/>
        <v>EC</v>
      </c>
      <c r="X9" s="22">
        <f t="shared" si="5"/>
        <v>105</v>
      </c>
      <c r="Y9" s="96" t="str">
        <f t="shared" si="6"/>
        <v>echo {"issue":{"subject":"Early Arrival, no unhealthy banner found","project_id":79,"tracker_id":40,"status_id":1,"priority_id":2,"assigned_to_id":338,"start_date":"2017-10-28","description":"","custom_fields":[{"id":1,"name":"Subdivision","value":"EC"},{"id":4,"name":"Milepost","value":"10.8954"},{"id":17,"name":"Train ID","value":"105-28"},{"id":16,"name":"Locomotive ID","value":"4044"},{"id":130,"name":"Impact","value":""},{"id":150,"name":"Time of Event (Mountain Time)","value":"04:37:15"},{"id":151,"name":"Denver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/c/Users/stu/AppData/Local/Temp/OnboardLogs/RTDC4044 --include="*4044*201710281*"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"%USERPROFILE%\AppData\Local\Temp\OnboardLogs"\RTDC4044\*4044*201710281* &gt;&gt; 2017-10-28-SliceDisagreementCheck.txt</v>
      </c>
      <c r="AE9" s="145" t="str">
        <f t="shared" si="9"/>
        <v>start /low /b %USERPROFILE%\Documents\GitHub\eaglep3\Utilities\DownloadLogsFromS3.py --loco 4044 --day 2017-10-28</v>
      </c>
    </row>
    <row r="10" spans="1:32" s="1" customFormat="1" x14ac:dyDescent="0.3">
      <c r="A10" s="31">
        <v>43036.910127314812</v>
      </c>
      <c r="B10" s="30" t="s">
        <v>412</v>
      </c>
      <c r="C10" s="30" t="s">
        <v>635</v>
      </c>
      <c r="D10" s="30" t="s">
        <v>49</v>
      </c>
      <c r="E10" s="30" t="s">
        <v>185</v>
      </c>
      <c r="F10" s="42">
        <v>720</v>
      </c>
      <c r="G10" s="42">
        <v>792</v>
      </c>
      <c r="H10" s="42">
        <v>106498</v>
      </c>
      <c r="I10" s="42">
        <v>110388</v>
      </c>
      <c r="J10" s="30" t="s">
        <v>186</v>
      </c>
      <c r="K10" s="42">
        <v>108954</v>
      </c>
      <c r="L10" s="131" t="s">
        <v>50</v>
      </c>
      <c r="M10" s="132">
        <f t="shared" si="0"/>
        <v>-757.15200000000004</v>
      </c>
      <c r="N10" s="133" t="str">
        <f>VLOOKUP(C10,'Trips&amp;Operators'!$C$1:$G$99911,5,FALSE)</f>
        <v>FORTUNATO FRANK</v>
      </c>
      <c r="O10" s="176" t="s">
        <v>178</v>
      </c>
      <c r="P10" s="134" t="s">
        <v>353</v>
      </c>
      <c r="Q10" s="30"/>
      <c r="R10" s="81" t="str">
        <f>VLOOKUP(C10,'Train Runs'!$A$13:$AE$10081,31,0)</f>
        <v>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 &amp; aws s3 cp s3://rtdc.mdm.uploadarchive.raw/RTDC4024/ "%USERPROFILE%\AppData\Local\Temp\OnboardLogs"\RTDC4024\2017-10-29 --exclude "*" --recursive --include "*20171029*" &amp; "%USERPROFILE%\Documents\GitHub\mrs-test-scripts\Headless Mode &amp; Sideloading\WalkAndUnGZ.bat" "%USERPROFILE%\AppData\Local\Temp\OnboardLogs"\RTDC4024\2017-10-29</v>
      </c>
      <c r="S10" s="84" t="str">
        <f>VLOOKUP(C10,'Train Runs'!$A$13:$AE$10081,22,0)</f>
        <v>https://d0f6bd738d7f1b3e5a7ca70fe4ff75f0.us-east-1.aws.found.io/app/kibana#/discover/Steve-Slow-Train-Analysis-(2080s-and-2083s)?_g=(refreshInterval:(display:Off,pause:!f,section:0,value:0),time:(from:'2017-10-28T20:07:21-0600',mode:absolute,to:'2017-10-28T23:10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0" s="86" t="str">
        <f t="shared" si="1"/>
        <v>"C:\Program Files (x86)\AstroGrep\AstroGrep.exe" /e /r /s /spath="%USERPROFILE%\AppData\Local\Temp\OnboardLogs" /stypes="*4024*201710290*" /stext=" 03:.+((SYSTEM_STATE.+slice.+state.+changed )|(ment ac)|(multiple cpu faults)|(system.+state.+changed )|(\[timeout)|(PRM\|1\|D)|(kpr)|(kdp)|(train st.+moving)|(\|lc)|(penalty))"</v>
      </c>
      <c r="U10" s="9" t="str">
        <f t="shared" si="2"/>
        <v>4024</v>
      </c>
      <c r="V10" s="31">
        <f t="shared" si="3"/>
        <v>43037.160127314812</v>
      </c>
      <c r="W10" s="45" t="str">
        <f t="shared" si="4"/>
        <v>EC</v>
      </c>
      <c r="X10" s="22">
        <f t="shared" si="5"/>
        <v>231</v>
      </c>
      <c r="Y10" s="96" t="str">
        <f t="shared" si="6"/>
        <v>echo {"issue":{"subject":"Early Arrival","project_id":79,"tracker_id":40,"status_id":1,"priority_id":2,"assigned_to_id":338,"start_date":"2017-10-28","description":"","custom_fields":[{"id":1,"name":"Subdivision","value":"EC"},{"id":4,"name":"Milepost","value":"10.8954"},{"id":17,"name":"Train ID","value":"231-28"},{"id":16,"name":"Locomotive ID","value":"4024"},{"id":130,"name":"Impact","value":""},{"id":150,"name":"Time of Event (Mountain Time)","value":"21:50:35"},{"id":151,"name":"Denver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/c/Users/stu/AppData/Local/Temp/OnboardLogs/RTDC4024 --include="*4024*201710290*"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"%USERPROFILE%\AppData\Local\Temp\OnboardLogs"\RTDC4024\*4024*201710290* &gt;&gt; 2017-10-28-SliceDisagreementCheck.txt</v>
      </c>
      <c r="AE10" s="145" t="str">
        <f t="shared" si="9"/>
        <v>start /low /b %USERPROFILE%\Documents\GitHub\eaglep3\Utilities\DownloadLogsFromS3.py --loco 4024 --day 2017-10-29</v>
      </c>
    </row>
    <row r="11" spans="1:32" s="1" customFormat="1" x14ac:dyDescent="0.3">
      <c r="A11" s="31">
        <v>43036.200150462966</v>
      </c>
      <c r="B11" s="30" t="s">
        <v>385</v>
      </c>
      <c r="C11" s="30" t="s">
        <v>616</v>
      </c>
      <c r="D11" s="30" t="s">
        <v>49</v>
      </c>
      <c r="E11" s="30" t="s">
        <v>192</v>
      </c>
      <c r="F11" s="42">
        <v>450</v>
      </c>
      <c r="G11" s="42">
        <v>502</v>
      </c>
      <c r="H11" s="42">
        <v>17339</v>
      </c>
      <c r="I11" s="42">
        <v>14117</v>
      </c>
      <c r="J11" s="30" t="s">
        <v>193</v>
      </c>
      <c r="K11" s="42">
        <v>15167</v>
      </c>
      <c r="L11" s="131" t="s">
        <v>51</v>
      </c>
      <c r="M11" s="132">
        <f t="shared" si="0"/>
        <v>-554.4</v>
      </c>
      <c r="N11" s="133" t="str">
        <f>VLOOKUP(C11,'Trips&amp;Operators'!$C$1:$G$99911,5,FALSE)</f>
        <v>THOMPSON LESTER</v>
      </c>
      <c r="O11" s="176" t="s">
        <v>178</v>
      </c>
      <c r="P11" s="134"/>
      <c r="Q11" s="30"/>
      <c r="R11" s="81" t="str">
        <f>VLOOKUP(C11,'Train Runs'!$A$13:$AE$10081,31,0)</f>
        <v>aws s3 cp s3://rtdc.mdm.uploadarchive.raw/RTDC4059/ "%USERPROFILE%\AppData\Local\Temp\OnboardLogs"\RTDC4059\2017-10-28 --exclude "*" --recursive --include "*20171028*" &amp; "%USERPROFILE%\Documents\GitHub\mrs-test-scripts\Headless Mode &amp; Sideloading\WalkAndUnGZ.bat" "%USERPROFILE%\AppData\Local\Temp\OnboardLogs"\RTDC4059\2017-10-28 &amp; 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</v>
      </c>
      <c r="S11" s="84" t="str">
        <f>VLOOKUP(C11,'Train Runs'!$A$13:$AE$10081,22,0)</f>
        <v>https://d0f6bd738d7f1b3e5a7ca70fe4ff75f0.us-east-1.aws.found.io/app/kibana#/discover/Steve-Slow-Train-Analysis-(2080s-and-2083s)?_g=(refreshInterval:(display:Off,pause:!f,section:0,value:0),time:(from:'2017-10-28T03:08:26-0600',mode:absolute,to:'2017-10-28T05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1" s="86" t="str">
        <f t="shared" si="1"/>
        <v>"C:\Program Files (x86)\AstroGrep\AstroGrep.exe" /e /r /s /spath="%USERPROFILE%\AppData\Local\Temp\OnboardLogs" /stypes="*4059*201710281*" /stext=" 10:.+((SYSTEM_STATE.+slice.+state.+changed )|(ment ac)|(multiple cpu faults)|(system.+state.+changed )|(\[timeout)|(PRM\|1\|D)|(kpr)|(kdp)|(train st.+moving)|(\|lc)|(penalty))"</v>
      </c>
      <c r="U11" s="9" t="str">
        <f t="shared" si="2"/>
        <v>4059</v>
      </c>
      <c r="V11" s="31">
        <f t="shared" si="3"/>
        <v>43036.450150462966</v>
      </c>
      <c r="W11" s="45" t="str">
        <f t="shared" si="4"/>
        <v>EC</v>
      </c>
      <c r="X11" s="22">
        <f t="shared" si="5"/>
        <v>102</v>
      </c>
      <c r="Y11" s="96" t="str">
        <f t="shared" si="6"/>
        <v>echo {"issue":{"subject":"","project_id":79,"tracker_id":40,"status_id":1,"priority_id":2,"assigned_to_id":338,"start_date":"2017-10-28","description":"","custom_fields":[{"id":1,"name":"Subdivision","value":"EC"},{"id":4,"name":"Milepost","value":"1.5167"},{"id":17,"name":"Train ID","value":"102-28"},{"id":16,"name":"Locomotive ID","value":"4059"},{"id":130,"name":"Impact","value":""},{"id":150,"name":"Time of Event (Mountain Time)","value":"04:48:13"},{"id":151,"name":"Denver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/c/Users/stu/AppData/Local/Temp/OnboardLogs/RTDC4059 --include="*4059*201710281*"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"%USERPROFILE%\AppData\Local\Temp\OnboardLogs"\RTDC4059\*4059*201710281* &gt;&gt; 2017-10-28-SliceDisagreementCheck.txt</v>
      </c>
      <c r="AE11" s="145" t="str">
        <f t="shared" si="9"/>
        <v>start /low /b %USERPROFILE%\Documents\GitHub\eaglep3\Utilities\DownloadLogsFromS3.py --loco 4059 --day 2017-10-28</v>
      </c>
    </row>
    <row r="12" spans="1:32" x14ac:dyDescent="0.3">
      <c r="A12" s="31">
        <v>43036.5940625</v>
      </c>
      <c r="B12" s="30" t="s">
        <v>629</v>
      </c>
      <c r="C12" s="30" t="s">
        <v>630</v>
      </c>
      <c r="D12" s="30" t="s">
        <v>49</v>
      </c>
      <c r="E12" s="30" t="s">
        <v>192</v>
      </c>
      <c r="F12" s="42">
        <v>300</v>
      </c>
      <c r="G12" s="42">
        <v>491</v>
      </c>
      <c r="H12" s="42">
        <v>24827</v>
      </c>
      <c r="I12" s="42">
        <v>23339</v>
      </c>
      <c r="J12" s="30" t="s">
        <v>193</v>
      </c>
      <c r="K12" s="42">
        <v>21848</v>
      </c>
      <c r="L12" s="131" t="s">
        <v>51</v>
      </c>
      <c r="M12" s="132">
        <f t="shared" si="0"/>
        <v>787.24800000000005</v>
      </c>
      <c r="N12" s="133" t="str">
        <f>VLOOKUP(C12,'Trips&amp;Operators'!$C$1:$G$99911,5,FALSE)</f>
        <v>HOLCOMB KAMDEN</v>
      </c>
      <c r="O12" s="176" t="s">
        <v>178</v>
      </c>
      <c r="P12" s="134"/>
      <c r="Q12" s="30"/>
      <c r="R12" s="81" t="str">
        <f>VLOOKUP(C12,'Train Runs'!$A$13:$AE$10081,31,0)</f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S12" s="84" t="str">
        <f>VLOOKUP(C12,'Train Runs'!$A$13:$AE$10081,22,0)</f>
        <v>https://d0f6bd738d7f1b3e5a7ca70fe4ff75f0.us-east-1.aws.found.io/app/kibana#/discover/Steve-Slow-Train-Analysis-(2080s-and-2083s)?_g=(refreshInterval:(display:Off,pause:!f,section:0,value:0),time:(from:'2017-10-28T12:37:38-0600',mode:absolute,to:'2017-10-28T15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2" s="86" t="str">
        <f t="shared" si="1"/>
        <v>"C:\Program Files (x86)\AstroGrep\AstroGrep.exe" /e /r /s /spath="%USERPROFILE%\AppData\Local\Temp\OnboardLogs" /stypes="*4063*201710282*"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4063</v>
      </c>
      <c r="V12" s="31">
        <f t="shared" si="3"/>
        <v>43036.8440625</v>
      </c>
      <c r="W12" s="45" t="str">
        <f t="shared" si="4"/>
        <v>EC</v>
      </c>
      <c r="X12" s="22">
        <f t="shared" si="5"/>
        <v>174</v>
      </c>
      <c r="Y12" s="96" t="str">
        <f t="shared" si="6"/>
        <v>echo {"issue":{"subject":"","project_id":79,"tracker_id":40,"status_id":1,"priority_id":2,"assigned_to_id":338,"start_date":"2017-10-28","description":"","custom_fields":[{"id":1,"name":"Subdivision","value":"EC"},{"id":4,"name":"Milepost","value":"2.1848"},{"id":17,"name":"Train ID","value":"174-28"},{"id":16,"name":"Locomotive ID","value":"4063"},{"id":130,"name":"Impact","value":""},{"id":150,"name":"Time of Event (Mountain Time)","value":"14:15:27"},{"id":151,"name":"Denver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/c/Users/stu/AppData/Local/Temp/OnboardLogs/RTDC4063 --include="*4063*201710282*"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"%USERPROFILE%\AppData\Local\Temp\OnboardLogs"\RTDC4063\*4063*201710282* &gt;&gt; 2017-10-28-SliceDisagreementCheck.txt</v>
      </c>
      <c r="AE12" s="145" t="str">
        <f t="shared" si="9"/>
        <v>start /low /b %USERPROFILE%\Documents\GitHub\eaglep3\Utilities\DownloadLogsFromS3.py --loco 4063 --day 2017-10-28</v>
      </c>
      <c r="AF12" s="1"/>
    </row>
    <row r="13" spans="1:32" x14ac:dyDescent="0.3">
      <c r="A13" s="31">
        <v>43036.223692129628</v>
      </c>
      <c r="B13" s="30" t="s">
        <v>384</v>
      </c>
      <c r="C13" s="30" t="s">
        <v>620</v>
      </c>
      <c r="D13" s="30" t="s">
        <v>49</v>
      </c>
      <c r="E13" s="30" t="s">
        <v>192</v>
      </c>
      <c r="F13" s="42">
        <v>400</v>
      </c>
      <c r="G13" s="42">
        <v>547</v>
      </c>
      <c r="H13" s="42">
        <v>115180</v>
      </c>
      <c r="I13" s="42">
        <v>117059</v>
      </c>
      <c r="J13" s="30" t="s">
        <v>193</v>
      </c>
      <c r="K13" s="42">
        <v>116838</v>
      </c>
      <c r="L13" s="131" t="s">
        <v>50</v>
      </c>
      <c r="M13" s="132">
        <f t="shared" si="0"/>
        <v>-116.688</v>
      </c>
      <c r="N13" s="133" t="str">
        <f>VLOOKUP(C13,'Trips&amp;Operators'!$C$1:$G$99911,5,FALSE)</f>
        <v>THOMPSON LESTER</v>
      </c>
      <c r="O13" s="176" t="s">
        <v>178</v>
      </c>
      <c r="P13" s="134"/>
      <c r="Q13" s="30"/>
      <c r="R13" s="81" t="str">
        <f>VLOOKUP(C13,'Train Runs'!$A$13:$AE$10081,31,0)</f>
        <v>aws s3 cp s3://rtdc.mdm.uploadarchive.raw/RTDC4060/ "%USERPROFILE%\AppData\Local\Temp\OnboardLogs"\RTDC4060\2017-10-28 --exclude "*" --recursive --include "*20171028*" &amp; "%USERPROFILE%\Documents\GitHub\mrs-test-scripts\Headless Mode &amp; Sideloading\WalkAndUnGZ.bat" "%USERPROFILE%\AppData\Local\Temp\OnboardLogs"\RTDC4060\2017-10-28 &amp; 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</v>
      </c>
      <c r="S13" s="84" t="str">
        <f>VLOOKUP(C13,'Train Runs'!$A$13:$AE$10081,22,0)</f>
        <v>https://d0f6bd738d7f1b3e5a7ca70fe4ff75f0.us-east-1.aws.found.io/app/kibana#/discover/Steve-Slow-Train-Analysis-(2080s-and-2083s)?_g=(refreshInterval:(display:Off,pause:!f,section:0,value:0),time:(from:'2017-10-28T03:56:44-0600',mode:absolute,to:'2017-10-28T06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3" s="86" t="str">
        <f t="shared" si="1"/>
        <v>"C:\Program Files (x86)\AstroGrep\AstroGrep.exe" /e /r /s /spath="%USERPROFILE%\AppData\Local\Temp\OnboardLogs" /stypes="*4060*201710281*" /stext=" 11:.+((SYSTEM_STATE.+slice.+state.+changed )|(ment ac)|(multiple cpu faults)|(system.+state.+changed )|(\[timeout)|(PRM\|1\|D)|(kpr)|(kdp)|(train st.+moving)|(\|lc)|(penalty))"</v>
      </c>
      <c r="U13" s="9" t="str">
        <f t="shared" si="2"/>
        <v>4060</v>
      </c>
      <c r="V13" s="31">
        <f t="shared" si="3"/>
        <v>43036.473692129628</v>
      </c>
      <c r="W13" s="45" t="str">
        <f t="shared" si="4"/>
        <v>EC</v>
      </c>
      <c r="X13" s="22">
        <f t="shared" si="5"/>
        <v>111</v>
      </c>
      <c r="Y13" s="96" t="str">
        <f t="shared" si="6"/>
        <v>echo {"issue":{"subject":"","project_id":79,"tracker_id":40,"status_id":1,"priority_id":2,"assigned_to_id":338,"start_date":"2017-10-28","description":"","custom_fields":[{"id":1,"name":"Subdivision","value":"EC"},{"id":4,"name":"Milepost","value":"11.6838"},{"id":17,"name":"Train ID","value":"111-28"},{"id":16,"name":"Locomotive ID","value":"4060"},{"id":130,"name":"Impact","value":""},{"id":150,"name":"Time of Event (Mountain Time)","value":"05:22:07"},{"id":151,"name":"Denver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/c/Users/stu/AppData/Local/Temp/OnboardLogs/RTDC4060 --include="*4060*201710281*"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"%USERPROFILE%\AppData\Local\Temp\OnboardLogs"\RTDC4060\*4060*201710281* &gt;&gt; 2017-10-28-SliceDisagreementCheck.txt</v>
      </c>
      <c r="AE13" s="145" t="str">
        <f t="shared" si="9"/>
        <v>start /low /b %USERPROFILE%\Documents\GitHub\eaglep3\Utilities\DownloadLogsFromS3.py --loco 4060 --day 2017-10-28</v>
      </c>
      <c r="AF13" s="1"/>
    </row>
    <row r="14" spans="1:32" x14ac:dyDescent="0.3">
      <c r="A14" s="31">
        <v>43036.958865740744</v>
      </c>
      <c r="B14" s="30" t="s">
        <v>639</v>
      </c>
      <c r="C14" s="30" t="s">
        <v>640</v>
      </c>
      <c r="D14" s="30" t="s">
        <v>49</v>
      </c>
      <c r="E14" s="30" t="s">
        <v>192</v>
      </c>
      <c r="F14" s="42">
        <v>600</v>
      </c>
      <c r="G14" s="42">
        <v>698</v>
      </c>
      <c r="H14" s="42">
        <v>181626</v>
      </c>
      <c r="I14" s="42">
        <v>184519</v>
      </c>
      <c r="J14" s="30" t="s">
        <v>193</v>
      </c>
      <c r="K14" s="42">
        <v>183829</v>
      </c>
      <c r="L14" s="131" t="s">
        <v>50</v>
      </c>
      <c r="M14" s="132">
        <f t="shared" si="0"/>
        <v>-364.32</v>
      </c>
      <c r="N14" s="133" t="str">
        <f>VLOOKUP(C14,'Trips&amp;Operators'!$C$1:$G$99911,5,FALSE)</f>
        <v>NICHOLSON WESLEY</v>
      </c>
      <c r="O14" s="176" t="s">
        <v>178</v>
      </c>
      <c r="P14" s="134"/>
      <c r="Q14" s="30"/>
      <c r="R14" s="81" t="str">
        <f>VLOOKUP(C14,'Train Runs'!$A$13:$AE$10081,31,0)</f>
        <v>aws s3 cp s3://rtdc.mdm.uploadarchive.raw/RTDC4004/ "%USERPROFILE%\AppData\Local\Temp\OnboardLogs"\RTDC4004\2017-10-28 --exclude "*" --recursive --include "*20171028*" &amp; "%USERPROFILE%\Documents\GitHub\mrs-test-scripts\Headless Mode &amp; Sideloading\WalkAndUnGZ.bat" "%USERPROFILE%\AppData\Local\Temp\OnboardLogs"\RTDC4004\2017-10-28 &amp; aws s3 cp s3://rtdc.mdm.uploadarchive.raw/RTDC4004/ "%USERPROFILE%\AppData\Local\Temp\OnboardLogs"\RTDC4004\2017-10-29 --exclude "*" --recursive --include "*20171029*" &amp; "%USERPROFILE%\Documents\GitHub\mrs-test-scripts\Headless Mode &amp; Sideloading\WalkAndUnGZ.bat" "%USERPROFILE%\AppData\Local\Temp\OnboardLogs"\RTDC4004\2017-10-29</v>
      </c>
      <c r="S14" s="84" t="str">
        <f>VLOOKUP(C14,'Train Runs'!$A$13:$AE$10081,22,0)</f>
        <v>https://d0f6bd738d7f1b3e5a7ca70fe4ff75f0.us-east-1.aws.found.io/app/kibana#/discover/Steve-Slow-Train-Analysis-(2080s-and-2083s)?_g=(refreshInterval:(display:Off,pause:!f,section:0,value:0),time:(from:'2017-10-28T21:21:55-0600',mode:absolute,to:'2017-10-29T00:11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4" s="86" t="str">
        <f t="shared" si="1"/>
        <v>"C:\Program Files (x86)\AstroGrep\AstroGrep.exe" /e /r /s /spath="%USERPROFILE%\AppData\Local\Temp\OnboardLogs" /stypes="*4004*201710290*"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4004</v>
      </c>
      <c r="V14" s="31">
        <f t="shared" si="3"/>
        <v>43037.208865740744</v>
      </c>
      <c r="W14" s="45" t="str">
        <f t="shared" si="4"/>
        <v>EC</v>
      </c>
      <c r="X14" s="22">
        <f t="shared" si="5"/>
        <v>235</v>
      </c>
      <c r="Y14" s="96" t="str">
        <f t="shared" si="6"/>
        <v>echo {"issue":{"subject":"","project_id":79,"tracker_id":40,"status_id":1,"priority_id":2,"assigned_to_id":338,"start_date":"2017-10-28","description":"","custom_fields":[{"id":1,"name":"Subdivision","value":"EC"},{"id":4,"name":"Milepost","value":"18.3829"},{"id":17,"name":"Train ID","value":"235-28"},{"id":16,"name":"Locomotive ID","value":"4004"},{"id":130,"name":"Impact","value":""},{"id":150,"name":"Time of Event (Mountain Time)","value":"23:00:46"},{"id":151,"name":"Denver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/c/Users/stu/AppData/Local/Temp/OnboardLogs/RTDC4004 --include="*4004*201710290*"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"%USERPROFILE%\AppData\Local\Temp\OnboardLogs"\RTDC4004\*4004*201710290* &gt;&gt; 2017-10-28-SliceDisagreementCheck.txt</v>
      </c>
      <c r="AE14" s="145" t="str">
        <f t="shared" si="9"/>
        <v>start /low /b %USERPROFILE%\Documents\GitHub\eaglep3\Utilities\DownloadLogsFromS3.py --loco 4004 --day 2017-10-29</v>
      </c>
      <c r="AF14" s="1"/>
    </row>
    <row r="15" spans="1:32" x14ac:dyDescent="0.3">
      <c r="A15" s="31">
        <v>43036.644861111112</v>
      </c>
      <c r="B15" s="30" t="s">
        <v>629</v>
      </c>
      <c r="C15" s="30" t="s">
        <v>632</v>
      </c>
      <c r="D15" s="30" t="s">
        <v>95</v>
      </c>
      <c r="E15" s="30" t="s">
        <v>192</v>
      </c>
      <c r="F15" s="42">
        <v>350</v>
      </c>
      <c r="G15" s="42">
        <v>406</v>
      </c>
      <c r="H15" s="42">
        <v>229184</v>
      </c>
      <c r="I15" s="42">
        <v>228269</v>
      </c>
      <c r="J15" s="30" t="s">
        <v>193</v>
      </c>
      <c r="K15" s="42">
        <v>232080</v>
      </c>
      <c r="L15" s="131" t="s">
        <v>51</v>
      </c>
      <c r="M15" s="132">
        <f t="shared" si="0"/>
        <v>-2012.2080000000001</v>
      </c>
      <c r="N15" s="133" t="str">
        <f>VLOOKUP(C15,'Trips&amp;Operators'!$C$1:$G$99911,5,FALSE)</f>
        <v>HOLCOMB KAMDEN</v>
      </c>
      <c r="O15" s="176" t="s">
        <v>178</v>
      </c>
      <c r="P15" s="134"/>
      <c r="Q15" s="30"/>
      <c r="R15" s="81" t="str">
        <f>VLOOKUP(C15,'Train Runs'!$A$13:$AE$10081,31,0)</f>
        <v>aws s3 cp s3://rtdc.mdm.uploadarchive.raw/RTDC4063/ "%USERPROFILE%\AppData\Local\Temp\OnboardLogs"\RTDC4063\2017-10-28 --exclude "*" --recursive --include "*20171028*" &amp; "%USERPROFILE%\Documents\GitHub\mrs-test-scripts\Headless Mode &amp; Sideloading\WalkAndUnGZ.bat" "%USERPROFILE%\AppData\Local\Temp\OnboardLogs"\RTDC4063\2017-10-28 &amp; aws s3 cp s3://rtdc.mdm.uploadarchive.raw/RTDC4063/ "%USERPROFILE%\AppData\Local\Temp\OnboardLogs"\RTDC4063\2017-10-29 --exclude "*" --recursive --include "*20171029*" &amp; "%USERPROFILE%\Documents\GitHub\mrs-test-scripts\Headless Mode &amp; Sideloading\WalkAndUnGZ.bat" "%USERPROFILE%\AppData\Local\Temp\OnboardLogs"\RTDC4063\2017-10-29</v>
      </c>
      <c r="S15" s="84" t="str">
        <f>VLOOKUP(C15,'Train Runs'!$A$13:$AE$10081,22,0)</f>
        <v>https://d0f6bd738d7f1b3e5a7ca70fe4ff75f0.us-east-1.aws.found.io/app/kibana#/discover/Steve-Slow-Train-Analysis-(2080s-and-2083s)?_g=(refreshInterval:(display:Off,pause:!f,section:0,value:0),time:(from:'2017-10-28T14:23:50-0600',mode:absolute,to:'2017-10-28T17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5" s="86" t="str">
        <f t="shared" si="1"/>
        <v>"C:\Program Files (x86)\AstroGrep\AstroGrep.exe" /e /r /s /spath="%USERPROFILE%\AppData\Local\Temp\OnboardLogs" /stypes="*4063*201710282*" /stext=" 21:.+((SYSTEM_STATE.+slice.+state.+changed )|(ment ac)|(multiple cpu faults)|(system.+state.+changed )|(\[timeout)|(PRM\|1\|D)|(kpr)|(kdp)|(train st.+moving)|(\|lc)|(penalty))"</v>
      </c>
      <c r="U15" s="9" t="str">
        <f t="shared" si="2"/>
        <v>4063</v>
      </c>
      <c r="V15" s="31">
        <f t="shared" si="3"/>
        <v>43036.894861111112</v>
      </c>
      <c r="W15" s="45" t="str">
        <f t="shared" si="4"/>
        <v>EC</v>
      </c>
      <c r="X15" s="22">
        <f t="shared" si="5"/>
        <v>188</v>
      </c>
      <c r="Y15" s="96" t="str">
        <f t="shared" si="6"/>
        <v>echo {"issue":{"subject":"","project_id":79,"tracker_id":40,"status_id":1,"priority_id":2,"assigned_to_id":338,"start_date":"2017-10-28","description":"","custom_fields":[{"id":1,"name":"Subdivision","value":"EC"},{"id":4,"name":"Milepost","value":"23.208"},{"id":17,"name":"Train ID","value":"188-28"},{"id":16,"name":"Locomotive ID","value":"4063"},{"id":130,"name":"Impact","value":""},{"id":150,"name":"Time of Event (Mountain Time)","value":"15:28:36"},{"id":151,"name":"Denver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/c/Users/stu/AppData/Local/Temp/OnboardLogs/RTDC4063 --include="*4063*201710282*"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"%USERPROFILE%\AppData\Local\Temp\OnboardLogs"\RTDC4063\*4063*201710282* &gt;&gt; 2017-10-28-SliceDisagreementCheck.txt</v>
      </c>
      <c r="AE15" s="145" t="str">
        <f t="shared" si="9"/>
        <v>start /low /b %USERPROFILE%\Documents\GitHub\eaglep3\Utilities\DownloadLogsFromS3.py --loco 4063 --day 2017-10-28</v>
      </c>
      <c r="AF15" s="1"/>
    </row>
    <row r="16" spans="1:32" x14ac:dyDescent="0.3">
      <c r="A16" s="31">
        <v>43036.937326388892</v>
      </c>
      <c r="B16" s="30" t="s">
        <v>413</v>
      </c>
      <c r="C16" s="30" t="s">
        <v>636</v>
      </c>
      <c r="D16" s="30" t="s">
        <v>95</v>
      </c>
      <c r="E16" s="30" t="s">
        <v>192</v>
      </c>
      <c r="F16" s="42">
        <v>350</v>
      </c>
      <c r="G16" s="42">
        <v>404</v>
      </c>
      <c r="H16" s="42">
        <v>224649</v>
      </c>
      <c r="I16" s="42">
        <v>223007</v>
      </c>
      <c r="J16" s="30" t="s">
        <v>193</v>
      </c>
      <c r="K16" s="42">
        <v>232080</v>
      </c>
      <c r="L16" s="131" t="s">
        <v>51</v>
      </c>
      <c r="M16" s="132">
        <f t="shared" si="0"/>
        <v>-4790.5439999999999</v>
      </c>
      <c r="N16" s="133" t="str">
        <f>VLOOKUP(C16,'Trips&amp;Operators'!$C$1:$G$99911,5,FALSE)</f>
        <v>FORTUNATO FRANK</v>
      </c>
      <c r="O16" s="176" t="s">
        <v>178</v>
      </c>
      <c r="P16" s="134"/>
      <c r="Q16" s="30"/>
      <c r="R16" s="81" t="str">
        <f>VLOOKUP(C16,'Train Runs'!$A$13:$AE$10081,31,0)</f>
        <v>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 &amp; aws s3 cp s3://rtdc.mdm.uploadarchive.raw/RTDC4023/ "%USERPROFILE%\AppData\Local\Temp\OnboardLogs"\RTDC4023\2017-10-29 --exclude "*" --recursive --include "*20171029*" &amp; "%USERPROFILE%\Documents\GitHub\mrs-test-scripts\Headless Mode &amp; Sideloading\WalkAndUnGZ.bat" "%USERPROFILE%\AppData\Local\Temp\OnboardLogs"\RTDC4023\2017-10-29</v>
      </c>
      <c r="S16" s="84" t="str">
        <f>VLOOKUP(C16,'Train Runs'!$A$13:$AE$10081,22,0)</f>
        <v>https://d0f6bd738d7f1b3e5a7ca70fe4ff75f0.us-east-1.aws.found.io/app/kibana#/discover/Steve-Slow-Train-Analysis-(2080s-and-2083s)?_g=(refreshInterval:(display:Off,pause:!f,section:0,value:0),time:(from:'2017-10-28T21:14:26-0600',mode:absolute,to:'2017-10-29T00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6" t="str">
        <f t="shared" si="1"/>
        <v>"C:\Program Files (x86)\AstroGrep\AstroGrep.exe" /e /r /s /spath="%USERPROFILE%\AppData\Local\Temp\OnboardLogs" /stypes="*4023*201710290*" /stext=" 04:.+((SYSTEM_STATE.+slice.+state.+changed )|(ment ac)|(multiple cpu faults)|(system.+state.+changed )|(\[timeout)|(PRM\|1\|D)|(kpr)|(kdp)|(train st.+moving)|(\|lc)|(penalty))"</v>
      </c>
      <c r="U16" s="9" t="str">
        <f t="shared" si="2"/>
        <v>4023</v>
      </c>
      <c r="V16" s="31">
        <f t="shared" si="3"/>
        <v>43037.187326388892</v>
      </c>
      <c r="W16" s="45" t="str">
        <f t="shared" si="4"/>
        <v>EC</v>
      </c>
      <c r="X16" s="22">
        <f t="shared" si="5"/>
        <v>232</v>
      </c>
      <c r="Y16" s="96" t="str">
        <f t="shared" si="6"/>
        <v>echo {"issue":{"subject":"","project_id":79,"tracker_id":40,"status_id":1,"priority_id":2,"assigned_to_id":338,"start_date":"2017-10-28","description":"","custom_fields":[{"id":1,"name":"Subdivision","value":"EC"},{"id":4,"name":"Milepost","value":"23.208"},{"id":17,"name":"Train ID","value":"232-28"},{"id":16,"name":"Locomotive ID","value":"4023"},{"id":130,"name":"Impact","value":""},{"id":150,"name":"Time of Event (Mountain Time)","value":"22:29:45"},{"id":151,"name":"Denver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/c/Users/stu/AppData/Local/Temp/OnboardLogs/RTDC4023 --include="*4023*201710290*"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"%USERPROFILE%\AppData\Local\Temp\OnboardLogs"\RTDC4023\*4023*201710290* &gt;&gt; 2017-10-28-SliceDisagreementCheck.txt</v>
      </c>
      <c r="AE16" s="145" t="str">
        <f t="shared" si="9"/>
        <v>start /low /b %USERPROFILE%\Documents\GitHub\eaglep3\Utilities\DownloadLogsFromS3.py --loco 4023 --day 2017-10-29</v>
      </c>
      <c r="AF16" s="1"/>
    </row>
    <row r="17" spans="1:32" x14ac:dyDescent="0.3">
      <c r="A17" s="31">
        <v>43036.459976851853</v>
      </c>
      <c r="B17" s="30" t="s">
        <v>625</v>
      </c>
      <c r="C17" s="30" t="s">
        <v>626</v>
      </c>
      <c r="D17" s="30" t="s">
        <v>49</v>
      </c>
      <c r="E17" s="30" t="s">
        <v>378</v>
      </c>
      <c r="F17" s="42">
        <v>0</v>
      </c>
      <c r="G17" s="42">
        <v>431</v>
      </c>
      <c r="H17" s="42">
        <v>84029</v>
      </c>
      <c r="I17" s="42">
        <v>82524</v>
      </c>
      <c r="J17" s="30" t="s">
        <v>379</v>
      </c>
      <c r="K17" s="42">
        <v>81751</v>
      </c>
      <c r="L17" s="131" t="s">
        <v>51</v>
      </c>
      <c r="M17" s="132">
        <f t="shared" si="0"/>
        <v>408.14400000000001</v>
      </c>
      <c r="N17" s="133" t="str">
        <f>VLOOKUP(C17,'Trips&amp;Operators'!$C$1:$G$99911,5,FALSE)</f>
        <v>PAGE MARCUS</v>
      </c>
      <c r="O17" s="176" t="s">
        <v>362</v>
      </c>
      <c r="P17" s="134" t="s">
        <v>381</v>
      </c>
      <c r="Q17" s="30"/>
      <c r="R17" s="81" t="str">
        <f>VLOOKUP(C17,'Train Runs'!$A$13:$AE$10081,31,0)</f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S17" s="84" t="str">
        <f>VLOOKUP(C17,'Train Runs'!$A$13:$AE$10081,22,0)</f>
        <v>https://d0f6bd738d7f1b3e5a7ca70fe4ff75f0.us-east-1.aws.found.io/app/kibana#/discover/Steve-Slow-Train-Analysis-(2080s-and-2083s)?_g=(refreshInterval:(display:Off,pause:!f,section:0,value:0),time:(from:'2017-10-28T09:36:42-0600',mode:absolute,to:'2017-10-28T12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/stypes="*4003*201710281*"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43036.709976851853</v>
      </c>
      <c r="W17" s="45" t="str">
        <f t="shared" si="4"/>
        <v>EC</v>
      </c>
      <c r="X17" s="22">
        <f t="shared" si="5"/>
        <v>150</v>
      </c>
      <c r="Y17" s="96" t="str">
        <f t="shared" si="6"/>
        <v>echo {"issue":{"subject":"Wi-MAX data drop","project_id":79,"tracker_id":40,"status_id":1,"priority_id":2,"assigned_to_id":338,"start_date":"2017-10-28","description":"","custom_fields":[{"id":1,"name":"Subdivision","value":"EC"},{"id":4,"name":"Milepost","value":"8.1751"},{"id":17,"name":"Train ID","value":"150-28"},{"id":16,"name":"Locomotive ID","value":"4003"},{"id":130,"name":"Impact","value":""},{"id":150,"name":"Time of Event (Mountain Time)","value":"11:02:22"},{"id":151,"name":"Denver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/c/Users/stu/AppData/Local/Temp/OnboardLogs/RTDC4003 --include="*4003*201710281*"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"%USERPROFILE%\AppData\Local\Temp\OnboardLogs"\RTDC4003\*4003*201710281* &gt;&gt; 2017-10-28-SliceDisagreementCheck.txt</v>
      </c>
      <c r="AE17" s="145" t="str">
        <f t="shared" si="9"/>
        <v>start /low /b %USERPROFILE%\Documents\GitHub\eaglep3\Utilities\DownloadLogsFromS3.py --loco 4003 --day 2017-10-28</v>
      </c>
      <c r="AF17" s="1"/>
    </row>
    <row r="18" spans="1:32" x14ac:dyDescent="0.3">
      <c r="A18" s="31">
        <v>43036.471516203703</v>
      </c>
      <c r="B18" s="30" t="s">
        <v>625</v>
      </c>
      <c r="C18" s="30" t="s">
        <v>626</v>
      </c>
      <c r="D18" s="30" t="s">
        <v>49</v>
      </c>
      <c r="E18" s="30" t="s">
        <v>399</v>
      </c>
      <c r="F18" s="42">
        <v>0</v>
      </c>
      <c r="G18" s="42">
        <v>159</v>
      </c>
      <c r="H18" s="42">
        <v>3746</v>
      </c>
      <c r="I18" s="42">
        <v>3462</v>
      </c>
      <c r="J18" s="30" t="s">
        <v>397</v>
      </c>
      <c r="K18" s="42">
        <v>3549</v>
      </c>
      <c r="L18" s="131" t="s">
        <v>51</v>
      </c>
      <c r="M18" s="132">
        <f t="shared" si="0"/>
        <v>-45.936</v>
      </c>
      <c r="N18" s="133" t="str">
        <f>VLOOKUP(C18,'Trips&amp;Operators'!$C$1:$G$99911,5,FALSE)</f>
        <v>PAGE MARCUS</v>
      </c>
      <c r="O18" s="176" t="s">
        <v>362</v>
      </c>
      <c r="P18" s="134" t="s">
        <v>381</v>
      </c>
      <c r="Q18" s="30"/>
      <c r="R18" s="81" t="str">
        <f>VLOOKUP(C18,'Train Runs'!$A$13:$AE$10081,31,0)</f>
        <v>aws s3 cp s3://rtdc.mdm.uploadarchive.raw/RTDC4003/ "%USERPROFILE%\AppData\Local\Temp\OnboardLogs"\RTDC4003\2017-10-28 --exclude "*" --recursive --include "*20171028*" &amp; "%USERPROFILE%\Documents\GitHub\mrs-test-scripts\Headless Mode &amp; Sideloading\WalkAndUnGZ.bat" "%USERPROFILE%\AppData\Local\Temp\OnboardLogs"\RTDC4003\2017-10-28 &amp; aws s3 cp s3://rtdc.mdm.uploadarchive.raw/RTDC4003/ "%USERPROFILE%\AppData\Local\Temp\OnboardLogs"\RTDC4003\2017-10-29 --exclude "*" --recursive --include "*20171029*" &amp; "%USERPROFILE%\Documents\GitHub\mrs-test-scripts\Headless Mode &amp; Sideloading\WalkAndUnGZ.bat" "%USERPROFILE%\AppData\Local\Temp\OnboardLogs"\RTDC4003\2017-10-29</v>
      </c>
      <c r="S18" s="84" t="str">
        <f>VLOOKUP(C18,'Train Runs'!$A$13:$AE$10081,22,0)</f>
        <v>https://d0f6bd738d7f1b3e5a7ca70fe4ff75f0.us-east-1.aws.found.io/app/kibana#/discover/Steve-Slow-Train-Analysis-(2080s-and-2083s)?_g=(refreshInterval:(display:Off,pause:!f,section:0,value:0),time:(from:'2017-10-28T09:36:42-0600',mode:absolute,to:'2017-10-28T12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6" t="str">
        <f t="shared" si="1"/>
        <v>"C:\Program Files (x86)\AstroGrep\AstroGrep.exe" /e /r /s /spath="%USERPROFILE%\AppData\Local\Temp\OnboardLogs" /stypes="*4003*201710281*"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4003</v>
      </c>
      <c r="V18" s="31">
        <f t="shared" si="3"/>
        <v>43036.721516203703</v>
      </c>
      <c r="W18" s="45" t="str">
        <f t="shared" si="4"/>
        <v>EC</v>
      </c>
      <c r="X18" s="22">
        <f t="shared" si="5"/>
        <v>150</v>
      </c>
      <c r="Y18" s="96" t="str">
        <f t="shared" si="6"/>
        <v>echo {"issue":{"subject":"Wi-MAX data drop","project_id":79,"tracker_id":40,"status_id":1,"priority_id":2,"assigned_to_id":338,"start_date":"2017-10-28","description":"","custom_fields":[{"id":1,"name":"Subdivision","value":"EC"},{"id":4,"name":"Milepost","value":"0.3549"},{"id":17,"name":"Train ID","value":"150-28"},{"id":16,"name":"Locomotive ID","value":"4003"},{"id":130,"name":"Impact","value":""},{"id":150,"name":"Time of Event (Mountain Time)","value":"11:18:59"},{"id":151,"name":"Denver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/c/Users/stu/AppData/Local/Temp/OnboardLogs/RTDC4003 --include="*4003*201710281*"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"%USERPROFILE%\AppData\Local\Temp\OnboardLogs"\RTDC4003\*4003*201710281* &gt;&gt; 2017-10-28-SliceDisagreementCheck.txt</v>
      </c>
      <c r="AE18" s="145" t="str">
        <f t="shared" si="9"/>
        <v>start /low /b %USERPROFILE%\Documents\GitHub\eaglep3\Utilities\DownloadLogsFromS3.py --loco 4003 --day 2017-10-28</v>
      </c>
      <c r="AF18" s="1"/>
    </row>
    <row r="19" spans="1:32" x14ac:dyDescent="0.3">
      <c r="A19" s="31">
        <v>43036.347256944442</v>
      </c>
      <c r="B19" s="30" t="s">
        <v>534</v>
      </c>
      <c r="C19" s="30" t="s">
        <v>623</v>
      </c>
      <c r="D19" s="30" t="s">
        <v>49</v>
      </c>
      <c r="E19" s="30" t="s">
        <v>179</v>
      </c>
      <c r="F19" s="42">
        <v>0</v>
      </c>
      <c r="G19" s="42">
        <v>165</v>
      </c>
      <c r="H19" s="42">
        <v>865</v>
      </c>
      <c r="I19" s="42">
        <v>631</v>
      </c>
      <c r="J19" s="30" t="s">
        <v>180</v>
      </c>
      <c r="K19" s="42">
        <v>1</v>
      </c>
      <c r="L19" s="131" t="s">
        <v>51</v>
      </c>
      <c r="M19" s="132">
        <f t="shared" si="0"/>
        <v>332.64</v>
      </c>
      <c r="N19" s="133" t="str">
        <f>VLOOKUP(C19,'Trips&amp;Operators'!$C$1:$G$99911,5,FALSE)</f>
        <v>LANGERAK WILLIAM</v>
      </c>
      <c r="O19" s="176" t="s">
        <v>178</v>
      </c>
      <c r="P19" s="134" t="s">
        <v>1113</v>
      </c>
      <c r="Q19" s="30"/>
      <c r="R19" s="81" t="str">
        <f>VLOOKUP(C19,'Train Runs'!$A$13:$AE$10081,31,0)</f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S19" s="84" t="str">
        <f>VLOOKUP(C19,'Train Runs'!$A$13:$AE$10081,22,0)</f>
        <v>https://d0f6bd738d7f1b3e5a7ca70fe4ff75f0.us-east-1.aws.found.io/app/kibana#/discover/Steve-Slow-Train-Analysis-(2080s-and-2083s)?_g=(refreshInterval:(display:Off,pause:!f,section:0,value:0),time:(from:'2017-10-28T06:38:22-0600',mode:absolute,to:'2017-10-28T09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6" t="str">
        <f t="shared" si="1"/>
        <v>"C:\Program Files (x86)\AstroGrep\AstroGrep.exe" /e /r /s /spath="%USERPROFILE%\AppData\Local\Temp\OnboardLogs" /stypes="*4041*201710281*"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4041</v>
      </c>
      <c r="V19" s="31">
        <f t="shared" si="3"/>
        <v>43036.597256944442</v>
      </c>
      <c r="W19" s="45" t="str">
        <f t="shared" si="4"/>
        <v>EC</v>
      </c>
      <c r="X19" s="22">
        <f t="shared" si="5"/>
        <v>126</v>
      </c>
      <c r="Y19" s="96" t="str">
        <f t="shared" si="6"/>
        <v>echo {"issue":{"subject":"Notch was @ position 4","project_id":79,"tracker_id":40,"status_id":1,"priority_id":2,"assigned_to_id":338,"start_date":"2017-10-28","description":"","custom_fields":[{"id":1,"name":"Subdivision","value":"EC"},{"id":4,"name":"Milepost","value":"0.0001"},{"id":17,"name":"Train ID","value":"126-28"},{"id":16,"name":"Locomotive ID","value":"4041"},{"id":130,"name":"Impact","value":""},{"id":150,"name":"Time of Event (Mountain Time)","value":"08:20:03"},{"id":151,"name":"Denver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/c/Users/stu/AppData/Local/Temp/OnboardLogs/RTDC4041 --include="*4041*201710281*"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"%USERPROFILE%\AppData\Local\Temp\OnboardLogs"\RTDC4041\*4041*201710281* &gt;&gt; 2017-10-28-SliceDisagreementCheck.txt</v>
      </c>
      <c r="AE19" s="145" t="str">
        <f t="shared" si="9"/>
        <v>start /low /b %USERPROFILE%\Documents\GitHub\eaglep3\Utilities\DownloadLogsFromS3.py --loco 4041 --day 2017-10-28</v>
      </c>
      <c r="AF19" s="1"/>
    </row>
    <row r="20" spans="1:32" x14ac:dyDescent="0.3">
      <c r="A20" s="31">
        <v>43036.347719907404</v>
      </c>
      <c r="B20" s="30" t="s">
        <v>534</v>
      </c>
      <c r="C20" s="30" t="s">
        <v>623</v>
      </c>
      <c r="D20" s="30" t="s">
        <v>49</v>
      </c>
      <c r="E20" s="30" t="s">
        <v>179</v>
      </c>
      <c r="F20" s="42">
        <v>0</v>
      </c>
      <c r="G20" s="42">
        <v>66</v>
      </c>
      <c r="H20" s="42">
        <v>568</v>
      </c>
      <c r="I20" s="42">
        <v>524</v>
      </c>
      <c r="J20" s="30" t="s">
        <v>180</v>
      </c>
      <c r="K20" s="42">
        <v>1</v>
      </c>
      <c r="L20" s="131" t="s">
        <v>51</v>
      </c>
      <c r="M20" s="132">
        <f t="shared" si="0"/>
        <v>276.14400000000001</v>
      </c>
      <c r="N20" s="133" t="str">
        <f>VLOOKUP(C20,'Trips&amp;Operators'!$C$1:$G$99911,5,FALSE)</f>
        <v>LANGERAK WILLIAM</v>
      </c>
      <c r="O20" s="176" t="s">
        <v>178</v>
      </c>
      <c r="P20" s="134" t="s">
        <v>1113</v>
      </c>
      <c r="Q20" s="30"/>
      <c r="R20" s="81" t="str">
        <f>VLOOKUP(C20,'Train Runs'!$A$13:$AE$10081,31,0)</f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S20" s="84" t="str">
        <f>VLOOKUP(C20,'Train Runs'!$A$13:$AE$10081,22,0)</f>
        <v>https://d0f6bd738d7f1b3e5a7ca70fe4ff75f0.us-east-1.aws.found.io/app/kibana#/discover/Steve-Slow-Train-Analysis-(2080s-and-2083s)?_g=(refreshInterval:(display:Off,pause:!f,section:0,value:0),time:(from:'2017-10-28T06:38:22-0600',mode:absolute,to:'2017-10-28T09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6" t="str">
        <f t="shared" si="1"/>
        <v>"C:\Program Files (x86)\AstroGrep\AstroGrep.exe" /e /r /s /spath="%USERPROFILE%\AppData\Local\Temp\OnboardLogs" /stypes="*4041*201710281*" /stext=" 14:.+((SYSTEM_STATE.+slice.+state.+changed )|(ment ac)|(multiple cpu faults)|(system.+state.+changed )|(\[timeout)|(PRM\|1\|D)|(kpr)|(kdp)|(train st.+moving)|(\|lc)|(penalty))"</v>
      </c>
      <c r="U20" s="9" t="str">
        <f t="shared" si="2"/>
        <v>4041</v>
      </c>
      <c r="V20" s="31">
        <f t="shared" si="3"/>
        <v>43036.597719907404</v>
      </c>
      <c r="W20" s="45" t="str">
        <f t="shared" si="4"/>
        <v>EC</v>
      </c>
      <c r="X20" s="22">
        <f t="shared" si="5"/>
        <v>126</v>
      </c>
      <c r="Y20" s="96" t="str">
        <f t="shared" si="6"/>
        <v>echo {"issue":{"subject":"Notch was @ position 4","project_id":79,"tracker_id":40,"status_id":1,"priority_id":2,"assigned_to_id":338,"start_date":"2017-10-28","description":"","custom_fields":[{"id":1,"name":"Subdivision","value":"EC"},{"id":4,"name":"Milepost","value":"0.0001"},{"id":17,"name":"Train ID","value":"126-28"},{"id":16,"name":"Locomotive ID","value":"4041"},{"id":130,"name":"Impact","value":""},{"id":150,"name":"Time of Event (Mountain Time)","value":"08:20:43"},{"id":151,"name":"Denver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/c/Users/stu/AppData/Local/Temp/OnboardLogs/RTDC4041 --include="*4041*201710281*"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"%USERPROFILE%\AppData\Local\Temp\OnboardLogs"\RTDC4041\*4041*201710281* &gt;&gt; 2017-10-28-SliceDisagreementCheck.txt</v>
      </c>
      <c r="AE20" s="145" t="str">
        <f t="shared" si="9"/>
        <v>start /low /b %USERPROFILE%\Documents\GitHub\eaglep3\Utilities\DownloadLogsFromS3.py --loco 4041 --day 2017-10-28</v>
      </c>
      <c r="AF20" s="1"/>
    </row>
    <row r="21" spans="1:32" x14ac:dyDescent="0.3">
      <c r="A21" s="31">
        <v>43036.348101851851</v>
      </c>
      <c r="B21" s="30" t="s">
        <v>534</v>
      </c>
      <c r="C21" s="30" t="s">
        <v>623</v>
      </c>
      <c r="D21" s="30" t="s">
        <v>49</v>
      </c>
      <c r="E21" s="30" t="s">
        <v>179</v>
      </c>
      <c r="F21" s="42">
        <v>0</v>
      </c>
      <c r="G21" s="42">
        <v>50</v>
      </c>
      <c r="H21" s="42">
        <v>486</v>
      </c>
      <c r="I21" s="42">
        <v>406</v>
      </c>
      <c r="J21" s="30" t="s">
        <v>180</v>
      </c>
      <c r="K21" s="42">
        <v>1</v>
      </c>
      <c r="L21" s="131" t="s">
        <v>51</v>
      </c>
      <c r="M21" s="132">
        <f t="shared" si="0"/>
        <v>213.84</v>
      </c>
      <c r="N21" s="133" t="str">
        <f>VLOOKUP(C21,'Trips&amp;Operators'!$C$1:$G$99911,5,FALSE)</f>
        <v>LANGERAK WILLIAM</v>
      </c>
      <c r="O21" s="176" t="s">
        <v>178</v>
      </c>
      <c r="P21" s="134" t="s">
        <v>1113</v>
      </c>
      <c r="Q21" s="30"/>
      <c r="R21" s="81" t="str">
        <f>VLOOKUP(C21,'Train Runs'!$A$13:$AE$10081,31,0)</f>
        <v>aws s3 cp s3://rtdc.mdm.uploadarchive.raw/RTDC4041/ "%USERPROFILE%\AppData\Local\Temp\OnboardLogs"\RTDC4041\2017-10-28 --exclude "*" --recursive --include "*20171028*" &amp; "%USERPROFILE%\Documents\GitHub\mrs-test-scripts\Headless Mode &amp; Sideloading\WalkAndUnGZ.bat" "%USERPROFILE%\AppData\Local\Temp\OnboardLogs"\RTDC4041\2017-10-28 &amp; aws s3 cp s3://rtdc.mdm.uploadarchive.raw/RTDC4041/ "%USERPROFILE%\AppData\Local\Temp\OnboardLogs"\RTDC4041\2017-10-29 --exclude "*" --recursive --include "*20171029*" &amp; "%USERPROFILE%\Documents\GitHub\mrs-test-scripts\Headless Mode &amp; Sideloading\WalkAndUnGZ.bat" "%USERPROFILE%\AppData\Local\Temp\OnboardLogs"\RTDC4041\2017-10-29</v>
      </c>
      <c r="S21" s="84" t="str">
        <f>VLOOKUP(C21,'Train Runs'!$A$13:$AE$10081,22,0)</f>
        <v>https://d0f6bd738d7f1b3e5a7ca70fe4ff75f0.us-east-1.aws.found.io/app/kibana#/discover/Steve-Slow-Train-Analysis-(2080s-and-2083s)?_g=(refreshInterval:(display:Off,pause:!f,section:0,value:0),time:(from:'2017-10-28T06:38:22-0600',mode:absolute,to:'2017-10-28T09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6" t="str">
        <f t="shared" si="1"/>
        <v>"C:\Program Files (x86)\AstroGrep\AstroGrep.exe" /e /r /s /spath="%USERPROFILE%\AppData\Local\Temp\OnboardLogs" /stypes="*4041*201710281*" /stext=" 14:.+((SYSTEM_STATE.+slice.+state.+changed )|(ment ac)|(multiple cpu faults)|(system.+state.+changed )|(\[timeout)|(PRM\|1\|D)|(kpr)|(kdp)|(train st.+moving)|(\|lc)|(penalty))"</v>
      </c>
      <c r="U21" s="9" t="str">
        <f t="shared" si="2"/>
        <v>4041</v>
      </c>
      <c r="V21" s="31">
        <f t="shared" si="3"/>
        <v>43036.598101851851</v>
      </c>
      <c r="W21" s="45" t="str">
        <f t="shared" si="4"/>
        <v>EC</v>
      </c>
      <c r="X21" s="22">
        <f t="shared" si="5"/>
        <v>126</v>
      </c>
      <c r="Y21" s="96" t="str">
        <f t="shared" si="6"/>
        <v>echo {"issue":{"subject":"Notch was @ position 4","project_id":79,"tracker_id":40,"status_id":1,"priority_id":2,"assigned_to_id":338,"start_date":"2017-10-28","description":"","custom_fields":[{"id":1,"name":"Subdivision","value":"EC"},{"id":4,"name":"Milepost","value":"0.0001"},{"id":17,"name":"Train ID","value":"126-28"},{"id":16,"name":"Locomotive ID","value":"4041"},{"id":130,"name":"Impact","value":""},{"id":150,"name":"Time of Event (Mountain Time)","value":"08:21:16"},{"id":151,"name":"Denver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/c/Users/stu/AppData/Local/Temp/OnboardLogs/RTDC4041 --include="*4041*201710281*"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"%USERPROFILE%\AppData\Local\Temp\OnboardLogs"\RTDC4041\*4041*201710281* &gt;&gt; 2017-10-28-SliceDisagreementCheck.txt</v>
      </c>
      <c r="AE21" s="145" t="str">
        <f t="shared" si="9"/>
        <v>start /low /b %USERPROFILE%\Documents\GitHub\eaglep3\Utilities\DownloadLogsFromS3.py --loco 4041 --day 2017-10-28</v>
      </c>
      <c r="AF21" s="1"/>
    </row>
    <row r="22" spans="1:32" x14ac:dyDescent="0.3">
      <c r="A22" s="31">
        <v>43036.796261574076</v>
      </c>
      <c r="B22" s="30" t="s">
        <v>617</v>
      </c>
      <c r="C22" s="30" t="s">
        <v>634</v>
      </c>
      <c r="D22" s="30" t="s">
        <v>49</v>
      </c>
      <c r="E22" s="30" t="s">
        <v>179</v>
      </c>
      <c r="F22" s="42">
        <v>0</v>
      </c>
      <c r="G22" s="42">
        <v>16</v>
      </c>
      <c r="H22" s="42">
        <v>867</v>
      </c>
      <c r="I22" s="42">
        <v>858</v>
      </c>
      <c r="J22" s="30" t="s">
        <v>180</v>
      </c>
      <c r="K22" s="42">
        <v>839</v>
      </c>
      <c r="L22" s="131" t="s">
        <v>51</v>
      </c>
      <c r="M22" s="132">
        <f t="shared" si="0"/>
        <v>10.032</v>
      </c>
      <c r="N22" s="133" t="str">
        <f>VLOOKUP(C22,'Trips&amp;Operators'!$C$1:$G$99911,5,FALSE)</f>
        <v>BERLING GARY</v>
      </c>
      <c r="O22" s="176" t="s">
        <v>178</v>
      </c>
      <c r="P22" s="134"/>
      <c r="Q22" s="30"/>
      <c r="R22" s="81" t="str">
        <f>VLOOKUP(C22,'Train Runs'!$A$13:$AE$10081,31,0)</f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S22" s="84" t="str">
        <f>VLOOKUP(C22,'Train Runs'!$A$13:$AE$10081,22,0)</f>
        <v>https://d0f6bd738d7f1b3e5a7ca70fe4ff75f0.us-east-1.aws.found.io/app/kibana#/discover/Steve-Slow-Train-Analysis-(2080s-and-2083s)?_g=(refreshInterval:(display:Off,pause:!f,section:0,value:0),time:(from:'2017-10-28T17:19:18-0600',mode:absolute,to:'2017-10-28T20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86" t="str">
        <f t="shared" si="1"/>
        <v>"C:\Program Files (x86)\AstroGrep\AstroGrep.exe" /e /r /s /spath="%USERPROFILE%\AppData\Local\Temp\OnboardLogs" /stypes="*4031*201710290*"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4031</v>
      </c>
      <c r="V22" s="31">
        <f t="shared" si="3"/>
        <v>43037.046261574076</v>
      </c>
      <c r="W22" s="45" t="str">
        <f t="shared" si="4"/>
        <v>EC</v>
      </c>
      <c r="X22" s="22">
        <f t="shared" si="5"/>
        <v>212</v>
      </c>
      <c r="Y22" s="96" t="str">
        <f t="shared" si="6"/>
        <v>echo {"issue":{"subject":"","project_id":79,"tracker_id":40,"status_id":1,"priority_id":2,"assigned_to_id":338,"start_date":"2017-10-28","description":"","custom_fields":[{"id":1,"name":"Subdivision","value":"EC"},{"id":4,"name":"Milepost","value":"0.0839"},{"id":17,"name":"Train ID","value":"212-28"},{"id":16,"name":"Locomotive ID","value":"4031"},{"id":130,"name":"Impact","value":""},{"id":150,"name":"Time of Event (Mountain Time)","value":"19:06:37"},{"id":151,"name":"Denver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/c/Users/stu/AppData/Local/Temp/OnboardLogs/RTDC4031 --include="*4031*201710290*"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"%USERPROFILE%\AppData\Local\Temp\OnboardLogs"\RTDC4031\*4031*201710290* &gt;&gt; 2017-10-28-SliceDisagreementCheck.txt</v>
      </c>
      <c r="AE22" s="145" t="str">
        <f t="shared" si="9"/>
        <v>start /low /b %USERPROFILE%\Documents\GitHub\eaglep3\Utilities\DownloadLogsFromS3.py --loco 4031 --day 2017-10-29</v>
      </c>
      <c r="AF22" s="1"/>
    </row>
    <row r="23" spans="1:32" x14ac:dyDescent="0.3">
      <c r="A23" s="31">
        <v>43036.429270833331</v>
      </c>
      <c r="B23" s="30" t="s">
        <v>542</v>
      </c>
      <c r="C23" s="30" t="s">
        <v>624</v>
      </c>
      <c r="D23" s="30" t="s">
        <v>49</v>
      </c>
      <c r="E23" s="30" t="s">
        <v>192</v>
      </c>
      <c r="F23" s="42">
        <v>400</v>
      </c>
      <c r="G23" s="42">
        <v>495</v>
      </c>
      <c r="H23" s="42">
        <v>45965</v>
      </c>
      <c r="I23" s="42">
        <v>47511</v>
      </c>
      <c r="J23" s="30" t="s">
        <v>193</v>
      </c>
      <c r="K23" s="42">
        <v>47810</v>
      </c>
      <c r="L23" s="131" t="s">
        <v>50</v>
      </c>
      <c r="M23" s="132">
        <f t="shared" si="0"/>
        <v>157.87200000000001</v>
      </c>
      <c r="N23" s="133" t="str">
        <f>VLOOKUP(C23,'Trips&amp;Operators'!$C$1:$G$99911,5,FALSE)</f>
        <v>LAMAR NEKESHA</v>
      </c>
      <c r="O23" s="176" t="s">
        <v>178</v>
      </c>
      <c r="P23" s="134"/>
      <c r="Q23" s="30"/>
      <c r="R23" s="81" t="str">
        <f>VLOOKUP(C23,'Train Runs'!$A$13:$AE$10081,31,0)</f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S23" s="84" t="str">
        <f>VLOOKUP(C23,'Train Runs'!$A$13:$AE$10081,22,0)</f>
        <v>https://d0f6bd738d7f1b3e5a7ca70fe4ff75f0.us-east-1.aws.found.io/app/kibana#/discover/Steve-Slow-Train-Analysis-(2080s-and-2083s)?_g=(refreshInterval:(display:Off,pause:!f,section:0,value:0),time:(from:'2017-10-28T08:59:19-0600',mode:absolute,to:'2017-10-28T11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3" s="86" t="str">
        <f t="shared" si="1"/>
        <v>"C:\Program Files (x86)\AstroGrep\AstroGrep.exe" /e /r /s /spath="%USERPROFILE%\AppData\Local\Temp\OnboardLogs" /stypes="*4054*201710281*" /stext=" 16:.+((SYSTEM_STATE.+slice.+state.+changed )|(ment ac)|(multiple cpu faults)|(system.+state.+changed )|(\[timeout)|(PRM\|1\|D)|(kpr)|(kdp)|(train st.+moving)|(\|lc)|(penalty))"</v>
      </c>
      <c r="U23" s="9" t="str">
        <f t="shared" si="2"/>
        <v>4054</v>
      </c>
      <c r="V23" s="31">
        <f t="shared" si="3"/>
        <v>43036.679270833331</v>
      </c>
      <c r="W23" s="45" t="str">
        <f t="shared" si="4"/>
        <v>NW</v>
      </c>
      <c r="X23" s="22">
        <f t="shared" si="5"/>
        <v>1809</v>
      </c>
      <c r="Y23" s="96" t="str">
        <f t="shared" si="6"/>
        <v>echo {"issue":{"subject":"","project_id":79,"tracker_id":40,"status_id":1,"priority_id":2,"assigned_to_id":338,"start_date":"2017-10-28","description":"","custom_fields":[{"id":1,"name":"Subdivision","value":"NW"},{"id":4,"name":"Milepost","value":"4.781"},{"id":17,"name":"Train ID","value":"1809-28"},{"id":16,"name":"Locomotive ID","value":"4054"},{"id":130,"name":"Impact","value":""},{"id":150,"name":"Time of Event (Mountain Time)","value":"10:18:09"},{"id":151,"name":"Denver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/c/Users/stu/AppData/Local/Temp/OnboardLogs/RTDC4054 --include="*4054*201710281*"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"%USERPROFILE%\AppData\Local\Temp\OnboardLogs"\RTDC4054\*4054*201710281* &gt;&gt; 2017-10-28-SliceDisagreementCheck.txt</v>
      </c>
      <c r="AE23" s="145" t="str">
        <f t="shared" si="9"/>
        <v>start /low /b %USERPROFILE%\Documents\GitHub\eaglep3\Utilities\DownloadLogsFromS3.py --loco 4054 --day 2017-10-28</v>
      </c>
      <c r="AF23" s="1"/>
    </row>
    <row r="24" spans="1:32" x14ac:dyDescent="0.3">
      <c r="A24" s="31">
        <v>43036.298622685186</v>
      </c>
      <c r="B24" s="30" t="s">
        <v>542</v>
      </c>
      <c r="C24" s="30" t="s">
        <v>622</v>
      </c>
      <c r="D24" s="30" t="s">
        <v>95</v>
      </c>
      <c r="E24" s="30" t="s">
        <v>378</v>
      </c>
      <c r="F24" s="42">
        <v>0</v>
      </c>
      <c r="G24" s="42">
        <v>85</v>
      </c>
      <c r="H24" s="42">
        <v>1801</v>
      </c>
      <c r="I24" s="42">
        <v>1875</v>
      </c>
      <c r="J24" s="30" t="s">
        <v>379</v>
      </c>
      <c r="K24" s="42">
        <v>1725</v>
      </c>
      <c r="L24" s="131" t="s">
        <v>50</v>
      </c>
      <c r="M24" s="132">
        <f t="shared" si="0"/>
        <v>-79.2</v>
      </c>
      <c r="N24" s="133" t="str">
        <f>VLOOKUP(C24,'Trips&amp;Operators'!$C$1:$G$99911,5,FALSE)</f>
        <v>LAMAR NEKESHA</v>
      </c>
      <c r="O24" s="176" t="s">
        <v>178</v>
      </c>
      <c r="P24" s="134" t="s">
        <v>1110</v>
      </c>
      <c r="Q24" s="30"/>
      <c r="R24" s="81" t="str">
        <f>VLOOKUP(C24,'Train Runs'!$A$13:$AE$10081,31,0)</f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S24" s="84" t="str">
        <f>VLOOKUP(C24,'Train Runs'!$A$13:$AE$10081,22,0)</f>
        <v>https://d0f6bd738d7f1b3e5a7ca70fe4ff75f0.us-east-1.aws.found.io/app/kibana#/discover/Steve-Slow-Train-Analysis-(2080s-and-2083s)?_g=(refreshInterval:(display:Off,pause:!f,section:0,value:0),time:(from:'2017-10-28T06:03:27-0600',mode:absolute,to:'2017-10-28T08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4" s="86" t="str">
        <f t="shared" si="1"/>
        <v>"C:\Program Files (x86)\AstroGrep\AstroGrep.exe" /e /r /s /spath="%USERPROFILE%\AppData\Local\Temp\OnboardLogs" /stypes="*4054*201710281*"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4054</v>
      </c>
      <c r="V24" s="31">
        <f t="shared" si="3"/>
        <v>43036.548622685186</v>
      </c>
      <c r="W24" s="45" t="str">
        <f t="shared" si="4"/>
        <v>NW</v>
      </c>
      <c r="X24" s="22">
        <f t="shared" si="5"/>
        <v>1803</v>
      </c>
      <c r="Y24" s="96" t="str">
        <f t="shared" si="6"/>
        <v>echo {"issue":{"subject":"Went active too close to signal","project_id":79,"tracker_id":40,"status_id":1,"priority_id":2,"assigned_to_id":338,"start_date":"2017-10-28","description":"","custom_fields":[{"id":1,"name":"Subdivision","value":"NW"},{"id":4,"name":"Milepost","value":"0.1725"},{"id":17,"name":"Train ID","value":"1803-28"},{"id":16,"name":"Locomotive ID","value":"4054"},{"id":130,"name":"Impact","value":""},{"id":150,"name":"Time of Event (Mountain Time)","value":"07:10:01"},{"id":151,"name":"Denver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/c/Users/stu/AppData/Local/Temp/OnboardLogs/RTDC4054 --include="*4054*201710281*"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"%USERPROFILE%\AppData\Local\Temp\OnboardLogs"\RTDC4054\*4054*201710281* &gt;&gt; 2017-10-28-SliceDisagreementCheck.txt</v>
      </c>
      <c r="AE24" s="145" t="str">
        <f t="shared" si="9"/>
        <v>start /low /b %USERPROFILE%\Documents\GitHub\eaglep3\Utilities\DownloadLogsFromS3.py --loco 4054 --day 2017-10-28</v>
      </c>
      <c r="AF24" s="1"/>
    </row>
    <row r="25" spans="1:32" x14ac:dyDescent="0.3">
      <c r="A25" s="31">
        <v>43036.621898148151</v>
      </c>
      <c r="B25" s="30" t="s">
        <v>535</v>
      </c>
      <c r="C25" s="30" t="s">
        <v>631</v>
      </c>
      <c r="D25" s="30" t="s">
        <v>49</v>
      </c>
      <c r="E25" s="30" t="s">
        <v>179</v>
      </c>
      <c r="F25" s="42">
        <v>0</v>
      </c>
      <c r="G25" s="42">
        <v>75</v>
      </c>
      <c r="H25" s="42">
        <v>855</v>
      </c>
      <c r="I25" s="42">
        <v>776</v>
      </c>
      <c r="J25" s="30" t="s">
        <v>180</v>
      </c>
      <c r="K25" s="42">
        <v>575</v>
      </c>
      <c r="L25" s="131" t="s">
        <v>51</v>
      </c>
      <c r="M25" s="132">
        <f t="shared" si="0"/>
        <v>106.128</v>
      </c>
      <c r="N25" s="133" t="str">
        <f>VLOOKUP(C25,'Trips&amp;Operators'!$C$1:$G$99911,5,FALSE)</f>
        <v>SMITH MICHAEL</v>
      </c>
      <c r="O25" s="176" t="s">
        <v>178</v>
      </c>
      <c r="P25" s="134"/>
      <c r="Q25" s="30"/>
      <c r="R25" s="81" t="str">
        <f>VLOOKUP(C25,'Train Runs'!$A$13:$AE$10081,31,0)</f>
        <v>aws s3 cp s3://rtdc.mdm.uploadarchive.raw/RTDC4053/ "%USERPROFILE%\AppData\Local\Temp\OnboardLogs"\RTDC4053\2017-10-28 --exclude "*" --recursive --include "*20171028*" &amp; "%USERPROFILE%\Documents\GitHub\mrs-test-scripts\Headless Mode &amp; Sideloading\WalkAndUnGZ.bat" "%USERPROFILE%\AppData\Local\Temp\OnboardLogs"\RTDC4053\2017-10-28 &amp; aws s3 cp s3://rtdc.mdm.uploadarchive.raw/RTDC4053/ "%USERPROFILE%\AppData\Local\Temp\OnboardLogs"\RTDC4053\2017-10-29 --exclude "*" --recursive --include "*20171029*" &amp; "%USERPROFILE%\Documents\GitHub\mrs-test-scripts\Headless Mode &amp; Sideloading\WalkAndUnGZ.bat" "%USERPROFILE%\AppData\Local\Temp\OnboardLogs"\RTDC4053\2017-10-29</v>
      </c>
      <c r="S25" s="84" t="str">
        <f>VLOOKUP(C25,'Train Runs'!$A$13:$AE$10081,22,0)</f>
        <v>https://d0f6bd738d7f1b3e5a7ca70fe4ff75f0.us-east-1.aws.found.io/app/kibana#/discover/Steve-Slow-Train-Analysis-(2080s-and-2083s)?_g=(refreshInterval:(display:Off,pause:!f,section:0,value:0),time:(from:'2017-10-28T13:27:24-0600',mode:absolute,to:'2017-10-28T15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86" t="str">
        <f t="shared" si="1"/>
        <v>"C:\Program Files (x86)\AstroGrep\AstroGrep.exe" /e /r /s /spath="%USERPROFILE%\AppData\Local\Temp\OnboardLogs" /stypes="*4053*201710282*"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4053</v>
      </c>
      <c r="V25" s="31">
        <f t="shared" si="3"/>
        <v>43036.871898148151</v>
      </c>
      <c r="W25" s="45" t="str">
        <f t="shared" si="4"/>
        <v>NW</v>
      </c>
      <c r="X25" s="22">
        <f t="shared" si="5"/>
        <v>1818</v>
      </c>
      <c r="Y25" s="96" t="str">
        <f t="shared" si="6"/>
        <v>echo {"issue":{"subject":"","project_id":79,"tracker_id":40,"status_id":1,"priority_id":2,"assigned_to_id":338,"start_date":"2017-10-28","description":"","custom_fields":[{"id":1,"name":"Subdivision","value":"NW"},{"id":4,"name":"Milepost","value":"0.0575"},{"id":17,"name":"Train ID","value":"1818-28"},{"id":16,"name":"Locomotive ID","value":"4053"},{"id":130,"name":"Impact","value":""},{"id":150,"name":"Time of Event (Mountain Time)","value":"14:55:32"},{"id":151,"name":"Denver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/c/Users/stu/AppData/Local/Temp/OnboardLogs/RTDC4053 --include="*4053*201710282*"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"%USERPROFILE%\AppData\Local\Temp\OnboardLogs"\RTDC4053\*4053*201710282* &gt;&gt; 2017-10-28-SliceDisagreementCheck.txt</v>
      </c>
      <c r="AE25" s="145" t="str">
        <f t="shared" si="9"/>
        <v>start /low /b %USERPROFILE%\Documents\GitHub\eaglep3\Utilities\DownloadLogsFromS3.py --loco 4053 --day 2017-10-28</v>
      </c>
      <c r="AF25" s="1"/>
    </row>
    <row r="26" spans="1:32" x14ac:dyDescent="0.3">
      <c r="A26" s="31">
        <v>43036.557974537034</v>
      </c>
      <c r="B26" s="30" t="s">
        <v>542</v>
      </c>
      <c r="C26" s="30" t="s">
        <v>628</v>
      </c>
      <c r="D26" s="30" t="s">
        <v>49</v>
      </c>
      <c r="E26" s="30" t="s">
        <v>179</v>
      </c>
      <c r="F26" s="42">
        <v>0</v>
      </c>
      <c r="G26" s="42">
        <v>32</v>
      </c>
      <c r="H26" s="42">
        <v>58967</v>
      </c>
      <c r="I26" s="42">
        <v>58986</v>
      </c>
      <c r="J26" s="30" t="s">
        <v>180</v>
      </c>
      <c r="K26" s="42">
        <v>59048</v>
      </c>
      <c r="L26" s="131" t="s">
        <v>50</v>
      </c>
      <c r="M26" s="132">
        <f t="shared" si="0"/>
        <v>32.735999999999997</v>
      </c>
      <c r="N26" s="133" t="str">
        <f>VLOOKUP(C26,'Trips&amp;Operators'!$C$1:$G$99911,5,FALSE)</f>
        <v>LAMAR NEKESHA</v>
      </c>
      <c r="O26" s="176" t="s">
        <v>178</v>
      </c>
      <c r="P26" s="134"/>
      <c r="Q26" s="30"/>
      <c r="R26" s="81" t="str">
        <f>VLOOKUP(C26,'Train Runs'!$A$13:$AE$10081,31,0)</f>
        <v>aws s3 cp s3://rtdc.mdm.uploadarchive.raw/RTDC4054/ "%USERPROFILE%\AppData\Local\Temp\OnboardLogs"\RTDC4054\2017-10-28 --exclude "*" --recursive --include "*20171028*" &amp; "%USERPROFILE%\Documents\GitHub\mrs-test-scripts\Headless Mode &amp; Sideloading\WalkAndUnGZ.bat" "%USERPROFILE%\AppData\Local\Temp\OnboardLogs"\RTDC4054\2017-10-28 &amp; aws s3 cp s3://rtdc.mdm.uploadarchive.raw/RTDC4054/ "%USERPROFILE%\AppData\Local\Temp\OnboardLogs"\RTDC4054\2017-10-29 --exclude "*" --recursive --include "*20171029*" &amp; "%USERPROFILE%\Documents\GitHub\mrs-test-scripts\Headless Mode &amp; Sideloading\WalkAndUnGZ.bat" "%USERPROFILE%\AppData\Local\Temp\OnboardLogs"\RTDC4054\2017-10-29</v>
      </c>
      <c r="S26" s="84" t="str">
        <f>VLOOKUP(C26,'Train Runs'!$A$13:$AE$10081,22,0)</f>
        <v>https://d0f6bd738d7f1b3e5a7ca70fe4ff75f0.us-east-1.aws.found.io/app/kibana#/discover/Steve-Slow-Train-Analysis-(2080s-and-2083s)?_g=(refreshInterval:(display:Off,pause:!f,section:0,value:0),time:(from:'2017-10-28T12:05:27-0600',mode:absolute,to:'2017-10-28T14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6" s="86" t="str">
        <f t="shared" si="1"/>
        <v>"C:\Program Files (x86)\AstroGrep\AstroGrep.exe" /e /r /s /spath="%USERPROFILE%\AppData\Local\Temp\OnboardLogs" /stypes="*4054*201710281*" /stext=" 19:.+((SYSTEM_STATE.+slice.+state.+changed )|(ment ac)|(multiple cpu faults)|(system.+state.+changed )|(\[timeout)|(PRM\|1\|D)|(kpr)|(kdp)|(train st.+moving)|(\|lc)|(penalty))"</v>
      </c>
      <c r="U26" s="9" t="str">
        <f t="shared" si="2"/>
        <v>4054</v>
      </c>
      <c r="V26" s="31">
        <f t="shared" si="3"/>
        <v>43036.807974537034</v>
      </c>
      <c r="W26" s="45" t="str">
        <f t="shared" si="4"/>
        <v>NW</v>
      </c>
      <c r="X26" s="22">
        <f t="shared" si="5"/>
        <v>1815</v>
      </c>
      <c r="Y26" s="96" t="str">
        <f t="shared" si="6"/>
        <v>echo {"issue":{"subject":"","project_id":79,"tracker_id":40,"status_id":1,"priority_id":2,"assigned_to_id":338,"start_date":"2017-10-28","description":"","custom_fields":[{"id":1,"name":"Subdivision","value":"NW"},{"id":4,"name":"Milepost","value":"5.9048"},{"id":17,"name":"Train ID","value":"1815-28"},{"id":16,"name":"Locomotive ID","value":"4054"},{"id":130,"name":"Impact","value":""},{"id":150,"name":"Time of Event (Mountain Time)","value":"13:23:29"},{"id":151,"name":"Denver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/c/Users/stu/AppData/Local/Temp/OnboardLogs/RTDC4054 --include="*4054*201710281*"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"%USERPROFILE%\AppData\Local\Temp\OnboardLogs"\RTDC4054\*4054*201710281* &gt;&gt; 2017-10-28-SliceDisagreementCheck.txt</v>
      </c>
      <c r="AE26" s="145" t="str">
        <f t="shared" si="9"/>
        <v>start /low /b %USERPROFILE%\Documents\GitHub\eaglep3\Utilities\DownloadLogsFromS3.py --loco 4054 --day 2017-10-28</v>
      </c>
      <c r="AF26" s="1"/>
    </row>
    <row r="27" spans="1:32" x14ac:dyDescent="0.3">
      <c r="A27" s="31">
        <v>43036.252071759256</v>
      </c>
      <c r="B27" s="30" t="s">
        <v>534</v>
      </c>
      <c r="C27" s="30" t="s">
        <v>621</v>
      </c>
      <c r="D27" s="30" t="s">
        <v>95</v>
      </c>
      <c r="E27" s="30" t="s">
        <v>378</v>
      </c>
      <c r="F27" s="42">
        <v>0</v>
      </c>
      <c r="G27" s="42">
        <v>95</v>
      </c>
      <c r="H27" s="42">
        <v>4768</v>
      </c>
      <c r="I27" s="42">
        <v>4602</v>
      </c>
      <c r="J27" s="30" t="s">
        <v>379</v>
      </c>
      <c r="K27" s="42">
        <v>4790</v>
      </c>
      <c r="L27" s="131" t="s">
        <v>51</v>
      </c>
      <c r="M27" s="132">
        <f t="shared" si="0"/>
        <v>-99.263999999999996</v>
      </c>
      <c r="N27" s="133" t="str">
        <f>VLOOKUP(C27,'Trips&amp;Operators'!$C$1:$G$99911,5,FALSE)</f>
        <v>WILLIAMS DONTE</v>
      </c>
      <c r="O27" s="176" t="s">
        <v>178</v>
      </c>
      <c r="P27" s="134"/>
      <c r="Q27" s="30"/>
      <c r="R27" s="81" t="str">
        <f>VLOOKUP(C27,'Train Runs'!$A$13:$AE$10081,31,0)</f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S27" s="84" t="str">
        <f>VLOOKUP(C27,'Train Runs'!$A$13:$AE$10081,22,0)</f>
        <v>https://d0f6bd738d7f1b3e5a7ca70fe4ff75f0.us-east-1.aws.found.io/app/kibana#/discover/Steve-Slow-Train-Analysis-(2080s-and-2083s)?_g=(refreshInterval:(display:Off,pause:!f,section:0,value:0),time:(from:'2017-10-28T04:13:43-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7" s="86" t="str">
        <f t="shared" si="1"/>
        <v>"C:\Program Files (x86)\AstroGrep\AstroGrep.exe" /e /r /s /spath="%USERPROFILE%\AppData\Local\Temp\OnboardLogs" /stypes="*4041*201710281*" /stext=" 12:.+((SYSTEM_STATE.+slice.+state.+changed )|(ment ac)|(multiple cpu faults)|(system.+state.+changed )|(\[timeout)|(PRM\|1\|D)|(kpr)|(kdp)|(train st.+moving)|(\|lc)|(penalty))"</v>
      </c>
      <c r="U27" s="9" t="str">
        <f t="shared" si="2"/>
        <v>4041</v>
      </c>
      <c r="V27" s="31">
        <f t="shared" si="3"/>
        <v>43036.502071759256</v>
      </c>
      <c r="W27" s="45" t="str">
        <f t="shared" si="4"/>
        <v>Other</v>
      </c>
      <c r="X27" s="22">
        <f t="shared" si="5"/>
        <v>312</v>
      </c>
      <c r="Y27" s="96" t="str">
        <f t="shared" si="6"/>
        <v>echo {"issue":{"subject":"","project_id":79,"tracker_id":40,"status_id":1,"priority_id":2,"assigned_to_id":338,"start_date":"2017-10-28","description":"","custom_fields":[{"id":1,"name":"Subdivision","value":"Other"},{"id":4,"name":"Milepost","value":"0.479"},{"id":17,"name":"Train ID","value":"312-28"},{"id":16,"name":"Locomotive ID","value":"4041"},{"id":130,"name":"Impact","value":""},{"id":150,"name":"Time of Event (Mountain Time)","value":"06:02:59"},{"id":151,"name":"Denver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/c/Users/stu/AppData/Local/Temp/OnboardLogs/RTDC4041 --include="*4041*201710281*"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"%USERPROFILE%\AppData\Local\Temp\OnboardLogs"\RTDC4041\*4041*201710281* &gt;&gt; 2017-10-28-SliceDisagreementCheck.txt</v>
      </c>
      <c r="AE27" s="145" t="str">
        <f t="shared" si="9"/>
        <v>start /low /b %USERPROFILE%\Documents\GitHub\eaglep3\Utilities\DownloadLogsFromS3.py --loco 4041 --day 2017-10-28</v>
      </c>
      <c r="AF27" s="1"/>
    </row>
    <row r="28" spans="1:32" x14ac:dyDescent="0.3">
      <c r="A28" s="31">
        <v>43036.252800925926</v>
      </c>
      <c r="B28" s="30" t="s">
        <v>534</v>
      </c>
      <c r="C28" s="30" t="s">
        <v>621</v>
      </c>
      <c r="D28" s="30" t="s">
        <v>95</v>
      </c>
      <c r="E28" s="30" t="s">
        <v>378</v>
      </c>
      <c r="F28" s="42">
        <v>0</v>
      </c>
      <c r="G28" s="42">
        <v>6</v>
      </c>
      <c r="H28" s="42">
        <v>4534</v>
      </c>
      <c r="I28" s="42">
        <v>4490</v>
      </c>
      <c r="J28" s="30" t="s">
        <v>379</v>
      </c>
      <c r="K28" s="42">
        <v>4790</v>
      </c>
      <c r="L28" s="131" t="s">
        <v>51</v>
      </c>
      <c r="M28" s="132">
        <f t="shared" si="0"/>
        <v>-158.4</v>
      </c>
      <c r="N28" s="133" t="str">
        <f>VLOOKUP(C28,'Trips&amp;Operators'!$C$1:$G$99911,5,FALSE)</f>
        <v>WILLIAMS DONTE</v>
      </c>
      <c r="O28" s="176" t="s">
        <v>178</v>
      </c>
      <c r="P28" s="134"/>
      <c r="Q28" s="30"/>
      <c r="R28" s="81" t="str">
        <f>VLOOKUP(C28,'Train Runs'!$A$13:$AE$10081,31,0)</f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S28" s="84" t="str">
        <f>VLOOKUP(C28,'Train Runs'!$A$13:$AE$10081,22,0)</f>
        <v>https://d0f6bd738d7f1b3e5a7ca70fe4ff75f0.us-east-1.aws.found.io/app/kibana#/discover/Steve-Slow-Train-Analysis-(2080s-and-2083s)?_g=(refreshInterval:(display:Off,pause:!f,section:0,value:0),time:(from:'2017-10-28T04:13:43-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86" t="str">
        <f t="shared" si="1"/>
        <v>"C:\Program Files (x86)\AstroGrep\AstroGrep.exe" /e /r /s /spath="%USERPROFILE%\AppData\Local\Temp\OnboardLogs" /stypes="*4041*201710281*"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4041</v>
      </c>
      <c r="V28" s="31">
        <f t="shared" si="3"/>
        <v>43036.502800925926</v>
      </c>
      <c r="W28" s="45" t="str">
        <f t="shared" si="4"/>
        <v>Other</v>
      </c>
      <c r="X28" s="22">
        <f t="shared" si="5"/>
        <v>312</v>
      </c>
      <c r="Y28" s="96" t="str">
        <f t="shared" si="6"/>
        <v>echo {"issue":{"subject":"","project_id":79,"tracker_id":40,"status_id":1,"priority_id":2,"assigned_to_id":338,"start_date":"2017-10-28","description":"","custom_fields":[{"id":1,"name":"Subdivision","value":"Other"},{"id":4,"name":"Milepost","value":"0.479"},{"id":17,"name":"Train ID","value":"312-28"},{"id":16,"name":"Locomotive ID","value":"4041"},{"id":130,"name":"Impact","value":""},{"id":150,"name":"Time of Event (Mountain Time)","value":"06:04:02"},{"id":151,"name":"Denver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/c/Users/stu/AppData/Local/Temp/OnboardLogs/RTDC4041 --include="*4041*201710281*"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"%USERPROFILE%\AppData\Local\Temp\OnboardLogs"\RTDC4041\*4041*201710281* &gt;&gt; 2017-10-28-SliceDisagreementCheck.txt</v>
      </c>
      <c r="AE28" s="145" t="str">
        <f t="shared" si="9"/>
        <v>start /low /b %USERPROFILE%\Documents\GitHub\eaglep3\Utilities\DownloadLogsFromS3.py --loco 4041 --day 2017-10-28</v>
      </c>
      <c r="AF28" s="1"/>
    </row>
    <row r="29" spans="1:32" x14ac:dyDescent="0.3">
      <c r="A29" s="31">
        <v>43036.167256944442</v>
      </c>
      <c r="B29" s="30" t="s">
        <v>400</v>
      </c>
      <c r="C29" s="30" t="s">
        <v>614</v>
      </c>
      <c r="D29" s="30" t="s">
        <v>95</v>
      </c>
      <c r="E29" s="30" t="s">
        <v>378</v>
      </c>
      <c r="F29" s="42">
        <v>0</v>
      </c>
      <c r="G29" s="42">
        <v>87</v>
      </c>
      <c r="H29" s="42">
        <v>4781</v>
      </c>
      <c r="I29" s="42">
        <v>4669</v>
      </c>
      <c r="J29" s="30" t="s">
        <v>379</v>
      </c>
      <c r="K29" s="42">
        <v>4798</v>
      </c>
      <c r="L29" s="131" t="s">
        <v>51</v>
      </c>
      <c r="M29" s="132">
        <f t="shared" si="0"/>
        <v>-68.111999999999995</v>
      </c>
      <c r="N29" s="133" t="str">
        <f>VLOOKUP(C29,'Trips&amp;Operators'!$C$1:$G$99911,5,FALSE)</f>
        <v>DAVIS WENDY</v>
      </c>
      <c r="O29" s="176" t="s">
        <v>178</v>
      </c>
      <c r="P29" s="134"/>
      <c r="Q29" s="30"/>
      <c r="R29" s="81" t="str">
        <f>VLOOKUP(C29,'Train Runs'!$A$13:$AE$10081,31,0)</f>
        <v>aws s3 cp s3://rtdc.mdm.uploadarchive.raw/RTDC4043/ "%USERPROFILE%\AppData\Local\Temp\OnboardLogs"\RTDC4043\2017-10-28 --exclude "*" --recursive --include "*20171028*" &amp; "%USERPROFILE%\Documents\GitHub\mrs-test-scripts\Headless Mode &amp; Sideloading\WalkAndUnGZ.bat" "%USERPROFILE%\AppData\Local\Temp\OnboardLogs"\RTDC4043\2017-10-28 &amp; aws s3 cp s3://rtdc.mdm.uploadarchive.raw/RTDC4043/ "%USERPROFILE%\AppData\Local\Temp\OnboardLogs"\RTDC4043\2017-10-29 --exclude "*" --recursive --include "*20171029*" &amp; "%USERPROFILE%\Documents\GitHub\mrs-test-scripts\Headless Mode &amp; Sideloading\WalkAndUnGZ.bat" "%USERPROFILE%\AppData\Local\Temp\OnboardLogs"\RTDC4043\2017-10-29</v>
      </c>
      <c r="S29" s="84" t="str">
        <f>VLOOKUP(C29,'Train Runs'!$A$13:$AE$10081,22,0)</f>
        <v>https://d0f6bd738d7f1b3e5a7ca70fe4ff75f0.us-east-1.aws.found.io/app/kibana#/discover/Steve-Slow-Train-Analysis-(2080s-and-2083s)?_g=(refreshInterval:(display:Off,pause:!f,section:0,value:0),time:(from:'2017-10-28T02:46:26-0600',mode:absolute,to:'2017-10-28T05:00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86" t="str">
        <f t="shared" si="1"/>
        <v>"C:\Program Files (x86)\AstroGrep\AstroGrep.exe" /e /r /s /spath="%USERPROFILE%\AppData\Local\Temp\OnboardLogs" /stypes="*4043*201710281*" /stext=" 10:.+((SYSTEM_STATE.+slice.+state.+changed )|(ment ac)|(multiple cpu faults)|(system.+state.+changed )|(\[timeout)|(PRM\|1\|D)|(kpr)|(kdp)|(train st.+moving)|(\|lc)|(penalty))"</v>
      </c>
      <c r="U29" s="9" t="str">
        <f t="shared" si="2"/>
        <v>4043</v>
      </c>
      <c r="V29" s="31">
        <f t="shared" si="3"/>
        <v>43036.417256944442</v>
      </c>
      <c r="W29" s="45" t="str">
        <f t="shared" si="4"/>
        <v>Other</v>
      </c>
      <c r="X29" s="22">
        <f t="shared" si="5"/>
        <v>304</v>
      </c>
      <c r="Y29" s="96" t="str">
        <f t="shared" si="6"/>
        <v>echo {"issue":{"subject":"","project_id":79,"tracker_id":40,"status_id":1,"priority_id":2,"assigned_to_id":338,"start_date":"2017-10-28","description":"","custom_fields":[{"id":1,"name":"Subdivision","value":"Other"},{"id":4,"name":"Milepost","value":"0.4798"},{"id":17,"name":"Train ID","value":"304-28"},{"id":16,"name":"Locomotive ID","value":"4043"},{"id":130,"name":"Impact","value":""},{"id":150,"name":"Time of Event (Mountain Time)","value":"04:00:51"},{"id":151,"name":"Denver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/c/Users/stu/AppData/Local/Temp/OnboardLogs/RTDC4043 --include="*4043*201710281*"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"%USERPROFILE%\AppData\Local\Temp\OnboardLogs"\RTDC4043\*4043*201710281* &gt;&gt; 2017-10-28-SliceDisagreementCheck.txt</v>
      </c>
      <c r="AE29" s="145" t="str">
        <f t="shared" si="9"/>
        <v>start /low /b %USERPROFILE%\Documents\GitHub\eaglep3\Utilities\DownloadLogsFromS3.py --loco 4043 --day 2017-10-28</v>
      </c>
      <c r="AF29" s="1"/>
    </row>
    <row r="30" spans="1:32" x14ac:dyDescent="0.3">
      <c r="A30" s="31">
        <v>43036.494525462964</v>
      </c>
      <c r="B30" s="30" t="s">
        <v>536</v>
      </c>
      <c r="C30" s="30" t="s">
        <v>627</v>
      </c>
      <c r="D30" s="30" t="s">
        <v>49</v>
      </c>
      <c r="E30" s="30" t="s">
        <v>378</v>
      </c>
      <c r="F30" s="42">
        <v>0</v>
      </c>
      <c r="G30" s="42">
        <v>208</v>
      </c>
      <c r="H30" s="42">
        <v>92219</v>
      </c>
      <c r="I30" s="42">
        <v>91786</v>
      </c>
      <c r="J30" s="30" t="s">
        <v>379</v>
      </c>
      <c r="K30" s="42">
        <v>91979</v>
      </c>
      <c r="L30" s="131" t="s">
        <v>51</v>
      </c>
      <c r="M30" s="132">
        <f t="shared" si="0"/>
        <v>-101.904</v>
      </c>
      <c r="N30" s="133" t="str">
        <f>VLOOKUP(C30,'Trips&amp;Operators'!$C$1:$G$99911,5,FALSE)</f>
        <v>ROMERO CHAD</v>
      </c>
      <c r="O30" s="176" t="s">
        <v>178</v>
      </c>
      <c r="P30" s="134"/>
      <c r="Q30" s="30"/>
      <c r="R30" s="81" t="str">
        <f>VLOOKUP(C30,'Train Runs'!$A$13:$AE$10081,31,0)</f>
        <v>aws s3 cp s3://rtdc.mdm.uploadarchive.raw/RTDC4034/ "%USERPROFILE%\AppData\Local\Temp\OnboardLogs"\RTDC4034\2017-10-28 --exclude "*" --recursive --include "*20171028*" &amp; "%USERPROFILE%\Documents\GitHub\mrs-test-scripts\Headless Mode &amp; Sideloading\WalkAndUnGZ.bat" "%USERPROFILE%\AppData\Local\Temp\OnboardLogs"\RTDC4034\2017-10-28 &amp; aws s3 cp s3://rtdc.mdm.uploadarchive.raw/RTDC4034/ "%USERPROFILE%\AppData\Local\Temp\OnboardLogs"\RTDC4034\2017-10-29 --exclude "*" --recursive --include "*20171029*" &amp; "%USERPROFILE%\Documents\GitHub\mrs-test-scripts\Headless Mode &amp; Sideloading\WalkAndUnGZ.bat" "%USERPROFILE%\AppData\Local\Temp\OnboardLogs"\RTDC4034\2017-10-29</v>
      </c>
      <c r="S30" s="84" t="str">
        <f>VLOOKUP(C30,'Train Runs'!$A$13:$AE$10081,22,0)</f>
        <v>https://d0f6bd738d7f1b3e5a7ca70fe4ff75f0.us-east-1.aws.found.io/app/kibana#/discover/Steve-Slow-Train-Analysis-(2080s-and-2083s)?_g=(refreshInterval:(display:Off,pause:!f,section:0,value:0),time:(from:'2017-10-28T06:23:02-0600',mode:absolute,to:'2017-10-28T09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0" s="86" t="str">
        <f t="shared" si="1"/>
        <v>"C:\Program Files (x86)\AstroGrep\AstroGrep.exe" /e /r /s /spath="%USERPROFILE%\AppData\Local\Temp\OnboardLogs" /stypes="*4033*201710281*" /stext=" 17:.+((SYSTEM_STATE.+slice.+state.+changed )|(ment ac)|(multiple cpu faults)|(system.+state.+changed )|(\[timeout)|(PRM\|1\|D)|(kpr)|(kdp)|(train st.+moving)|(\|lc)|(penalty))"</v>
      </c>
      <c r="U30" s="9" t="str">
        <f t="shared" si="2"/>
        <v>4033</v>
      </c>
      <c r="V30" s="31">
        <f t="shared" si="3"/>
        <v>43036.744525462964</v>
      </c>
      <c r="W30" s="45" t="str">
        <f t="shared" si="4"/>
        <v>Other</v>
      </c>
      <c r="X30" s="22">
        <f t="shared" si="5"/>
        <v>1701</v>
      </c>
      <c r="Y30" s="96" t="str">
        <f t="shared" si="6"/>
        <v>echo {"issue":{"subject":"","project_id":79,"tracker_id":40,"status_id":1,"priority_id":2,"assigned_to_id":338,"start_date":"2017-10-28","description":"","custom_fields":[{"id":1,"name":"Subdivision","value":"Other"},{"id":4,"name":"Milepost","value":"9.1979"},{"id":17,"name":"Train ID","value":"1701-28"},{"id":16,"name":"Locomotive ID","value":"4033"},{"id":130,"name":"Impact","value":""},{"id":150,"name":"Time of Event (Mountain Time)","value":"11:52:07"},{"id":151,"name":"Denver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/c/Users/stu/AppData/Local/Temp/OnboardLogs/RTDC4033 --include="*4033*201710281*"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"%USERPROFILE%\AppData\Local\Temp\OnboardLogs"\RTDC4033\*4033*201710281* &gt;&gt; 2017-10-28-SliceDisagreementCheck.txt</v>
      </c>
      <c r="AE30" s="145" t="str">
        <f t="shared" si="9"/>
        <v>start /low /b %USERPROFILE%\Documents\GitHub\eaglep3\Utilities\DownloadLogsFromS3.py --loco 4033 --day 2017-10-28</v>
      </c>
      <c r="AF30" s="1"/>
    </row>
    <row r="31" spans="1:32" x14ac:dyDescent="0.3">
      <c r="A31" s="31">
        <v>43036.213009259256</v>
      </c>
      <c r="B31" s="30" t="s">
        <v>617</v>
      </c>
      <c r="C31" s="30" t="s">
        <v>618</v>
      </c>
      <c r="D31" s="30" t="s">
        <v>49</v>
      </c>
      <c r="E31" s="30" t="s">
        <v>619</v>
      </c>
      <c r="F31" s="42">
        <v>100</v>
      </c>
      <c r="G31" s="42">
        <v>159</v>
      </c>
      <c r="H31" s="42">
        <v>5217</v>
      </c>
      <c r="I31" s="42">
        <v>4981</v>
      </c>
      <c r="J31" s="30" t="s">
        <v>186</v>
      </c>
      <c r="K31" s="42">
        <v>4701</v>
      </c>
      <c r="L31" s="131" t="s">
        <v>51</v>
      </c>
      <c r="M31" s="132">
        <f t="shared" si="0"/>
        <v>147.84</v>
      </c>
      <c r="N31" s="133" t="str">
        <f>VLOOKUP(C31,'Trips&amp;Operators'!$C$1:$G$99911,5,FALSE)</f>
        <v>LALONDE GREGORY</v>
      </c>
      <c r="O31" s="176" t="s">
        <v>178</v>
      </c>
      <c r="P31" s="134"/>
      <c r="Q31" s="30"/>
      <c r="R31" s="81" t="str">
        <f>VLOOKUP(C31,'Train Runs'!$A$13:$AE$10081,31,0)</f>
        <v>aws s3 cp s3://rtdc.mdm.uploadarchive.raw/RTDC4031/ "%USERPROFILE%\AppData\Local\Temp\OnboardLogs"\RTDC4031\2017-10-28 --exclude "*" --recursive --include "*20171028*" &amp; "%USERPROFILE%\Documents\GitHub\mrs-test-scripts\Headless Mode &amp; Sideloading\WalkAndUnGZ.bat" "%USERPROFILE%\AppData\Local\Temp\OnboardLogs"\RTDC4031\2017-10-28 &amp; aws s3 cp s3://rtdc.mdm.uploadarchive.raw/RTDC4031/ "%USERPROFILE%\AppData\Local\Temp\OnboardLogs"\RTDC4031\2017-10-29 --exclude "*" --recursive --include "*20171029*" &amp; "%USERPROFILE%\Documents\GitHub\mrs-test-scripts\Headless Mode &amp; Sideloading\WalkAndUnGZ.bat" "%USERPROFILE%\AppData\Local\Temp\OnboardLogs"\RTDC4031\2017-10-29</v>
      </c>
      <c r="S31" s="84" t="str">
        <f>VLOOKUP(C31,'Train Runs'!$A$13:$AE$10081,22,0)</f>
        <v>https://d0f6bd738d7f1b3e5a7ca70fe4ff75f0.us-east-1.aws.found.io/app/kibana#/discover/Steve-Slow-Train-Analysis-(2080s-and-2083s)?_g=(refreshInterval:(display:Off,pause:!f,section:0,value:0),time:(from:'2017-10-28T03:50:39-0600',mode:absolute,to:'2017-10-28T06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1" s="86" t="str">
        <f t="shared" si="1"/>
        <v>"C:\Program Files (x86)\AstroGrep\AstroGrep.exe" /e /r /s /spath="%USERPROFILE%\AppData\Local\Temp\OnboardLogs" /stypes="*4031*201710281*"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4031</v>
      </c>
      <c r="V31" s="31">
        <f t="shared" si="3"/>
        <v>43036.463009259256</v>
      </c>
      <c r="W31" s="45" t="str">
        <f t="shared" si="4"/>
        <v>Other</v>
      </c>
      <c r="X31" s="22">
        <f t="shared" si="5"/>
        <v>310</v>
      </c>
      <c r="Y31" s="96" t="str">
        <f t="shared" si="6"/>
        <v>echo {"issue":{"subject":"","project_id":79,"tracker_id":40,"status_id":1,"priority_id":2,"assigned_to_id":338,"start_date":"2017-10-28","description":"","custom_fields":[{"id":1,"name":"Subdivision","value":"Other"},{"id":4,"name":"Milepost","value":"0.4701"},{"id":17,"name":"Train ID","value":"310-28"},{"id":16,"name":"Locomotive ID","value":"4031"},{"id":130,"name":"Impact","value":""},{"id":150,"name":"Time of Event (Mountain Time)","value":"05:06:44"},{"id":151,"name":"Denver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/c/Users/stu/AppData/Local/Temp/OnboardLogs/RTDC4031 --include="*4031*201710281*"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"%USERPROFILE%\AppData\Local\Temp\OnboardLogs"\RTDC4031\*4031*201710281* &gt;&gt; 2017-10-28-SliceDisagreementCheck.txt</v>
      </c>
      <c r="AE31" s="145" t="str">
        <f t="shared" si="9"/>
        <v>start /low /b %USERPROFILE%\Documents\GitHub\eaglep3\Utilities\DownloadLogsFromS3.py --loco 4031 --day 2017-10-28</v>
      </c>
      <c r="AF31" s="1"/>
    </row>
    <row r="32" spans="1:32" x14ac:dyDescent="0.3">
      <c r="A32" s="31">
        <v>43036.946817129632</v>
      </c>
      <c r="B32" s="30" t="s">
        <v>637</v>
      </c>
      <c r="C32" s="30" t="s">
        <v>638</v>
      </c>
      <c r="D32" s="30" t="s">
        <v>95</v>
      </c>
      <c r="E32" s="30" t="s">
        <v>192</v>
      </c>
      <c r="F32" s="42">
        <v>350</v>
      </c>
      <c r="G32" s="42">
        <v>415</v>
      </c>
      <c r="H32" s="42">
        <v>224667</v>
      </c>
      <c r="I32" s="42">
        <v>222752</v>
      </c>
      <c r="J32" s="30" t="s">
        <v>193</v>
      </c>
      <c r="K32" s="42">
        <v>232107</v>
      </c>
      <c r="L32" s="131" t="s">
        <v>51</v>
      </c>
      <c r="M32" s="132">
        <f t="shared" si="0"/>
        <v>-4939.4399999999996</v>
      </c>
      <c r="N32" s="133" t="str">
        <f>VLOOKUP(C32,'Trips&amp;Operators'!$C$1:$G$99911,5,FALSE)</f>
        <v>WEST BRYAN</v>
      </c>
      <c r="O32" s="176" t="s">
        <v>178</v>
      </c>
      <c r="P32" s="134"/>
      <c r="Q32" s="30"/>
      <c r="R32" s="81" t="str">
        <f>VLOOKUP(C32,'Train Runs'!$A$13:$AE$10081,31,0)</f>
        <v>aws s3 cp s3://rtdc.mdm.uploadarchive.raw/RTDC4047/ "%USERPROFILE%\AppData\Local\Temp\OnboardLogs"\RTDC4047\2017-10-28 --exclude "*" --recursive --include "*20171028*" &amp; "%USERPROFILE%\Documents\GitHub\mrs-test-scripts\Headless Mode &amp; Sideloading\WalkAndUnGZ.bat" "%USERPROFILE%\AppData\Local\Temp\OnboardLogs"\RTDC4047\2017-10-28 &amp; aws s3 cp s3://rtdc.mdm.uploadarchive.raw/RTDC4047/ "%USERPROFILE%\AppData\Local\Temp\OnboardLogs"\RTDC4047\2017-10-29 --exclude "*" --recursive --include "*20171029*" &amp; "%USERPROFILE%\Documents\GitHub\mrs-test-scripts\Headless Mode &amp; Sideloading\WalkAndUnGZ.bat" "%USERPROFILE%\AppData\Local\Temp\OnboardLogs"\RTDC4047\2017-10-29</v>
      </c>
      <c r="S32" s="84" t="str">
        <f>VLOOKUP(C32,'Train Runs'!$A$13:$AE$10081,22,0)</f>
        <v>https://d0f6bd738d7f1b3e5a7ca70fe4ff75f0.us-east-1.aws.found.io/app/kibana#/discover/Steve-Slow-Train-Analysis-(2080s-and-2083s)?_g=(refreshInterval:(display:Off,pause:!f,section:0,value:0),time:(from:'2017-10-28T18:28:05-0600',mode:absolute,to:'2017-10-28T20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4047%22')),sort:!(Time.ISO8601,asc))</v>
      </c>
      <c r="T32" s="86" t="str">
        <f t="shared" si="1"/>
        <v>"C:\Program Files (x86)\AstroGrep\AstroGrep.exe" /e /r /s /spath="%USERPROFILE%\AppData\Local\Temp\OnboardLogs" /stypes="*4047*201710290*" /stext=" 04:.+((SYSTEM_STATE.+slice.+state.+changed )|(ment ac)|(multiple cpu faults)|(system.+state.+changed )|(\[timeout)|(PRM\|1\|D)|(kpr)|(kdp)|(train st.+moving)|(\|lc)|(penalty))"</v>
      </c>
      <c r="U32" s="9" t="str">
        <f t="shared" si="2"/>
        <v>4047</v>
      </c>
      <c r="V32" s="31">
        <f t="shared" si="3"/>
        <v>43037.196817129632</v>
      </c>
      <c r="W32" s="45" t="str">
        <f t="shared" si="4"/>
        <v>Shuttle/Test</v>
      </c>
      <c r="X32" s="22">
        <f t="shared" si="5"/>
        <v>78</v>
      </c>
      <c r="Y32" s="96" t="str">
        <f t="shared" si="6"/>
        <v>echo {"issue":{"subject":"","project_id":79,"tracker_id":40,"status_id":1,"priority_id":2,"assigned_to_id":338,"start_date":"2017-10-28","description":"","custom_fields":[{"id":1,"name":"Subdivision","value":"Shuttle/Test"},{"id":4,"name":"Milepost","value":"23.2107"},{"id":17,"name":"Train ID","value":"78-28"},{"id":16,"name":"Locomotive ID","value":"4047"},{"id":130,"name":"Impact","value":""},{"id":150,"name":"Time of Event (Mountain Time)","value":"22:43:25"},{"id":151,"name":"Denver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/c/Users/stu/AppData/Local/Temp/OnboardLogs/RTDC4047 --include="*4047*201710290*"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"%USERPROFILE%\AppData\Local\Temp\OnboardLogs"\RTDC4047\*4047*201710290* &gt;&gt; 2017-10-28-SliceDisagreementCheck.txt</v>
      </c>
      <c r="AE32" s="145" t="str">
        <f t="shared" si="9"/>
        <v>start /low /b %USERPROFILE%\Documents\GitHub\eaglep3\Utilities\DownloadLogsFromS3.py --loco 4047 --day 2017-10-29</v>
      </c>
      <c r="AF32" s="1"/>
    </row>
    <row r="33" spans="1:32" x14ac:dyDescent="0.3">
      <c r="A33" s="31">
        <v>43036.983981481484</v>
      </c>
      <c r="B33" s="30" t="s">
        <v>641</v>
      </c>
      <c r="C33" s="30" t="s">
        <v>642</v>
      </c>
      <c r="D33" s="30" t="s">
        <v>95</v>
      </c>
      <c r="E33" s="30" t="s">
        <v>378</v>
      </c>
      <c r="F33" s="42">
        <v>0</v>
      </c>
      <c r="G33" s="42">
        <v>48</v>
      </c>
      <c r="H33" s="42">
        <v>108059</v>
      </c>
      <c r="I33" s="42">
        <v>108120</v>
      </c>
      <c r="J33" s="30" t="s">
        <v>379</v>
      </c>
      <c r="K33" s="42">
        <v>107940</v>
      </c>
      <c r="L33" s="131" t="s">
        <v>50</v>
      </c>
      <c r="M33" s="132">
        <f t="shared" si="0"/>
        <v>-95.04</v>
      </c>
      <c r="N33" s="133" t="str">
        <f>VLOOKUP(C33,'Trips&amp;Operators'!$C$1:$G$99911,5,FALSE)</f>
        <v>CASSIDY BRANDON</v>
      </c>
      <c r="O33" s="176" t="s">
        <v>178</v>
      </c>
      <c r="P33" s="134"/>
      <c r="Q33" s="30"/>
      <c r="R33" s="81" t="str">
        <f>VLOOKUP(C33,'Train Runs'!$A$13:$AE$10081,31,0)</f>
        <v>aws s3 cp s3://rtdc.mdm.uploadarchive.raw/RTDC4064/ "%USERPROFILE%\AppData\Local\Temp\OnboardLogs"\RTDC4064\2017-10-28 --exclude "*" --recursive --include "*20171028*" &amp; "%USERPROFILE%\Documents\GitHub\mrs-test-scripts\Headless Mode &amp; Sideloading\WalkAndUnGZ.bat" "%USERPROFILE%\AppData\Local\Temp\OnboardLogs"\RTDC4064\2017-10-28 &amp; aws s3 cp s3://rtdc.mdm.uploadarchive.raw/RTDC4064/ "%USERPROFILE%\AppData\Local\Temp\OnboardLogs"\RTDC4064\2017-10-29 --exclude "*" --recursive --include "*20171029*" &amp; "%USERPROFILE%\Documents\GitHub\mrs-test-scripts\Headless Mode &amp; Sideloading\WalkAndUnGZ.bat" "%USERPROFILE%\AppData\Local\Temp\OnboardLogs"\RTDC4064\2017-10-29</v>
      </c>
      <c r="S33" s="84" t="str">
        <f>VLOOKUP(C33,'Train Runs'!$A$13:$AE$10081,22,0)</f>
        <v>https://d0f6bd738d7f1b3e5a7ca70fe4ff75f0.us-east-1.aws.found.io/app/kibana#/discover/Steve-Slow-Train-Analysis-(2080s-and-2083s)?_g=(refreshInterval:(display:Off,pause:!f,section:0,value:0),time:(from:'2017-10-28T22:31:45-0600',mode:absolute,to:'2017-10-29T00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3" s="86" t="str">
        <f t="shared" si="1"/>
        <v>"C:\Program Files (x86)\AstroGrep\AstroGrep.exe" /e /r /s /spath="%USERPROFILE%\AppData\Local\Temp\OnboardLogs" /stypes="*4064*201710290*" /stext=" 05:.+((SYSTEM_STATE.+slice.+state.+changed )|(ment ac)|(multiple cpu faults)|(system.+state.+changed )|(\[timeout)|(PRM\|1\|D)|(kpr)|(kdp)|(train st.+moving)|(\|lc)|(penalty))"</v>
      </c>
      <c r="U33" s="9" t="str">
        <f t="shared" si="2"/>
        <v>4064</v>
      </c>
      <c r="V33" s="31">
        <f t="shared" si="3"/>
        <v>43037.233981481484</v>
      </c>
      <c r="W33" s="45" t="str">
        <f t="shared" si="4"/>
        <v>Shuttle/Test</v>
      </c>
      <c r="X33" s="22">
        <f t="shared" si="5"/>
        <v>74</v>
      </c>
      <c r="Y33" s="96" t="str">
        <f t="shared" si="6"/>
        <v>echo {"issue":{"subject":"","project_id":79,"tracker_id":40,"status_id":1,"priority_id":2,"assigned_to_id":338,"start_date":"2017-10-28","description":"","custom_fields":[{"id":1,"name":"Subdivision","value":"Shuttle/Test"},{"id":4,"name":"Milepost","value":"10.794"},{"id":17,"name":"Train ID","value":"74-28"},{"id":16,"name":"Locomotive ID","value":"4064"},{"id":130,"name":"Impact","value":""},{"id":150,"name":"Time of Event (Mountain Time)","value":"23:36:56"},{"id":151,"name":"Denver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/c/Users/stu/AppData/Local/Temp/OnboardLogs/RTDC4064 --include="*4064*201710290*"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"%USERPROFILE%\AppData\Local\Temp\OnboardLogs"\RTDC4064\*4064*201710290* &gt;&gt; 2017-10-28-SliceDisagreementCheck.txt</v>
      </c>
      <c r="AE33" s="145" t="str">
        <f t="shared" si="9"/>
        <v>start /low /b %USERPROFILE%\Documents\GitHub\eaglep3\Utilities\DownloadLogsFromS3.py --loco 4064 --day 2017-10-29</v>
      </c>
      <c r="AF33" s="1"/>
    </row>
    <row r="34" spans="1:32" x14ac:dyDescent="0.3">
      <c r="A34" s="31">
        <v>43036.998356481483</v>
      </c>
      <c r="B34" s="30" t="s">
        <v>367</v>
      </c>
      <c r="C34" s="30" t="s">
        <v>643</v>
      </c>
      <c r="D34" s="30" t="s">
        <v>95</v>
      </c>
      <c r="E34" s="30" t="s">
        <v>179</v>
      </c>
      <c r="F34" s="42">
        <v>0</v>
      </c>
      <c r="G34" s="42">
        <v>5</v>
      </c>
      <c r="H34" s="42">
        <v>839</v>
      </c>
      <c r="I34" s="42">
        <v>0</v>
      </c>
      <c r="J34" s="30" t="s">
        <v>180</v>
      </c>
      <c r="K34" s="42">
        <v>839</v>
      </c>
      <c r="L34" s="131" t="s">
        <v>51</v>
      </c>
      <c r="M34" s="132">
        <f t="shared" si="0"/>
        <v>-442.99200000000002</v>
      </c>
      <c r="N34" s="133" t="str">
        <f>VLOOKUP(C34,'Trips&amp;Operators'!$C$1:$G$99911,5,FALSE)</f>
        <v>GUNTHIER ERIC</v>
      </c>
      <c r="O34" s="176" t="s">
        <v>178</v>
      </c>
      <c r="P34" s="134"/>
      <c r="Q34" s="30"/>
      <c r="R34" s="81" t="e">
        <f>VLOOKUP(C34,'Train Runs'!$A$13:$AE$10081,31,0)</f>
        <v>#N/A</v>
      </c>
      <c r="S34" s="84" t="e">
        <f>VLOOKUP(C34,'Train Runs'!$A$13:$AE$10081,22,0)</f>
        <v>#N/A</v>
      </c>
      <c r="T34" s="86" t="str">
        <f t="shared" si="1"/>
        <v>"C:\Program Files (x86)\AstroGrep\AstroGrep.exe" /e /r /s /spath="%USERPROFILE%\AppData\Local\Temp\OnboardLogs" /stypes="*4055*201710290*" /stext=" 05:.+((SYSTEM_STATE.+slice.+state.+changed )|(ment ac)|(multiple cpu faults)|(system.+state.+changed )|(\[timeout)|(PRM\|1\|D)|(kpr)|(kdp)|(train st.+moving)|(\|lc)|(penalty))"</v>
      </c>
      <c r="U34" s="9" t="str">
        <f t="shared" si="2"/>
        <v>4055</v>
      </c>
      <c r="V34" s="31">
        <f t="shared" si="3"/>
        <v>43037.248356481483</v>
      </c>
      <c r="W34" s="45" t="str">
        <f t="shared" si="4"/>
        <v>Shuttle/Test</v>
      </c>
      <c r="X34" s="22">
        <f t="shared" si="5"/>
        <v>58</v>
      </c>
      <c r="Y34" s="96" t="str">
        <f t="shared" si="6"/>
        <v>echo {"issue":{"subject":"","project_id":79,"tracker_id":40,"status_id":1,"priority_id":2,"assigned_to_id":338,"start_date":"2017-10-28","description":"","custom_fields":[{"id":1,"name":"Subdivision","value":"Shuttle/Test"},{"id":4,"name":"Milepost","value":"0.0839"},{"id":17,"name":"Train ID","value":"58-28"},{"id":16,"name":"Locomotive ID","value":"4055"},{"id":130,"name":"Impact","value":""},{"id":150,"name":"Time of Event (Mountain Time)","value":"23:57:38"},{"id":151,"name":"Denver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/c/Users/stu/AppData/Local/Temp/OnboardLogs/RTDC4055 --include="*4055*201710290*"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"%USERPROFILE%\AppData\Local\Temp\OnboardLogs"\RTDC4055\*4055*201710290* &gt;&gt; 2017-10-28-SliceDisagreementCheck.txt</v>
      </c>
      <c r="AE34" s="145" t="str">
        <f t="shared" si="9"/>
        <v>start /low /b %USERPROFILE%\Documents\GitHub\eaglep3\Utilities\DownloadLogsFromS3.py --loco 4055 --day 2017-10-29</v>
      </c>
      <c r="AF34" s="1"/>
    </row>
    <row r="35" spans="1:32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2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39">
      <sortCondition ref="W7:W34"/>
      <sortCondition ref="E7:E34"/>
      <sortCondition ref="K7:K34"/>
      <sortCondition ref="F7:F34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34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4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B4" sqref="B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2017-10-28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106</v>
      </c>
      <c r="B3" s="42" t="str">
        <f>A3&amp;"-"&amp;IF(DAY(Variables!$A$2)&lt;10,0,"")&amp;DAY(Variables!$A$2)</f>
        <v>106-28</v>
      </c>
      <c r="C3" s="135"/>
      <c r="D3" s="225" t="e">
        <f>VLOOKUP(B3,'Trips&amp;Operators'!$C$1:$H$1072,6,FALSE)</f>
        <v>#N/A</v>
      </c>
      <c r="E3" s="30" t="s">
        <v>1106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22106-28%22)),sort:!(Time.ISO8601,asc))</v>
      </c>
      <c r="J3" s="30" t="e">
        <f>VLOOKUP(B3,'Train Runs'!$A$13:$A$100078,1,FALSE)</f>
        <v>#N/A</v>
      </c>
    </row>
    <row r="4" spans="1:10" x14ac:dyDescent="0.3">
      <c r="A4" s="198">
        <v>246</v>
      </c>
      <c r="B4" s="42" t="str">
        <f>A4&amp;"-"&amp;IF(DAY(Variables!$A$2)&lt;10,0,"")&amp;DAY(Variables!$A$2)</f>
        <v>246-28</v>
      </c>
      <c r="C4" s="135"/>
      <c r="D4" s="153" t="str">
        <f>VLOOKUP(B4,'Trips&amp;Operators'!$C$1:$H$1072,6,FALSE)</f>
        <v>4041</v>
      </c>
      <c r="E4" s="30"/>
      <c r="F4" s="21" t="str">
        <f>VLOOKUP(B4,'Trips&amp;Operators'!$C$2:$E$9912,3,FALSE)</f>
        <v>RESPASS</v>
      </c>
      <c r="G4" s="21" t="str">
        <f>VLOOKUP(B4,'Trips&amp;Operators'!$C$1:$F$9912,4,FALSE)</f>
        <v>AARON</v>
      </c>
      <c r="H4" s="29" t="str">
        <f>VLOOKUP(B4,'Trips&amp;Operators'!$C$1:$H$9912,5,FALSE)</f>
        <v>RESPASS AARON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22246-28%22)),sort:!(Time.ISO8601,asc))</v>
      </c>
      <c r="J4" s="30" t="str">
        <f>VLOOKUP(B4,'Train Runs'!$A$13:$A$100078,1,FALSE)</f>
        <v>246-28</v>
      </c>
    </row>
    <row r="5" spans="1:10" x14ac:dyDescent="0.3">
      <c r="A5" s="198"/>
      <c r="B5" s="42" t="str">
        <f>A5&amp;"-"&amp;IF(DAY(Variables!$A$2)&lt;10,0,"")&amp;DAY(Variables!$A$2)</f>
        <v>-28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5" s="30" t="e">
        <f>VLOOKUP(B5,'Train Runs'!$A$13:$A$100078,1,FALSE)</f>
        <v>#N/A</v>
      </c>
    </row>
    <row r="6" spans="1:10" x14ac:dyDescent="0.3">
      <c r="A6" s="198"/>
      <c r="B6" s="42" t="str">
        <f>A6&amp;"-"&amp;IF(DAY(Variables!$A$2)&lt;10,0,"")&amp;DAY(Variables!$A$2)</f>
        <v>-28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6" s="30" t="e">
        <f>VLOOKUP(B6,'Train Runs'!$A$13:$A$100078,1,FALSE)</f>
        <v>#N/A</v>
      </c>
    </row>
    <row r="7" spans="1:10" x14ac:dyDescent="0.3">
      <c r="A7" s="198"/>
      <c r="B7" s="42" t="str">
        <f>A7&amp;"-"&amp;IF(DAY(Variables!$A$2)&lt;10,0,"")&amp;DAY(Variables!$A$2)</f>
        <v>-28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7" s="30" t="e">
        <f>VLOOKUP(B7,'Train Runs'!$A$13:$A$100078,1,FALSE)</f>
        <v>#N/A</v>
      </c>
    </row>
    <row r="8" spans="1:10" x14ac:dyDescent="0.3">
      <c r="A8" s="198"/>
      <c r="B8" s="42" t="str">
        <f>A8&amp;"-"&amp;IF(DAY(Variables!$A$2)&lt;10,0,"")&amp;DAY(Variables!$A$2)</f>
        <v>-28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8" s="30" t="e">
        <f>VLOOKUP(B8,'Train Runs'!$A$13:$A$100078,1,FALSE)</f>
        <v>#N/A</v>
      </c>
    </row>
    <row r="9" spans="1:10" x14ac:dyDescent="0.3">
      <c r="A9" s="198"/>
      <c r="B9" s="42" t="str">
        <f>A9&amp;"-"&amp;IF(DAY(Variables!$A$2)&lt;10,0,"")&amp;DAY(Variables!$A$2)</f>
        <v>-28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9" s="30" t="e">
        <f>VLOOKUP(B9,'Train Runs'!$A$13:$A$100078,1,FALSE)</f>
        <v>#N/A</v>
      </c>
    </row>
    <row r="10" spans="1:10" x14ac:dyDescent="0.3">
      <c r="A10" s="198"/>
      <c r="B10" s="42" t="str">
        <f>A10&amp;"-"&amp;IF(DAY(Variables!$A$2)&lt;10,0,"")&amp;DAY(Variables!$A$2)</f>
        <v>-28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0" s="30" t="e">
        <f>VLOOKUP(B10,'Train Runs'!$A$13:$A$100078,1,FALSE)</f>
        <v>#N/A</v>
      </c>
    </row>
    <row r="11" spans="1:10" x14ac:dyDescent="0.3">
      <c r="A11" s="198"/>
      <c r="B11" s="42" t="str">
        <f>A11&amp;"-"&amp;IF(DAY(Variables!$A$2)&lt;10,0,"")&amp;DAY(Variables!$A$2)</f>
        <v>-28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1" s="30" t="e">
        <f>VLOOKUP(B11,'Train Runs'!$A$13:$A$100078,1,FALSE)</f>
        <v>#N/A</v>
      </c>
    </row>
    <row r="12" spans="1:10" x14ac:dyDescent="0.3">
      <c r="A12" s="198"/>
      <c r="B12" s="42" t="str">
        <f>A12&amp;"-"&amp;IF(DAY(Variables!$A$2)&lt;10,0,"")&amp;DAY(Variables!$A$2)</f>
        <v>-28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2" s="30" t="e">
        <f>VLOOKUP(B12,'Train Runs'!$A$13:$A$100078,1,FALSE)</f>
        <v>#N/A</v>
      </c>
    </row>
    <row r="13" spans="1:10" x14ac:dyDescent="0.3">
      <c r="A13" s="198"/>
      <c r="B13" s="42" t="str">
        <f>A13&amp;"-"&amp;IF(DAY(Variables!$A$2)&lt;10,0,"")&amp;DAY(Variables!$A$2)</f>
        <v>-28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3" s="30" t="e">
        <f>VLOOKUP(B13,'Train Runs'!$A$13:$A$100078,1,FALSE)</f>
        <v>#N/A</v>
      </c>
    </row>
    <row r="14" spans="1:10" x14ac:dyDescent="0.3">
      <c r="A14" s="198"/>
      <c r="B14" s="42" t="str">
        <f>A14&amp;"-"&amp;IF(DAY(Variables!$A$2)&lt;10,0,"")&amp;DAY(Variables!$A$2)</f>
        <v>-28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4" s="30" t="e">
        <f>VLOOKUP(B14,'Train Runs'!$A$13:$A$100078,1,FALSE)</f>
        <v>#N/A</v>
      </c>
    </row>
    <row r="15" spans="1:10" x14ac:dyDescent="0.3">
      <c r="A15" s="198"/>
      <c r="B15" s="42" t="str">
        <f>A15&amp;"-"&amp;IF(DAY(Variables!$A$2)&lt;10,0,"")&amp;DAY(Variables!$A$2)</f>
        <v>-28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5" s="30" t="e">
        <f>VLOOKUP(B15,'Train Runs'!$A$13:$A$100078,1,FALSE)</f>
        <v>#N/A</v>
      </c>
    </row>
    <row r="16" spans="1:10" x14ac:dyDescent="0.3">
      <c r="A16" s="198"/>
      <c r="B16" s="42" t="str">
        <f>A16&amp;"-"&amp;IF(DAY(Variables!$A$2)&lt;10,0,"")&amp;DAY(Variables!$A$2)</f>
        <v>-28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6" s="30" t="e">
        <f>VLOOKUP(B16,'Train Runs'!$A$13:$A$100078,1,FALSE)</f>
        <v>#N/A</v>
      </c>
    </row>
    <row r="17" spans="1:10" x14ac:dyDescent="0.3">
      <c r="A17" s="198"/>
      <c r="B17" s="42" t="str">
        <f>A17&amp;"-"&amp;IF(DAY(Variables!$A$2)&lt;10,0,"")&amp;DAY(Variables!$A$2)</f>
        <v>-28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7" s="30" t="e">
        <f>VLOOKUP(B17,'Train Runs'!$A$13:$A$100078,1,FALSE)</f>
        <v>#N/A</v>
      </c>
    </row>
    <row r="18" spans="1:10" x14ac:dyDescent="0.3">
      <c r="A18" s="198"/>
      <c r="B18" s="42" t="str">
        <f>A18&amp;"-"&amp;IF(DAY(Variables!$A$2)&lt;10,0,"")&amp;DAY(Variables!$A$2)</f>
        <v>-28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-28%22)),sort:!(Time.ISO8601,asc))</v>
      </c>
      <c r="J18" s="30" t="e">
        <f>VLOOKUP(B18,'Train Runs'!$A$13:$A$100078,1,FALSE)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3" workbookViewId="0">
      <selection activeCell="E27" sqref="E27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43036.037106481483</v>
      </c>
      <c r="B2" s="20" t="s">
        <v>395</v>
      </c>
      <c r="C2" s="20" t="s">
        <v>644</v>
      </c>
      <c r="D2" s="138">
        <v>3320000</v>
      </c>
      <c r="E2" s="20" t="s">
        <v>422</v>
      </c>
      <c r="F2" s="20" t="s">
        <v>423</v>
      </c>
      <c r="G2" s="8" t="str">
        <f>E2&amp;" "&amp;F2</f>
        <v>NICHOLSON WESLEY</v>
      </c>
      <c r="H2" t="str">
        <f>MID(B2,13,4)</f>
        <v>4005</v>
      </c>
    </row>
    <row r="3" spans="1:8" x14ac:dyDescent="0.3">
      <c r="A3" s="8">
        <v>43036.046701388892</v>
      </c>
      <c r="B3" s="20" t="s">
        <v>396</v>
      </c>
      <c r="C3" s="20" t="s">
        <v>645</v>
      </c>
      <c r="D3" s="138">
        <v>3340000</v>
      </c>
      <c r="E3" s="20" t="s">
        <v>424</v>
      </c>
      <c r="F3" s="20" t="s">
        <v>425</v>
      </c>
      <c r="G3" s="8" t="str">
        <f t="shared" ref="G3:G66" si="0">E3&amp;" "&amp;F3</f>
        <v>ELBAUM MIKE</v>
      </c>
      <c r="H3" s="20" t="str">
        <f t="shared" ref="H3:H66" si="1">MID(B3,13,4)</f>
        <v>4007</v>
      </c>
    </row>
    <row r="4" spans="1:8" x14ac:dyDescent="0.3">
      <c r="A4" s="8">
        <v>43036.048333333332</v>
      </c>
      <c r="B4" s="20" t="s">
        <v>485</v>
      </c>
      <c r="C4" s="20" t="s">
        <v>646</v>
      </c>
      <c r="D4" s="138">
        <v>2540000</v>
      </c>
      <c r="E4" s="20" t="s">
        <v>373</v>
      </c>
      <c r="F4" s="20" t="s">
        <v>374</v>
      </c>
      <c r="G4" s="8" t="str">
        <f t="shared" si="0"/>
        <v>MCREYNOLDS KYLE</v>
      </c>
      <c r="H4" s="20" t="str">
        <f t="shared" si="1"/>
        <v>4036</v>
      </c>
    </row>
    <row r="5" spans="1:8" x14ac:dyDescent="0.3">
      <c r="A5" s="8">
        <v>43036.069849537038</v>
      </c>
      <c r="B5" s="20" t="s">
        <v>398</v>
      </c>
      <c r="C5" s="20" t="s">
        <v>647</v>
      </c>
      <c r="D5" s="138">
        <v>3310000</v>
      </c>
      <c r="E5" s="20" t="s">
        <v>365</v>
      </c>
      <c r="F5" s="20" t="s">
        <v>366</v>
      </c>
      <c r="G5" s="8" t="str">
        <f t="shared" si="0"/>
        <v>ANDERS STEVEN</v>
      </c>
      <c r="H5" s="20" t="str">
        <f t="shared" si="1"/>
        <v>4017</v>
      </c>
    </row>
    <row r="6" spans="1:8" x14ac:dyDescent="0.3">
      <c r="A6" s="8">
        <v>43036.070138888892</v>
      </c>
      <c r="B6" s="20" t="s">
        <v>403</v>
      </c>
      <c r="C6" s="20" t="s">
        <v>648</v>
      </c>
      <c r="D6" s="138">
        <v>3320000</v>
      </c>
      <c r="E6" s="20" t="s">
        <v>422</v>
      </c>
      <c r="F6" s="20" t="s">
        <v>423</v>
      </c>
      <c r="G6" s="8" t="str">
        <f t="shared" si="0"/>
        <v>NICHOLSON WESLEY</v>
      </c>
      <c r="H6" s="20" t="str">
        <f t="shared" si="1"/>
        <v>4006</v>
      </c>
    </row>
    <row r="7" spans="1:8" x14ac:dyDescent="0.3">
      <c r="A7" s="8">
        <v>43036.087268518517</v>
      </c>
      <c r="B7" s="20" t="s">
        <v>382</v>
      </c>
      <c r="C7" s="20" t="s">
        <v>649</v>
      </c>
      <c r="D7" s="138">
        <v>3340000</v>
      </c>
      <c r="E7" s="20" t="s">
        <v>424</v>
      </c>
      <c r="F7" s="20" t="s">
        <v>425</v>
      </c>
      <c r="G7" s="8" t="str">
        <f t="shared" si="0"/>
        <v>ELBAUM MIKE</v>
      </c>
      <c r="H7" s="20" t="str">
        <f t="shared" si="1"/>
        <v>4008</v>
      </c>
    </row>
    <row r="8" spans="1:8" x14ac:dyDescent="0.3">
      <c r="A8" s="8">
        <v>43036.109155092592</v>
      </c>
      <c r="B8" s="20" t="s">
        <v>394</v>
      </c>
      <c r="C8" s="20" t="s">
        <v>650</v>
      </c>
      <c r="D8" s="138">
        <v>3310000</v>
      </c>
      <c r="E8" s="20" t="s">
        <v>365</v>
      </c>
      <c r="F8" s="20" t="s">
        <v>366</v>
      </c>
      <c r="G8" s="8" t="str">
        <f t="shared" si="0"/>
        <v>ANDERS STEVEN</v>
      </c>
      <c r="H8" s="20" t="str">
        <f t="shared" si="1"/>
        <v>4018</v>
      </c>
    </row>
    <row r="9" spans="1:8" ht="15" thickBot="1" x14ac:dyDescent="0.35">
      <c r="A9" s="24">
        <v>43036.114421296297</v>
      </c>
      <c r="B9" s="20" t="s">
        <v>629</v>
      </c>
      <c r="C9" s="20" t="s">
        <v>651</v>
      </c>
      <c r="D9" s="138">
        <v>3120000</v>
      </c>
      <c r="E9" s="20" t="s">
        <v>652</v>
      </c>
      <c r="F9" s="20" t="s">
        <v>653</v>
      </c>
      <c r="G9" s="8" t="str">
        <f t="shared" si="0"/>
        <v>THOMPSON LESTER</v>
      </c>
      <c r="H9" s="20" t="str">
        <f t="shared" si="1"/>
        <v>4063</v>
      </c>
    </row>
    <row r="10" spans="1:8" x14ac:dyDescent="0.3">
      <c r="A10" s="8">
        <v>43036.129108796296</v>
      </c>
      <c r="B10" s="20" t="s">
        <v>384</v>
      </c>
      <c r="C10" s="20" t="s">
        <v>654</v>
      </c>
      <c r="D10" s="138">
        <v>3120000</v>
      </c>
      <c r="E10" s="20" t="s">
        <v>652</v>
      </c>
      <c r="F10" s="20" t="s">
        <v>653</v>
      </c>
      <c r="G10" s="8" t="str">
        <f t="shared" si="0"/>
        <v>THOMPSON LESTER</v>
      </c>
      <c r="H10" s="20" t="str">
        <f t="shared" si="1"/>
        <v>4060</v>
      </c>
    </row>
    <row r="11" spans="1:8" x14ac:dyDescent="0.3">
      <c r="A11" s="8">
        <v>43036.12940972222</v>
      </c>
      <c r="B11" s="20" t="s">
        <v>641</v>
      </c>
      <c r="C11" s="20" t="s">
        <v>655</v>
      </c>
      <c r="D11" s="138">
        <v>2040000</v>
      </c>
      <c r="E11" s="20" t="s">
        <v>489</v>
      </c>
      <c r="F11" s="20" t="s">
        <v>490</v>
      </c>
      <c r="G11" s="8" t="str">
        <f t="shared" si="0"/>
        <v>MOSES BRADLEY</v>
      </c>
      <c r="H11" s="20" t="str">
        <f t="shared" si="1"/>
        <v>4064</v>
      </c>
    </row>
    <row r="12" spans="1:8" x14ac:dyDescent="0.3">
      <c r="A12" s="8">
        <v>43036.13144675926</v>
      </c>
      <c r="B12" s="20" t="s">
        <v>641</v>
      </c>
      <c r="C12" s="20" t="s">
        <v>655</v>
      </c>
      <c r="D12" s="138">
        <v>2040000</v>
      </c>
      <c r="E12" s="20" t="s">
        <v>489</v>
      </c>
      <c r="F12" s="20" t="s">
        <v>490</v>
      </c>
      <c r="G12" s="8" t="str">
        <f t="shared" si="0"/>
        <v>MOSES BRADLEY</v>
      </c>
      <c r="H12" s="20" t="str">
        <f t="shared" si="1"/>
        <v>4064</v>
      </c>
    </row>
    <row r="13" spans="1:8" x14ac:dyDescent="0.3">
      <c r="A13" s="8">
        <v>43036.135451388887</v>
      </c>
      <c r="B13" s="20" t="s">
        <v>413</v>
      </c>
      <c r="C13" s="20" t="s">
        <v>656</v>
      </c>
      <c r="D13" s="138">
        <v>2010000</v>
      </c>
      <c r="E13" s="20" t="s">
        <v>538</v>
      </c>
      <c r="F13" s="20" t="s">
        <v>539</v>
      </c>
      <c r="G13" s="8" t="str">
        <f t="shared" si="0"/>
        <v>MAELZER KURT</v>
      </c>
      <c r="H13" s="20" t="str">
        <f t="shared" si="1"/>
        <v>4023</v>
      </c>
    </row>
    <row r="14" spans="1:8" x14ac:dyDescent="0.3">
      <c r="A14" s="8">
        <v>43036.140381944446</v>
      </c>
      <c r="B14" s="20" t="s">
        <v>629</v>
      </c>
      <c r="C14" s="20" t="s">
        <v>657</v>
      </c>
      <c r="D14" s="138">
        <v>2040000</v>
      </c>
      <c r="E14" s="20" t="s">
        <v>489</v>
      </c>
      <c r="F14" s="20" t="s">
        <v>490</v>
      </c>
      <c r="G14" s="8" t="str">
        <f t="shared" si="0"/>
        <v>MOSES BRADLEY</v>
      </c>
      <c r="H14" s="20" t="str">
        <f t="shared" si="1"/>
        <v>4063</v>
      </c>
    </row>
    <row r="15" spans="1:8" x14ac:dyDescent="0.3">
      <c r="A15" s="8">
        <v>43036.148287037038</v>
      </c>
      <c r="B15" s="20" t="s">
        <v>412</v>
      </c>
      <c r="C15" s="20" t="s">
        <v>658</v>
      </c>
      <c r="D15" s="138">
        <v>2010000</v>
      </c>
      <c r="E15" s="20" t="s">
        <v>538</v>
      </c>
      <c r="F15" s="20" t="s">
        <v>539</v>
      </c>
      <c r="G15" s="8" t="str">
        <f t="shared" si="0"/>
        <v>MAELZER KURT</v>
      </c>
      <c r="H15" s="20" t="str">
        <f t="shared" si="1"/>
        <v>4024</v>
      </c>
    </row>
    <row r="16" spans="1:8" x14ac:dyDescent="0.3">
      <c r="A16" s="8">
        <v>43036.157939814817</v>
      </c>
      <c r="B16" s="20" t="s">
        <v>400</v>
      </c>
      <c r="C16" s="20" t="s">
        <v>614</v>
      </c>
      <c r="D16" s="138">
        <v>1990000</v>
      </c>
      <c r="E16" s="20" t="s">
        <v>402</v>
      </c>
      <c r="F16" s="20" t="s">
        <v>504</v>
      </c>
      <c r="G16" s="8" t="str">
        <f t="shared" si="0"/>
        <v>DAVIS WENDY</v>
      </c>
      <c r="H16" s="20" t="str">
        <f t="shared" si="1"/>
        <v>4043</v>
      </c>
    </row>
    <row r="17" spans="1:8" x14ac:dyDescent="0.3">
      <c r="A17" s="8">
        <v>43036.172037037039</v>
      </c>
      <c r="B17" s="20" t="s">
        <v>659</v>
      </c>
      <c r="C17" s="20" t="s">
        <v>660</v>
      </c>
      <c r="D17" s="138">
        <v>3510000</v>
      </c>
      <c r="E17" s="20" t="s">
        <v>661</v>
      </c>
      <c r="F17" s="20" t="s">
        <v>662</v>
      </c>
      <c r="G17" s="8" t="str">
        <f t="shared" si="0"/>
        <v>BARRON PERLA</v>
      </c>
      <c r="H17" s="20" t="str">
        <f t="shared" si="1"/>
        <v>4061</v>
      </c>
    </row>
    <row r="18" spans="1:8" x14ac:dyDescent="0.3">
      <c r="A18" s="8">
        <v>43036.172488425924</v>
      </c>
      <c r="B18" s="20" t="s">
        <v>401</v>
      </c>
      <c r="C18" s="20" t="s">
        <v>615</v>
      </c>
      <c r="D18" s="138">
        <v>1990000</v>
      </c>
      <c r="E18" s="20" t="s">
        <v>402</v>
      </c>
      <c r="F18" s="20" t="s">
        <v>504</v>
      </c>
      <c r="G18" s="8" t="str">
        <f t="shared" si="0"/>
        <v>DAVIS WENDY</v>
      </c>
      <c r="H18" s="20" t="str">
        <f t="shared" si="1"/>
        <v>4044</v>
      </c>
    </row>
    <row r="19" spans="1:8" x14ac:dyDescent="0.3">
      <c r="A19" s="8">
        <v>43036.173032407409</v>
      </c>
      <c r="B19" s="20" t="s">
        <v>385</v>
      </c>
      <c r="C19" s="20" t="s">
        <v>616</v>
      </c>
      <c r="D19" s="138">
        <v>3120000</v>
      </c>
      <c r="E19" s="20" t="s">
        <v>652</v>
      </c>
      <c r="F19" s="20" t="s">
        <v>653</v>
      </c>
      <c r="G19" s="8" t="str">
        <f t="shared" si="0"/>
        <v>THOMPSON LESTER</v>
      </c>
      <c r="H19" s="20" t="str">
        <f t="shared" si="1"/>
        <v>4059</v>
      </c>
    </row>
    <row r="20" spans="1:8" x14ac:dyDescent="0.3">
      <c r="A20" s="8">
        <v>43036.17465277778</v>
      </c>
      <c r="B20" s="20" t="s">
        <v>625</v>
      </c>
      <c r="C20" s="20" t="s">
        <v>663</v>
      </c>
      <c r="D20" s="138">
        <v>3260000</v>
      </c>
      <c r="E20" s="20" t="s">
        <v>664</v>
      </c>
      <c r="F20" s="20" t="s">
        <v>665</v>
      </c>
      <c r="G20" s="8" t="str">
        <f t="shared" si="0"/>
        <v>PAGE MARCUS</v>
      </c>
      <c r="H20" s="20" t="str">
        <f t="shared" si="1"/>
        <v>4003</v>
      </c>
    </row>
    <row r="21" spans="1:8" x14ac:dyDescent="0.3">
      <c r="A21" s="8">
        <v>43036.186539351853</v>
      </c>
      <c r="B21" s="20" t="s">
        <v>413</v>
      </c>
      <c r="C21" s="20" t="s">
        <v>666</v>
      </c>
      <c r="D21" s="138">
        <v>2010000</v>
      </c>
      <c r="E21" s="20" t="s">
        <v>538</v>
      </c>
      <c r="F21" s="20" t="s">
        <v>539</v>
      </c>
      <c r="G21" s="8" t="str">
        <f t="shared" si="0"/>
        <v>MAELZER KURT</v>
      </c>
      <c r="H21" s="20" t="str">
        <f t="shared" si="1"/>
        <v>4023</v>
      </c>
    </row>
    <row r="22" spans="1:8" x14ac:dyDescent="0.3">
      <c r="A22" s="26">
        <v>43036.186701388891</v>
      </c>
      <c r="B22" s="20" t="s">
        <v>639</v>
      </c>
      <c r="C22" s="20" t="s">
        <v>667</v>
      </c>
      <c r="D22" s="138">
        <v>3260000</v>
      </c>
      <c r="E22" s="20" t="s">
        <v>664</v>
      </c>
      <c r="F22" s="20" t="s">
        <v>665</v>
      </c>
      <c r="G22" s="8" t="str">
        <f t="shared" si="0"/>
        <v>PAGE MARCUS</v>
      </c>
      <c r="H22" s="20" t="str">
        <f t="shared" si="1"/>
        <v>4004</v>
      </c>
    </row>
    <row r="23" spans="1:8" x14ac:dyDescent="0.3">
      <c r="A23" s="8">
        <v>43036.190138888887</v>
      </c>
      <c r="B23" s="20" t="s">
        <v>668</v>
      </c>
      <c r="C23" s="20" t="s">
        <v>669</v>
      </c>
      <c r="D23" s="138">
        <v>3510000</v>
      </c>
      <c r="E23" s="20" t="s">
        <v>661</v>
      </c>
      <c r="F23" s="20" t="s">
        <v>662</v>
      </c>
      <c r="G23" s="8" t="str">
        <f t="shared" si="0"/>
        <v>BARRON PERLA</v>
      </c>
      <c r="H23" s="20" t="str">
        <f t="shared" si="1"/>
        <v>4062</v>
      </c>
    </row>
    <row r="24" spans="1:8" x14ac:dyDescent="0.3">
      <c r="A24" s="8">
        <v>43036.203842592593</v>
      </c>
      <c r="B24" s="20" t="s">
        <v>617</v>
      </c>
      <c r="C24" s="20" t="s">
        <v>618</v>
      </c>
      <c r="D24" s="138">
        <v>2530000</v>
      </c>
      <c r="E24" s="20" t="s">
        <v>670</v>
      </c>
      <c r="F24" s="20" t="s">
        <v>671</v>
      </c>
      <c r="G24" s="8" t="str">
        <f t="shared" si="0"/>
        <v>LALONDE GREGORY</v>
      </c>
      <c r="H24" s="20" t="str">
        <f t="shared" si="1"/>
        <v>4031</v>
      </c>
    </row>
    <row r="25" spans="1:8" x14ac:dyDescent="0.3">
      <c r="A25" s="8">
        <v>43036.206435185188</v>
      </c>
      <c r="B25" s="20" t="s">
        <v>384</v>
      </c>
      <c r="C25" s="20" t="s">
        <v>620</v>
      </c>
      <c r="D25" s="138">
        <v>3120000</v>
      </c>
      <c r="E25" s="20" t="s">
        <v>652</v>
      </c>
      <c r="F25" s="20" t="s">
        <v>653</v>
      </c>
      <c r="G25" s="8" t="str">
        <f t="shared" si="0"/>
        <v>THOMPSON LESTER</v>
      </c>
      <c r="H25" s="20" t="str">
        <f t="shared" si="1"/>
        <v>4060</v>
      </c>
    </row>
    <row r="26" spans="1:8" x14ac:dyDescent="0.3">
      <c r="A26" s="8">
        <v>43036.20857638889</v>
      </c>
      <c r="B26" s="20" t="s">
        <v>641</v>
      </c>
      <c r="C26" s="20" t="s">
        <v>672</v>
      </c>
      <c r="D26" s="138">
        <v>2040000</v>
      </c>
      <c r="E26" s="20" t="s">
        <v>489</v>
      </c>
      <c r="F26" s="20" t="s">
        <v>490</v>
      </c>
      <c r="G26" s="8" t="str">
        <f t="shared" si="0"/>
        <v>MOSES BRADLEY</v>
      </c>
      <c r="H26" s="20" t="str">
        <f t="shared" si="1"/>
        <v>4064</v>
      </c>
    </row>
    <row r="27" spans="1:8" x14ac:dyDescent="0.3">
      <c r="A27" s="8">
        <v>43036.218553240738</v>
      </c>
      <c r="B27" s="20" t="s">
        <v>420</v>
      </c>
      <c r="C27" s="20" t="s">
        <v>673</v>
      </c>
      <c r="D27" s="138">
        <v>2560000</v>
      </c>
      <c r="E27" s="20" t="s">
        <v>674</v>
      </c>
      <c r="F27" s="20" t="s">
        <v>675</v>
      </c>
      <c r="G27" s="8" t="str">
        <f t="shared" si="0"/>
        <v>MACDONALD THOMAS</v>
      </c>
      <c r="H27" s="20" t="str">
        <f t="shared" si="1"/>
        <v>4032</v>
      </c>
    </row>
    <row r="28" spans="1:8" x14ac:dyDescent="0.3">
      <c r="A28" s="8">
        <v>43036.219027777777</v>
      </c>
      <c r="B28" s="20" t="s">
        <v>534</v>
      </c>
      <c r="C28" s="20" t="s">
        <v>621</v>
      </c>
      <c r="D28" s="138">
        <v>3040000</v>
      </c>
      <c r="E28" s="20" t="s">
        <v>540</v>
      </c>
      <c r="F28" s="20" t="s">
        <v>541</v>
      </c>
      <c r="G28" s="8" t="str">
        <f t="shared" si="0"/>
        <v>WILLIAMS DONTE</v>
      </c>
      <c r="H28" s="20" t="str">
        <f t="shared" si="1"/>
        <v>4041</v>
      </c>
    </row>
    <row r="29" spans="1:8" x14ac:dyDescent="0.3">
      <c r="A29" s="8">
        <v>43036.221828703703</v>
      </c>
      <c r="B29" s="20" t="s">
        <v>542</v>
      </c>
      <c r="C29" s="20" t="s">
        <v>676</v>
      </c>
      <c r="D29" s="138">
        <v>3090000</v>
      </c>
      <c r="E29" s="20" t="s">
        <v>677</v>
      </c>
      <c r="F29" s="20" t="s">
        <v>678</v>
      </c>
      <c r="G29" s="8" t="str">
        <f t="shared" si="0"/>
        <v>LAMAR NEKESHA</v>
      </c>
      <c r="H29" s="20" t="str">
        <f t="shared" si="1"/>
        <v>4054</v>
      </c>
    </row>
    <row r="30" spans="1:8" x14ac:dyDescent="0.3">
      <c r="A30" s="8">
        <v>43036.225717592592</v>
      </c>
      <c r="B30" s="20" t="s">
        <v>625</v>
      </c>
      <c r="C30" s="20" t="s">
        <v>679</v>
      </c>
      <c r="D30" s="138">
        <v>3260000</v>
      </c>
      <c r="E30" s="20" t="s">
        <v>664</v>
      </c>
      <c r="F30" s="20" t="s">
        <v>665</v>
      </c>
      <c r="G30" s="8" t="str">
        <f t="shared" si="0"/>
        <v>PAGE MARCUS</v>
      </c>
      <c r="H30" s="20" t="str">
        <f t="shared" si="1"/>
        <v>4003</v>
      </c>
    </row>
    <row r="31" spans="1:8" x14ac:dyDescent="0.3">
      <c r="A31" s="8">
        <v>43036.227754629632</v>
      </c>
      <c r="B31" s="20" t="s">
        <v>412</v>
      </c>
      <c r="C31" s="20" t="s">
        <v>680</v>
      </c>
      <c r="D31" s="138">
        <v>2010000</v>
      </c>
      <c r="E31" s="20" t="s">
        <v>538</v>
      </c>
      <c r="F31" s="20" t="s">
        <v>539</v>
      </c>
      <c r="G31" s="8" t="str">
        <f t="shared" si="0"/>
        <v>MAELZER KURT</v>
      </c>
      <c r="H31" s="20" t="str">
        <f t="shared" si="1"/>
        <v>4024</v>
      </c>
    </row>
    <row r="32" spans="1:8" x14ac:dyDescent="0.3">
      <c r="A32" s="8">
        <v>43036.228217592594</v>
      </c>
      <c r="B32" s="20" t="s">
        <v>659</v>
      </c>
      <c r="C32" s="20" t="s">
        <v>681</v>
      </c>
      <c r="D32" s="138">
        <v>3510000</v>
      </c>
      <c r="E32" s="20" t="s">
        <v>661</v>
      </c>
      <c r="F32" s="20" t="s">
        <v>662</v>
      </c>
      <c r="G32" s="8" t="str">
        <f t="shared" si="0"/>
        <v>BARRON PERLA</v>
      </c>
      <c r="H32" s="20" t="str">
        <f t="shared" si="1"/>
        <v>4061</v>
      </c>
    </row>
    <row r="33" spans="1:8" x14ac:dyDescent="0.3">
      <c r="A33" s="8">
        <v>43036.228576388887</v>
      </c>
      <c r="B33" s="20" t="s">
        <v>641</v>
      </c>
      <c r="C33" s="20" t="s">
        <v>682</v>
      </c>
      <c r="D33" s="138">
        <v>2040000</v>
      </c>
      <c r="E33" s="20" t="s">
        <v>489</v>
      </c>
      <c r="F33" s="20" t="s">
        <v>490</v>
      </c>
      <c r="G33" s="8" t="str">
        <f t="shared" si="0"/>
        <v>MOSES BRADLEY</v>
      </c>
      <c r="H33" s="20" t="str">
        <f t="shared" si="1"/>
        <v>4064</v>
      </c>
    </row>
    <row r="34" spans="1:8" x14ac:dyDescent="0.3">
      <c r="A34" s="8">
        <v>43036.230358796296</v>
      </c>
      <c r="B34" s="20" t="s">
        <v>641</v>
      </c>
      <c r="C34" s="20" t="s">
        <v>682</v>
      </c>
      <c r="D34" s="138">
        <v>2040000</v>
      </c>
      <c r="E34" s="20" t="s">
        <v>489</v>
      </c>
      <c r="F34" s="20" t="s">
        <v>490</v>
      </c>
      <c r="G34" s="8" t="str">
        <f t="shared" si="0"/>
        <v>MOSES BRADLEY</v>
      </c>
      <c r="H34" s="20" t="str">
        <f t="shared" si="1"/>
        <v>4064</v>
      </c>
    </row>
    <row r="35" spans="1:8" x14ac:dyDescent="0.3">
      <c r="A35" s="8">
        <v>43036.231574074074</v>
      </c>
      <c r="B35" s="20" t="s">
        <v>641</v>
      </c>
      <c r="C35" s="20" t="s">
        <v>682</v>
      </c>
      <c r="D35" s="138">
        <v>2040000</v>
      </c>
      <c r="E35" s="20" t="s">
        <v>489</v>
      </c>
      <c r="F35" s="20" t="s">
        <v>490</v>
      </c>
      <c r="G35" s="8" t="str">
        <f t="shared" si="0"/>
        <v>MOSES BRADLEY</v>
      </c>
      <c r="H35" s="20" t="str">
        <f t="shared" si="1"/>
        <v>4064</v>
      </c>
    </row>
    <row r="36" spans="1:8" x14ac:dyDescent="0.3">
      <c r="A36" s="8">
        <v>43036.235347222224</v>
      </c>
      <c r="B36" s="20" t="s">
        <v>535</v>
      </c>
      <c r="C36" s="20" t="s">
        <v>683</v>
      </c>
      <c r="D36" s="138">
        <v>3090000</v>
      </c>
      <c r="E36" s="20" t="s">
        <v>677</v>
      </c>
      <c r="F36" s="20" t="s">
        <v>678</v>
      </c>
      <c r="G36" s="8" t="str">
        <f t="shared" si="0"/>
        <v>LAMAR NEKESHA</v>
      </c>
      <c r="H36" s="20" t="str">
        <f t="shared" si="1"/>
        <v>4053</v>
      </c>
    </row>
    <row r="37" spans="1:8" x14ac:dyDescent="0.3">
      <c r="A37" s="8">
        <v>43036.237592592595</v>
      </c>
      <c r="B37" s="20" t="s">
        <v>684</v>
      </c>
      <c r="C37" s="20" t="s">
        <v>685</v>
      </c>
      <c r="D37" s="138">
        <v>1780000</v>
      </c>
      <c r="E37" s="20" t="s">
        <v>686</v>
      </c>
      <c r="F37" s="20" t="s">
        <v>687</v>
      </c>
      <c r="G37" s="8" t="str">
        <f t="shared" si="0"/>
        <v>DE LA ROSA ALEX</v>
      </c>
      <c r="H37" s="20" t="str">
        <f t="shared" si="1"/>
        <v>4012</v>
      </c>
    </row>
    <row r="38" spans="1:8" x14ac:dyDescent="0.3">
      <c r="A38" s="8">
        <v>43036.241597222222</v>
      </c>
      <c r="B38" s="20" t="s">
        <v>386</v>
      </c>
      <c r="C38" s="20" t="s">
        <v>688</v>
      </c>
      <c r="D38" s="138">
        <v>3180000</v>
      </c>
      <c r="E38" s="20" t="s">
        <v>689</v>
      </c>
      <c r="F38" s="20" t="s">
        <v>690</v>
      </c>
      <c r="G38" s="8" t="str">
        <f t="shared" si="0"/>
        <v>HUFFSMITH MONTY</v>
      </c>
      <c r="H38" s="20" t="str">
        <f t="shared" si="1"/>
        <v>4009</v>
      </c>
    </row>
    <row r="39" spans="1:8" x14ac:dyDescent="0.3">
      <c r="A39" s="8">
        <v>43036.242743055554</v>
      </c>
      <c r="B39" s="20" t="s">
        <v>684</v>
      </c>
      <c r="C39" s="20" t="s">
        <v>685</v>
      </c>
      <c r="D39" s="138">
        <v>1780000</v>
      </c>
      <c r="E39" s="20" t="s">
        <v>686</v>
      </c>
      <c r="F39" s="20" t="s">
        <v>687</v>
      </c>
      <c r="G39" s="8" t="str">
        <f t="shared" si="0"/>
        <v>DE LA ROSA ALEX</v>
      </c>
      <c r="H39" s="20" t="str">
        <f t="shared" si="1"/>
        <v>4012</v>
      </c>
    </row>
    <row r="40" spans="1:8" x14ac:dyDescent="0.3">
      <c r="A40" s="8">
        <v>43036.246041666665</v>
      </c>
      <c r="B40" s="25" t="s">
        <v>385</v>
      </c>
      <c r="C40" s="20" t="s">
        <v>691</v>
      </c>
      <c r="D40" s="138">
        <v>3120000</v>
      </c>
      <c r="E40" s="20" t="s">
        <v>652</v>
      </c>
      <c r="F40" s="20" t="s">
        <v>653</v>
      </c>
      <c r="G40" s="8" t="str">
        <f t="shared" si="0"/>
        <v>THOMPSON LESTER</v>
      </c>
      <c r="H40" s="20" t="str">
        <f t="shared" si="1"/>
        <v>4059</v>
      </c>
    </row>
    <row r="41" spans="1:8" x14ac:dyDescent="0.3">
      <c r="A41" s="8">
        <v>43036.248981481483</v>
      </c>
      <c r="B41" s="20" t="s">
        <v>542</v>
      </c>
      <c r="C41" s="20" t="s">
        <v>692</v>
      </c>
      <c r="D41" s="138">
        <v>3090000</v>
      </c>
      <c r="E41" s="20" t="s">
        <v>677</v>
      </c>
      <c r="F41" s="20" t="s">
        <v>678</v>
      </c>
      <c r="G41" s="8" t="str">
        <f t="shared" si="0"/>
        <v>LAMAR NEKESHA</v>
      </c>
      <c r="H41" s="20" t="str">
        <f t="shared" si="1"/>
        <v>4054</v>
      </c>
    </row>
    <row r="42" spans="1:8" x14ac:dyDescent="0.3">
      <c r="A42" s="8">
        <v>43036.25744212963</v>
      </c>
      <c r="B42" s="20" t="s">
        <v>617</v>
      </c>
      <c r="C42" s="20" t="s">
        <v>693</v>
      </c>
      <c r="D42" s="138">
        <v>0</v>
      </c>
      <c r="E42" s="20" t="s">
        <v>674</v>
      </c>
      <c r="F42" s="20" t="s">
        <v>675</v>
      </c>
      <c r="G42" s="8" t="str">
        <f t="shared" si="0"/>
        <v>MACDONALD THOMAS</v>
      </c>
      <c r="H42" s="20" t="str">
        <f t="shared" si="1"/>
        <v>4031</v>
      </c>
    </row>
    <row r="43" spans="1:8" x14ac:dyDescent="0.3">
      <c r="A43" s="8">
        <v>43036.257511574076</v>
      </c>
      <c r="B43" s="20" t="s">
        <v>639</v>
      </c>
      <c r="C43" s="20" t="s">
        <v>694</v>
      </c>
      <c r="D43" s="138">
        <v>3260000</v>
      </c>
      <c r="E43" s="20" t="s">
        <v>664</v>
      </c>
      <c r="F43" s="20" t="s">
        <v>665</v>
      </c>
      <c r="G43" s="8" t="str">
        <f t="shared" si="0"/>
        <v>PAGE MARCUS</v>
      </c>
      <c r="H43" s="20" t="str">
        <f t="shared" si="1"/>
        <v>4004</v>
      </c>
    </row>
    <row r="44" spans="1:8" x14ac:dyDescent="0.3">
      <c r="A44" s="8">
        <v>43036.261203703703</v>
      </c>
      <c r="B44" s="20" t="s">
        <v>387</v>
      </c>
      <c r="C44" s="20" t="s">
        <v>655</v>
      </c>
      <c r="D44" s="138">
        <v>3180000</v>
      </c>
      <c r="E44" s="20" t="s">
        <v>689</v>
      </c>
      <c r="F44" s="20" t="s">
        <v>690</v>
      </c>
      <c r="G44" s="8" t="str">
        <f t="shared" si="0"/>
        <v>HUFFSMITH MONTY</v>
      </c>
      <c r="H44" s="20" t="str">
        <f t="shared" si="1"/>
        <v>4010</v>
      </c>
    </row>
    <row r="45" spans="1:8" x14ac:dyDescent="0.3">
      <c r="A45" s="8">
        <v>43036.264201388891</v>
      </c>
      <c r="B45" s="20" t="s">
        <v>413</v>
      </c>
      <c r="C45" s="20" t="s">
        <v>695</v>
      </c>
      <c r="D45" s="138">
        <v>2010000</v>
      </c>
      <c r="E45" s="20" t="s">
        <v>538</v>
      </c>
      <c r="F45" s="20" t="s">
        <v>539</v>
      </c>
      <c r="G45" s="8" t="str">
        <f t="shared" si="0"/>
        <v>MAELZER KURT</v>
      </c>
      <c r="H45" s="20" t="str">
        <f t="shared" si="1"/>
        <v>4023</v>
      </c>
    </row>
    <row r="46" spans="1:8" x14ac:dyDescent="0.3">
      <c r="A46" s="8">
        <v>43036.265092592592</v>
      </c>
      <c r="B46" s="20" t="s">
        <v>386</v>
      </c>
      <c r="C46" s="20" t="s">
        <v>655</v>
      </c>
      <c r="D46" s="138">
        <v>3180000</v>
      </c>
      <c r="E46" s="20" t="s">
        <v>689</v>
      </c>
      <c r="F46" s="20" t="s">
        <v>690</v>
      </c>
      <c r="G46" s="8" t="str">
        <f t="shared" si="0"/>
        <v>HUFFSMITH MONTY</v>
      </c>
      <c r="H46" s="20" t="str">
        <f t="shared" si="1"/>
        <v>4009</v>
      </c>
    </row>
    <row r="47" spans="1:8" x14ac:dyDescent="0.3">
      <c r="A47" s="8">
        <v>43036.268090277779</v>
      </c>
      <c r="B47" s="20" t="s">
        <v>535</v>
      </c>
      <c r="C47" s="20" t="s">
        <v>696</v>
      </c>
      <c r="D47" s="138">
        <v>3090000</v>
      </c>
      <c r="E47" s="20" t="s">
        <v>677</v>
      </c>
      <c r="F47" s="20" t="s">
        <v>678</v>
      </c>
      <c r="G47" s="8" t="str">
        <f t="shared" si="0"/>
        <v>LAMAR NEKESHA</v>
      </c>
      <c r="H47" s="20" t="str">
        <f t="shared" si="1"/>
        <v>4053</v>
      </c>
    </row>
    <row r="48" spans="1:8" x14ac:dyDescent="0.3">
      <c r="A48" s="8">
        <v>43036.270416666666</v>
      </c>
      <c r="B48" s="20" t="s">
        <v>387</v>
      </c>
      <c r="C48" s="20" t="s">
        <v>697</v>
      </c>
      <c r="D48" s="138">
        <v>3180000</v>
      </c>
      <c r="E48" s="20" t="s">
        <v>689</v>
      </c>
      <c r="F48" s="20" t="s">
        <v>690</v>
      </c>
      <c r="G48" s="8" t="str">
        <f t="shared" si="0"/>
        <v>HUFFSMITH MONTY</v>
      </c>
      <c r="H48" s="20" t="str">
        <f t="shared" si="1"/>
        <v>4010</v>
      </c>
    </row>
    <row r="49" spans="1:8" x14ac:dyDescent="0.3">
      <c r="A49" s="8">
        <v>43036.274131944447</v>
      </c>
      <c r="B49" s="20" t="s">
        <v>629</v>
      </c>
      <c r="C49" s="20" t="s">
        <v>698</v>
      </c>
      <c r="D49" s="138">
        <v>2040000</v>
      </c>
      <c r="E49" s="20" t="s">
        <v>489</v>
      </c>
      <c r="F49" s="20" t="s">
        <v>490</v>
      </c>
      <c r="G49" s="8" t="str">
        <f t="shared" si="0"/>
        <v>MOSES BRADLEY</v>
      </c>
      <c r="H49" s="20" t="str">
        <f t="shared" si="1"/>
        <v>4063</v>
      </c>
    </row>
    <row r="50" spans="1:8" x14ac:dyDescent="0.3">
      <c r="A50" s="8">
        <v>43036.276759259257</v>
      </c>
      <c r="B50" s="20" t="s">
        <v>537</v>
      </c>
      <c r="C50" s="20" t="s">
        <v>699</v>
      </c>
      <c r="D50" s="138">
        <v>3300000</v>
      </c>
      <c r="E50" s="20" t="s">
        <v>700</v>
      </c>
      <c r="F50" s="20" t="s">
        <v>701</v>
      </c>
      <c r="G50" s="8" t="str">
        <f t="shared" si="0"/>
        <v>LANGERAK WILLIAM</v>
      </c>
      <c r="H50" s="20" t="str">
        <f t="shared" si="1"/>
        <v>4042</v>
      </c>
    </row>
    <row r="51" spans="1:8" x14ac:dyDescent="0.3">
      <c r="A51" s="8">
        <v>43036.281180555554</v>
      </c>
      <c r="B51" s="20" t="s">
        <v>534</v>
      </c>
      <c r="C51" s="20" t="s">
        <v>699</v>
      </c>
      <c r="D51" s="138">
        <v>3300000</v>
      </c>
      <c r="E51" s="20" t="s">
        <v>700</v>
      </c>
      <c r="F51" s="20" t="s">
        <v>701</v>
      </c>
      <c r="G51" s="8" t="str">
        <f t="shared" si="0"/>
        <v>LANGERAK WILLIAM</v>
      </c>
      <c r="H51" s="20" t="str">
        <f t="shared" si="1"/>
        <v>4041</v>
      </c>
    </row>
    <row r="52" spans="1:8" x14ac:dyDescent="0.3">
      <c r="A52" s="8">
        <v>43036.28396990741</v>
      </c>
      <c r="B52" s="20" t="s">
        <v>702</v>
      </c>
      <c r="C52" s="20" t="s">
        <v>703</v>
      </c>
      <c r="D52" s="138">
        <v>1780000</v>
      </c>
      <c r="E52" s="20" t="s">
        <v>686</v>
      </c>
      <c r="F52" s="20" t="s">
        <v>687</v>
      </c>
      <c r="G52" s="8" t="str">
        <f t="shared" si="0"/>
        <v>DE LA ROSA ALEX</v>
      </c>
      <c r="H52" s="20" t="str">
        <f t="shared" si="1"/>
        <v>4011</v>
      </c>
    </row>
    <row r="53" spans="1:8" x14ac:dyDescent="0.3">
      <c r="A53" s="8">
        <v>43036.28534722222</v>
      </c>
      <c r="B53" s="20" t="s">
        <v>537</v>
      </c>
      <c r="C53" s="20" t="s">
        <v>704</v>
      </c>
      <c r="D53" s="138">
        <v>3300000</v>
      </c>
      <c r="E53" s="20" t="s">
        <v>700</v>
      </c>
      <c r="F53" s="20" t="s">
        <v>701</v>
      </c>
      <c r="G53" s="8" t="str">
        <f t="shared" si="0"/>
        <v>LANGERAK WILLIAM</v>
      </c>
      <c r="H53" s="20" t="str">
        <f t="shared" si="1"/>
        <v>4042</v>
      </c>
    </row>
    <row r="54" spans="1:8" x14ac:dyDescent="0.3">
      <c r="A54" s="8">
        <v>43036.286296296297</v>
      </c>
      <c r="B54" s="20" t="s">
        <v>537</v>
      </c>
      <c r="C54" s="20" t="s">
        <v>704</v>
      </c>
      <c r="D54" s="138">
        <v>3300000</v>
      </c>
      <c r="E54" s="20" t="s">
        <v>700</v>
      </c>
      <c r="F54" s="20" t="s">
        <v>701</v>
      </c>
      <c r="G54" s="8" t="str">
        <f t="shared" si="0"/>
        <v>LANGERAK WILLIAM</v>
      </c>
      <c r="H54" s="20" t="str">
        <f t="shared" si="1"/>
        <v>4042</v>
      </c>
    </row>
    <row r="55" spans="1:8" x14ac:dyDescent="0.3">
      <c r="A55" s="8">
        <v>43036.293437499997</v>
      </c>
      <c r="B55" s="20" t="s">
        <v>420</v>
      </c>
      <c r="C55" s="20" t="s">
        <v>705</v>
      </c>
      <c r="D55" s="138">
        <v>2560000</v>
      </c>
      <c r="E55" s="20" t="s">
        <v>674</v>
      </c>
      <c r="F55" s="20" t="s">
        <v>675</v>
      </c>
      <c r="G55" s="8" t="str">
        <f t="shared" si="0"/>
        <v>MACDONALD THOMAS</v>
      </c>
      <c r="H55" s="20" t="str">
        <f t="shared" si="1"/>
        <v>4032</v>
      </c>
    </row>
    <row r="56" spans="1:8" x14ac:dyDescent="0.3">
      <c r="A56" s="8">
        <v>43036.294444444444</v>
      </c>
      <c r="B56" s="20" t="s">
        <v>542</v>
      </c>
      <c r="C56" s="20" t="s">
        <v>622</v>
      </c>
      <c r="D56" s="138">
        <v>3090000</v>
      </c>
      <c r="E56" s="20" t="s">
        <v>677</v>
      </c>
      <c r="F56" s="20" t="s">
        <v>678</v>
      </c>
      <c r="G56" s="8" t="str">
        <f t="shared" si="0"/>
        <v>LAMAR NEKESHA</v>
      </c>
      <c r="H56" s="20" t="str">
        <f t="shared" si="1"/>
        <v>4054</v>
      </c>
    </row>
    <row r="57" spans="1:8" x14ac:dyDescent="0.3">
      <c r="A57" s="8">
        <v>43036.297280092593</v>
      </c>
      <c r="B57" s="20" t="s">
        <v>625</v>
      </c>
      <c r="C57" s="20" t="s">
        <v>706</v>
      </c>
      <c r="D57" s="138">
        <v>3260000</v>
      </c>
      <c r="E57" s="20" t="s">
        <v>664</v>
      </c>
      <c r="F57" s="20" t="s">
        <v>665</v>
      </c>
      <c r="G57" s="8" t="str">
        <f t="shared" si="0"/>
        <v>PAGE MARCUS</v>
      </c>
      <c r="H57" s="20" t="str">
        <f t="shared" si="1"/>
        <v>4003</v>
      </c>
    </row>
    <row r="58" spans="1:8" x14ac:dyDescent="0.3">
      <c r="A58" s="8">
        <v>43036.297777777778</v>
      </c>
      <c r="B58" s="20" t="s">
        <v>412</v>
      </c>
      <c r="C58" s="20" t="s">
        <v>707</v>
      </c>
      <c r="D58" s="138">
        <v>2010000</v>
      </c>
      <c r="E58" s="20" t="s">
        <v>538</v>
      </c>
      <c r="F58" s="20" t="s">
        <v>539</v>
      </c>
      <c r="G58" s="8" t="str">
        <f t="shared" si="0"/>
        <v>MAELZER KURT</v>
      </c>
      <c r="H58" s="20" t="str">
        <f t="shared" si="1"/>
        <v>4024</v>
      </c>
    </row>
    <row r="59" spans="1:8" x14ac:dyDescent="0.3">
      <c r="A59" s="8">
        <v>43036.304664351854</v>
      </c>
      <c r="B59" s="20" t="s">
        <v>386</v>
      </c>
      <c r="C59" s="20" t="s">
        <v>708</v>
      </c>
      <c r="D59" s="138">
        <v>3180000</v>
      </c>
      <c r="E59" s="20" t="s">
        <v>689</v>
      </c>
      <c r="F59" s="20" t="s">
        <v>690</v>
      </c>
      <c r="G59" s="8" t="str">
        <f t="shared" si="0"/>
        <v>HUFFSMITH MONTY</v>
      </c>
      <c r="H59" s="20" t="str">
        <f t="shared" si="1"/>
        <v>4009</v>
      </c>
    </row>
    <row r="60" spans="1:8" x14ac:dyDescent="0.3">
      <c r="A60" s="8">
        <v>43036.310081018521</v>
      </c>
      <c r="B60" s="20" t="s">
        <v>505</v>
      </c>
      <c r="C60" s="20" t="s">
        <v>627</v>
      </c>
      <c r="D60" s="138">
        <v>2470000</v>
      </c>
      <c r="E60" s="20" t="s">
        <v>709</v>
      </c>
      <c r="F60" s="20" t="s">
        <v>710</v>
      </c>
      <c r="G60" s="8" t="str">
        <f t="shared" si="0"/>
        <v>ROMERO CHAD</v>
      </c>
      <c r="H60" s="20" t="str">
        <f t="shared" si="1"/>
        <v>4034</v>
      </c>
    </row>
    <row r="61" spans="1:8" x14ac:dyDescent="0.3">
      <c r="A61" s="8">
        <v>43036.311412037037</v>
      </c>
      <c r="B61" s="20" t="s">
        <v>641</v>
      </c>
      <c r="C61" s="20" t="s">
        <v>711</v>
      </c>
      <c r="D61" s="138">
        <v>2040000</v>
      </c>
      <c r="E61" s="20" t="s">
        <v>489</v>
      </c>
      <c r="F61" s="20" t="s">
        <v>490</v>
      </c>
      <c r="G61" s="8" t="str">
        <f t="shared" si="0"/>
        <v>MOSES BRADLEY</v>
      </c>
      <c r="H61" s="20" t="str">
        <f t="shared" si="1"/>
        <v>4064</v>
      </c>
    </row>
    <row r="62" spans="1:8" x14ac:dyDescent="0.3">
      <c r="A62" s="8">
        <v>43036.312037037038</v>
      </c>
      <c r="B62" s="20" t="s">
        <v>535</v>
      </c>
      <c r="C62" s="20" t="s">
        <v>712</v>
      </c>
      <c r="D62" s="138">
        <v>3090000</v>
      </c>
      <c r="E62" s="20" t="s">
        <v>677</v>
      </c>
      <c r="F62" s="20" t="s">
        <v>678</v>
      </c>
      <c r="G62" s="8" t="str">
        <f t="shared" si="0"/>
        <v>LAMAR NEKESHA</v>
      </c>
      <c r="H62" s="20" t="str">
        <f t="shared" si="1"/>
        <v>4053</v>
      </c>
    </row>
    <row r="63" spans="1:8" x14ac:dyDescent="0.3">
      <c r="A63" s="8">
        <v>43036.318668981483</v>
      </c>
      <c r="B63" s="20" t="s">
        <v>534</v>
      </c>
      <c r="C63" s="20" t="s">
        <v>623</v>
      </c>
      <c r="D63" s="138">
        <v>3300000</v>
      </c>
      <c r="E63" s="20" t="s">
        <v>700</v>
      </c>
      <c r="F63" s="20" t="s">
        <v>701</v>
      </c>
      <c r="G63" s="8" t="str">
        <f t="shared" si="0"/>
        <v>LANGERAK WILLIAM</v>
      </c>
      <c r="H63" s="20" t="str">
        <f t="shared" si="1"/>
        <v>4041</v>
      </c>
    </row>
    <row r="64" spans="1:8" x14ac:dyDescent="0.3">
      <c r="A64" s="26">
        <v>43036.321192129632</v>
      </c>
      <c r="B64" s="20" t="s">
        <v>684</v>
      </c>
      <c r="C64" s="20" t="s">
        <v>713</v>
      </c>
      <c r="D64" s="138">
        <v>1780000</v>
      </c>
      <c r="E64" s="20" t="s">
        <v>686</v>
      </c>
      <c r="F64" s="20" t="s">
        <v>687</v>
      </c>
      <c r="G64" s="8" t="str">
        <f t="shared" si="0"/>
        <v>DE LA ROSA ALEX</v>
      </c>
      <c r="H64" s="20" t="str">
        <f t="shared" si="1"/>
        <v>4012</v>
      </c>
    </row>
    <row r="65" spans="1:8" x14ac:dyDescent="0.3">
      <c r="A65" s="8">
        <v>43036.323946759258</v>
      </c>
      <c r="B65" s="20" t="s">
        <v>617</v>
      </c>
      <c r="C65" s="20" t="s">
        <v>714</v>
      </c>
      <c r="D65" s="138">
        <v>0</v>
      </c>
      <c r="E65" s="20" t="s">
        <v>674</v>
      </c>
      <c r="F65" s="20" t="s">
        <v>675</v>
      </c>
      <c r="G65" s="8" t="str">
        <f t="shared" si="0"/>
        <v>MACDONALD THOMAS</v>
      </c>
      <c r="H65" s="20" t="str">
        <f t="shared" si="1"/>
        <v>4031</v>
      </c>
    </row>
    <row r="66" spans="1:8" x14ac:dyDescent="0.3">
      <c r="A66" s="8">
        <v>43036.328796296293</v>
      </c>
      <c r="B66" s="20" t="s">
        <v>480</v>
      </c>
      <c r="C66" s="20" t="s">
        <v>715</v>
      </c>
      <c r="D66" s="138">
        <v>3030000</v>
      </c>
      <c r="E66" s="20" t="s">
        <v>716</v>
      </c>
      <c r="F66" s="20" t="s">
        <v>675</v>
      </c>
      <c r="G66" s="8" t="str">
        <f t="shared" si="0"/>
        <v>BIRENBAUM THOMAS</v>
      </c>
      <c r="H66" s="20" t="str">
        <f t="shared" si="1"/>
        <v>4049</v>
      </c>
    </row>
    <row r="67" spans="1:8" x14ac:dyDescent="0.3">
      <c r="A67" s="8">
        <v>43036.329375000001</v>
      </c>
      <c r="B67" s="20" t="s">
        <v>639</v>
      </c>
      <c r="C67" s="20" t="s">
        <v>717</v>
      </c>
      <c r="D67" s="138">
        <v>3260000</v>
      </c>
      <c r="E67" s="20" t="s">
        <v>664</v>
      </c>
      <c r="F67" s="20" t="s">
        <v>665</v>
      </c>
      <c r="G67" s="8" t="str">
        <f t="shared" ref="G67:G130" si="2">E67&amp;" "&amp;F67</f>
        <v>PAGE MARCUS</v>
      </c>
      <c r="H67" s="20" t="str">
        <f t="shared" ref="H67:H130" si="3">MID(B67,13,4)</f>
        <v>4004</v>
      </c>
    </row>
    <row r="68" spans="1:8" x14ac:dyDescent="0.3">
      <c r="A68" s="8">
        <v>43036.333298611113</v>
      </c>
      <c r="B68" s="20" t="s">
        <v>413</v>
      </c>
      <c r="C68" s="20" t="s">
        <v>718</v>
      </c>
      <c r="D68" s="138">
        <v>2010000</v>
      </c>
      <c r="E68" s="20" t="s">
        <v>538</v>
      </c>
      <c r="F68" s="20" t="s">
        <v>539</v>
      </c>
      <c r="G68" s="8" t="str">
        <f t="shared" si="2"/>
        <v>MAELZER KURT</v>
      </c>
      <c r="H68" s="20" t="str">
        <f t="shared" si="3"/>
        <v>4023</v>
      </c>
    </row>
    <row r="69" spans="1:8" x14ac:dyDescent="0.3">
      <c r="A69" s="8">
        <v>43036.336574074077</v>
      </c>
      <c r="B69" s="20" t="s">
        <v>542</v>
      </c>
      <c r="C69" s="20" t="s">
        <v>719</v>
      </c>
      <c r="D69" s="138">
        <v>3090000</v>
      </c>
      <c r="E69" s="20" t="s">
        <v>677</v>
      </c>
      <c r="F69" s="20" t="s">
        <v>678</v>
      </c>
      <c r="G69" s="8" t="str">
        <f t="shared" si="2"/>
        <v>LAMAR NEKESHA</v>
      </c>
      <c r="H69" s="20" t="str">
        <f t="shared" si="3"/>
        <v>4054</v>
      </c>
    </row>
    <row r="70" spans="1:8" x14ac:dyDescent="0.3">
      <c r="A70" s="8">
        <v>43036.33834490741</v>
      </c>
      <c r="B70" s="20" t="s">
        <v>542</v>
      </c>
      <c r="C70" s="20" t="s">
        <v>719</v>
      </c>
      <c r="D70" s="138">
        <v>3090000</v>
      </c>
      <c r="E70" s="20" t="s">
        <v>677</v>
      </c>
      <c r="F70" s="20" t="s">
        <v>678</v>
      </c>
      <c r="G70" s="8" t="str">
        <f t="shared" si="2"/>
        <v>LAMAR NEKESHA</v>
      </c>
      <c r="H70" s="20" t="str">
        <f t="shared" si="3"/>
        <v>4054</v>
      </c>
    </row>
    <row r="71" spans="1:8" x14ac:dyDescent="0.3">
      <c r="A71" s="8">
        <v>43036.342349537037</v>
      </c>
      <c r="B71" s="20" t="s">
        <v>387</v>
      </c>
      <c r="C71" s="20" t="s">
        <v>720</v>
      </c>
      <c r="D71" s="138">
        <v>3510000</v>
      </c>
      <c r="E71" s="20" t="s">
        <v>661</v>
      </c>
      <c r="F71" s="20" t="s">
        <v>662</v>
      </c>
      <c r="G71" s="8" t="str">
        <f t="shared" si="2"/>
        <v>BARRON PERLA</v>
      </c>
      <c r="H71" s="20" t="str">
        <f t="shared" si="3"/>
        <v>4010</v>
      </c>
    </row>
    <row r="72" spans="1:8" x14ac:dyDescent="0.3">
      <c r="A72" s="8">
        <v>43036.349340277775</v>
      </c>
      <c r="B72" s="20" t="s">
        <v>629</v>
      </c>
      <c r="C72" s="20" t="s">
        <v>721</v>
      </c>
      <c r="D72" s="138">
        <v>2040000</v>
      </c>
      <c r="E72" s="20" t="s">
        <v>489</v>
      </c>
      <c r="F72" s="20" t="s">
        <v>490</v>
      </c>
      <c r="G72" s="8" t="str">
        <f t="shared" si="2"/>
        <v>MOSES BRADLEY</v>
      </c>
      <c r="H72" s="20" t="str">
        <f t="shared" si="3"/>
        <v>4063</v>
      </c>
    </row>
    <row r="73" spans="1:8" x14ac:dyDescent="0.3">
      <c r="A73" s="8">
        <v>43036.351261574076</v>
      </c>
      <c r="B73" s="20" t="s">
        <v>537</v>
      </c>
      <c r="C73" s="20" t="s">
        <v>722</v>
      </c>
      <c r="D73" s="138">
        <v>3120000</v>
      </c>
      <c r="E73" s="20" t="s">
        <v>652</v>
      </c>
      <c r="F73" s="20" t="s">
        <v>653</v>
      </c>
      <c r="G73" s="8" t="str">
        <f t="shared" si="2"/>
        <v>THOMPSON LESTER</v>
      </c>
      <c r="H73" s="20" t="str">
        <f t="shared" si="3"/>
        <v>4042</v>
      </c>
    </row>
    <row r="74" spans="1:8" x14ac:dyDescent="0.3">
      <c r="A74" s="8">
        <v>43036.352870370371</v>
      </c>
      <c r="B74" s="20" t="s">
        <v>535</v>
      </c>
      <c r="C74" s="20" t="s">
        <v>723</v>
      </c>
      <c r="D74" s="138">
        <v>3090000</v>
      </c>
      <c r="E74" s="20" t="s">
        <v>677</v>
      </c>
      <c r="F74" s="20" t="s">
        <v>678</v>
      </c>
      <c r="G74" s="8" t="str">
        <f t="shared" si="2"/>
        <v>LAMAR NEKESHA</v>
      </c>
      <c r="H74" s="20" t="str">
        <f t="shared" si="3"/>
        <v>4053</v>
      </c>
    </row>
    <row r="75" spans="1:8" x14ac:dyDescent="0.3">
      <c r="A75" s="8">
        <v>43036.358414351853</v>
      </c>
      <c r="B75" s="20" t="s">
        <v>702</v>
      </c>
      <c r="C75" s="20" t="s">
        <v>724</v>
      </c>
      <c r="D75" s="138">
        <v>1780000</v>
      </c>
      <c r="E75" s="20" t="s">
        <v>686</v>
      </c>
      <c r="F75" s="20" t="s">
        <v>687</v>
      </c>
      <c r="G75" s="8" t="str">
        <f t="shared" si="2"/>
        <v>DE LA ROSA ALEX</v>
      </c>
      <c r="H75" s="20" t="str">
        <f t="shared" si="3"/>
        <v>4011</v>
      </c>
    </row>
    <row r="76" spans="1:8" x14ac:dyDescent="0.3">
      <c r="A76" s="8">
        <v>43036.360891203702</v>
      </c>
      <c r="B76" s="20" t="s">
        <v>420</v>
      </c>
      <c r="C76" s="20" t="s">
        <v>725</v>
      </c>
      <c r="D76" s="138">
        <v>2560000</v>
      </c>
      <c r="E76" s="20" t="s">
        <v>674</v>
      </c>
      <c r="F76" s="20" t="s">
        <v>675</v>
      </c>
      <c r="G76" s="8" t="str">
        <f t="shared" si="2"/>
        <v>MACDONALD THOMAS</v>
      </c>
      <c r="H76" s="20" t="str">
        <f t="shared" si="3"/>
        <v>4032</v>
      </c>
    </row>
    <row r="77" spans="1:8" x14ac:dyDescent="0.3">
      <c r="A77" s="8">
        <v>43036.369872685187</v>
      </c>
      <c r="B77" s="20" t="s">
        <v>625</v>
      </c>
      <c r="C77" s="20" t="s">
        <v>726</v>
      </c>
      <c r="D77" s="138">
        <v>3260000</v>
      </c>
      <c r="E77" s="20" t="s">
        <v>664</v>
      </c>
      <c r="F77" s="20" t="s">
        <v>665</v>
      </c>
      <c r="G77" s="8" t="str">
        <f t="shared" si="2"/>
        <v>PAGE MARCUS</v>
      </c>
      <c r="H77" s="20" t="str">
        <f t="shared" si="3"/>
        <v>4003</v>
      </c>
    </row>
    <row r="78" spans="1:8" x14ac:dyDescent="0.3">
      <c r="A78" s="8">
        <v>43036.370335648149</v>
      </c>
      <c r="B78" s="20" t="s">
        <v>668</v>
      </c>
      <c r="C78" s="20" t="s">
        <v>727</v>
      </c>
      <c r="D78" s="138">
        <v>3030000</v>
      </c>
      <c r="E78" s="20" t="s">
        <v>716</v>
      </c>
      <c r="F78" s="20" t="s">
        <v>675</v>
      </c>
      <c r="G78" s="8" t="str">
        <f t="shared" si="2"/>
        <v>BIRENBAUM THOMAS</v>
      </c>
      <c r="H78" s="20" t="str">
        <f t="shared" si="3"/>
        <v>4062</v>
      </c>
    </row>
    <row r="79" spans="1:8" x14ac:dyDescent="0.3">
      <c r="A79" s="8">
        <v>43036.370405092595</v>
      </c>
      <c r="B79" s="20" t="s">
        <v>412</v>
      </c>
      <c r="C79" s="20" t="s">
        <v>728</v>
      </c>
      <c r="D79" s="138">
        <v>2010000</v>
      </c>
      <c r="E79" s="20" t="s">
        <v>538</v>
      </c>
      <c r="F79" s="20" t="s">
        <v>539</v>
      </c>
      <c r="G79" s="8" t="str">
        <f t="shared" si="2"/>
        <v>MAELZER KURT</v>
      </c>
      <c r="H79" s="20" t="str">
        <f t="shared" si="3"/>
        <v>4024</v>
      </c>
    </row>
    <row r="80" spans="1:8" x14ac:dyDescent="0.3">
      <c r="A80" s="8">
        <v>43036.371712962966</v>
      </c>
      <c r="B80" s="20" t="s">
        <v>386</v>
      </c>
      <c r="C80" s="20" t="s">
        <v>729</v>
      </c>
      <c r="D80" s="138">
        <v>3510000</v>
      </c>
      <c r="E80" s="20" t="s">
        <v>661</v>
      </c>
      <c r="F80" s="20" t="s">
        <v>662</v>
      </c>
      <c r="G80" s="8" t="str">
        <f t="shared" si="2"/>
        <v>BARRON PERLA</v>
      </c>
      <c r="H80" s="20" t="str">
        <f t="shared" si="3"/>
        <v>4009</v>
      </c>
    </row>
    <row r="81" spans="1:8" x14ac:dyDescent="0.3">
      <c r="A81" s="8">
        <v>43036.376921296294</v>
      </c>
      <c r="B81" s="20" t="s">
        <v>542</v>
      </c>
      <c r="C81" s="20" t="s">
        <v>730</v>
      </c>
      <c r="D81" s="138">
        <v>3090000</v>
      </c>
      <c r="E81" s="20" t="s">
        <v>677</v>
      </c>
      <c r="F81" s="20" t="s">
        <v>678</v>
      </c>
      <c r="G81" s="8" t="str">
        <f t="shared" si="2"/>
        <v>LAMAR NEKESHA</v>
      </c>
      <c r="H81" s="20" t="str">
        <f t="shared" si="3"/>
        <v>4054</v>
      </c>
    </row>
    <row r="82" spans="1:8" x14ac:dyDescent="0.3">
      <c r="A82" s="8">
        <v>43036.383206018516</v>
      </c>
      <c r="B82" s="20" t="s">
        <v>641</v>
      </c>
      <c r="C82" s="20" t="s">
        <v>731</v>
      </c>
      <c r="D82" s="138">
        <v>3040000</v>
      </c>
      <c r="E82" s="20" t="s">
        <v>540</v>
      </c>
      <c r="F82" s="20" t="s">
        <v>541</v>
      </c>
      <c r="G82" s="8" t="str">
        <f t="shared" si="2"/>
        <v>WILLIAMS DONTE</v>
      </c>
      <c r="H82" s="20" t="str">
        <f t="shared" si="3"/>
        <v>4064</v>
      </c>
    </row>
    <row r="83" spans="1:8" x14ac:dyDescent="0.3">
      <c r="A83" s="8">
        <v>43036.390486111108</v>
      </c>
      <c r="B83" s="20" t="s">
        <v>534</v>
      </c>
      <c r="C83" s="20" t="s">
        <v>732</v>
      </c>
      <c r="D83" s="138">
        <v>3120000</v>
      </c>
      <c r="E83" s="20" t="s">
        <v>652</v>
      </c>
      <c r="F83" s="20" t="s">
        <v>653</v>
      </c>
      <c r="G83" s="8" t="str">
        <f t="shared" si="2"/>
        <v>THOMPSON LESTER</v>
      </c>
      <c r="H83" s="20" t="str">
        <f t="shared" si="3"/>
        <v>4041</v>
      </c>
    </row>
    <row r="84" spans="1:8" x14ac:dyDescent="0.3">
      <c r="A84" s="8">
        <v>43036.393587962964</v>
      </c>
      <c r="B84" s="20" t="s">
        <v>535</v>
      </c>
      <c r="C84" s="20" t="s">
        <v>733</v>
      </c>
      <c r="D84" s="138">
        <v>3090000</v>
      </c>
      <c r="E84" s="20" t="s">
        <v>677</v>
      </c>
      <c r="F84" s="20" t="s">
        <v>678</v>
      </c>
      <c r="G84" s="8" t="str">
        <f t="shared" si="2"/>
        <v>LAMAR NEKESHA</v>
      </c>
      <c r="H84" s="20" t="str">
        <f t="shared" si="3"/>
        <v>4053</v>
      </c>
    </row>
    <row r="85" spans="1:8" x14ac:dyDescent="0.3">
      <c r="A85" s="8">
        <v>43036.394270833334</v>
      </c>
      <c r="B85" s="20" t="s">
        <v>684</v>
      </c>
      <c r="C85" s="20" t="s">
        <v>734</v>
      </c>
      <c r="D85" s="138">
        <v>1780000</v>
      </c>
      <c r="E85" s="20" t="s">
        <v>686</v>
      </c>
      <c r="F85" s="20" t="s">
        <v>687</v>
      </c>
      <c r="G85" s="8" t="str">
        <f t="shared" si="2"/>
        <v>DE LA ROSA ALEX</v>
      </c>
      <c r="H85" s="20" t="str">
        <f t="shared" si="3"/>
        <v>4012</v>
      </c>
    </row>
    <row r="86" spans="1:8" x14ac:dyDescent="0.3">
      <c r="A86" s="8">
        <v>43036.401724537034</v>
      </c>
      <c r="B86" s="20" t="s">
        <v>639</v>
      </c>
      <c r="C86" s="20" t="s">
        <v>735</v>
      </c>
      <c r="D86" s="138">
        <v>3260000</v>
      </c>
      <c r="E86" s="20" t="s">
        <v>664</v>
      </c>
      <c r="F86" s="20" t="s">
        <v>665</v>
      </c>
      <c r="G86" s="8" t="str">
        <f t="shared" si="2"/>
        <v>PAGE MARCUS</v>
      </c>
      <c r="H86" s="20" t="str">
        <f t="shared" si="3"/>
        <v>4004</v>
      </c>
    </row>
    <row r="87" spans="1:8" x14ac:dyDescent="0.3">
      <c r="A87" s="8">
        <v>43036.403622685182</v>
      </c>
      <c r="B87" s="20" t="s">
        <v>617</v>
      </c>
      <c r="C87" s="20" t="s">
        <v>736</v>
      </c>
      <c r="D87" s="138">
        <v>0</v>
      </c>
      <c r="E87" s="20" t="s">
        <v>674</v>
      </c>
      <c r="F87" s="20" t="s">
        <v>675</v>
      </c>
      <c r="G87" s="8" t="str">
        <f t="shared" si="2"/>
        <v>MACDONALD THOMAS</v>
      </c>
      <c r="H87" s="20" t="str">
        <f t="shared" si="3"/>
        <v>4031</v>
      </c>
    </row>
    <row r="88" spans="1:8" x14ac:dyDescent="0.3">
      <c r="A88" s="8">
        <v>43036.405474537038</v>
      </c>
      <c r="B88" s="20" t="s">
        <v>413</v>
      </c>
      <c r="C88" s="20" t="s">
        <v>737</v>
      </c>
      <c r="D88" s="138">
        <v>2010000</v>
      </c>
      <c r="E88" s="20" t="s">
        <v>538</v>
      </c>
      <c r="F88" s="20" t="s">
        <v>539</v>
      </c>
      <c r="G88" s="8" t="str">
        <f t="shared" si="2"/>
        <v>MAELZER KURT</v>
      </c>
      <c r="H88" s="20" t="str">
        <f t="shared" si="3"/>
        <v>4023</v>
      </c>
    </row>
    <row r="89" spans="1:8" x14ac:dyDescent="0.3">
      <c r="A89" s="8">
        <v>43036.413101851853</v>
      </c>
      <c r="B89" s="20" t="s">
        <v>387</v>
      </c>
      <c r="C89" s="20" t="s">
        <v>738</v>
      </c>
      <c r="D89" s="138">
        <v>3510000</v>
      </c>
      <c r="E89" s="20" t="s">
        <v>661</v>
      </c>
      <c r="F89" s="20" t="s">
        <v>662</v>
      </c>
      <c r="G89" s="8" t="str">
        <f t="shared" si="2"/>
        <v>BARRON PERLA</v>
      </c>
      <c r="H89" s="20" t="str">
        <f t="shared" si="3"/>
        <v>4010</v>
      </c>
    </row>
    <row r="90" spans="1:8" x14ac:dyDescent="0.3">
      <c r="A90" s="8">
        <v>43036.416724537034</v>
      </c>
      <c r="B90" s="20" t="s">
        <v>542</v>
      </c>
      <c r="C90" s="20" t="s">
        <v>624</v>
      </c>
      <c r="D90" s="138">
        <v>3090000</v>
      </c>
      <c r="E90" s="20" t="s">
        <v>677</v>
      </c>
      <c r="F90" s="20" t="s">
        <v>678</v>
      </c>
      <c r="G90" s="8" t="str">
        <f t="shared" si="2"/>
        <v>LAMAR NEKESHA</v>
      </c>
      <c r="H90" s="20" t="str">
        <f t="shared" si="3"/>
        <v>4054</v>
      </c>
    </row>
    <row r="91" spans="1:8" x14ac:dyDescent="0.3">
      <c r="A91" s="8">
        <v>43036.420416666668</v>
      </c>
      <c r="B91" s="20" t="s">
        <v>629</v>
      </c>
      <c r="C91" s="20" t="s">
        <v>739</v>
      </c>
      <c r="D91" s="138">
        <v>3040000</v>
      </c>
      <c r="E91" s="20" t="s">
        <v>540</v>
      </c>
      <c r="F91" s="20" t="s">
        <v>541</v>
      </c>
      <c r="G91" s="8" t="str">
        <f t="shared" si="2"/>
        <v>WILLIAMS DONTE</v>
      </c>
      <c r="H91" s="20" t="str">
        <f t="shared" si="3"/>
        <v>4063</v>
      </c>
    </row>
    <row r="92" spans="1:8" x14ac:dyDescent="0.3">
      <c r="A92" s="8">
        <v>43036.424722222226</v>
      </c>
      <c r="B92" s="20" t="s">
        <v>537</v>
      </c>
      <c r="C92" s="20" t="s">
        <v>740</v>
      </c>
      <c r="D92" s="138">
        <v>2550000</v>
      </c>
      <c r="E92" s="20" t="s">
        <v>545</v>
      </c>
      <c r="F92" s="20" t="s">
        <v>546</v>
      </c>
      <c r="G92" s="8" t="str">
        <f t="shared" si="2"/>
        <v>BADERTSCHER DIANE</v>
      </c>
      <c r="H92" s="20" t="str">
        <f t="shared" si="3"/>
        <v>4042</v>
      </c>
    </row>
    <row r="93" spans="1:8" x14ac:dyDescent="0.3">
      <c r="A93" s="8">
        <v>43036.432453703703</v>
      </c>
      <c r="B93" s="20" t="s">
        <v>702</v>
      </c>
      <c r="C93" s="20" t="s">
        <v>741</v>
      </c>
      <c r="D93" s="138">
        <v>1780000</v>
      </c>
      <c r="E93" s="20" t="s">
        <v>686</v>
      </c>
      <c r="F93" s="20" t="s">
        <v>687</v>
      </c>
      <c r="G93" s="8" t="str">
        <f t="shared" si="2"/>
        <v>DE LA ROSA ALEX</v>
      </c>
      <c r="H93" s="20" t="str">
        <f t="shared" si="3"/>
        <v>4011</v>
      </c>
    </row>
    <row r="94" spans="1:8" x14ac:dyDescent="0.3">
      <c r="A94" s="8">
        <v>43036.434479166666</v>
      </c>
      <c r="B94" s="20" t="s">
        <v>535</v>
      </c>
      <c r="C94" s="20" t="s">
        <v>742</v>
      </c>
      <c r="D94" s="138">
        <v>3090000</v>
      </c>
      <c r="E94" s="20" t="s">
        <v>677</v>
      </c>
      <c r="F94" s="20" t="s">
        <v>678</v>
      </c>
      <c r="G94" s="8" t="str">
        <f t="shared" si="2"/>
        <v>LAMAR NEKESHA</v>
      </c>
      <c r="H94" s="20" t="str">
        <f t="shared" si="3"/>
        <v>4053</v>
      </c>
    </row>
    <row r="95" spans="1:8" x14ac:dyDescent="0.3">
      <c r="A95" s="8">
        <v>43036.434490740743</v>
      </c>
      <c r="B95" s="20" t="s">
        <v>420</v>
      </c>
      <c r="C95" s="20" t="s">
        <v>743</v>
      </c>
      <c r="D95" s="138">
        <v>2560000</v>
      </c>
      <c r="E95" s="20" t="s">
        <v>674</v>
      </c>
      <c r="F95" s="20" t="s">
        <v>675</v>
      </c>
      <c r="G95" s="8" t="str">
        <f t="shared" si="2"/>
        <v>MACDONALD THOMAS</v>
      </c>
      <c r="H95" s="20" t="str">
        <f t="shared" si="3"/>
        <v>4032</v>
      </c>
    </row>
    <row r="96" spans="1:8" x14ac:dyDescent="0.3">
      <c r="A96" s="8">
        <v>43036.442604166667</v>
      </c>
      <c r="B96" s="20" t="s">
        <v>625</v>
      </c>
      <c r="C96" s="20" t="s">
        <v>626</v>
      </c>
      <c r="D96" s="138">
        <v>3260000</v>
      </c>
      <c r="E96" s="20" t="s">
        <v>664</v>
      </c>
      <c r="F96" s="20" t="s">
        <v>665</v>
      </c>
      <c r="G96" s="8" t="str">
        <f t="shared" si="2"/>
        <v>PAGE MARCUS</v>
      </c>
      <c r="H96" s="20" t="str">
        <f t="shared" si="3"/>
        <v>4003</v>
      </c>
    </row>
    <row r="97" spans="1:8" x14ac:dyDescent="0.3">
      <c r="A97" s="8">
        <v>43036.445370370369</v>
      </c>
      <c r="B97" s="20" t="s">
        <v>412</v>
      </c>
      <c r="C97" s="20" t="s">
        <v>744</v>
      </c>
      <c r="D97" s="138">
        <v>1770000</v>
      </c>
      <c r="E97" s="20" t="s">
        <v>491</v>
      </c>
      <c r="F97" s="20" t="s">
        <v>492</v>
      </c>
      <c r="G97" s="8" t="str">
        <f t="shared" si="2"/>
        <v>BRUDER RICHARD</v>
      </c>
      <c r="H97" s="20" t="str">
        <f t="shared" si="3"/>
        <v>4024</v>
      </c>
    </row>
    <row r="98" spans="1:8" x14ac:dyDescent="0.3">
      <c r="A98" s="8">
        <v>43036.445717592593</v>
      </c>
      <c r="B98" s="20" t="s">
        <v>386</v>
      </c>
      <c r="C98" s="20" t="s">
        <v>745</v>
      </c>
      <c r="D98" s="138">
        <v>3510000</v>
      </c>
      <c r="E98" s="20" t="s">
        <v>661</v>
      </c>
      <c r="F98" s="20" t="s">
        <v>662</v>
      </c>
      <c r="G98" s="8" t="str">
        <f t="shared" si="2"/>
        <v>BARRON PERLA</v>
      </c>
      <c r="H98" s="20" t="str">
        <f t="shared" si="3"/>
        <v>4009</v>
      </c>
    </row>
    <row r="99" spans="1:8" x14ac:dyDescent="0.3">
      <c r="A99" s="8">
        <v>43036.455659722225</v>
      </c>
      <c r="B99" s="20" t="s">
        <v>641</v>
      </c>
      <c r="C99" s="20" t="s">
        <v>746</v>
      </c>
      <c r="D99" s="138">
        <v>3040000</v>
      </c>
      <c r="E99" s="20" t="s">
        <v>540</v>
      </c>
      <c r="F99" s="20" t="s">
        <v>541</v>
      </c>
      <c r="G99" s="8" t="str">
        <f t="shared" si="2"/>
        <v>WILLIAMS DONTE</v>
      </c>
      <c r="H99" s="20" t="str">
        <f t="shared" si="3"/>
        <v>4064</v>
      </c>
    </row>
    <row r="100" spans="1:8" x14ac:dyDescent="0.3">
      <c r="A100" s="8">
        <v>43036.460752314815</v>
      </c>
      <c r="B100" s="20" t="s">
        <v>542</v>
      </c>
      <c r="C100" s="20" t="s">
        <v>747</v>
      </c>
      <c r="D100" s="138">
        <v>3090000</v>
      </c>
      <c r="E100" s="20" t="s">
        <v>677</v>
      </c>
      <c r="F100" s="20" t="s">
        <v>678</v>
      </c>
      <c r="G100" s="8" t="str">
        <f t="shared" si="2"/>
        <v>LAMAR NEKESHA</v>
      </c>
      <c r="H100" s="20" t="str">
        <f t="shared" si="3"/>
        <v>4054</v>
      </c>
    </row>
    <row r="101" spans="1:8" x14ac:dyDescent="0.3">
      <c r="A101" s="8">
        <v>43036.462037037039</v>
      </c>
      <c r="B101" s="20" t="s">
        <v>534</v>
      </c>
      <c r="C101" s="20" t="s">
        <v>748</v>
      </c>
      <c r="D101" s="138">
        <v>2550000</v>
      </c>
      <c r="E101" s="20" t="s">
        <v>545</v>
      </c>
      <c r="F101" s="20" t="s">
        <v>546</v>
      </c>
      <c r="G101" s="8" t="str">
        <f t="shared" si="2"/>
        <v>BADERTSCHER DIANE</v>
      </c>
      <c r="H101" s="20" t="str">
        <f t="shared" si="3"/>
        <v>4041</v>
      </c>
    </row>
    <row r="102" spans="1:8" x14ac:dyDescent="0.3">
      <c r="A102" s="8">
        <v>43036.465914351851</v>
      </c>
      <c r="B102" s="20" t="s">
        <v>684</v>
      </c>
      <c r="C102" s="20" t="s">
        <v>749</v>
      </c>
      <c r="D102" s="138">
        <v>920000</v>
      </c>
      <c r="E102" s="20" t="s">
        <v>402</v>
      </c>
      <c r="F102" s="20" t="s">
        <v>368</v>
      </c>
      <c r="G102" s="8" t="str">
        <f t="shared" si="2"/>
        <v>DAVIS MICHAEL</v>
      </c>
      <c r="H102" s="20" t="str">
        <f t="shared" si="3"/>
        <v>4012</v>
      </c>
    </row>
    <row r="103" spans="1:8" x14ac:dyDescent="0.3">
      <c r="A103" s="8">
        <v>43036.476111111115</v>
      </c>
      <c r="B103" s="20" t="s">
        <v>639</v>
      </c>
      <c r="C103" s="20" t="s">
        <v>750</v>
      </c>
      <c r="D103" s="138">
        <v>2630000</v>
      </c>
      <c r="E103" s="20" t="s">
        <v>751</v>
      </c>
      <c r="F103" s="20" t="s">
        <v>752</v>
      </c>
      <c r="G103" s="8" t="str">
        <f t="shared" si="2"/>
        <v>SAFIEF AEIMEN</v>
      </c>
      <c r="H103" s="20" t="str">
        <f t="shared" si="3"/>
        <v>4004</v>
      </c>
    </row>
    <row r="104" spans="1:8" x14ac:dyDescent="0.3">
      <c r="A104" s="8">
        <v>43036.476145833331</v>
      </c>
      <c r="B104" s="20" t="s">
        <v>617</v>
      </c>
      <c r="C104" s="20" t="s">
        <v>753</v>
      </c>
      <c r="D104" s="138">
        <v>0</v>
      </c>
      <c r="E104" s="20" t="s">
        <v>674</v>
      </c>
      <c r="F104" s="20" t="s">
        <v>675</v>
      </c>
      <c r="G104" s="8" t="str">
        <f t="shared" si="2"/>
        <v>MACDONALD THOMAS</v>
      </c>
      <c r="H104" s="20" t="str">
        <f t="shared" si="3"/>
        <v>4031</v>
      </c>
    </row>
    <row r="105" spans="1:8" x14ac:dyDescent="0.3">
      <c r="A105" s="8">
        <v>43036.476388888892</v>
      </c>
      <c r="B105" s="20" t="s">
        <v>535</v>
      </c>
      <c r="C105" s="20" t="s">
        <v>754</v>
      </c>
      <c r="D105" s="138">
        <v>3090000</v>
      </c>
      <c r="E105" s="20" t="s">
        <v>677</v>
      </c>
      <c r="F105" s="20" t="s">
        <v>678</v>
      </c>
      <c r="G105" s="8" t="str">
        <f t="shared" si="2"/>
        <v>LAMAR NEKESHA</v>
      </c>
      <c r="H105" s="20" t="str">
        <f t="shared" si="3"/>
        <v>4053</v>
      </c>
    </row>
    <row r="106" spans="1:8" x14ac:dyDescent="0.3">
      <c r="A106" s="8">
        <v>43036.485289351855</v>
      </c>
      <c r="B106" s="20" t="s">
        <v>413</v>
      </c>
      <c r="C106" s="20" t="s">
        <v>755</v>
      </c>
      <c r="D106" s="138">
        <v>1770000</v>
      </c>
      <c r="E106" s="20" t="s">
        <v>491</v>
      </c>
      <c r="F106" s="20" t="s">
        <v>492</v>
      </c>
      <c r="G106" s="8" t="str">
        <f t="shared" si="2"/>
        <v>BRUDER RICHARD</v>
      </c>
      <c r="H106" s="20" t="str">
        <f t="shared" si="3"/>
        <v>4023</v>
      </c>
    </row>
    <row r="107" spans="1:8" x14ac:dyDescent="0.3">
      <c r="A107" s="8">
        <v>43036.485682870371</v>
      </c>
      <c r="B107" s="20" t="s">
        <v>536</v>
      </c>
      <c r="C107" s="20" t="s">
        <v>627</v>
      </c>
      <c r="D107" s="138">
        <v>2470000</v>
      </c>
      <c r="E107" s="20" t="s">
        <v>709</v>
      </c>
      <c r="F107" s="20" t="s">
        <v>710</v>
      </c>
      <c r="G107" s="8" t="str">
        <f t="shared" si="2"/>
        <v>ROMERO CHAD</v>
      </c>
      <c r="H107" s="20" t="str">
        <f t="shared" si="3"/>
        <v>4033</v>
      </c>
    </row>
    <row r="108" spans="1:8" x14ac:dyDescent="0.3">
      <c r="A108" s="8">
        <v>43036.486157407409</v>
      </c>
      <c r="B108" s="20" t="s">
        <v>387</v>
      </c>
      <c r="C108" s="20" t="s">
        <v>756</v>
      </c>
      <c r="D108" s="138">
        <v>2970000</v>
      </c>
      <c r="E108" s="20" t="s">
        <v>757</v>
      </c>
      <c r="F108" s="20" t="s">
        <v>758</v>
      </c>
      <c r="G108" s="8" t="str">
        <f t="shared" si="2"/>
        <v>GUZMAN DANNY</v>
      </c>
      <c r="H108" s="20" t="str">
        <f t="shared" si="3"/>
        <v>4010</v>
      </c>
    </row>
    <row r="109" spans="1:8" x14ac:dyDescent="0.3">
      <c r="A109" s="8">
        <v>43036.486932870372</v>
      </c>
      <c r="B109" s="20" t="s">
        <v>387</v>
      </c>
      <c r="C109" s="20" t="s">
        <v>756</v>
      </c>
      <c r="D109" s="138">
        <v>2970000</v>
      </c>
      <c r="E109" s="20" t="s">
        <v>757</v>
      </c>
      <c r="F109" s="20" t="s">
        <v>758</v>
      </c>
      <c r="G109" s="8" t="str">
        <f t="shared" si="2"/>
        <v>GUZMAN DANNY</v>
      </c>
      <c r="H109" s="20" t="str">
        <f t="shared" si="3"/>
        <v>4010</v>
      </c>
    </row>
    <row r="110" spans="1:8" x14ac:dyDescent="0.3">
      <c r="A110" s="8">
        <v>43036.49386574074</v>
      </c>
      <c r="B110" s="20" t="s">
        <v>387</v>
      </c>
      <c r="C110" s="20" t="s">
        <v>756</v>
      </c>
      <c r="D110" s="138">
        <v>2970000</v>
      </c>
      <c r="E110" s="20" t="s">
        <v>757</v>
      </c>
      <c r="F110" s="20" t="s">
        <v>758</v>
      </c>
      <c r="G110" s="8" t="str">
        <f t="shared" si="2"/>
        <v>GUZMAN DANNY</v>
      </c>
      <c r="H110" s="20" t="str">
        <f t="shared" si="3"/>
        <v>4010</v>
      </c>
    </row>
    <row r="111" spans="1:8" x14ac:dyDescent="0.3">
      <c r="A111" s="8">
        <v>43036.494305555556</v>
      </c>
      <c r="B111" s="20" t="s">
        <v>629</v>
      </c>
      <c r="C111" s="20" t="s">
        <v>759</v>
      </c>
      <c r="D111" s="138">
        <v>3040000</v>
      </c>
      <c r="E111" s="20" t="s">
        <v>540</v>
      </c>
      <c r="F111" s="20" t="s">
        <v>541</v>
      </c>
      <c r="G111" s="8" t="str">
        <f t="shared" si="2"/>
        <v>WILLIAMS DONTE</v>
      </c>
      <c r="H111" s="20" t="str">
        <f t="shared" si="3"/>
        <v>4063</v>
      </c>
    </row>
    <row r="112" spans="1:8" x14ac:dyDescent="0.3">
      <c r="A112" s="8">
        <v>43036.496608796297</v>
      </c>
      <c r="B112" s="20" t="s">
        <v>537</v>
      </c>
      <c r="C112" s="20" t="s">
        <v>760</v>
      </c>
      <c r="D112" s="138">
        <v>2550000</v>
      </c>
      <c r="E112" s="20" t="s">
        <v>545</v>
      </c>
      <c r="F112" s="20" t="s">
        <v>546</v>
      </c>
      <c r="G112" s="8" t="str">
        <f t="shared" si="2"/>
        <v>BADERTSCHER DIANE</v>
      </c>
      <c r="H112" s="20" t="str">
        <f t="shared" si="3"/>
        <v>4042</v>
      </c>
    </row>
    <row r="113" spans="1:8" x14ac:dyDescent="0.3">
      <c r="A113" s="8">
        <v>43036.504131944443</v>
      </c>
      <c r="B113" s="20" t="s">
        <v>542</v>
      </c>
      <c r="C113" s="20" t="s">
        <v>761</v>
      </c>
      <c r="D113" s="138">
        <v>3090000</v>
      </c>
      <c r="E113" s="20" t="s">
        <v>677</v>
      </c>
      <c r="F113" s="20" t="s">
        <v>678</v>
      </c>
      <c r="G113" s="8" t="str">
        <f t="shared" si="2"/>
        <v>LAMAR NEKESHA</v>
      </c>
      <c r="H113" s="20" t="str">
        <f t="shared" si="3"/>
        <v>4054</v>
      </c>
    </row>
    <row r="114" spans="1:8" x14ac:dyDescent="0.3">
      <c r="A114" s="8">
        <v>43036.506712962961</v>
      </c>
      <c r="B114" s="20" t="s">
        <v>702</v>
      </c>
      <c r="C114" s="20" t="s">
        <v>762</v>
      </c>
      <c r="D114" s="138">
        <v>920000</v>
      </c>
      <c r="E114" s="20" t="s">
        <v>402</v>
      </c>
      <c r="F114" s="20" t="s">
        <v>368</v>
      </c>
      <c r="G114" s="8" t="str">
        <f t="shared" si="2"/>
        <v>DAVIS MICHAEL</v>
      </c>
      <c r="H114" s="20" t="str">
        <f t="shared" si="3"/>
        <v>4011</v>
      </c>
    </row>
    <row r="115" spans="1:8" x14ac:dyDescent="0.3">
      <c r="A115" s="8">
        <v>43036.506956018522</v>
      </c>
      <c r="B115" s="20" t="s">
        <v>420</v>
      </c>
      <c r="C115" s="20" t="s">
        <v>763</v>
      </c>
      <c r="D115" s="138">
        <v>2350000</v>
      </c>
      <c r="E115" s="20" t="s">
        <v>404</v>
      </c>
      <c r="F115" s="20" t="s">
        <v>405</v>
      </c>
      <c r="G115" s="8" t="str">
        <f t="shared" si="2"/>
        <v>BERLING GARY</v>
      </c>
      <c r="H115" s="20" t="str">
        <f t="shared" si="3"/>
        <v>4032</v>
      </c>
    </row>
    <row r="116" spans="1:8" x14ac:dyDescent="0.3">
      <c r="A116" s="8">
        <v>43036.507106481484</v>
      </c>
      <c r="B116" s="20" t="s">
        <v>625</v>
      </c>
      <c r="C116" s="20" t="s">
        <v>764</v>
      </c>
      <c r="D116" s="138">
        <v>2630000</v>
      </c>
      <c r="E116" s="20" t="s">
        <v>751</v>
      </c>
      <c r="F116" s="20" t="s">
        <v>752</v>
      </c>
      <c r="G116" s="8" t="str">
        <f t="shared" si="2"/>
        <v>SAFIEF AEIMEN</v>
      </c>
      <c r="H116" s="20" t="str">
        <f t="shared" si="3"/>
        <v>4003</v>
      </c>
    </row>
    <row r="117" spans="1:8" x14ac:dyDescent="0.3">
      <c r="A117" s="8">
        <v>43036.517106481479</v>
      </c>
      <c r="B117" s="20" t="s">
        <v>412</v>
      </c>
      <c r="C117" s="20" t="s">
        <v>765</v>
      </c>
      <c r="D117" s="138">
        <v>1770000</v>
      </c>
      <c r="E117" s="20" t="s">
        <v>491</v>
      </c>
      <c r="F117" s="20" t="s">
        <v>492</v>
      </c>
      <c r="G117" s="8" t="str">
        <f t="shared" si="2"/>
        <v>BRUDER RICHARD</v>
      </c>
      <c r="H117" s="20" t="str">
        <f t="shared" si="3"/>
        <v>4024</v>
      </c>
    </row>
    <row r="118" spans="1:8" x14ac:dyDescent="0.3">
      <c r="A118" s="8">
        <v>43036.518321759257</v>
      </c>
      <c r="B118" s="20" t="s">
        <v>386</v>
      </c>
      <c r="C118" s="20" t="s">
        <v>766</v>
      </c>
      <c r="D118" s="138">
        <v>2970000</v>
      </c>
      <c r="E118" s="20" t="s">
        <v>757</v>
      </c>
      <c r="F118" s="20" t="s">
        <v>758</v>
      </c>
      <c r="G118" s="8" t="str">
        <f t="shared" si="2"/>
        <v>GUZMAN DANNY</v>
      </c>
      <c r="H118" s="20" t="str">
        <f t="shared" si="3"/>
        <v>4009</v>
      </c>
    </row>
    <row r="119" spans="1:8" x14ac:dyDescent="0.3">
      <c r="A119" s="8">
        <v>43036.518888888888</v>
      </c>
      <c r="B119" s="20" t="s">
        <v>535</v>
      </c>
      <c r="C119" s="20" t="s">
        <v>767</v>
      </c>
      <c r="D119" s="138">
        <v>3090000</v>
      </c>
      <c r="E119" s="20" t="s">
        <v>677</v>
      </c>
      <c r="F119" s="20" t="s">
        <v>678</v>
      </c>
      <c r="G119" s="8" t="str">
        <f t="shared" si="2"/>
        <v>LAMAR NEKESHA</v>
      </c>
      <c r="H119" s="20" t="str">
        <f t="shared" si="3"/>
        <v>4053</v>
      </c>
    </row>
    <row r="120" spans="1:8" x14ac:dyDescent="0.3">
      <c r="A120" s="8">
        <v>43036.530243055553</v>
      </c>
      <c r="B120" s="20" t="s">
        <v>641</v>
      </c>
      <c r="C120" s="20" t="s">
        <v>768</v>
      </c>
      <c r="D120" s="138">
        <v>2420000</v>
      </c>
      <c r="E120" s="20" t="s">
        <v>406</v>
      </c>
      <c r="F120" s="20" t="s">
        <v>407</v>
      </c>
      <c r="G120" s="8" t="str">
        <f t="shared" si="2"/>
        <v>HOLCOMB KAMDEN</v>
      </c>
      <c r="H120" s="20" t="str">
        <f t="shared" si="3"/>
        <v>4064</v>
      </c>
    </row>
    <row r="121" spans="1:8" x14ac:dyDescent="0.3">
      <c r="A121" s="8">
        <v>43036.533877314818</v>
      </c>
      <c r="B121" s="20" t="s">
        <v>534</v>
      </c>
      <c r="C121" s="20" t="s">
        <v>769</v>
      </c>
      <c r="D121" s="138">
        <v>2550000</v>
      </c>
      <c r="E121" s="20" t="s">
        <v>545</v>
      </c>
      <c r="F121" s="20" t="s">
        <v>546</v>
      </c>
      <c r="G121" s="8" t="str">
        <f t="shared" si="2"/>
        <v>BADERTSCHER DIANE</v>
      </c>
      <c r="H121" s="20" t="str">
        <f t="shared" si="3"/>
        <v>4041</v>
      </c>
    </row>
    <row r="122" spans="1:8" x14ac:dyDescent="0.3">
      <c r="A122" s="8">
        <v>43036.539826388886</v>
      </c>
      <c r="B122" s="25" t="s">
        <v>684</v>
      </c>
      <c r="C122" s="20" t="s">
        <v>770</v>
      </c>
      <c r="D122" s="138">
        <v>920000</v>
      </c>
      <c r="E122" s="20" t="s">
        <v>402</v>
      </c>
      <c r="F122" s="20" t="s">
        <v>368</v>
      </c>
      <c r="G122" s="8" t="str">
        <f t="shared" si="2"/>
        <v>DAVIS MICHAEL</v>
      </c>
      <c r="H122" s="20" t="str">
        <f t="shared" si="3"/>
        <v>4012</v>
      </c>
    </row>
    <row r="123" spans="1:8" x14ac:dyDescent="0.3">
      <c r="A123" s="8">
        <v>43036.545983796299</v>
      </c>
      <c r="B123" s="20" t="s">
        <v>542</v>
      </c>
      <c r="C123" s="20" t="s">
        <v>628</v>
      </c>
      <c r="D123" s="138">
        <v>3090000</v>
      </c>
      <c r="E123" s="20" t="s">
        <v>677</v>
      </c>
      <c r="F123" s="20" t="s">
        <v>678</v>
      </c>
      <c r="G123" s="8" t="str">
        <f t="shared" si="2"/>
        <v>LAMAR NEKESHA</v>
      </c>
      <c r="H123" s="20" t="str">
        <f t="shared" si="3"/>
        <v>4054</v>
      </c>
    </row>
    <row r="124" spans="1:8" x14ac:dyDescent="0.3">
      <c r="A124" s="8">
        <v>43036.5471875</v>
      </c>
      <c r="B124" s="20" t="s">
        <v>617</v>
      </c>
      <c r="C124" s="20" t="s">
        <v>771</v>
      </c>
      <c r="D124" s="138">
        <v>2350000</v>
      </c>
      <c r="E124" s="20" t="s">
        <v>404</v>
      </c>
      <c r="F124" s="20" t="s">
        <v>405</v>
      </c>
      <c r="G124" s="8" t="str">
        <f t="shared" si="2"/>
        <v>BERLING GARY</v>
      </c>
      <c r="H124" s="20" t="str">
        <f t="shared" si="3"/>
        <v>4031</v>
      </c>
    </row>
    <row r="125" spans="1:8" x14ac:dyDescent="0.3">
      <c r="A125" s="8">
        <v>43036.547662037039</v>
      </c>
      <c r="B125" s="20" t="s">
        <v>639</v>
      </c>
      <c r="C125" s="20" t="s">
        <v>772</v>
      </c>
      <c r="D125" s="138">
        <v>2600000</v>
      </c>
      <c r="E125" s="20" t="s">
        <v>435</v>
      </c>
      <c r="F125" s="20" t="s">
        <v>419</v>
      </c>
      <c r="G125" s="8" t="str">
        <f t="shared" si="2"/>
        <v>DAVIDSON DAVID</v>
      </c>
      <c r="H125" s="20" t="str">
        <f t="shared" si="3"/>
        <v>4004</v>
      </c>
    </row>
    <row r="126" spans="1:8" x14ac:dyDescent="0.3">
      <c r="A126" s="8">
        <v>43036.558032407411</v>
      </c>
      <c r="B126" s="20" t="s">
        <v>413</v>
      </c>
      <c r="C126" s="20" t="s">
        <v>773</v>
      </c>
      <c r="D126" s="138">
        <v>1770000</v>
      </c>
      <c r="E126" s="20" t="s">
        <v>491</v>
      </c>
      <c r="F126" s="20" t="s">
        <v>492</v>
      </c>
      <c r="G126" s="8" t="str">
        <f t="shared" si="2"/>
        <v>BRUDER RICHARD</v>
      </c>
      <c r="H126" s="20" t="str">
        <f t="shared" si="3"/>
        <v>4023</v>
      </c>
    </row>
    <row r="127" spans="1:8" x14ac:dyDescent="0.3">
      <c r="A127" s="8">
        <v>43036.558368055557</v>
      </c>
      <c r="B127" s="20" t="s">
        <v>387</v>
      </c>
      <c r="C127" s="20" t="s">
        <v>774</v>
      </c>
      <c r="D127" s="138">
        <v>2970000</v>
      </c>
      <c r="E127" s="20" t="s">
        <v>757</v>
      </c>
      <c r="F127" s="20" t="s">
        <v>758</v>
      </c>
      <c r="G127" s="8" t="str">
        <f t="shared" si="2"/>
        <v>GUZMAN DANNY</v>
      </c>
      <c r="H127" s="20" t="str">
        <f t="shared" si="3"/>
        <v>4010</v>
      </c>
    </row>
    <row r="128" spans="1:8" x14ac:dyDescent="0.3">
      <c r="A128" s="8">
        <v>43036.560729166667</v>
      </c>
      <c r="B128" s="20" t="s">
        <v>535</v>
      </c>
      <c r="C128" s="20" t="s">
        <v>775</v>
      </c>
      <c r="D128" s="138">
        <v>3090000</v>
      </c>
      <c r="E128" s="20" t="s">
        <v>677</v>
      </c>
      <c r="F128" s="20" t="s">
        <v>678</v>
      </c>
      <c r="G128" s="8" t="str">
        <f t="shared" si="2"/>
        <v>LAMAR NEKESHA</v>
      </c>
      <c r="H128" s="20" t="str">
        <f t="shared" si="3"/>
        <v>4053</v>
      </c>
    </row>
    <row r="129" spans="1:8" x14ac:dyDescent="0.3">
      <c r="A129" s="8">
        <v>43036.568611111114</v>
      </c>
      <c r="B129" s="20" t="s">
        <v>629</v>
      </c>
      <c r="C129" s="20" t="s">
        <v>630</v>
      </c>
      <c r="D129" s="138">
        <v>2420000</v>
      </c>
      <c r="E129" s="20" t="s">
        <v>406</v>
      </c>
      <c r="F129" s="20" t="s">
        <v>407</v>
      </c>
      <c r="G129" s="8" t="str">
        <f t="shared" si="2"/>
        <v>HOLCOMB KAMDEN</v>
      </c>
      <c r="H129" s="20" t="str">
        <f t="shared" si="3"/>
        <v>4063</v>
      </c>
    </row>
    <row r="130" spans="1:8" x14ac:dyDescent="0.3">
      <c r="A130" s="8">
        <v>43036.570081018515</v>
      </c>
      <c r="B130" s="20" t="s">
        <v>537</v>
      </c>
      <c r="C130" s="20" t="s">
        <v>776</v>
      </c>
      <c r="D130" s="138">
        <v>2550000</v>
      </c>
      <c r="E130" s="20" t="s">
        <v>545</v>
      </c>
      <c r="F130" s="20" t="s">
        <v>546</v>
      </c>
      <c r="G130" s="8" t="str">
        <f t="shared" si="2"/>
        <v>BADERTSCHER DIANE</v>
      </c>
      <c r="H130" s="20" t="str">
        <f t="shared" si="3"/>
        <v>4042</v>
      </c>
    </row>
    <row r="131" spans="1:8" x14ac:dyDescent="0.3">
      <c r="A131" s="8">
        <v>43036.580243055556</v>
      </c>
      <c r="B131" s="20" t="s">
        <v>702</v>
      </c>
      <c r="C131" s="20" t="s">
        <v>777</v>
      </c>
      <c r="D131" s="138">
        <v>920000</v>
      </c>
      <c r="E131" s="20" t="s">
        <v>402</v>
      </c>
      <c r="F131" s="20" t="s">
        <v>368</v>
      </c>
      <c r="G131" s="8" t="str">
        <f t="shared" ref="G131:G194" si="4">E131&amp;" "&amp;F131</f>
        <v>DAVIS MICHAEL</v>
      </c>
      <c r="H131" s="20" t="str">
        <f t="shared" ref="H131:H194" si="5">MID(B131,13,4)</f>
        <v>4011</v>
      </c>
    </row>
    <row r="132" spans="1:8" x14ac:dyDescent="0.3">
      <c r="A132" s="8">
        <v>43036.580752314818</v>
      </c>
      <c r="B132" s="20" t="s">
        <v>420</v>
      </c>
      <c r="C132" s="20" t="s">
        <v>778</v>
      </c>
      <c r="D132" s="138">
        <v>2350000</v>
      </c>
      <c r="E132" s="20" t="s">
        <v>404</v>
      </c>
      <c r="F132" s="20" t="s">
        <v>405</v>
      </c>
      <c r="G132" s="8" t="str">
        <f t="shared" si="4"/>
        <v>BERLING GARY</v>
      </c>
      <c r="H132" s="20" t="str">
        <f t="shared" si="5"/>
        <v>4032</v>
      </c>
    </row>
    <row r="133" spans="1:8" x14ac:dyDescent="0.3">
      <c r="A133" s="8">
        <v>43036.581388888888</v>
      </c>
      <c r="B133" s="20" t="s">
        <v>625</v>
      </c>
      <c r="C133" s="20" t="s">
        <v>779</v>
      </c>
      <c r="D133" s="138">
        <v>2600000</v>
      </c>
      <c r="E133" s="20" t="s">
        <v>435</v>
      </c>
      <c r="F133" s="20" t="s">
        <v>419</v>
      </c>
      <c r="G133" s="8" t="str">
        <f t="shared" si="4"/>
        <v>DAVIDSON DAVID</v>
      </c>
      <c r="H133" s="20" t="str">
        <f t="shared" si="5"/>
        <v>4003</v>
      </c>
    </row>
    <row r="134" spans="1:8" x14ac:dyDescent="0.3">
      <c r="A134" s="8">
        <v>43036.583402777775</v>
      </c>
      <c r="B134" s="20" t="s">
        <v>542</v>
      </c>
      <c r="C134" s="20" t="s">
        <v>780</v>
      </c>
      <c r="D134" s="138">
        <v>2230000</v>
      </c>
      <c r="E134" s="20" t="s">
        <v>781</v>
      </c>
      <c r="F134" s="20" t="s">
        <v>368</v>
      </c>
      <c r="G134" s="8" t="str">
        <f t="shared" si="4"/>
        <v>SMITH MICHAEL</v>
      </c>
      <c r="H134" s="20" t="str">
        <f t="shared" si="5"/>
        <v>4054</v>
      </c>
    </row>
    <row r="135" spans="1:8" x14ac:dyDescent="0.3">
      <c r="A135" s="8">
        <v>43036.589328703703</v>
      </c>
      <c r="B135" s="20" t="s">
        <v>386</v>
      </c>
      <c r="C135" s="20" t="s">
        <v>782</v>
      </c>
      <c r="D135" s="138">
        <v>2970000</v>
      </c>
      <c r="E135" s="20" t="s">
        <v>757</v>
      </c>
      <c r="F135" s="20" t="s">
        <v>758</v>
      </c>
      <c r="G135" s="8" t="str">
        <f t="shared" si="4"/>
        <v>GUZMAN DANNY</v>
      </c>
      <c r="H135" s="20" t="str">
        <f t="shared" si="5"/>
        <v>4009</v>
      </c>
    </row>
    <row r="136" spans="1:8" x14ac:dyDescent="0.3">
      <c r="A136" s="8">
        <v>43036.592037037037</v>
      </c>
      <c r="B136" s="20" t="s">
        <v>412</v>
      </c>
      <c r="C136" s="20" t="s">
        <v>783</v>
      </c>
      <c r="D136" s="138">
        <v>1770000</v>
      </c>
      <c r="E136" s="20" t="s">
        <v>491</v>
      </c>
      <c r="F136" s="20" t="s">
        <v>492</v>
      </c>
      <c r="G136" s="8" t="str">
        <f t="shared" si="4"/>
        <v>BRUDER RICHARD</v>
      </c>
      <c r="H136" s="20" t="str">
        <f t="shared" si="5"/>
        <v>4024</v>
      </c>
    </row>
    <row r="137" spans="1:8" x14ac:dyDescent="0.3">
      <c r="A137" s="8">
        <v>43036.600185185183</v>
      </c>
      <c r="B137" s="20" t="s">
        <v>641</v>
      </c>
      <c r="C137" s="20" t="s">
        <v>784</v>
      </c>
      <c r="D137" s="138">
        <v>2420000</v>
      </c>
      <c r="E137" s="20" t="s">
        <v>406</v>
      </c>
      <c r="F137" s="20" t="s">
        <v>407</v>
      </c>
      <c r="G137" s="8" t="str">
        <f t="shared" si="4"/>
        <v>HOLCOMB KAMDEN</v>
      </c>
      <c r="H137" s="20" t="str">
        <f t="shared" si="5"/>
        <v>4064</v>
      </c>
    </row>
    <row r="138" spans="1:8" x14ac:dyDescent="0.3">
      <c r="A138" s="8">
        <v>43036.603090277778</v>
      </c>
      <c r="B138" s="20" t="s">
        <v>535</v>
      </c>
      <c r="C138" s="20" t="s">
        <v>631</v>
      </c>
      <c r="D138" s="138">
        <v>2230000</v>
      </c>
      <c r="E138" s="20" t="s">
        <v>781</v>
      </c>
      <c r="F138" s="20" t="s">
        <v>368</v>
      </c>
      <c r="G138" s="8" t="str">
        <f t="shared" si="4"/>
        <v>SMITH MICHAEL</v>
      </c>
      <c r="H138" s="20" t="str">
        <f t="shared" si="5"/>
        <v>4053</v>
      </c>
    </row>
    <row r="139" spans="1:8" x14ac:dyDescent="0.3">
      <c r="A139" s="8">
        <v>43036.607534722221</v>
      </c>
      <c r="B139" s="20" t="s">
        <v>534</v>
      </c>
      <c r="C139" s="20" t="s">
        <v>785</v>
      </c>
      <c r="D139" s="138">
        <v>2550000</v>
      </c>
      <c r="E139" s="20" t="s">
        <v>545</v>
      </c>
      <c r="F139" s="20" t="s">
        <v>546</v>
      </c>
      <c r="G139" s="8" t="str">
        <f t="shared" si="4"/>
        <v>BADERTSCHER DIANE</v>
      </c>
      <c r="H139" s="20" t="str">
        <f t="shared" si="5"/>
        <v>4041</v>
      </c>
    </row>
    <row r="140" spans="1:8" x14ac:dyDescent="0.3">
      <c r="A140" s="8">
        <v>43036.612754629627</v>
      </c>
      <c r="B140" s="20" t="s">
        <v>684</v>
      </c>
      <c r="C140" s="20" t="s">
        <v>786</v>
      </c>
      <c r="D140" s="138">
        <v>920000</v>
      </c>
      <c r="E140" s="20" t="s">
        <v>402</v>
      </c>
      <c r="F140" s="20" t="s">
        <v>368</v>
      </c>
      <c r="G140" s="8" t="str">
        <f t="shared" si="4"/>
        <v>DAVIS MICHAEL</v>
      </c>
      <c r="H140" s="20" t="str">
        <f t="shared" si="5"/>
        <v>4012</v>
      </c>
    </row>
    <row r="141" spans="1:8" x14ac:dyDescent="0.3">
      <c r="A141" s="8">
        <v>43036.617025462961</v>
      </c>
      <c r="B141" s="20" t="s">
        <v>617</v>
      </c>
      <c r="C141" s="20" t="s">
        <v>787</v>
      </c>
      <c r="D141" s="138">
        <v>2350000</v>
      </c>
      <c r="E141" s="20" t="s">
        <v>404</v>
      </c>
      <c r="F141" s="20" t="s">
        <v>405</v>
      </c>
      <c r="G141" s="8" t="str">
        <f t="shared" si="4"/>
        <v>BERLING GARY</v>
      </c>
      <c r="H141" s="20" t="str">
        <f t="shared" si="5"/>
        <v>4031</v>
      </c>
    </row>
    <row r="142" spans="1:8" x14ac:dyDescent="0.3">
      <c r="A142" s="8">
        <v>43036.622384259259</v>
      </c>
      <c r="B142" s="20" t="s">
        <v>639</v>
      </c>
      <c r="C142" s="20" t="s">
        <v>788</v>
      </c>
      <c r="D142" s="138">
        <v>2630000</v>
      </c>
      <c r="E142" s="20" t="s">
        <v>751</v>
      </c>
      <c r="F142" s="20" t="s">
        <v>752</v>
      </c>
      <c r="G142" s="8" t="str">
        <f t="shared" si="4"/>
        <v>SAFIEF AEIMEN</v>
      </c>
      <c r="H142" s="20" t="str">
        <f t="shared" si="5"/>
        <v>4004</v>
      </c>
    </row>
    <row r="143" spans="1:8" x14ac:dyDescent="0.3">
      <c r="A143" s="8">
        <v>43036.628877314812</v>
      </c>
      <c r="B143" s="20" t="s">
        <v>542</v>
      </c>
      <c r="C143" s="20" t="s">
        <v>789</v>
      </c>
      <c r="D143" s="138">
        <v>3330000</v>
      </c>
      <c r="E143" s="20" t="s">
        <v>790</v>
      </c>
      <c r="F143" s="20" t="s">
        <v>791</v>
      </c>
      <c r="G143" s="8" t="str">
        <f t="shared" si="4"/>
        <v>GONZALEZ ARMANDO</v>
      </c>
      <c r="H143" s="20" t="str">
        <f t="shared" si="5"/>
        <v>4054</v>
      </c>
    </row>
    <row r="144" spans="1:8" x14ac:dyDescent="0.3">
      <c r="A144" s="8">
        <v>43036.630381944444</v>
      </c>
      <c r="B144" s="20" t="s">
        <v>413</v>
      </c>
      <c r="C144" s="20" t="s">
        <v>792</v>
      </c>
      <c r="D144" s="138">
        <v>1770000</v>
      </c>
      <c r="E144" s="20" t="s">
        <v>491</v>
      </c>
      <c r="F144" s="20" t="s">
        <v>492</v>
      </c>
      <c r="G144" s="8" t="str">
        <f t="shared" si="4"/>
        <v>BRUDER RICHARD</v>
      </c>
      <c r="H144" s="20" t="str">
        <f t="shared" si="5"/>
        <v>4023</v>
      </c>
    </row>
    <row r="145" spans="1:8" x14ac:dyDescent="0.3">
      <c r="A145" s="8">
        <v>43036.632291666669</v>
      </c>
      <c r="B145" s="20" t="s">
        <v>387</v>
      </c>
      <c r="C145" s="20" t="s">
        <v>793</v>
      </c>
      <c r="D145" s="138">
        <v>2970000</v>
      </c>
      <c r="E145" s="20" t="s">
        <v>757</v>
      </c>
      <c r="F145" s="20" t="s">
        <v>758</v>
      </c>
      <c r="G145" s="8" t="str">
        <f t="shared" si="4"/>
        <v>GUZMAN DANNY</v>
      </c>
      <c r="H145" s="20" t="str">
        <f t="shared" si="5"/>
        <v>4010</v>
      </c>
    </row>
    <row r="146" spans="1:8" x14ac:dyDescent="0.3">
      <c r="A146" s="8">
        <v>43036.64203703704</v>
      </c>
      <c r="B146" s="20" t="s">
        <v>629</v>
      </c>
      <c r="C146" s="20" t="s">
        <v>632</v>
      </c>
      <c r="D146" s="138">
        <v>2420000</v>
      </c>
      <c r="E146" s="20" t="s">
        <v>406</v>
      </c>
      <c r="F146" s="20" t="s">
        <v>407</v>
      </c>
      <c r="G146" s="8" t="str">
        <f t="shared" si="4"/>
        <v>HOLCOMB KAMDEN</v>
      </c>
      <c r="H146" s="20" t="str">
        <f t="shared" si="5"/>
        <v>4063</v>
      </c>
    </row>
    <row r="147" spans="1:8" x14ac:dyDescent="0.3">
      <c r="A147" s="8">
        <v>43036.642152777778</v>
      </c>
      <c r="B147" s="20" t="s">
        <v>537</v>
      </c>
      <c r="C147" s="20" t="s">
        <v>794</v>
      </c>
      <c r="D147" s="138">
        <v>2550000</v>
      </c>
      <c r="E147" s="20" t="s">
        <v>545</v>
      </c>
      <c r="F147" s="20" t="s">
        <v>546</v>
      </c>
      <c r="G147" s="8" t="str">
        <f t="shared" si="4"/>
        <v>BADERTSCHER DIANE</v>
      </c>
      <c r="H147" s="20" t="str">
        <f t="shared" si="5"/>
        <v>4042</v>
      </c>
    </row>
    <row r="148" spans="1:8" x14ac:dyDescent="0.3">
      <c r="A148" s="8">
        <v>43036.643773148149</v>
      </c>
      <c r="B148" s="20" t="s">
        <v>535</v>
      </c>
      <c r="C148" s="20" t="s">
        <v>795</v>
      </c>
      <c r="D148" s="138">
        <v>3330000</v>
      </c>
      <c r="E148" s="20" t="s">
        <v>790</v>
      </c>
      <c r="F148" s="20" t="s">
        <v>791</v>
      </c>
      <c r="G148" s="8" t="str">
        <f t="shared" si="4"/>
        <v>GONZALEZ ARMANDO</v>
      </c>
      <c r="H148" s="20" t="str">
        <f t="shared" si="5"/>
        <v>4053</v>
      </c>
    </row>
    <row r="149" spans="1:8" x14ac:dyDescent="0.3">
      <c r="A149" s="8">
        <v>43036.652627314812</v>
      </c>
      <c r="B149" s="20" t="s">
        <v>702</v>
      </c>
      <c r="C149" s="20" t="s">
        <v>796</v>
      </c>
      <c r="D149" s="138">
        <v>920000</v>
      </c>
      <c r="E149" s="20" t="s">
        <v>402</v>
      </c>
      <c r="F149" s="20" t="s">
        <v>368</v>
      </c>
      <c r="G149" s="8" t="str">
        <f t="shared" si="4"/>
        <v>DAVIS MICHAEL</v>
      </c>
      <c r="H149" s="20" t="str">
        <f t="shared" si="5"/>
        <v>4011</v>
      </c>
    </row>
    <row r="150" spans="1:8" x14ac:dyDescent="0.3">
      <c r="A150" s="8">
        <v>43036.652789351851</v>
      </c>
      <c r="B150" s="20" t="s">
        <v>420</v>
      </c>
      <c r="C150" s="20" t="s">
        <v>797</v>
      </c>
      <c r="D150" s="138">
        <v>2350000</v>
      </c>
      <c r="E150" s="20" t="s">
        <v>404</v>
      </c>
      <c r="F150" s="20" t="s">
        <v>405</v>
      </c>
      <c r="G150" s="8" t="str">
        <f t="shared" si="4"/>
        <v>BERLING GARY</v>
      </c>
      <c r="H150" s="20" t="str">
        <f t="shared" si="5"/>
        <v>4032</v>
      </c>
    </row>
    <row r="151" spans="1:8" x14ac:dyDescent="0.3">
      <c r="A151" s="8">
        <v>43036.655763888892</v>
      </c>
      <c r="B151" s="20" t="s">
        <v>625</v>
      </c>
      <c r="C151" s="20" t="s">
        <v>798</v>
      </c>
      <c r="D151" s="138">
        <v>2630000</v>
      </c>
      <c r="E151" s="20" t="s">
        <v>751</v>
      </c>
      <c r="F151" s="20" t="s">
        <v>752</v>
      </c>
      <c r="G151" s="8" t="str">
        <f t="shared" si="4"/>
        <v>SAFIEF AEIMEN</v>
      </c>
      <c r="H151" s="20" t="str">
        <f t="shared" si="5"/>
        <v>4003</v>
      </c>
    </row>
    <row r="152" spans="1:8" x14ac:dyDescent="0.3">
      <c r="A152" s="8">
        <v>43036.662476851852</v>
      </c>
      <c r="B152" s="20" t="s">
        <v>386</v>
      </c>
      <c r="C152" s="20" t="s">
        <v>799</v>
      </c>
      <c r="D152" s="138">
        <v>2970000</v>
      </c>
      <c r="E152" s="20" t="s">
        <v>757</v>
      </c>
      <c r="F152" s="20" t="s">
        <v>758</v>
      </c>
      <c r="G152" s="8" t="str">
        <f t="shared" si="4"/>
        <v>GUZMAN DANNY</v>
      </c>
      <c r="H152" s="20" t="str">
        <f t="shared" si="5"/>
        <v>4009</v>
      </c>
    </row>
    <row r="153" spans="1:8" x14ac:dyDescent="0.3">
      <c r="A153" s="8">
        <v>43036.662858796299</v>
      </c>
      <c r="B153" s="20" t="s">
        <v>412</v>
      </c>
      <c r="C153" s="20" t="s">
        <v>800</v>
      </c>
      <c r="D153" s="138">
        <v>1770000</v>
      </c>
      <c r="E153" s="20" t="s">
        <v>491</v>
      </c>
      <c r="F153" s="20" t="s">
        <v>492</v>
      </c>
      <c r="G153" s="8" t="str">
        <f t="shared" si="4"/>
        <v>BRUDER RICHARD</v>
      </c>
      <c r="H153" s="20" t="str">
        <f t="shared" si="5"/>
        <v>4024</v>
      </c>
    </row>
    <row r="154" spans="1:8" x14ac:dyDescent="0.3">
      <c r="A154" s="8">
        <v>43036.66615740741</v>
      </c>
      <c r="B154" s="20" t="s">
        <v>542</v>
      </c>
      <c r="C154" s="20" t="s">
        <v>801</v>
      </c>
      <c r="D154" s="138">
        <v>2230000</v>
      </c>
      <c r="E154" s="20" t="s">
        <v>781</v>
      </c>
      <c r="F154" s="20" t="s">
        <v>368</v>
      </c>
      <c r="G154" s="8" t="str">
        <f t="shared" si="4"/>
        <v>SMITH MICHAEL</v>
      </c>
      <c r="H154" s="20" t="str">
        <f t="shared" si="5"/>
        <v>4054</v>
      </c>
    </row>
    <row r="155" spans="1:8" x14ac:dyDescent="0.3">
      <c r="A155" s="8">
        <v>43036.668981481482</v>
      </c>
      <c r="B155" s="20" t="s">
        <v>478</v>
      </c>
      <c r="C155" s="20" t="s">
        <v>802</v>
      </c>
      <c r="D155" s="138">
        <v>2440000</v>
      </c>
      <c r="E155" s="20" t="s">
        <v>449</v>
      </c>
      <c r="F155" s="20" t="s">
        <v>450</v>
      </c>
      <c r="G155" s="8" t="str">
        <f t="shared" si="4"/>
        <v>LOPES KIMBERLY</v>
      </c>
      <c r="H155" s="20" t="str">
        <f t="shared" si="5"/>
        <v>4050</v>
      </c>
    </row>
    <row r="156" spans="1:8" x14ac:dyDescent="0.3">
      <c r="A156" s="8">
        <v>43036.673854166664</v>
      </c>
      <c r="B156" s="20" t="s">
        <v>641</v>
      </c>
      <c r="C156" s="20" t="s">
        <v>803</v>
      </c>
      <c r="D156" s="138">
        <v>2420000</v>
      </c>
      <c r="E156" s="20" t="s">
        <v>406</v>
      </c>
      <c r="F156" s="20" t="s">
        <v>407</v>
      </c>
      <c r="G156" s="8" t="str">
        <f t="shared" si="4"/>
        <v>HOLCOMB KAMDEN</v>
      </c>
      <c r="H156" s="20" t="str">
        <f t="shared" si="5"/>
        <v>4064</v>
      </c>
    </row>
    <row r="157" spans="1:8" x14ac:dyDescent="0.3">
      <c r="A157" s="8">
        <v>43036.680567129632</v>
      </c>
      <c r="B157" s="20" t="s">
        <v>534</v>
      </c>
      <c r="C157" s="20" t="s">
        <v>804</v>
      </c>
      <c r="D157" s="138">
        <v>2550000</v>
      </c>
      <c r="E157" s="20" t="s">
        <v>545</v>
      </c>
      <c r="F157" s="20" t="s">
        <v>546</v>
      </c>
      <c r="G157" s="8" t="str">
        <f t="shared" si="4"/>
        <v>BADERTSCHER DIANE</v>
      </c>
      <c r="H157" s="20" t="str">
        <f t="shared" si="5"/>
        <v>4041</v>
      </c>
    </row>
    <row r="158" spans="1:8" x14ac:dyDescent="0.3">
      <c r="A158" s="8">
        <v>43036.685520833336</v>
      </c>
      <c r="B158" s="20" t="s">
        <v>684</v>
      </c>
      <c r="C158" s="20" t="s">
        <v>805</v>
      </c>
      <c r="D158" s="138">
        <v>920000</v>
      </c>
      <c r="E158" s="20" t="s">
        <v>402</v>
      </c>
      <c r="F158" s="20" t="s">
        <v>368</v>
      </c>
      <c r="G158" s="8" t="str">
        <f t="shared" si="4"/>
        <v>DAVIS MICHAEL</v>
      </c>
      <c r="H158" s="20" t="str">
        <f t="shared" si="5"/>
        <v>4012</v>
      </c>
    </row>
    <row r="159" spans="1:8" x14ac:dyDescent="0.3">
      <c r="A159" s="8">
        <v>43036.688831018517</v>
      </c>
      <c r="B159" s="20" t="s">
        <v>535</v>
      </c>
      <c r="C159" s="20" t="s">
        <v>806</v>
      </c>
      <c r="D159" s="138">
        <v>2230000</v>
      </c>
      <c r="E159" s="20" t="s">
        <v>781</v>
      </c>
      <c r="F159" s="20" t="s">
        <v>368</v>
      </c>
      <c r="G159" s="8" t="str">
        <f t="shared" si="4"/>
        <v>SMITH MICHAEL</v>
      </c>
      <c r="H159" s="20" t="str">
        <f t="shared" si="5"/>
        <v>4053</v>
      </c>
    </row>
    <row r="160" spans="1:8" x14ac:dyDescent="0.3">
      <c r="A160" s="8">
        <v>43036.689189814817</v>
      </c>
      <c r="B160" s="20" t="s">
        <v>617</v>
      </c>
      <c r="C160" s="20" t="s">
        <v>807</v>
      </c>
      <c r="D160" s="138">
        <v>2350000</v>
      </c>
      <c r="E160" s="20" t="s">
        <v>404</v>
      </c>
      <c r="F160" s="20" t="s">
        <v>405</v>
      </c>
      <c r="G160" s="8" t="str">
        <f t="shared" si="4"/>
        <v>BERLING GARY</v>
      </c>
      <c r="H160" s="20" t="str">
        <f t="shared" si="5"/>
        <v>4031</v>
      </c>
    </row>
    <row r="161" spans="1:8" x14ac:dyDescent="0.3">
      <c r="A161" s="8">
        <v>43036.694050925929</v>
      </c>
      <c r="B161" s="20" t="s">
        <v>639</v>
      </c>
      <c r="C161" s="20" t="s">
        <v>808</v>
      </c>
      <c r="D161" s="138">
        <v>2630000</v>
      </c>
      <c r="E161" s="20" t="s">
        <v>751</v>
      </c>
      <c r="F161" s="20" t="s">
        <v>752</v>
      </c>
      <c r="G161" s="8" t="str">
        <f t="shared" si="4"/>
        <v>SAFIEF AEIMEN</v>
      </c>
      <c r="H161" s="20" t="str">
        <f t="shared" si="5"/>
        <v>4004</v>
      </c>
    </row>
    <row r="162" spans="1:8" x14ac:dyDescent="0.3">
      <c r="A162" s="8">
        <v>43036.7034375</v>
      </c>
      <c r="B162" s="20" t="s">
        <v>387</v>
      </c>
      <c r="C162" s="20" t="s">
        <v>809</v>
      </c>
      <c r="D162" s="138">
        <v>2970000</v>
      </c>
      <c r="E162" s="20" t="s">
        <v>757</v>
      </c>
      <c r="F162" s="20" t="s">
        <v>758</v>
      </c>
      <c r="G162" s="8" t="str">
        <f t="shared" si="4"/>
        <v>GUZMAN DANNY</v>
      </c>
      <c r="H162" s="20" t="str">
        <f t="shared" si="5"/>
        <v>4010</v>
      </c>
    </row>
    <row r="163" spans="1:8" x14ac:dyDescent="0.3">
      <c r="A163" s="8">
        <v>43036.703865740739</v>
      </c>
      <c r="B163" s="20" t="s">
        <v>413</v>
      </c>
      <c r="C163" s="20" t="s">
        <v>810</v>
      </c>
      <c r="D163" s="138">
        <v>1770000</v>
      </c>
      <c r="E163" s="20" t="s">
        <v>491</v>
      </c>
      <c r="F163" s="20" t="s">
        <v>492</v>
      </c>
      <c r="G163" s="8" t="str">
        <f t="shared" si="4"/>
        <v>BRUDER RICHARD</v>
      </c>
      <c r="H163" s="20" t="str">
        <f t="shared" si="5"/>
        <v>4023</v>
      </c>
    </row>
    <row r="164" spans="1:8" x14ac:dyDescent="0.3">
      <c r="A164" s="8">
        <v>43036.710752314815</v>
      </c>
      <c r="B164" s="20" t="s">
        <v>542</v>
      </c>
      <c r="C164" s="20" t="s">
        <v>811</v>
      </c>
      <c r="D164" s="138">
        <v>2230000</v>
      </c>
      <c r="E164" s="20" t="s">
        <v>781</v>
      </c>
      <c r="F164" s="20" t="s">
        <v>368</v>
      </c>
      <c r="G164" s="8" t="str">
        <f t="shared" si="4"/>
        <v>SMITH MICHAEL</v>
      </c>
      <c r="H164" s="20" t="str">
        <f t="shared" si="5"/>
        <v>4054</v>
      </c>
    </row>
    <row r="165" spans="1:8" x14ac:dyDescent="0.3">
      <c r="A165" s="8">
        <v>43036.713993055557</v>
      </c>
      <c r="B165" s="20" t="s">
        <v>629</v>
      </c>
      <c r="C165" s="20" t="s">
        <v>812</v>
      </c>
      <c r="D165" s="138">
        <v>2420000</v>
      </c>
      <c r="E165" s="20" t="s">
        <v>406</v>
      </c>
      <c r="F165" s="20" t="s">
        <v>407</v>
      </c>
      <c r="G165" s="8" t="str">
        <f t="shared" si="4"/>
        <v>HOLCOMB KAMDEN</v>
      </c>
      <c r="H165" s="20" t="str">
        <f t="shared" si="5"/>
        <v>4063</v>
      </c>
    </row>
    <row r="166" spans="1:8" x14ac:dyDescent="0.3">
      <c r="A166" s="8">
        <v>43036.715624999997</v>
      </c>
      <c r="B166" s="20" t="s">
        <v>537</v>
      </c>
      <c r="C166" s="20" t="s">
        <v>813</v>
      </c>
      <c r="D166" s="138">
        <v>2550000</v>
      </c>
      <c r="E166" s="20" t="s">
        <v>545</v>
      </c>
      <c r="F166" s="20" t="s">
        <v>546</v>
      </c>
      <c r="G166" s="8" t="str">
        <f t="shared" si="4"/>
        <v>BADERTSCHER DIANE</v>
      </c>
      <c r="H166" s="20" t="str">
        <f t="shared" si="5"/>
        <v>4042</v>
      </c>
    </row>
    <row r="167" spans="1:8" x14ac:dyDescent="0.3">
      <c r="A167" s="8">
        <v>43036.717222222222</v>
      </c>
      <c r="B167" s="20" t="s">
        <v>384</v>
      </c>
      <c r="C167" s="20" t="s">
        <v>814</v>
      </c>
      <c r="D167" s="138">
        <v>3330000</v>
      </c>
      <c r="E167" s="20" t="s">
        <v>790</v>
      </c>
      <c r="F167" s="20" t="s">
        <v>791</v>
      </c>
      <c r="G167" s="8" t="str">
        <f t="shared" si="4"/>
        <v>GONZALEZ ARMANDO</v>
      </c>
      <c r="H167" s="20" t="str">
        <f t="shared" si="5"/>
        <v>4060</v>
      </c>
    </row>
    <row r="168" spans="1:8" x14ac:dyDescent="0.3">
      <c r="A168" s="8">
        <v>43036.724409722221</v>
      </c>
      <c r="B168" s="20" t="s">
        <v>702</v>
      </c>
      <c r="C168" s="20" t="s">
        <v>815</v>
      </c>
      <c r="D168" s="138">
        <v>920000</v>
      </c>
      <c r="E168" s="20" t="s">
        <v>402</v>
      </c>
      <c r="F168" s="20" t="s">
        <v>368</v>
      </c>
      <c r="G168" s="8" t="str">
        <f t="shared" si="4"/>
        <v>DAVIS MICHAEL</v>
      </c>
      <c r="H168" s="20" t="str">
        <f t="shared" si="5"/>
        <v>4011</v>
      </c>
    </row>
    <row r="169" spans="1:8" x14ac:dyDescent="0.3">
      <c r="A169" s="8">
        <v>43036.725277777776</v>
      </c>
      <c r="B169" s="20" t="s">
        <v>420</v>
      </c>
      <c r="C169" s="20" t="s">
        <v>633</v>
      </c>
      <c r="D169" s="138">
        <v>2350000</v>
      </c>
      <c r="E169" s="20" t="s">
        <v>404</v>
      </c>
      <c r="F169" s="20" t="s">
        <v>405</v>
      </c>
      <c r="G169" s="8" t="str">
        <f t="shared" si="4"/>
        <v>BERLING GARY</v>
      </c>
      <c r="H169" s="20" t="str">
        <f t="shared" si="5"/>
        <v>4032</v>
      </c>
    </row>
    <row r="170" spans="1:8" x14ac:dyDescent="0.3">
      <c r="A170" s="8">
        <v>43036.727280092593</v>
      </c>
      <c r="B170" s="20" t="s">
        <v>535</v>
      </c>
      <c r="C170" s="20" t="s">
        <v>816</v>
      </c>
      <c r="D170" s="138">
        <v>2230000</v>
      </c>
      <c r="E170" s="20" t="s">
        <v>781</v>
      </c>
      <c r="F170" s="20" t="s">
        <v>368</v>
      </c>
      <c r="G170" s="8" t="str">
        <f t="shared" si="4"/>
        <v>SMITH MICHAEL</v>
      </c>
      <c r="H170" s="20" t="str">
        <f t="shared" si="5"/>
        <v>4053</v>
      </c>
    </row>
    <row r="171" spans="1:8" x14ac:dyDescent="0.3">
      <c r="A171" s="8">
        <v>43036.728391203702</v>
      </c>
      <c r="B171" s="20" t="s">
        <v>625</v>
      </c>
      <c r="C171" s="20" t="s">
        <v>817</v>
      </c>
      <c r="D171" s="138">
        <v>2630000</v>
      </c>
      <c r="E171" s="20" t="s">
        <v>751</v>
      </c>
      <c r="F171" s="20" t="s">
        <v>752</v>
      </c>
      <c r="G171" s="8" t="str">
        <f t="shared" si="4"/>
        <v>SAFIEF AEIMEN</v>
      </c>
      <c r="H171" s="20" t="str">
        <f t="shared" si="5"/>
        <v>4003</v>
      </c>
    </row>
    <row r="172" spans="1:8" x14ac:dyDescent="0.3">
      <c r="A172" s="8">
        <v>43036.734814814816</v>
      </c>
      <c r="B172" s="20" t="s">
        <v>367</v>
      </c>
      <c r="C172" s="20" t="s">
        <v>818</v>
      </c>
      <c r="D172" s="138">
        <v>3500000</v>
      </c>
      <c r="E172" s="20" t="s">
        <v>819</v>
      </c>
      <c r="F172" s="20" t="s">
        <v>820</v>
      </c>
      <c r="G172" s="8" t="str">
        <f t="shared" si="4"/>
        <v>GUNTHIER ERIC</v>
      </c>
      <c r="H172" s="20" t="str">
        <f t="shared" si="5"/>
        <v>4055</v>
      </c>
    </row>
    <row r="173" spans="1:8" x14ac:dyDescent="0.3">
      <c r="A173" s="8">
        <v>43036.73609953704</v>
      </c>
      <c r="B173" s="20" t="s">
        <v>412</v>
      </c>
      <c r="C173" s="20" t="s">
        <v>821</v>
      </c>
      <c r="D173" s="138">
        <v>3000000</v>
      </c>
      <c r="E173" s="20" t="s">
        <v>487</v>
      </c>
      <c r="F173" s="20" t="s">
        <v>488</v>
      </c>
      <c r="G173" s="8" t="str">
        <f t="shared" si="4"/>
        <v>FORTUNATO FRANK</v>
      </c>
      <c r="H173" s="20" t="str">
        <f t="shared" si="5"/>
        <v>4024</v>
      </c>
    </row>
    <row r="174" spans="1:8" x14ac:dyDescent="0.3">
      <c r="A174" s="8">
        <v>43036.736759259256</v>
      </c>
      <c r="B174" s="20" t="s">
        <v>386</v>
      </c>
      <c r="C174" s="20" t="s">
        <v>822</v>
      </c>
      <c r="D174" s="138">
        <v>2970000</v>
      </c>
      <c r="E174" s="20" t="s">
        <v>757</v>
      </c>
      <c r="F174" s="20" t="s">
        <v>758</v>
      </c>
      <c r="G174" s="8" t="str">
        <f t="shared" si="4"/>
        <v>GUZMAN DANNY</v>
      </c>
      <c r="H174" s="20" t="str">
        <f t="shared" si="5"/>
        <v>4009</v>
      </c>
    </row>
    <row r="175" spans="1:8" x14ac:dyDescent="0.3">
      <c r="A175" s="8">
        <v>43036.745127314818</v>
      </c>
      <c r="B175" s="20" t="s">
        <v>641</v>
      </c>
      <c r="C175" s="20" t="s">
        <v>823</v>
      </c>
      <c r="D175" s="138">
        <v>2420000</v>
      </c>
      <c r="E175" s="20" t="s">
        <v>406</v>
      </c>
      <c r="F175" s="20" t="s">
        <v>407</v>
      </c>
      <c r="G175" s="8" t="str">
        <f t="shared" si="4"/>
        <v>HOLCOMB KAMDEN</v>
      </c>
      <c r="H175" s="20" t="str">
        <f t="shared" si="5"/>
        <v>4064</v>
      </c>
    </row>
    <row r="176" spans="1:8" x14ac:dyDescent="0.3">
      <c r="A176" s="8">
        <v>43036.751203703701</v>
      </c>
      <c r="B176" s="20" t="s">
        <v>542</v>
      </c>
      <c r="C176" s="20" t="s">
        <v>824</v>
      </c>
      <c r="D176" s="138">
        <v>2230000</v>
      </c>
      <c r="E176" s="20" t="s">
        <v>781</v>
      </c>
      <c r="F176" s="20" t="s">
        <v>368</v>
      </c>
      <c r="G176" s="8" t="str">
        <f t="shared" si="4"/>
        <v>SMITH MICHAEL</v>
      </c>
      <c r="H176" s="20" t="str">
        <f t="shared" si="5"/>
        <v>4054</v>
      </c>
    </row>
    <row r="177" spans="1:8" x14ac:dyDescent="0.3">
      <c r="A177" s="8">
        <v>43036.754004629627</v>
      </c>
      <c r="B177" s="20" t="s">
        <v>534</v>
      </c>
      <c r="C177" s="20" t="s">
        <v>825</v>
      </c>
      <c r="D177" s="138">
        <v>2550000</v>
      </c>
      <c r="E177" s="20" t="s">
        <v>545</v>
      </c>
      <c r="F177" s="20" t="s">
        <v>546</v>
      </c>
      <c r="G177" s="8" t="str">
        <f t="shared" si="4"/>
        <v>BADERTSCHER DIANE</v>
      </c>
      <c r="H177" s="20" t="str">
        <f t="shared" si="5"/>
        <v>4041</v>
      </c>
    </row>
    <row r="178" spans="1:8" x14ac:dyDescent="0.3">
      <c r="A178" s="8">
        <v>43036.757106481484</v>
      </c>
      <c r="B178" s="20" t="s">
        <v>684</v>
      </c>
      <c r="C178" s="20" t="s">
        <v>826</v>
      </c>
      <c r="D178" s="138">
        <v>3340000</v>
      </c>
      <c r="E178" s="20" t="s">
        <v>424</v>
      </c>
      <c r="F178" s="20" t="s">
        <v>425</v>
      </c>
      <c r="G178" s="8" t="str">
        <f t="shared" si="4"/>
        <v>ELBAUM MIKE</v>
      </c>
      <c r="H178" s="20" t="str">
        <f t="shared" si="5"/>
        <v>4012</v>
      </c>
    </row>
    <row r="179" spans="1:8" x14ac:dyDescent="0.3">
      <c r="A179" s="8">
        <v>43036.764050925929</v>
      </c>
      <c r="B179" s="20" t="s">
        <v>617</v>
      </c>
      <c r="C179" s="20" t="s">
        <v>634</v>
      </c>
      <c r="D179" s="138">
        <v>2350000</v>
      </c>
      <c r="E179" s="20" t="s">
        <v>404</v>
      </c>
      <c r="F179" s="20" t="s">
        <v>405</v>
      </c>
      <c r="G179" s="8" t="str">
        <f t="shared" si="4"/>
        <v>BERLING GARY</v>
      </c>
      <c r="H179" s="20" t="str">
        <f t="shared" si="5"/>
        <v>4031</v>
      </c>
    </row>
    <row r="180" spans="1:8" x14ac:dyDescent="0.3">
      <c r="A180" s="8">
        <v>43036.767094907409</v>
      </c>
      <c r="B180" s="20" t="s">
        <v>639</v>
      </c>
      <c r="C180" s="20" t="s">
        <v>827</v>
      </c>
      <c r="D180" s="138">
        <v>3320000</v>
      </c>
      <c r="E180" s="20" t="s">
        <v>422</v>
      </c>
      <c r="F180" s="20" t="s">
        <v>423</v>
      </c>
      <c r="G180" s="8" t="str">
        <f t="shared" si="4"/>
        <v>NICHOLSON WESLEY</v>
      </c>
      <c r="H180" s="20" t="str">
        <f t="shared" si="5"/>
        <v>4004</v>
      </c>
    </row>
    <row r="181" spans="1:8" x14ac:dyDescent="0.3">
      <c r="A181" s="8">
        <v>43036.768333333333</v>
      </c>
      <c r="B181" s="20" t="s">
        <v>535</v>
      </c>
      <c r="C181" s="20" t="s">
        <v>828</v>
      </c>
      <c r="D181" s="138">
        <v>2230000</v>
      </c>
      <c r="E181" s="20" t="s">
        <v>781</v>
      </c>
      <c r="F181" s="20" t="s">
        <v>368</v>
      </c>
      <c r="G181" s="8" t="str">
        <f t="shared" si="4"/>
        <v>SMITH MICHAEL</v>
      </c>
      <c r="H181" s="20" t="str">
        <f t="shared" si="5"/>
        <v>4053</v>
      </c>
    </row>
    <row r="182" spans="1:8" x14ac:dyDescent="0.3">
      <c r="A182" s="8">
        <v>43036.770069444443</v>
      </c>
      <c r="B182" s="20" t="s">
        <v>413</v>
      </c>
      <c r="C182" s="20" t="s">
        <v>829</v>
      </c>
      <c r="D182" s="138">
        <v>3000000</v>
      </c>
      <c r="E182" s="20" t="s">
        <v>487</v>
      </c>
      <c r="F182" s="20" t="s">
        <v>488</v>
      </c>
      <c r="G182" s="8" t="str">
        <f t="shared" si="4"/>
        <v>FORTUNATO FRANK</v>
      </c>
      <c r="H182" s="20" t="str">
        <f t="shared" si="5"/>
        <v>4023</v>
      </c>
    </row>
    <row r="183" spans="1:8" x14ac:dyDescent="0.3">
      <c r="A183" s="8">
        <v>43036.777581018519</v>
      </c>
      <c r="B183" s="20" t="s">
        <v>387</v>
      </c>
      <c r="C183" s="20" t="s">
        <v>830</v>
      </c>
      <c r="D183" s="138">
        <v>2970000</v>
      </c>
      <c r="E183" s="20" t="s">
        <v>757</v>
      </c>
      <c r="F183" s="20" t="s">
        <v>758</v>
      </c>
      <c r="G183" s="8" t="str">
        <f t="shared" si="4"/>
        <v>GUZMAN DANNY</v>
      </c>
      <c r="H183" s="20" t="str">
        <f t="shared" si="5"/>
        <v>4010</v>
      </c>
    </row>
    <row r="184" spans="1:8" x14ac:dyDescent="0.3">
      <c r="A184" s="8">
        <v>43036.787094907406</v>
      </c>
      <c r="B184" s="20" t="s">
        <v>629</v>
      </c>
      <c r="C184" s="20" t="s">
        <v>831</v>
      </c>
      <c r="D184" s="138">
        <v>2420000</v>
      </c>
      <c r="E184" s="20" t="s">
        <v>406</v>
      </c>
      <c r="F184" s="20" t="s">
        <v>407</v>
      </c>
      <c r="G184" s="8" t="str">
        <f t="shared" si="4"/>
        <v>HOLCOMB KAMDEN</v>
      </c>
      <c r="H184" s="20" t="str">
        <f t="shared" si="5"/>
        <v>4063</v>
      </c>
    </row>
    <row r="185" spans="1:8" x14ac:dyDescent="0.3">
      <c r="A185" s="8">
        <v>43036.787245370368</v>
      </c>
      <c r="B185" s="20" t="s">
        <v>702</v>
      </c>
      <c r="C185" s="20" t="s">
        <v>832</v>
      </c>
      <c r="D185" s="138">
        <v>3340000</v>
      </c>
      <c r="E185" s="20" t="s">
        <v>424</v>
      </c>
      <c r="F185" s="20" t="s">
        <v>425</v>
      </c>
      <c r="G185" s="8" t="str">
        <f t="shared" si="4"/>
        <v>ELBAUM MIKE</v>
      </c>
      <c r="H185" s="20" t="str">
        <f t="shared" si="5"/>
        <v>4011</v>
      </c>
    </row>
    <row r="186" spans="1:8" x14ac:dyDescent="0.3">
      <c r="A186" s="8">
        <v>43036.788194444445</v>
      </c>
      <c r="B186" s="20" t="s">
        <v>537</v>
      </c>
      <c r="C186" s="20" t="s">
        <v>833</v>
      </c>
      <c r="D186" s="138">
        <v>3220000</v>
      </c>
      <c r="E186" s="20" t="s">
        <v>834</v>
      </c>
      <c r="F186" s="20" t="s">
        <v>835</v>
      </c>
      <c r="G186" s="8" t="str">
        <f t="shared" si="4"/>
        <v>RESPASS AARON</v>
      </c>
      <c r="H186" s="20" t="str">
        <f t="shared" si="5"/>
        <v>4042</v>
      </c>
    </row>
    <row r="187" spans="1:8" x14ac:dyDescent="0.3">
      <c r="A187" s="8">
        <v>43036.792372685188</v>
      </c>
      <c r="B187" s="20" t="s">
        <v>542</v>
      </c>
      <c r="C187" s="20" t="s">
        <v>836</v>
      </c>
      <c r="D187" s="138">
        <v>2230000</v>
      </c>
      <c r="E187" s="20" t="s">
        <v>781</v>
      </c>
      <c r="F187" s="20" t="s">
        <v>368</v>
      </c>
      <c r="G187" s="8" t="str">
        <f t="shared" si="4"/>
        <v>SMITH MICHAEL</v>
      </c>
      <c r="H187" s="20" t="str">
        <f t="shared" si="5"/>
        <v>4054</v>
      </c>
    </row>
    <row r="188" spans="1:8" x14ac:dyDescent="0.3">
      <c r="A188" s="8">
        <v>43036.80673611111</v>
      </c>
      <c r="B188" s="20" t="s">
        <v>625</v>
      </c>
      <c r="C188" s="20" t="s">
        <v>837</v>
      </c>
      <c r="D188" s="138">
        <v>3320000</v>
      </c>
      <c r="E188" s="20" t="s">
        <v>422</v>
      </c>
      <c r="F188" s="20" t="s">
        <v>423</v>
      </c>
      <c r="G188" s="8" t="str">
        <f t="shared" si="4"/>
        <v>NICHOLSON WESLEY</v>
      </c>
      <c r="H188" s="20" t="str">
        <f t="shared" si="5"/>
        <v>4003</v>
      </c>
    </row>
    <row r="189" spans="1:8" x14ac:dyDescent="0.3">
      <c r="A189" s="8">
        <v>43036.809837962966</v>
      </c>
      <c r="B189" s="20" t="s">
        <v>535</v>
      </c>
      <c r="C189" s="20" t="s">
        <v>838</v>
      </c>
      <c r="D189" s="138">
        <v>2230000</v>
      </c>
      <c r="E189" s="20" t="s">
        <v>781</v>
      </c>
      <c r="F189" s="20" t="s">
        <v>368</v>
      </c>
      <c r="G189" s="8" t="str">
        <f t="shared" si="4"/>
        <v>SMITH MICHAEL</v>
      </c>
      <c r="H189" s="20" t="str">
        <f t="shared" si="5"/>
        <v>4053</v>
      </c>
    </row>
    <row r="190" spans="1:8" x14ac:dyDescent="0.3">
      <c r="A190" s="8">
        <v>43036.810520833336</v>
      </c>
      <c r="B190" s="20" t="s">
        <v>412</v>
      </c>
      <c r="C190" s="20" t="s">
        <v>839</v>
      </c>
      <c r="D190" s="138">
        <v>3000000</v>
      </c>
      <c r="E190" s="20" t="s">
        <v>487</v>
      </c>
      <c r="F190" s="20" t="s">
        <v>488</v>
      </c>
      <c r="G190" s="8" t="str">
        <f t="shared" si="4"/>
        <v>FORTUNATO FRANK</v>
      </c>
      <c r="H190" s="20" t="str">
        <f t="shared" si="5"/>
        <v>4024</v>
      </c>
    </row>
    <row r="191" spans="1:8" x14ac:dyDescent="0.3">
      <c r="A191" s="8">
        <v>43036.811828703707</v>
      </c>
      <c r="B191" s="20" t="s">
        <v>637</v>
      </c>
      <c r="C191" s="20" t="s">
        <v>638</v>
      </c>
      <c r="D191" s="138">
        <v>3490000</v>
      </c>
      <c r="E191" s="20" t="s">
        <v>840</v>
      </c>
      <c r="F191" s="20" t="s">
        <v>841</v>
      </c>
      <c r="G191" s="8" t="str">
        <f t="shared" si="4"/>
        <v>WEST BRYAN</v>
      </c>
      <c r="H191" s="20" t="str">
        <f t="shared" si="5"/>
        <v>4047</v>
      </c>
    </row>
    <row r="192" spans="1:8" x14ac:dyDescent="0.3">
      <c r="A192" s="8">
        <v>43036.826967592591</v>
      </c>
      <c r="B192" s="20" t="s">
        <v>684</v>
      </c>
      <c r="C192" s="20" t="s">
        <v>842</v>
      </c>
      <c r="D192" s="138">
        <v>3340000</v>
      </c>
      <c r="E192" s="20" t="s">
        <v>424</v>
      </c>
      <c r="F192" s="20" t="s">
        <v>425</v>
      </c>
      <c r="G192" s="8" t="str">
        <f t="shared" si="4"/>
        <v>ELBAUM MIKE</v>
      </c>
      <c r="H192" s="20" t="str">
        <f t="shared" si="5"/>
        <v>4012</v>
      </c>
    </row>
    <row r="193" spans="1:8" x14ac:dyDescent="0.3">
      <c r="A193" s="8">
        <v>43036.82744212963</v>
      </c>
      <c r="B193" s="20" t="s">
        <v>534</v>
      </c>
      <c r="C193" s="20" t="s">
        <v>843</v>
      </c>
      <c r="D193" s="138">
        <v>3220000</v>
      </c>
      <c r="E193" s="20" t="s">
        <v>834</v>
      </c>
      <c r="F193" s="20" t="s">
        <v>835</v>
      </c>
      <c r="G193" s="8" t="str">
        <f t="shared" si="4"/>
        <v>RESPASS AARON</v>
      </c>
      <c r="H193" s="20" t="str">
        <f t="shared" si="5"/>
        <v>4041</v>
      </c>
    </row>
    <row r="194" spans="1:8" x14ac:dyDescent="0.3">
      <c r="A194" s="8">
        <v>43036.833553240744</v>
      </c>
      <c r="B194" s="20" t="s">
        <v>542</v>
      </c>
      <c r="C194" s="20" t="s">
        <v>844</v>
      </c>
      <c r="D194" s="138">
        <v>2230000</v>
      </c>
      <c r="E194" s="20" t="s">
        <v>781</v>
      </c>
      <c r="F194" s="20" t="s">
        <v>368</v>
      </c>
      <c r="G194" s="8" t="str">
        <f t="shared" si="4"/>
        <v>SMITH MICHAEL</v>
      </c>
      <c r="H194" s="20" t="str">
        <f t="shared" si="5"/>
        <v>4054</v>
      </c>
    </row>
    <row r="195" spans="1:8" x14ac:dyDescent="0.3">
      <c r="A195" s="8">
        <v>43036.837905092594</v>
      </c>
      <c r="B195" s="20" t="s">
        <v>845</v>
      </c>
      <c r="C195" s="20" t="s">
        <v>846</v>
      </c>
      <c r="D195" s="138">
        <v>3490000</v>
      </c>
      <c r="E195" s="20" t="s">
        <v>840</v>
      </c>
      <c r="F195" s="20" t="s">
        <v>841</v>
      </c>
      <c r="G195" s="8" t="str">
        <f t="shared" ref="G195:G258" si="6">E195&amp;" "&amp;F195</f>
        <v>WEST BRYAN</v>
      </c>
      <c r="H195" s="20" t="str">
        <f t="shared" ref="H195:H258" si="7">MID(B195,13,4)</f>
        <v>4048</v>
      </c>
    </row>
    <row r="196" spans="1:8" x14ac:dyDescent="0.3">
      <c r="A196" s="8">
        <v>43036.839861111112</v>
      </c>
      <c r="B196" s="20" t="s">
        <v>413</v>
      </c>
      <c r="C196" s="20" t="s">
        <v>847</v>
      </c>
      <c r="D196" s="138">
        <v>3000000</v>
      </c>
      <c r="E196" s="20" t="s">
        <v>487</v>
      </c>
      <c r="F196" s="20" t="s">
        <v>488</v>
      </c>
      <c r="G196" s="8" t="str">
        <f t="shared" si="6"/>
        <v>FORTUNATO FRANK</v>
      </c>
      <c r="H196" s="20" t="str">
        <f t="shared" si="7"/>
        <v>4023</v>
      </c>
    </row>
    <row r="197" spans="1:8" x14ac:dyDescent="0.3">
      <c r="A197" s="8">
        <v>43036.840763888889</v>
      </c>
      <c r="B197" s="20" t="s">
        <v>639</v>
      </c>
      <c r="C197" s="20" t="s">
        <v>848</v>
      </c>
      <c r="D197" s="138">
        <v>3320000</v>
      </c>
      <c r="E197" s="20" t="s">
        <v>422</v>
      </c>
      <c r="F197" s="20" t="s">
        <v>423</v>
      </c>
      <c r="G197" s="8" t="str">
        <f t="shared" si="6"/>
        <v>NICHOLSON WESLEY</v>
      </c>
      <c r="H197" s="20" t="str">
        <f t="shared" si="7"/>
        <v>4004</v>
      </c>
    </row>
    <row r="198" spans="1:8" x14ac:dyDescent="0.3">
      <c r="A198" s="8">
        <v>43036.84270833333</v>
      </c>
      <c r="B198" s="20" t="s">
        <v>641</v>
      </c>
      <c r="C198" s="20" t="s">
        <v>642</v>
      </c>
      <c r="D198" s="138">
        <v>3290000</v>
      </c>
      <c r="E198" s="20" t="s">
        <v>543</v>
      </c>
      <c r="F198" s="20" t="s">
        <v>544</v>
      </c>
      <c r="G198" s="8" t="str">
        <f t="shared" si="6"/>
        <v>CASSIDY BRANDON</v>
      </c>
      <c r="H198" s="20" t="str">
        <f t="shared" si="7"/>
        <v>4064</v>
      </c>
    </row>
    <row r="199" spans="1:8" x14ac:dyDescent="0.3">
      <c r="A199" s="8">
        <v>43036.846643518518</v>
      </c>
      <c r="B199" s="20" t="s">
        <v>849</v>
      </c>
      <c r="C199" s="20" t="s">
        <v>818</v>
      </c>
      <c r="D199" s="138">
        <v>3500000</v>
      </c>
      <c r="E199" s="20" t="s">
        <v>819</v>
      </c>
      <c r="F199" s="20" t="s">
        <v>820</v>
      </c>
      <c r="G199" s="8" t="str">
        <f t="shared" si="6"/>
        <v>GUNTHIER ERIC</v>
      </c>
      <c r="H199" s="20" t="str">
        <f t="shared" si="7"/>
        <v>4056</v>
      </c>
    </row>
    <row r="200" spans="1:8" x14ac:dyDescent="0.3">
      <c r="A200" s="8">
        <v>43036.850439814814</v>
      </c>
      <c r="B200" s="20" t="s">
        <v>367</v>
      </c>
      <c r="C200" s="20" t="s">
        <v>818</v>
      </c>
      <c r="D200" s="138">
        <v>3500000</v>
      </c>
      <c r="E200" s="20" t="s">
        <v>819</v>
      </c>
      <c r="F200" s="20" t="s">
        <v>820</v>
      </c>
      <c r="G200" s="8" t="str">
        <f t="shared" si="6"/>
        <v>GUNTHIER ERIC</v>
      </c>
      <c r="H200" s="20" t="str">
        <f t="shared" si="7"/>
        <v>4055</v>
      </c>
    </row>
    <row r="201" spans="1:8" x14ac:dyDescent="0.3">
      <c r="A201" s="8">
        <v>43036.851782407408</v>
      </c>
      <c r="B201" s="20" t="s">
        <v>535</v>
      </c>
      <c r="C201" s="20" t="s">
        <v>850</v>
      </c>
      <c r="D201" s="138">
        <v>2230000</v>
      </c>
      <c r="E201" s="20" t="s">
        <v>781</v>
      </c>
      <c r="F201" s="20" t="s">
        <v>368</v>
      </c>
      <c r="G201" s="8" t="str">
        <f t="shared" si="6"/>
        <v>SMITH MICHAEL</v>
      </c>
      <c r="H201" s="20" t="str">
        <f t="shared" si="7"/>
        <v>4053</v>
      </c>
    </row>
    <row r="202" spans="1:8" x14ac:dyDescent="0.3">
      <c r="A202" s="26">
        <v>43036.860613425924</v>
      </c>
      <c r="B202" s="20" t="s">
        <v>702</v>
      </c>
      <c r="C202" s="20" t="s">
        <v>851</v>
      </c>
      <c r="D202" s="138">
        <v>3340000</v>
      </c>
      <c r="E202" s="20" t="s">
        <v>424</v>
      </c>
      <c r="F202" s="20" t="s">
        <v>425</v>
      </c>
      <c r="G202" s="8" t="str">
        <f t="shared" si="6"/>
        <v>ELBAUM MIKE</v>
      </c>
      <c r="H202" s="20" t="str">
        <f t="shared" si="7"/>
        <v>4011</v>
      </c>
    </row>
    <row r="203" spans="1:8" x14ac:dyDescent="0.3">
      <c r="A203" s="8">
        <v>43036.868958333333</v>
      </c>
      <c r="B203" s="20" t="s">
        <v>537</v>
      </c>
      <c r="C203" s="20" t="s">
        <v>852</v>
      </c>
      <c r="D203" s="138">
        <v>3220000</v>
      </c>
      <c r="E203" s="20" t="s">
        <v>834</v>
      </c>
      <c r="F203" s="20" t="s">
        <v>835</v>
      </c>
      <c r="G203" s="8" t="str">
        <f t="shared" si="6"/>
        <v>RESPASS AARON</v>
      </c>
      <c r="H203" s="20" t="str">
        <f t="shared" si="7"/>
        <v>4042</v>
      </c>
    </row>
    <row r="204" spans="1:8" x14ac:dyDescent="0.3">
      <c r="A204" s="8">
        <v>43036.869062500002</v>
      </c>
      <c r="B204" s="20" t="s">
        <v>637</v>
      </c>
      <c r="C204" s="20" t="s">
        <v>638</v>
      </c>
      <c r="D204" s="138">
        <v>3490000</v>
      </c>
      <c r="E204" s="20" t="s">
        <v>840</v>
      </c>
      <c r="F204" s="20" t="s">
        <v>841</v>
      </c>
      <c r="G204" s="8" t="str">
        <f t="shared" si="6"/>
        <v>WEST BRYAN</v>
      </c>
      <c r="H204" s="20" t="str">
        <f t="shared" si="7"/>
        <v>4047</v>
      </c>
    </row>
    <row r="205" spans="1:8" x14ac:dyDescent="0.3">
      <c r="A205" s="8">
        <v>43036.874664351853</v>
      </c>
      <c r="B205" s="20" t="s">
        <v>542</v>
      </c>
      <c r="C205" s="20" t="s">
        <v>853</v>
      </c>
      <c r="D205" s="138">
        <v>2230000</v>
      </c>
      <c r="E205" s="20" t="s">
        <v>781</v>
      </c>
      <c r="F205" s="20" t="s">
        <v>368</v>
      </c>
      <c r="G205" s="8" t="str">
        <f t="shared" si="6"/>
        <v>SMITH MICHAEL</v>
      </c>
      <c r="H205" s="20" t="str">
        <f t="shared" si="7"/>
        <v>4054</v>
      </c>
    </row>
    <row r="206" spans="1:8" x14ac:dyDescent="0.3">
      <c r="A206" s="8">
        <v>43036.880486111113</v>
      </c>
      <c r="B206" s="20" t="s">
        <v>412</v>
      </c>
      <c r="C206" s="20" t="s">
        <v>635</v>
      </c>
      <c r="D206" s="138">
        <v>3000000</v>
      </c>
      <c r="E206" s="20" t="s">
        <v>487</v>
      </c>
      <c r="F206" s="20" t="s">
        <v>488</v>
      </c>
      <c r="G206" s="8" t="str">
        <f t="shared" si="6"/>
        <v>FORTUNATO FRANK</v>
      </c>
      <c r="H206" s="20" t="str">
        <f t="shared" si="7"/>
        <v>4024</v>
      </c>
    </row>
    <row r="207" spans="1:8" x14ac:dyDescent="0.3">
      <c r="A207" s="8">
        <v>43036.883402777778</v>
      </c>
      <c r="B207" s="20" t="s">
        <v>625</v>
      </c>
      <c r="C207" s="20" t="s">
        <v>854</v>
      </c>
      <c r="D207" s="138">
        <v>3320000</v>
      </c>
      <c r="E207" s="20" t="s">
        <v>422</v>
      </c>
      <c r="F207" s="20" t="s">
        <v>423</v>
      </c>
      <c r="G207" s="8" t="str">
        <f t="shared" si="6"/>
        <v>NICHOLSON WESLEY</v>
      </c>
      <c r="H207" s="20" t="str">
        <f t="shared" si="7"/>
        <v>4003</v>
      </c>
    </row>
    <row r="208" spans="1:8" x14ac:dyDescent="0.3">
      <c r="A208" s="8">
        <v>43036.886006944442</v>
      </c>
      <c r="B208" s="20" t="s">
        <v>845</v>
      </c>
      <c r="C208" s="20" t="s">
        <v>638</v>
      </c>
      <c r="D208" s="138">
        <v>3490000</v>
      </c>
      <c r="E208" s="20" t="s">
        <v>840</v>
      </c>
      <c r="F208" s="20" t="s">
        <v>841</v>
      </c>
      <c r="G208" s="8" t="str">
        <f t="shared" si="6"/>
        <v>WEST BRYAN</v>
      </c>
      <c r="H208" s="20" t="str">
        <f t="shared" si="7"/>
        <v>4048</v>
      </c>
    </row>
    <row r="209" spans="1:8" x14ac:dyDescent="0.3">
      <c r="A209" s="8">
        <v>43036.886689814812</v>
      </c>
      <c r="B209" s="20" t="s">
        <v>845</v>
      </c>
      <c r="C209" s="20" t="s">
        <v>846</v>
      </c>
      <c r="D209" s="138">
        <v>3490000</v>
      </c>
      <c r="E209" s="20" t="s">
        <v>840</v>
      </c>
      <c r="F209" s="20" t="s">
        <v>841</v>
      </c>
      <c r="G209" s="8" t="str">
        <f t="shared" si="6"/>
        <v>WEST BRYAN</v>
      </c>
      <c r="H209" s="20" t="str">
        <f t="shared" si="7"/>
        <v>4048</v>
      </c>
    </row>
    <row r="210" spans="1:8" x14ac:dyDescent="0.3">
      <c r="A210" s="8">
        <v>43036.893912037034</v>
      </c>
      <c r="B210" s="20" t="s">
        <v>535</v>
      </c>
      <c r="C210" s="20" t="s">
        <v>855</v>
      </c>
      <c r="D210" s="138">
        <v>2230000</v>
      </c>
      <c r="E210" s="20" t="s">
        <v>781</v>
      </c>
      <c r="F210" s="20" t="s">
        <v>368</v>
      </c>
      <c r="G210" s="8" t="str">
        <f t="shared" si="6"/>
        <v>SMITH MICHAEL</v>
      </c>
      <c r="H210" s="20" t="str">
        <f t="shared" si="7"/>
        <v>4053</v>
      </c>
    </row>
    <row r="211" spans="1:8" x14ac:dyDescent="0.3">
      <c r="A211" s="8">
        <v>43036.896967592591</v>
      </c>
      <c r="B211" s="20" t="s">
        <v>849</v>
      </c>
      <c r="C211" s="20" t="s">
        <v>856</v>
      </c>
      <c r="D211" s="138">
        <v>3500000</v>
      </c>
      <c r="E211" s="20" t="s">
        <v>819</v>
      </c>
      <c r="F211" s="20" t="s">
        <v>820</v>
      </c>
      <c r="G211" s="8" t="str">
        <f t="shared" si="6"/>
        <v>GUNTHIER ERIC</v>
      </c>
      <c r="H211" s="20" t="str">
        <f t="shared" si="7"/>
        <v>4056</v>
      </c>
    </row>
    <row r="212" spans="1:8" x14ac:dyDescent="0.3">
      <c r="A212" s="8">
        <v>43036.900601851848</v>
      </c>
      <c r="B212" s="20" t="s">
        <v>684</v>
      </c>
      <c r="C212" s="20" t="s">
        <v>857</v>
      </c>
      <c r="D212" s="138">
        <v>3340000</v>
      </c>
      <c r="E212" s="20" t="s">
        <v>424</v>
      </c>
      <c r="F212" s="20" t="s">
        <v>425</v>
      </c>
      <c r="G212" s="8" t="str">
        <f t="shared" si="6"/>
        <v>ELBAUM MIKE</v>
      </c>
      <c r="H212" s="20" t="str">
        <f t="shared" si="7"/>
        <v>4012</v>
      </c>
    </row>
    <row r="213" spans="1:8" x14ac:dyDescent="0.3">
      <c r="A213" s="8">
        <v>43036.902071759258</v>
      </c>
      <c r="B213" s="20" t="s">
        <v>637</v>
      </c>
      <c r="C213" s="20" t="s">
        <v>638</v>
      </c>
      <c r="D213" s="138">
        <v>3490000</v>
      </c>
      <c r="E213" s="20" t="s">
        <v>840</v>
      </c>
      <c r="F213" s="20" t="s">
        <v>841</v>
      </c>
      <c r="G213" s="8" t="str">
        <f t="shared" si="6"/>
        <v>WEST BRYAN</v>
      </c>
      <c r="H213" s="20" t="str">
        <f t="shared" si="7"/>
        <v>4047</v>
      </c>
    </row>
    <row r="214" spans="1:8" x14ac:dyDescent="0.3">
      <c r="A214" s="8">
        <v>43036.911550925928</v>
      </c>
      <c r="B214" s="20" t="s">
        <v>534</v>
      </c>
      <c r="C214" s="20" t="s">
        <v>858</v>
      </c>
      <c r="D214" s="138">
        <v>3220000</v>
      </c>
      <c r="E214" s="20" t="s">
        <v>834</v>
      </c>
      <c r="F214" s="20" t="s">
        <v>835</v>
      </c>
      <c r="G214" s="8" t="str">
        <f t="shared" si="6"/>
        <v>RESPASS AARON</v>
      </c>
      <c r="H214" s="20" t="str">
        <f t="shared" si="7"/>
        <v>4041</v>
      </c>
    </row>
    <row r="215" spans="1:8" x14ac:dyDescent="0.3">
      <c r="A215" s="8">
        <v>43036.912476851852</v>
      </c>
      <c r="B215" s="20" t="s">
        <v>845</v>
      </c>
      <c r="C215" s="20" t="s">
        <v>638</v>
      </c>
      <c r="D215" s="138">
        <v>3490000</v>
      </c>
      <c r="E215" s="20" t="s">
        <v>840</v>
      </c>
      <c r="F215" s="20" t="s">
        <v>841</v>
      </c>
      <c r="G215" s="8" t="str">
        <f t="shared" si="6"/>
        <v>WEST BRYAN</v>
      </c>
      <c r="H215" s="20" t="str">
        <f t="shared" si="7"/>
        <v>4048</v>
      </c>
    </row>
    <row r="216" spans="1:8" x14ac:dyDescent="0.3">
      <c r="A216" s="8">
        <v>43036.913368055553</v>
      </c>
      <c r="B216" s="20" t="s">
        <v>845</v>
      </c>
      <c r="C216" s="20" t="s">
        <v>846</v>
      </c>
      <c r="D216" s="138">
        <v>3490000</v>
      </c>
      <c r="E216" s="20" t="s">
        <v>840</v>
      </c>
      <c r="F216" s="20" t="s">
        <v>841</v>
      </c>
      <c r="G216" s="8" t="str">
        <f t="shared" si="6"/>
        <v>WEST BRYAN</v>
      </c>
      <c r="H216" s="20" t="str">
        <f t="shared" si="7"/>
        <v>4048</v>
      </c>
    </row>
    <row r="217" spans="1:8" x14ac:dyDescent="0.3">
      <c r="A217" s="8">
        <v>43036.917881944442</v>
      </c>
      <c r="B217" s="20" t="s">
        <v>542</v>
      </c>
      <c r="C217" s="20" t="s">
        <v>859</v>
      </c>
      <c r="D217" s="138">
        <v>2230000</v>
      </c>
      <c r="E217" s="20" t="s">
        <v>781</v>
      </c>
      <c r="F217" s="20" t="s">
        <v>368</v>
      </c>
      <c r="G217" s="8" t="str">
        <f t="shared" si="6"/>
        <v>SMITH MICHAEL</v>
      </c>
      <c r="H217" s="20" t="str">
        <f t="shared" si="7"/>
        <v>4054</v>
      </c>
    </row>
    <row r="218" spans="1:8" x14ac:dyDescent="0.3">
      <c r="A218" s="8">
        <v>43036.925868055558</v>
      </c>
      <c r="B218" s="20" t="s">
        <v>637</v>
      </c>
      <c r="C218" s="20" t="s">
        <v>638</v>
      </c>
      <c r="D218" s="138">
        <v>3490000</v>
      </c>
      <c r="E218" s="20" t="s">
        <v>840</v>
      </c>
      <c r="F218" s="20" t="s">
        <v>841</v>
      </c>
      <c r="G218" s="8" t="str">
        <f t="shared" si="6"/>
        <v>WEST BRYAN</v>
      </c>
      <c r="H218" s="20" t="str">
        <f t="shared" si="7"/>
        <v>4047</v>
      </c>
    </row>
    <row r="219" spans="1:8" x14ac:dyDescent="0.3">
      <c r="A219" s="8">
        <v>43036.927071759259</v>
      </c>
      <c r="B219" s="20" t="s">
        <v>413</v>
      </c>
      <c r="C219" s="20" t="s">
        <v>636</v>
      </c>
      <c r="D219" s="138">
        <v>3000000</v>
      </c>
      <c r="E219" s="20" t="s">
        <v>487</v>
      </c>
      <c r="F219" s="20" t="s">
        <v>488</v>
      </c>
      <c r="G219" s="8" t="str">
        <f t="shared" si="6"/>
        <v>FORTUNATO FRANK</v>
      </c>
      <c r="H219" s="20" t="str">
        <f t="shared" si="7"/>
        <v>4023</v>
      </c>
    </row>
    <row r="220" spans="1:8" x14ac:dyDescent="0.3">
      <c r="A220" s="8">
        <v>43036.932638888888</v>
      </c>
      <c r="B220" s="20" t="s">
        <v>639</v>
      </c>
      <c r="C220" s="20" t="s">
        <v>640</v>
      </c>
      <c r="D220" s="138">
        <v>3320000</v>
      </c>
      <c r="E220" s="20" t="s">
        <v>422</v>
      </c>
      <c r="F220" s="20" t="s">
        <v>423</v>
      </c>
      <c r="G220" s="8" t="str">
        <f t="shared" si="6"/>
        <v>NICHOLSON WESLEY</v>
      </c>
      <c r="H220" s="20" t="str">
        <f t="shared" si="7"/>
        <v>4004</v>
      </c>
    </row>
    <row r="221" spans="1:8" x14ac:dyDescent="0.3">
      <c r="A221" s="8">
        <v>43036.933437500003</v>
      </c>
      <c r="B221" s="20" t="s">
        <v>845</v>
      </c>
      <c r="C221" s="20" t="s">
        <v>846</v>
      </c>
      <c r="D221" s="138">
        <v>3490000</v>
      </c>
      <c r="E221" s="20" t="s">
        <v>840</v>
      </c>
      <c r="F221" s="20" t="s">
        <v>841</v>
      </c>
      <c r="G221" s="8" t="str">
        <f t="shared" si="6"/>
        <v>WEST BRYAN</v>
      </c>
      <c r="H221" s="20" t="str">
        <f t="shared" si="7"/>
        <v>4048</v>
      </c>
    </row>
    <row r="222" spans="1:8" x14ac:dyDescent="0.3">
      <c r="A222" s="8">
        <v>43036.934837962966</v>
      </c>
      <c r="B222" s="20" t="s">
        <v>535</v>
      </c>
      <c r="C222" s="20" t="s">
        <v>860</v>
      </c>
      <c r="D222" s="138">
        <v>2230000</v>
      </c>
      <c r="E222" s="20" t="s">
        <v>781</v>
      </c>
      <c r="F222" s="20" t="s">
        <v>368</v>
      </c>
      <c r="G222" s="8" t="str">
        <f t="shared" si="6"/>
        <v>SMITH MICHAEL</v>
      </c>
      <c r="H222" s="20" t="str">
        <f t="shared" si="7"/>
        <v>4053</v>
      </c>
    </row>
    <row r="223" spans="1:8" x14ac:dyDescent="0.3">
      <c r="A223" s="8">
        <v>43036.940972222219</v>
      </c>
      <c r="B223" s="20" t="s">
        <v>637</v>
      </c>
      <c r="C223" s="20" t="s">
        <v>638</v>
      </c>
      <c r="D223" s="138">
        <v>3490000</v>
      </c>
      <c r="E223" s="20" t="s">
        <v>840</v>
      </c>
      <c r="F223" s="20" t="s">
        <v>841</v>
      </c>
      <c r="G223" s="8" t="str">
        <f t="shared" si="6"/>
        <v>WEST BRYAN</v>
      </c>
      <c r="H223" s="20" t="str">
        <f t="shared" si="7"/>
        <v>4047</v>
      </c>
    </row>
    <row r="224" spans="1:8" x14ac:dyDescent="0.3">
      <c r="A224" s="8">
        <v>43036.944039351853</v>
      </c>
      <c r="B224" t="s">
        <v>702</v>
      </c>
      <c r="C224" t="s">
        <v>861</v>
      </c>
      <c r="D224" s="138">
        <v>3340000</v>
      </c>
      <c r="E224" t="s">
        <v>424</v>
      </c>
      <c r="F224" s="20" t="s">
        <v>425</v>
      </c>
      <c r="G224" s="8" t="str">
        <f t="shared" si="6"/>
        <v>ELBAUM MIKE</v>
      </c>
      <c r="H224" s="20" t="str">
        <f t="shared" si="7"/>
        <v>4011</v>
      </c>
    </row>
    <row r="225" spans="1:8" x14ac:dyDescent="0.3">
      <c r="A225" s="8">
        <v>43036.951666666668</v>
      </c>
      <c r="B225" t="s">
        <v>845</v>
      </c>
      <c r="C225" t="s">
        <v>846</v>
      </c>
      <c r="D225" s="138">
        <v>3490000</v>
      </c>
      <c r="E225" t="s">
        <v>840</v>
      </c>
      <c r="F225" s="20" t="s">
        <v>841</v>
      </c>
      <c r="G225" s="8" t="str">
        <f t="shared" si="6"/>
        <v>WEST BRYAN</v>
      </c>
      <c r="H225" s="20" t="str">
        <f t="shared" si="7"/>
        <v>4048</v>
      </c>
    </row>
    <row r="226" spans="1:8" x14ac:dyDescent="0.3">
      <c r="A226" s="8">
        <v>43036.953946759262</v>
      </c>
      <c r="B226" t="s">
        <v>537</v>
      </c>
      <c r="C226" t="s">
        <v>862</v>
      </c>
      <c r="D226" s="138">
        <v>3220000</v>
      </c>
      <c r="E226" t="s">
        <v>834</v>
      </c>
      <c r="F226" s="20" t="s">
        <v>835</v>
      </c>
      <c r="G226" s="8" t="str">
        <f t="shared" si="6"/>
        <v>RESPASS AARON</v>
      </c>
      <c r="H226" s="20" t="str">
        <f t="shared" si="7"/>
        <v>4042</v>
      </c>
    </row>
    <row r="227" spans="1:8" x14ac:dyDescent="0.3">
      <c r="A227" s="8">
        <v>43036.958124999997</v>
      </c>
      <c r="B227" t="s">
        <v>542</v>
      </c>
      <c r="C227" t="s">
        <v>863</v>
      </c>
      <c r="D227" s="138">
        <v>2230000</v>
      </c>
      <c r="E227" t="s">
        <v>781</v>
      </c>
      <c r="F227" s="20" t="s">
        <v>368</v>
      </c>
      <c r="G227" s="8" t="str">
        <f t="shared" si="6"/>
        <v>SMITH MICHAEL</v>
      </c>
      <c r="H227" s="20" t="str">
        <f t="shared" si="7"/>
        <v>4054</v>
      </c>
    </row>
    <row r="228" spans="1:8" x14ac:dyDescent="0.3">
      <c r="A228" s="8">
        <v>43036.965104166666</v>
      </c>
      <c r="B228" t="s">
        <v>412</v>
      </c>
      <c r="C228" t="s">
        <v>864</v>
      </c>
      <c r="D228" s="138">
        <v>3000000</v>
      </c>
      <c r="E228" t="s">
        <v>487</v>
      </c>
      <c r="F228" s="20" t="s">
        <v>488</v>
      </c>
      <c r="G228" s="8" t="str">
        <f t="shared" si="6"/>
        <v>FORTUNATO FRANK</v>
      </c>
      <c r="H228" s="20" t="str">
        <f t="shared" si="7"/>
        <v>4024</v>
      </c>
    </row>
    <row r="229" spans="1:8" x14ac:dyDescent="0.3">
      <c r="A229" s="8">
        <v>43036.966122685182</v>
      </c>
      <c r="B229" t="s">
        <v>849</v>
      </c>
      <c r="C229" t="s">
        <v>865</v>
      </c>
      <c r="D229" s="138">
        <v>3500000</v>
      </c>
      <c r="E229" t="s">
        <v>819</v>
      </c>
      <c r="F229" s="20" t="s">
        <v>820</v>
      </c>
      <c r="G229" s="8" t="str">
        <f t="shared" si="6"/>
        <v>GUNTHIER ERIC</v>
      </c>
      <c r="H229" s="20" t="str">
        <f t="shared" si="7"/>
        <v>4056</v>
      </c>
    </row>
    <row r="230" spans="1:8" x14ac:dyDescent="0.3">
      <c r="A230" s="8">
        <v>43036.970034722224</v>
      </c>
      <c r="B230" t="s">
        <v>637</v>
      </c>
      <c r="C230" t="s">
        <v>638</v>
      </c>
      <c r="D230" s="138">
        <v>3490000</v>
      </c>
      <c r="E230" t="s">
        <v>840</v>
      </c>
      <c r="F230" s="20" t="s">
        <v>841</v>
      </c>
      <c r="G230" s="8" t="str">
        <f t="shared" si="6"/>
        <v>WEST BRYAN</v>
      </c>
      <c r="H230" s="20" t="str">
        <f t="shared" si="7"/>
        <v>4047</v>
      </c>
    </row>
    <row r="231" spans="1:8" x14ac:dyDescent="0.3">
      <c r="A231" s="8">
        <v>43036.974699074075</v>
      </c>
      <c r="B231" t="s">
        <v>625</v>
      </c>
      <c r="C231" t="s">
        <v>866</v>
      </c>
      <c r="D231" s="138">
        <v>3320000</v>
      </c>
      <c r="E231" t="s">
        <v>422</v>
      </c>
      <c r="F231" s="20" t="s">
        <v>423</v>
      </c>
      <c r="G231" s="8" t="str">
        <f t="shared" si="6"/>
        <v>NICHOLSON WESLEY</v>
      </c>
      <c r="H231" s="20" t="str">
        <f t="shared" si="7"/>
        <v>4003</v>
      </c>
    </row>
    <row r="232" spans="1:8" x14ac:dyDescent="0.3">
      <c r="A232" s="8">
        <v>43036.976412037038</v>
      </c>
      <c r="B232" t="s">
        <v>535</v>
      </c>
      <c r="C232" t="s">
        <v>867</v>
      </c>
      <c r="D232" s="138">
        <v>2230000</v>
      </c>
      <c r="E232" t="s">
        <v>781</v>
      </c>
      <c r="F232" s="20" t="s">
        <v>368</v>
      </c>
      <c r="G232" s="8" t="str">
        <f t="shared" si="6"/>
        <v>SMITH MICHAEL</v>
      </c>
      <c r="H232" s="20" t="str">
        <f t="shared" si="7"/>
        <v>4053</v>
      </c>
    </row>
    <row r="233" spans="1:8" x14ac:dyDescent="0.3">
      <c r="A233" s="8">
        <v>43036.978472222225</v>
      </c>
      <c r="B233" t="s">
        <v>367</v>
      </c>
      <c r="C233" t="s">
        <v>643</v>
      </c>
      <c r="D233" s="138">
        <v>3500000</v>
      </c>
      <c r="E233" t="s">
        <v>819</v>
      </c>
      <c r="F233" s="20" t="s">
        <v>820</v>
      </c>
      <c r="G233" s="8" t="str">
        <f t="shared" si="6"/>
        <v>GUNTHIER ERIC</v>
      </c>
      <c r="H233" s="20" t="str">
        <f t="shared" si="7"/>
        <v>4055</v>
      </c>
    </row>
    <row r="234" spans="1:8" x14ac:dyDescent="0.3">
      <c r="A234" s="8">
        <v>43036.981145833335</v>
      </c>
      <c r="B234" t="s">
        <v>641</v>
      </c>
      <c r="C234" t="s">
        <v>642</v>
      </c>
      <c r="D234" s="138">
        <v>3290000</v>
      </c>
      <c r="E234" t="s">
        <v>543</v>
      </c>
      <c r="F234" s="20" t="s">
        <v>544</v>
      </c>
      <c r="G234" s="8" t="str">
        <f t="shared" si="6"/>
        <v>CASSIDY BRANDON</v>
      </c>
      <c r="H234" s="20" t="str">
        <f t="shared" si="7"/>
        <v>4064</v>
      </c>
    </row>
    <row r="235" spans="1:8" x14ac:dyDescent="0.3">
      <c r="A235" s="8">
        <v>43036.985358796293</v>
      </c>
      <c r="B235" t="s">
        <v>684</v>
      </c>
      <c r="C235" t="s">
        <v>868</v>
      </c>
      <c r="D235" s="138">
        <v>3340000</v>
      </c>
      <c r="E235" t="s">
        <v>424</v>
      </c>
      <c r="F235" s="20" t="s">
        <v>425</v>
      </c>
      <c r="G235" s="8" t="str">
        <f t="shared" si="6"/>
        <v>ELBAUM MIKE</v>
      </c>
      <c r="H235" s="20" t="str">
        <f t="shared" si="7"/>
        <v>4012</v>
      </c>
    </row>
    <row r="236" spans="1:8" x14ac:dyDescent="0.3">
      <c r="A236" s="8">
        <v>43036.995208333334</v>
      </c>
      <c r="B236" t="s">
        <v>534</v>
      </c>
      <c r="C236" t="s">
        <v>869</v>
      </c>
      <c r="D236" s="138">
        <v>3220000</v>
      </c>
      <c r="E236" t="s">
        <v>834</v>
      </c>
      <c r="F236" s="20" t="s">
        <v>835</v>
      </c>
      <c r="G236" s="8" t="str">
        <f t="shared" si="6"/>
        <v>RESPASS AARON</v>
      </c>
      <c r="H236" s="20" t="str">
        <f t="shared" si="7"/>
        <v>4041</v>
      </c>
    </row>
    <row r="237" spans="1:8" x14ac:dyDescent="0.3">
      <c r="A237" s="8">
        <v>43037.010162037041</v>
      </c>
      <c r="B237" t="s">
        <v>413</v>
      </c>
      <c r="C237" t="s">
        <v>870</v>
      </c>
      <c r="D237" s="138">
        <v>3000000</v>
      </c>
      <c r="E237" t="s">
        <v>487</v>
      </c>
      <c r="F237" s="20" t="s">
        <v>488</v>
      </c>
      <c r="G237" s="8" t="str">
        <f t="shared" si="6"/>
        <v>FORTUNATO FRANK</v>
      </c>
      <c r="H237" s="20" t="str">
        <f t="shared" si="7"/>
        <v>4023</v>
      </c>
    </row>
    <row r="238" spans="1:8" x14ac:dyDescent="0.3">
      <c r="A238" s="8">
        <v>43037.013553240744</v>
      </c>
      <c r="B238" t="s">
        <v>639</v>
      </c>
      <c r="C238" t="s">
        <v>866</v>
      </c>
      <c r="D238" s="138">
        <v>3320000</v>
      </c>
      <c r="E238" t="s">
        <v>422</v>
      </c>
      <c r="F238" s="20" t="s">
        <v>423</v>
      </c>
      <c r="G238" s="8" t="str">
        <f t="shared" si="6"/>
        <v>NICHOLSON WESLEY</v>
      </c>
      <c r="H238" s="20" t="str">
        <f t="shared" si="7"/>
        <v>4004</v>
      </c>
    </row>
    <row r="239" spans="1:8" x14ac:dyDescent="0.3">
      <c r="A239" s="8">
        <v>43037.014513888891</v>
      </c>
      <c r="B239" t="s">
        <v>845</v>
      </c>
      <c r="C239" t="s">
        <v>638</v>
      </c>
      <c r="D239" s="138">
        <v>3490000</v>
      </c>
      <c r="E239" t="s">
        <v>840</v>
      </c>
      <c r="F239" s="20" t="s">
        <v>841</v>
      </c>
      <c r="G239" s="8" t="str">
        <f t="shared" si="6"/>
        <v>WEST BRYAN</v>
      </c>
      <c r="H239" s="20" t="str">
        <f t="shared" si="7"/>
        <v>4048</v>
      </c>
    </row>
    <row r="240" spans="1:8" x14ac:dyDescent="0.3">
      <c r="A240" s="8">
        <v>43037.015370370369</v>
      </c>
      <c r="B240" t="s">
        <v>845</v>
      </c>
      <c r="C240" t="s">
        <v>638</v>
      </c>
      <c r="D240" s="138">
        <v>3490000</v>
      </c>
      <c r="E240" t="s">
        <v>840</v>
      </c>
      <c r="F240" s="20" t="s">
        <v>841</v>
      </c>
      <c r="G240" s="8" t="str">
        <f t="shared" si="6"/>
        <v>WEST BRYAN</v>
      </c>
      <c r="H240" s="20" t="str">
        <f t="shared" si="7"/>
        <v>4048</v>
      </c>
    </row>
    <row r="241" spans="1:8" x14ac:dyDescent="0.3">
      <c r="A241" s="8">
        <v>43037.016828703701</v>
      </c>
      <c r="B241" t="s">
        <v>639</v>
      </c>
      <c r="C241" t="s">
        <v>871</v>
      </c>
      <c r="D241" s="138">
        <v>3320000</v>
      </c>
      <c r="E241" t="s">
        <v>422</v>
      </c>
      <c r="F241" s="20" t="s">
        <v>423</v>
      </c>
      <c r="G241" s="8" t="str">
        <f t="shared" si="6"/>
        <v>NICHOLSON WESLEY</v>
      </c>
      <c r="H241" s="20" t="str">
        <f t="shared" si="7"/>
        <v>4004</v>
      </c>
    </row>
    <row r="242" spans="1:8" x14ac:dyDescent="0.3">
      <c r="A242" s="8">
        <v>43037.022546296299</v>
      </c>
      <c r="B242" t="s">
        <v>637</v>
      </c>
      <c r="C242" t="s">
        <v>638</v>
      </c>
      <c r="D242" s="138">
        <v>3490000</v>
      </c>
      <c r="E242" t="s">
        <v>840</v>
      </c>
      <c r="F242" s="20" t="s">
        <v>841</v>
      </c>
      <c r="G242" s="8" t="str">
        <f t="shared" si="6"/>
        <v>WEST BRYAN</v>
      </c>
      <c r="H242" s="20" t="str">
        <f t="shared" si="7"/>
        <v>4047</v>
      </c>
    </row>
    <row r="243" spans="1:8" x14ac:dyDescent="0.3">
      <c r="A243" s="8">
        <v>43037.027291666665</v>
      </c>
      <c r="B243" t="s">
        <v>702</v>
      </c>
      <c r="C243" t="s">
        <v>872</v>
      </c>
      <c r="D243" s="138">
        <v>3340000</v>
      </c>
      <c r="E243" t="s">
        <v>424</v>
      </c>
      <c r="F243" s="20" t="s">
        <v>425</v>
      </c>
      <c r="G243" s="8" t="str">
        <f t="shared" si="6"/>
        <v>ELBAUM MIKE</v>
      </c>
      <c r="H243" s="20" t="str">
        <f t="shared" si="7"/>
        <v>4011</v>
      </c>
    </row>
    <row r="244" spans="1:8" x14ac:dyDescent="0.3">
      <c r="A244" s="8">
        <v>43037.037997685184</v>
      </c>
      <c r="B244" t="s">
        <v>537</v>
      </c>
      <c r="C244" t="s">
        <v>873</v>
      </c>
      <c r="D244" s="138">
        <v>3220000</v>
      </c>
      <c r="E244" t="s">
        <v>834</v>
      </c>
      <c r="F244" s="20" t="s">
        <v>835</v>
      </c>
      <c r="G244" s="8" t="str">
        <f t="shared" si="6"/>
        <v>RESPASS AARON</v>
      </c>
      <c r="H244" s="20" t="str">
        <f t="shared" si="7"/>
        <v>4042</v>
      </c>
    </row>
    <row r="245" spans="1:8" x14ac:dyDescent="0.3">
      <c r="A245" s="8">
        <v>43037.047326388885</v>
      </c>
      <c r="B245" t="s">
        <v>412</v>
      </c>
      <c r="C245" t="s">
        <v>874</v>
      </c>
      <c r="D245" s="138">
        <v>3000000</v>
      </c>
      <c r="E245" t="s">
        <v>487</v>
      </c>
      <c r="F245" s="20" t="s">
        <v>488</v>
      </c>
      <c r="G245" s="8" t="str">
        <f t="shared" si="6"/>
        <v>FORTUNATO FRANK</v>
      </c>
      <c r="H245" s="20" t="str">
        <f t="shared" si="7"/>
        <v>4024</v>
      </c>
    </row>
    <row r="246" spans="1:8" x14ac:dyDescent="0.3">
      <c r="A246" s="8">
        <v>43037.056574074071</v>
      </c>
      <c r="B246" t="s">
        <v>625</v>
      </c>
      <c r="C246" t="s">
        <v>875</v>
      </c>
      <c r="D246" s="138">
        <v>3320000</v>
      </c>
      <c r="E246" t="s">
        <v>422</v>
      </c>
      <c r="F246" s="20" t="s">
        <v>423</v>
      </c>
      <c r="G246" s="8" t="str">
        <f t="shared" si="6"/>
        <v>NICHOLSON WESLEY</v>
      </c>
      <c r="H246" s="20" t="str">
        <f t="shared" si="7"/>
        <v>4003</v>
      </c>
    </row>
    <row r="247" spans="1:8" x14ac:dyDescent="0.3">
      <c r="A247" s="8">
        <v>43037.066192129627</v>
      </c>
      <c r="B247" t="s">
        <v>684</v>
      </c>
      <c r="C247" t="s">
        <v>876</v>
      </c>
      <c r="D247" s="138">
        <v>3340000</v>
      </c>
      <c r="E247" t="s">
        <v>424</v>
      </c>
      <c r="F247" s="20" t="s">
        <v>425</v>
      </c>
      <c r="G247" s="8" t="str">
        <f t="shared" si="6"/>
        <v>ELBAUM MIKE</v>
      </c>
      <c r="H247" s="20" t="str">
        <f t="shared" si="7"/>
        <v>4012</v>
      </c>
    </row>
    <row r="248" spans="1:8" x14ac:dyDescent="0.3">
      <c r="A248" s="8">
        <v>43037.066238425927</v>
      </c>
      <c r="B248" t="s">
        <v>637</v>
      </c>
      <c r="C248" t="s">
        <v>638</v>
      </c>
      <c r="D248" s="138">
        <v>3490000</v>
      </c>
      <c r="E248" t="s">
        <v>840</v>
      </c>
      <c r="F248" s="20" t="s">
        <v>841</v>
      </c>
      <c r="G248" s="8" t="str">
        <f t="shared" si="6"/>
        <v>WEST BRYAN</v>
      </c>
      <c r="H248" s="20" t="str">
        <f t="shared" si="7"/>
        <v>4047</v>
      </c>
    </row>
    <row r="249" spans="1:8" x14ac:dyDescent="0.3">
      <c r="A249" s="8">
        <v>43037.078773148147</v>
      </c>
      <c r="B249" t="s">
        <v>534</v>
      </c>
      <c r="C249" t="s">
        <v>877</v>
      </c>
      <c r="D249" s="138">
        <v>3220000</v>
      </c>
      <c r="E249" t="s">
        <v>834</v>
      </c>
      <c r="F249" s="20" t="s">
        <v>835</v>
      </c>
      <c r="G249" s="8" t="str">
        <f t="shared" si="6"/>
        <v>RESPASS AARON</v>
      </c>
      <c r="H249" s="20" t="str">
        <f t="shared" si="7"/>
        <v>4041</v>
      </c>
    </row>
    <row r="250" spans="1:8" x14ac:dyDescent="0.3">
      <c r="A250" s="8">
        <v>43037.084918981483</v>
      </c>
      <c r="B250" t="s">
        <v>637</v>
      </c>
      <c r="C250" t="s">
        <v>638</v>
      </c>
      <c r="D250" s="138">
        <v>3490000</v>
      </c>
      <c r="E250" t="s">
        <v>840</v>
      </c>
      <c r="F250" s="20" t="s">
        <v>841</v>
      </c>
      <c r="G250" s="8" t="str">
        <f t="shared" si="6"/>
        <v>WEST BRYAN</v>
      </c>
      <c r="H250" s="20" t="str">
        <f t="shared" si="7"/>
        <v>4047</v>
      </c>
    </row>
    <row r="251" spans="1:8" x14ac:dyDescent="0.3">
      <c r="A251" s="8">
        <v>43037.090254629627</v>
      </c>
      <c r="B251" t="s">
        <v>639</v>
      </c>
      <c r="C251" t="s">
        <v>878</v>
      </c>
      <c r="D251" s="138">
        <v>3320000</v>
      </c>
      <c r="E251" t="s">
        <v>422</v>
      </c>
      <c r="F251" s="20" t="s">
        <v>423</v>
      </c>
      <c r="G251" s="8" t="str">
        <f t="shared" si="6"/>
        <v>NICHOLSON WESLEY</v>
      </c>
      <c r="H251" s="20" t="str">
        <f t="shared" si="7"/>
        <v>4004</v>
      </c>
    </row>
    <row r="252" spans="1:8" x14ac:dyDescent="0.3">
      <c r="A252" s="8">
        <v>43037.109537037039</v>
      </c>
      <c r="B252" t="s">
        <v>537</v>
      </c>
      <c r="C252" t="s">
        <v>879</v>
      </c>
      <c r="D252" s="138">
        <v>3220000</v>
      </c>
      <c r="E252" t="s">
        <v>834</v>
      </c>
      <c r="F252" s="20" t="s">
        <v>835</v>
      </c>
      <c r="G252" s="8" t="str">
        <f t="shared" si="6"/>
        <v>RESPASS AARON</v>
      </c>
      <c r="H252" s="20" t="str">
        <f t="shared" si="7"/>
        <v>4042</v>
      </c>
    </row>
    <row r="253" spans="1:8" x14ac:dyDescent="0.3">
      <c r="A253" s="8">
        <v>43034.03800925926</v>
      </c>
      <c r="B253" t="s">
        <v>398</v>
      </c>
      <c r="C253" t="s">
        <v>506</v>
      </c>
      <c r="D253" s="138">
        <v>890000</v>
      </c>
      <c r="E253" t="s">
        <v>354</v>
      </c>
      <c r="F253" s="20" t="s">
        <v>355</v>
      </c>
      <c r="G253" s="8" t="str">
        <f t="shared" si="6"/>
        <v>LOZA FIDEL</v>
      </c>
      <c r="H253" s="20" t="str">
        <f t="shared" si="7"/>
        <v>4017</v>
      </c>
    </row>
    <row r="254" spans="1:8" x14ac:dyDescent="0.3">
      <c r="A254" s="8">
        <v>43034.048090277778</v>
      </c>
      <c r="B254" t="s">
        <v>486</v>
      </c>
      <c r="C254" t="s">
        <v>507</v>
      </c>
      <c r="D254" s="138">
        <v>3310000</v>
      </c>
      <c r="E254" t="s">
        <v>365</v>
      </c>
      <c r="F254" s="20" t="s">
        <v>366</v>
      </c>
      <c r="G254" s="8" t="str">
        <f t="shared" si="6"/>
        <v>ANDERS STEVEN</v>
      </c>
      <c r="H254" s="20" t="str">
        <f t="shared" si="7"/>
        <v>4035</v>
      </c>
    </row>
    <row r="255" spans="1:8" x14ac:dyDescent="0.3">
      <c r="A255" s="8">
        <v>43034.048842592594</v>
      </c>
      <c r="B255" t="s">
        <v>478</v>
      </c>
      <c r="C255" t="s">
        <v>508</v>
      </c>
      <c r="D255" s="138">
        <v>2440000</v>
      </c>
      <c r="E255" t="s">
        <v>449</v>
      </c>
      <c r="F255" s="20" t="s">
        <v>450</v>
      </c>
      <c r="G255" s="8" t="str">
        <f t="shared" si="6"/>
        <v>LOPES KIMBERLY</v>
      </c>
      <c r="H255" s="20" t="str">
        <f t="shared" si="7"/>
        <v>4050</v>
      </c>
    </row>
    <row r="256" spans="1:8" x14ac:dyDescent="0.3">
      <c r="A256" s="8">
        <v>43034.069826388892</v>
      </c>
      <c r="B256" t="s">
        <v>394</v>
      </c>
      <c r="C256" t="s">
        <v>509</v>
      </c>
      <c r="D256" s="138">
        <v>890000</v>
      </c>
      <c r="E256" t="s">
        <v>354</v>
      </c>
      <c r="F256" s="20" t="s">
        <v>355</v>
      </c>
      <c r="G256" s="8" t="str">
        <f t="shared" si="6"/>
        <v>LOZA FIDEL</v>
      </c>
      <c r="H256" s="20" t="str">
        <f t="shared" si="7"/>
        <v>4018</v>
      </c>
    </row>
    <row r="257" spans="1:8" x14ac:dyDescent="0.3">
      <c r="A257" s="8">
        <v>43034.089629629627</v>
      </c>
      <c r="B257" t="s">
        <v>485</v>
      </c>
      <c r="C257" t="s">
        <v>510</v>
      </c>
      <c r="D257" s="138">
        <v>3310000</v>
      </c>
      <c r="E257" t="s">
        <v>365</v>
      </c>
      <c r="F257" s="20" t="s">
        <v>366</v>
      </c>
      <c r="G257" s="8" t="str">
        <f t="shared" si="6"/>
        <v>ANDERS STEVEN</v>
      </c>
      <c r="H257" s="20" t="str">
        <f t="shared" si="7"/>
        <v>4036</v>
      </c>
    </row>
    <row r="258" spans="1:8" x14ac:dyDescent="0.3">
      <c r="A258" s="8">
        <v>43034.113923611112</v>
      </c>
      <c r="B258" t="s">
        <v>413</v>
      </c>
      <c r="C258" t="s">
        <v>511</v>
      </c>
      <c r="D258" s="138">
        <v>1830000</v>
      </c>
      <c r="E258" t="s">
        <v>360</v>
      </c>
      <c r="F258" s="20" t="s">
        <v>361</v>
      </c>
      <c r="G258" s="8" t="str">
        <f t="shared" si="6"/>
        <v>YORK EDGAR</v>
      </c>
      <c r="H258" s="20" t="str">
        <f t="shared" si="7"/>
        <v>4023</v>
      </c>
    </row>
    <row r="259" spans="1:8" x14ac:dyDescent="0.3">
      <c r="A259" s="8">
        <v>43027.773113425923</v>
      </c>
      <c r="B259" t="s">
        <v>412</v>
      </c>
      <c r="C259" t="s">
        <v>426</v>
      </c>
      <c r="D259" s="138">
        <v>3280000</v>
      </c>
      <c r="E259" t="s">
        <v>392</v>
      </c>
      <c r="F259" s="20" t="s">
        <v>393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395</v>
      </c>
      <c r="C260" t="s">
        <v>427</v>
      </c>
      <c r="D260" s="138">
        <v>890000</v>
      </c>
      <c r="E260" t="s">
        <v>354</v>
      </c>
      <c r="F260" s="20" t="s">
        <v>355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417</v>
      </c>
      <c r="C261" t="s">
        <v>428</v>
      </c>
      <c r="D261" s="138">
        <v>1300000</v>
      </c>
      <c r="E261" t="s">
        <v>390</v>
      </c>
      <c r="F261" s="20" t="s">
        <v>391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372</v>
      </c>
      <c r="C262" t="s">
        <v>415</v>
      </c>
      <c r="D262" s="138">
        <v>2420000</v>
      </c>
      <c r="E262" t="s">
        <v>406</v>
      </c>
      <c r="F262" s="20" t="s">
        <v>407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414</v>
      </c>
      <c r="C263" t="s">
        <v>429</v>
      </c>
      <c r="D263" s="138">
        <v>3340000</v>
      </c>
      <c r="E263" t="s">
        <v>424</v>
      </c>
      <c r="F263" s="20" t="s">
        <v>425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382</v>
      </c>
      <c r="C264" t="s">
        <v>430</v>
      </c>
      <c r="D264" s="138">
        <v>1360000</v>
      </c>
      <c r="E264" t="s">
        <v>431</v>
      </c>
      <c r="F264" s="20" t="s">
        <v>432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413</v>
      </c>
      <c r="C265" t="s">
        <v>433</v>
      </c>
      <c r="D265" s="138">
        <v>3280000</v>
      </c>
      <c r="E265" t="s">
        <v>392</v>
      </c>
      <c r="F265" s="20" t="s">
        <v>393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401</v>
      </c>
      <c r="C266" t="s">
        <v>434</v>
      </c>
      <c r="D266" s="138">
        <v>2600000</v>
      </c>
      <c r="E266" t="s">
        <v>435</v>
      </c>
      <c r="F266" s="20" t="s">
        <v>419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401</v>
      </c>
      <c r="C267" t="s">
        <v>434</v>
      </c>
      <c r="D267" s="138">
        <v>2600000</v>
      </c>
      <c r="E267" t="s">
        <v>435</v>
      </c>
      <c r="F267" s="20" t="s">
        <v>419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401</v>
      </c>
      <c r="C268" t="s">
        <v>436</v>
      </c>
      <c r="D268" s="138">
        <v>2600000</v>
      </c>
      <c r="E268" t="s">
        <v>435</v>
      </c>
      <c r="F268" s="20" t="s">
        <v>419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418</v>
      </c>
      <c r="C269" t="s">
        <v>437</v>
      </c>
      <c r="D269" s="138">
        <v>1180000</v>
      </c>
      <c r="E269" t="s">
        <v>388</v>
      </c>
      <c r="F269" s="20" t="s">
        <v>389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372</v>
      </c>
      <c r="C270" t="s">
        <v>415</v>
      </c>
      <c r="D270" s="138">
        <v>2420000</v>
      </c>
      <c r="E270" t="s">
        <v>406</v>
      </c>
      <c r="F270" s="20" t="s">
        <v>407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398</v>
      </c>
      <c r="C271" t="s">
        <v>438</v>
      </c>
      <c r="D271" s="138">
        <v>2540000</v>
      </c>
      <c r="E271" t="s">
        <v>373</v>
      </c>
      <c r="F271" s="20" t="s">
        <v>374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400</v>
      </c>
      <c r="C272" t="s">
        <v>434</v>
      </c>
      <c r="D272" s="138">
        <v>2600000</v>
      </c>
      <c r="E272" t="s">
        <v>435</v>
      </c>
      <c r="F272" s="20" t="s">
        <v>419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403</v>
      </c>
      <c r="C273" t="s">
        <v>439</v>
      </c>
      <c r="D273" s="138">
        <v>890000</v>
      </c>
      <c r="E273" t="s">
        <v>354</v>
      </c>
      <c r="F273" s="20" t="s">
        <v>355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396</v>
      </c>
      <c r="C274" t="s">
        <v>440</v>
      </c>
      <c r="D274" s="138">
        <v>1360000</v>
      </c>
      <c r="E274" t="s">
        <v>431</v>
      </c>
      <c r="F274" s="20" t="s">
        <v>432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371</v>
      </c>
      <c r="C275" t="s">
        <v>441</v>
      </c>
      <c r="D275" s="138">
        <v>2420000</v>
      </c>
      <c r="E275" t="s">
        <v>406</v>
      </c>
      <c r="F275" s="20" t="s">
        <v>407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387</v>
      </c>
      <c r="C276" t="s">
        <v>421</v>
      </c>
      <c r="D276" s="138">
        <v>3320000</v>
      </c>
      <c r="E276" t="s">
        <v>422</v>
      </c>
      <c r="F276" s="20" t="s">
        <v>423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411</v>
      </c>
      <c r="C277" t="s">
        <v>442</v>
      </c>
      <c r="D277" s="138">
        <v>3340000</v>
      </c>
      <c r="E277" t="s">
        <v>424</v>
      </c>
      <c r="F277" s="20" t="s">
        <v>425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386</v>
      </c>
      <c r="C278" t="s">
        <v>421</v>
      </c>
      <c r="D278" s="138">
        <v>3320000</v>
      </c>
      <c r="E278" t="s">
        <v>422</v>
      </c>
      <c r="F278" s="20" t="s">
        <v>423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401</v>
      </c>
      <c r="C279" t="s">
        <v>443</v>
      </c>
      <c r="D279" s="138">
        <v>3130000</v>
      </c>
      <c r="E279" t="s">
        <v>408</v>
      </c>
      <c r="F279" s="20" t="s">
        <v>409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395</v>
      </c>
      <c r="C280" t="s">
        <v>444</v>
      </c>
      <c r="D280" s="138">
        <v>890000</v>
      </c>
      <c r="E280" t="s">
        <v>354</v>
      </c>
      <c r="F280" s="20" t="s">
        <v>355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387</v>
      </c>
      <c r="C281" t="s">
        <v>445</v>
      </c>
      <c r="D281" s="138">
        <v>2540000</v>
      </c>
      <c r="E281" t="s">
        <v>373</v>
      </c>
      <c r="F281" s="20" t="s">
        <v>374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400</v>
      </c>
      <c r="C282" t="s">
        <v>446</v>
      </c>
      <c r="D282" s="138">
        <v>3130000</v>
      </c>
      <c r="E282" t="s">
        <v>408</v>
      </c>
      <c r="F282" s="20" t="s">
        <v>409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414</v>
      </c>
      <c r="C283" t="s">
        <v>416</v>
      </c>
      <c r="D283" s="138">
        <v>3340000</v>
      </c>
      <c r="E283" t="s">
        <v>424</v>
      </c>
      <c r="F283" s="20" t="s">
        <v>425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382</v>
      </c>
      <c r="C284" t="s">
        <v>447</v>
      </c>
      <c r="D284" s="138">
        <v>3310000</v>
      </c>
      <c r="E284" t="s">
        <v>365</v>
      </c>
      <c r="F284" s="20" t="s">
        <v>366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401</v>
      </c>
      <c r="C285" t="s">
        <v>448</v>
      </c>
      <c r="D285" s="138">
        <v>2440000</v>
      </c>
      <c r="E285" t="s">
        <v>449</v>
      </c>
      <c r="F285" s="20" t="s">
        <v>450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403</v>
      </c>
      <c r="C286" t="s">
        <v>451</v>
      </c>
      <c r="D286" s="138">
        <v>3320000</v>
      </c>
      <c r="E286" t="s">
        <v>422</v>
      </c>
      <c r="F286" s="20" t="s">
        <v>423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386</v>
      </c>
      <c r="C287" t="s">
        <v>452</v>
      </c>
      <c r="D287" s="138">
        <v>2540000</v>
      </c>
      <c r="E287" t="s">
        <v>373</v>
      </c>
      <c r="F287" s="20" t="s">
        <v>374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400</v>
      </c>
      <c r="C288" t="s">
        <v>453</v>
      </c>
      <c r="D288" s="138">
        <v>2440000</v>
      </c>
      <c r="E288" t="s">
        <v>449</v>
      </c>
      <c r="F288" s="20" t="s">
        <v>450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411</v>
      </c>
      <c r="C289" t="s">
        <v>454</v>
      </c>
      <c r="D289" s="138">
        <v>3340000</v>
      </c>
      <c r="E289" t="s">
        <v>424</v>
      </c>
      <c r="F289" s="20" t="s">
        <v>425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394</v>
      </c>
      <c r="C290" t="s">
        <v>421</v>
      </c>
      <c r="D290" s="138">
        <v>2600000</v>
      </c>
      <c r="E290" t="s">
        <v>435</v>
      </c>
      <c r="F290" s="20" t="s">
        <v>419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398</v>
      </c>
      <c r="C291" t="s">
        <v>421</v>
      </c>
      <c r="D291" s="138">
        <v>2600000</v>
      </c>
      <c r="E291" t="s">
        <v>435</v>
      </c>
      <c r="F291" s="20" t="s">
        <v>419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396</v>
      </c>
      <c r="C292" t="s">
        <v>455</v>
      </c>
      <c r="D292" s="138">
        <v>3310000</v>
      </c>
      <c r="E292" t="s">
        <v>365</v>
      </c>
      <c r="F292" s="20" t="s">
        <v>366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401</v>
      </c>
      <c r="C293" t="s">
        <v>456</v>
      </c>
      <c r="D293" s="138">
        <v>3280000</v>
      </c>
      <c r="E293" t="s">
        <v>392</v>
      </c>
      <c r="F293" s="20" t="s">
        <v>393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395</v>
      </c>
      <c r="C294" t="s">
        <v>457</v>
      </c>
      <c r="D294" s="138">
        <v>3320000</v>
      </c>
      <c r="E294" t="s">
        <v>422</v>
      </c>
      <c r="F294" s="20" t="s">
        <v>423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394</v>
      </c>
      <c r="C295" t="s">
        <v>458</v>
      </c>
      <c r="D295" s="138">
        <v>2540000</v>
      </c>
      <c r="E295" t="s">
        <v>373</v>
      </c>
      <c r="F295" s="20" t="s">
        <v>374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400</v>
      </c>
      <c r="C296" t="s">
        <v>459</v>
      </c>
      <c r="D296" s="138">
        <v>3280000</v>
      </c>
      <c r="E296" t="s">
        <v>392</v>
      </c>
      <c r="F296" s="20" t="s">
        <v>393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414</v>
      </c>
      <c r="C297" t="s">
        <v>460</v>
      </c>
      <c r="D297" s="138">
        <v>3340000</v>
      </c>
      <c r="E297" t="s">
        <v>424</v>
      </c>
      <c r="F297" s="20" t="s">
        <v>425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382</v>
      </c>
      <c r="C298" t="s">
        <v>461</v>
      </c>
      <c r="D298" s="138">
        <v>3310000</v>
      </c>
      <c r="E298" t="s">
        <v>365</v>
      </c>
      <c r="F298" s="20" t="s">
        <v>366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401</v>
      </c>
      <c r="C299" t="s">
        <v>462</v>
      </c>
      <c r="D299" s="138">
        <v>3280000</v>
      </c>
      <c r="E299" t="s">
        <v>392</v>
      </c>
      <c r="F299" s="20" t="s">
        <v>393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398</v>
      </c>
      <c r="C300" t="s">
        <v>463</v>
      </c>
      <c r="D300" s="138">
        <v>2540000</v>
      </c>
      <c r="E300" t="s">
        <v>373</v>
      </c>
      <c r="F300" s="20" t="s">
        <v>374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400</v>
      </c>
      <c r="C301" t="s">
        <v>464</v>
      </c>
      <c r="D301" s="138">
        <v>3280000</v>
      </c>
      <c r="E301" t="s">
        <v>392</v>
      </c>
      <c r="F301" s="20" t="s">
        <v>393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403</v>
      </c>
      <c r="C302" t="s">
        <v>465</v>
      </c>
      <c r="D302" s="138">
        <v>890000</v>
      </c>
      <c r="E302" t="s">
        <v>354</v>
      </c>
      <c r="F302" s="20" t="s">
        <v>355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411</v>
      </c>
      <c r="C303" t="s">
        <v>466</v>
      </c>
      <c r="D303" s="138">
        <v>3340000</v>
      </c>
      <c r="E303" t="s">
        <v>424</v>
      </c>
      <c r="F303" s="20" t="s">
        <v>425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396</v>
      </c>
      <c r="C304" t="s">
        <v>467</v>
      </c>
      <c r="D304" s="138">
        <v>3310000</v>
      </c>
      <c r="E304" t="s">
        <v>365</v>
      </c>
      <c r="F304" s="20" t="s">
        <v>366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394</v>
      </c>
      <c r="C305" t="s">
        <v>468</v>
      </c>
      <c r="D305" s="138">
        <v>2540000</v>
      </c>
      <c r="E305" t="s">
        <v>373</v>
      </c>
      <c r="F305" s="20" t="s">
        <v>374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395</v>
      </c>
      <c r="C306" t="s">
        <v>469</v>
      </c>
      <c r="D306" s="138">
        <v>890000</v>
      </c>
      <c r="E306" t="s">
        <v>354</v>
      </c>
      <c r="F306" s="20" t="s">
        <v>355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382</v>
      </c>
      <c r="C307" t="s">
        <v>470</v>
      </c>
      <c r="D307" s="138">
        <v>3310000</v>
      </c>
      <c r="E307" t="s">
        <v>365</v>
      </c>
      <c r="F307" s="20" t="s">
        <v>366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414</v>
      </c>
      <c r="C308" t="s">
        <v>471</v>
      </c>
      <c r="D308" s="138">
        <v>3340000</v>
      </c>
      <c r="E308" t="s">
        <v>424</v>
      </c>
      <c r="F308" s="20" t="s">
        <v>425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403</v>
      </c>
      <c r="C309" t="s">
        <v>472</v>
      </c>
      <c r="D309" s="138">
        <v>890000</v>
      </c>
      <c r="E309" t="s">
        <v>354</v>
      </c>
      <c r="F309" s="20" t="s">
        <v>355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398</v>
      </c>
      <c r="C310" t="s">
        <v>473</v>
      </c>
      <c r="D310" s="138">
        <v>2540000</v>
      </c>
      <c r="E310" t="s">
        <v>373</v>
      </c>
      <c r="F310" s="20" t="s">
        <v>374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411</v>
      </c>
      <c r="C311" t="s">
        <v>474</v>
      </c>
      <c r="D311" s="138">
        <v>3340000</v>
      </c>
      <c r="E311" t="s">
        <v>424</v>
      </c>
      <c r="F311" s="20" t="s">
        <v>425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394</v>
      </c>
      <c r="C312" t="s">
        <v>475</v>
      </c>
      <c r="D312" s="138">
        <v>2540000</v>
      </c>
      <c r="E312" t="s">
        <v>373</v>
      </c>
      <c r="F312" s="20" t="s">
        <v>374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367</v>
      </c>
      <c r="C313" t="s">
        <v>476</v>
      </c>
      <c r="D313" s="138">
        <v>1830000</v>
      </c>
      <c r="E313" t="s">
        <v>360</v>
      </c>
      <c r="F313" s="20" t="s">
        <v>361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512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341</v>
      </c>
      <c r="P1" s="218" t="s">
        <v>154</v>
      </c>
      <c r="Q1" s="218" t="s">
        <v>161</v>
      </c>
      <c r="R1" s="218" t="s">
        <v>342</v>
      </c>
      <c r="S1" s="218" t="s">
        <v>158</v>
      </c>
      <c r="T1"/>
    </row>
    <row r="2" spans="1:20" x14ac:dyDescent="0.3">
      <c r="A2" s="196">
        <v>37.58</v>
      </c>
      <c r="B2" s="196">
        <v>0.94</v>
      </c>
      <c r="C2" s="196">
        <v>20.72</v>
      </c>
      <c r="D2" s="8">
        <v>43036</v>
      </c>
      <c r="E2" s="196">
        <v>0.5</v>
      </c>
      <c r="F2" s="196" t="s">
        <v>550</v>
      </c>
      <c r="G2" s="196">
        <v>273.63</v>
      </c>
      <c r="H2" s="196">
        <v>0</v>
      </c>
      <c r="I2" s="196">
        <v>0</v>
      </c>
      <c r="J2" s="196"/>
      <c r="K2" s="196">
        <v>1022.26</v>
      </c>
      <c r="L2" s="196" t="s">
        <v>551</v>
      </c>
      <c r="M2" s="196">
        <v>37.58</v>
      </c>
      <c r="N2" s="196">
        <v>1509170400</v>
      </c>
      <c r="O2" s="196">
        <v>0</v>
      </c>
      <c r="P2" s="196">
        <v>3.52</v>
      </c>
      <c r="Q2" s="196">
        <v>193</v>
      </c>
      <c r="R2" s="196">
        <v>2.86</v>
      </c>
      <c r="S2" s="196">
        <v>0.95</v>
      </c>
      <c r="T2"/>
    </row>
    <row r="3" spans="1:20" x14ac:dyDescent="0.3">
      <c r="A3" s="196">
        <v>37.630000000000003</v>
      </c>
      <c r="B3" s="196">
        <v>0.9</v>
      </c>
      <c r="C3" s="196">
        <v>21.33</v>
      </c>
      <c r="D3" s="8">
        <v>43036.041666666664</v>
      </c>
      <c r="E3" s="196">
        <v>0.51</v>
      </c>
      <c r="F3" s="196" t="s">
        <v>549</v>
      </c>
      <c r="G3" s="196">
        <v>273.63</v>
      </c>
      <c r="H3" s="196">
        <v>0</v>
      </c>
      <c r="I3" s="196">
        <v>0</v>
      </c>
      <c r="J3" s="196"/>
      <c r="K3" s="196">
        <v>1021.95</v>
      </c>
      <c r="L3" s="196" t="s">
        <v>548</v>
      </c>
      <c r="M3" s="196">
        <v>37.630000000000003</v>
      </c>
      <c r="N3" s="196">
        <v>1509174000</v>
      </c>
      <c r="O3" s="196">
        <v>0</v>
      </c>
      <c r="P3" s="196">
        <v>3.52</v>
      </c>
      <c r="Q3" s="196">
        <v>169</v>
      </c>
      <c r="R3" s="196">
        <v>2.4700000000000002</v>
      </c>
      <c r="S3" s="196">
        <v>0.73</v>
      </c>
      <c r="T3"/>
    </row>
    <row r="4" spans="1:20" x14ac:dyDescent="0.3">
      <c r="A4" s="196">
        <v>37.76</v>
      </c>
      <c r="B4" s="196">
        <v>0.97</v>
      </c>
      <c r="C4" s="196">
        <v>22.06</v>
      </c>
      <c r="D4" s="8">
        <v>43036.083333333336</v>
      </c>
      <c r="E4" s="196">
        <v>0.53</v>
      </c>
      <c r="F4" s="196" t="s">
        <v>550</v>
      </c>
      <c r="G4" s="196">
        <v>273.38</v>
      </c>
      <c r="H4" s="196">
        <v>0</v>
      </c>
      <c r="I4" s="196">
        <v>0</v>
      </c>
      <c r="J4" s="196"/>
      <c r="K4" s="196">
        <v>1021.49</v>
      </c>
      <c r="L4" s="196" t="s">
        <v>551</v>
      </c>
      <c r="M4" s="196">
        <v>37.76</v>
      </c>
      <c r="N4" s="196">
        <v>1509177600</v>
      </c>
      <c r="O4" s="196">
        <v>0</v>
      </c>
      <c r="P4" s="196">
        <v>3.52</v>
      </c>
      <c r="Q4" s="196">
        <v>188</v>
      </c>
      <c r="R4" s="196">
        <v>2.34</v>
      </c>
      <c r="S4" s="196">
        <v>0.84</v>
      </c>
      <c r="T4"/>
    </row>
    <row r="5" spans="1:20" x14ac:dyDescent="0.3">
      <c r="A5" s="196">
        <v>38.1</v>
      </c>
      <c r="B5" s="196">
        <v>1</v>
      </c>
      <c r="C5" s="196">
        <v>22.57</v>
      </c>
      <c r="D5" s="8">
        <v>43036.125</v>
      </c>
      <c r="E5" s="196">
        <v>0.53</v>
      </c>
      <c r="F5" s="196" t="s">
        <v>550</v>
      </c>
      <c r="G5" s="196">
        <v>272.89999999999998</v>
      </c>
      <c r="H5" s="196">
        <v>1E-4</v>
      </c>
      <c r="I5" s="196">
        <v>0.01</v>
      </c>
      <c r="J5" s="196" t="s">
        <v>513</v>
      </c>
      <c r="K5" s="196">
        <v>1021.69</v>
      </c>
      <c r="L5" s="196" t="s">
        <v>551</v>
      </c>
      <c r="M5" s="196">
        <v>38.1</v>
      </c>
      <c r="N5" s="196">
        <v>1509181200</v>
      </c>
      <c r="O5" s="196">
        <v>0</v>
      </c>
      <c r="P5" s="196">
        <v>3.52</v>
      </c>
      <c r="Q5" s="196">
        <v>188</v>
      </c>
      <c r="R5" s="196">
        <v>2.17</v>
      </c>
      <c r="S5" s="196">
        <v>1.25</v>
      </c>
      <c r="T5"/>
    </row>
    <row r="6" spans="1:20" x14ac:dyDescent="0.3">
      <c r="A6" s="196">
        <v>38.4</v>
      </c>
      <c r="B6" s="196">
        <v>0.94</v>
      </c>
      <c r="C6" s="196">
        <v>22.99</v>
      </c>
      <c r="D6" s="8">
        <v>43036.166666666664</v>
      </c>
      <c r="E6" s="196">
        <v>0.53</v>
      </c>
      <c r="F6" s="196" t="s">
        <v>550</v>
      </c>
      <c r="G6" s="196">
        <v>271.92</v>
      </c>
      <c r="H6" s="196">
        <v>1E-4</v>
      </c>
      <c r="I6" s="196">
        <v>0.01</v>
      </c>
      <c r="J6" s="196" t="s">
        <v>513</v>
      </c>
      <c r="K6" s="196">
        <v>1021.04</v>
      </c>
      <c r="L6" s="196" t="s">
        <v>551</v>
      </c>
      <c r="M6" s="196">
        <v>38.4</v>
      </c>
      <c r="N6" s="196">
        <v>1509184800</v>
      </c>
      <c r="O6" s="196">
        <v>0</v>
      </c>
      <c r="P6" s="196">
        <v>3.52</v>
      </c>
      <c r="Q6" s="196">
        <v>208</v>
      </c>
      <c r="R6" s="196">
        <v>3.35</v>
      </c>
      <c r="S6" s="196">
        <v>1.06</v>
      </c>
      <c r="T6"/>
    </row>
    <row r="7" spans="1:20" x14ac:dyDescent="0.3">
      <c r="A7" s="196">
        <v>38.4</v>
      </c>
      <c r="B7" s="196">
        <v>0.88</v>
      </c>
      <c r="C7" s="196">
        <v>23.03</v>
      </c>
      <c r="D7" s="8">
        <v>43036.208333333336</v>
      </c>
      <c r="E7" s="196">
        <v>0.54</v>
      </c>
      <c r="F7" s="196" t="s">
        <v>549</v>
      </c>
      <c r="G7" s="196">
        <v>270.57</v>
      </c>
      <c r="H7" s="196">
        <v>0</v>
      </c>
      <c r="I7" s="196">
        <v>0</v>
      </c>
      <c r="J7" s="196"/>
      <c r="K7" s="196">
        <v>1020.71</v>
      </c>
      <c r="L7" s="196" t="s">
        <v>548</v>
      </c>
      <c r="M7" s="196">
        <v>38.4</v>
      </c>
      <c r="N7" s="196">
        <v>1509188400</v>
      </c>
      <c r="O7" s="196">
        <v>0</v>
      </c>
      <c r="P7" s="196">
        <v>3.52</v>
      </c>
      <c r="Q7" s="196">
        <v>182</v>
      </c>
      <c r="R7" s="196">
        <v>3.11</v>
      </c>
      <c r="S7" s="196">
        <v>1.25</v>
      </c>
      <c r="T7"/>
    </row>
    <row r="8" spans="1:20" x14ac:dyDescent="0.3">
      <c r="A8" s="196">
        <v>38.33</v>
      </c>
      <c r="B8" s="196">
        <v>0.89</v>
      </c>
      <c r="C8" s="196">
        <v>23.1</v>
      </c>
      <c r="D8" s="8">
        <v>43036.25</v>
      </c>
      <c r="E8" s="196">
        <v>0.54</v>
      </c>
      <c r="F8" s="196" t="s">
        <v>549</v>
      </c>
      <c r="G8" s="196">
        <v>270.08</v>
      </c>
      <c r="H8" s="196">
        <v>0</v>
      </c>
      <c r="I8" s="196">
        <v>0</v>
      </c>
      <c r="J8" s="196"/>
      <c r="K8" s="196">
        <v>1020.21</v>
      </c>
      <c r="L8" s="196" t="s">
        <v>548</v>
      </c>
      <c r="M8" s="196">
        <v>38.33</v>
      </c>
      <c r="N8" s="196">
        <v>1509192000</v>
      </c>
      <c r="O8" s="196">
        <v>0</v>
      </c>
      <c r="P8" s="196">
        <v>3.52</v>
      </c>
      <c r="Q8" s="196">
        <v>183</v>
      </c>
      <c r="R8" s="196">
        <v>3.23</v>
      </c>
      <c r="S8" s="196">
        <v>1.19</v>
      </c>
      <c r="T8"/>
    </row>
    <row r="9" spans="1:20" x14ac:dyDescent="0.3">
      <c r="A9" s="196">
        <v>38.6</v>
      </c>
      <c r="B9" s="196">
        <v>0.78</v>
      </c>
      <c r="C9" s="196">
        <v>23.33</v>
      </c>
      <c r="D9" s="8">
        <v>43036.291666666664</v>
      </c>
      <c r="E9" s="196">
        <v>0.54</v>
      </c>
      <c r="F9" s="196" t="s">
        <v>549</v>
      </c>
      <c r="G9" s="196">
        <v>269.08999999999997</v>
      </c>
      <c r="H9" s="196">
        <v>0</v>
      </c>
      <c r="I9" s="196">
        <v>0</v>
      </c>
      <c r="J9" s="196"/>
      <c r="K9" s="196">
        <v>1020.52</v>
      </c>
      <c r="L9" s="196" t="s">
        <v>548</v>
      </c>
      <c r="M9" s="196">
        <v>38.6</v>
      </c>
      <c r="N9" s="196">
        <v>1509195600</v>
      </c>
      <c r="O9" s="196">
        <v>0</v>
      </c>
      <c r="P9" s="196">
        <v>4.0599999999999996</v>
      </c>
      <c r="Q9" s="196">
        <v>193</v>
      </c>
      <c r="R9" s="196">
        <v>3.02</v>
      </c>
      <c r="S9" s="196">
        <v>1.17</v>
      </c>
      <c r="T9"/>
    </row>
    <row r="10" spans="1:20" x14ac:dyDescent="0.3">
      <c r="A10" s="196">
        <v>39.19</v>
      </c>
      <c r="B10" s="196">
        <v>0.85</v>
      </c>
      <c r="C10" s="196">
        <v>24.08</v>
      </c>
      <c r="D10" s="8">
        <v>43036.333333333336</v>
      </c>
      <c r="E10" s="196">
        <v>0.54</v>
      </c>
      <c r="F10" s="196" t="s">
        <v>547</v>
      </c>
      <c r="G10" s="196">
        <v>268.10000000000002</v>
      </c>
      <c r="H10" s="196">
        <v>0</v>
      </c>
      <c r="I10" s="196">
        <v>0</v>
      </c>
      <c r="J10" s="196"/>
      <c r="K10" s="196">
        <v>1020.97</v>
      </c>
      <c r="L10" s="196" t="s">
        <v>548</v>
      </c>
      <c r="M10" s="196">
        <v>39.19</v>
      </c>
      <c r="N10" s="196">
        <v>1509199200</v>
      </c>
      <c r="O10" s="196">
        <v>0</v>
      </c>
      <c r="P10" s="196">
        <v>4.16</v>
      </c>
      <c r="Q10" s="196">
        <v>188</v>
      </c>
      <c r="R10" s="196">
        <v>3.26</v>
      </c>
      <c r="S10" s="196">
        <v>1.38</v>
      </c>
      <c r="T10"/>
    </row>
    <row r="11" spans="1:20" x14ac:dyDescent="0.3">
      <c r="A11" s="196">
        <v>41.34</v>
      </c>
      <c r="B11" s="196">
        <v>0.82</v>
      </c>
      <c r="C11" s="196">
        <v>25.18</v>
      </c>
      <c r="D11" s="8">
        <v>43036.375</v>
      </c>
      <c r="E11" s="196">
        <v>0.52</v>
      </c>
      <c r="F11" s="196" t="s">
        <v>547</v>
      </c>
      <c r="G11" s="196">
        <v>267.11</v>
      </c>
      <c r="H11" s="196">
        <v>0</v>
      </c>
      <c r="I11" s="196">
        <v>0</v>
      </c>
      <c r="J11" s="196"/>
      <c r="K11" s="196">
        <v>1020.83</v>
      </c>
      <c r="L11" s="196" t="s">
        <v>548</v>
      </c>
      <c r="M11" s="196">
        <v>41.34</v>
      </c>
      <c r="N11" s="196">
        <v>1509202800</v>
      </c>
      <c r="O11" s="196">
        <v>1</v>
      </c>
      <c r="P11" s="196">
        <v>4.16</v>
      </c>
      <c r="Q11" s="196">
        <v>186</v>
      </c>
      <c r="R11" s="196">
        <v>3.75</v>
      </c>
      <c r="S11" s="196">
        <v>1.1299999999999999</v>
      </c>
      <c r="T11"/>
    </row>
    <row r="12" spans="1:20" x14ac:dyDescent="0.3">
      <c r="A12" s="196">
        <v>45.17</v>
      </c>
      <c r="B12" s="196">
        <v>0.76</v>
      </c>
      <c r="C12" s="196">
        <v>25.61</v>
      </c>
      <c r="D12" s="8">
        <v>43036.416666666664</v>
      </c>
      <c r="E12" s="196">
        <v>0.46</v>
      </c>
      <c r="F12" s="196" t="s">
        <v>547</v>
      </c>
      <c r="G12" s="196">
        <v>266.36</v>
      </c>
      <c r="H12" s="196">
        <v>0</v>
      </c>
      <c r="I12" s="196">
        <v>0</v>
      </c>
      <c r="J12" s="196"/>
      <c r="K12" s="196">
        <v>1020.08</v>
      </c>
      <c r="L12" s="196" t="s">
        <v>548</v>
      </c>
      <c r="M12" s="196">
        <v>45.17</v>
      </c>
      <c r="N12" s="196">
        <v>1509206400</v>
      </c>
      <c r="O12" s="196">
        <v>1</v>
      </c>
      <c r="P12" s="196">
        <v>3.95</v>
      </c>
      <c r="Q12" s="196">
        <v>186</v>
      </c>
      <c r="R12" s="196">
        <v>5.32</v>
      </c>
      <c r="S12" s="196">
        <v>2.1800000000000002</v>
      </c>
      <c r="T12"/>
    </row>
    <row r="13" spans="1:20" x14ac:dyDescent="0.3">
      <c r="A13" s="196">
        <v>48.83</v>
      </c>
      <c r="B13" s="196">
        <v>0.68</v>
      </c>
      <c r="C13" s="196">
        <v>26.86</v>
      </c>
      <c r="D13" s="8">
        <v>43036.458333333336</v>
      </c>
      <c r="E13" s="196">
        <v>0.42</v>
      </c>
      <c r="F13" s="196" t="s">
        <v>547</v>
      </c>
      <c r="G13" s="196">
        <v>265.49</v>
      </c>
      <c r="H13" s="196">
        <v>0</v>
      </c>
      <c r="I13" s="196">
        <v>0</v>
      </c>
      <c r="J13" s="196"/>
      <c r="K13" s="196">
        <v>1018.82</v>
      </c>
      <c r="L13" s="196" t="s">
        <v>548</v>
      </c>
      <c r="M13" s="196">
        <v>48.83</v>
      </c>
      <c r="N13" s="196">
        <v>1509210000</v>
      </c>
      <c r="O13" s="196">
        <v>2</v>
      </c>
      <c r="P13" s="196">
        <v>4.16</v>
      </c>
      <c r="Q13" s="196">
        <v>181</v>
      </c>
      <c r="R13" s="196">
        <v>6.47</v>
      </c>
      <c r="S13" s="196">
        <v>2.42</v>
      </c>
      <c r="T13"/>
    </row>
    <row r="14" spans="1:20" x14ac:dyDescent="0.3">
      <c r="A14" s="196">
        <v>50.39</v>
      </c>
      <c r="B14" s="196">
        <v>0.92</v>
      </c>
      <c r="C14" s="196">
        <v>28</v>
      </c>
      <c r="D14" s="8">
        <v>43036.5</v>
      </c>
      <c r="E14" s="196">
        <v>0.42</v>
      </c>
      <c r="F14" s="196" t="s">
        <v>547</v>
      </c>
      <c r="G14" s="196">
        <v>263.47000000000003</v>
      </c>
      <c r="H14" s="196">
        <v>0</v>
      </c>
      <c r="I14" s="196">
        <v>0</v>
      </c>
      <c r="J14" s="196"/>
      <c r="K14" s="196">
        <v>1018.11</v>
      </c>
      <c r="L14" s="196" t="s">
        <v>548</v>
      </c>
      <c r="M14" s="196">
        <v>50.39</v>
      </c>
      <c r="N14" s="196">
        <v>1509213600</v>
      </c>
      <c r="O14" s="196">
        <v>2</v>
      </c>
      <c r="P14" s="196">
        <v>4.16</v>
      </c>
      <c r="Q14" s="196">
        <v>179</v>
      </c>
      <c r="R14" s="196">
        <v>4.38</v>
      </c>
      <c r="S14" s="196">
        <v>1.27</v>
      </c>
      <c r="T14"/>
    </row>
    <row r="15" spans="1:20" x14ac:dyDescent="0.3">
      <c r="A15" s="196">
        <v>51.96</v>
      </c>
      <c r="B15" s="196">
        <v>0.92</v>
      </c>
      <c r="C15" s="196">
        <v>28.74</v>
      </c>
      <c r="D15" s="8">
        <v>43036.541666666664</v>
      </c>
      <c r="E15" s="196">
        <v>0.41</v>
      </c>
      <c r="F15" s="196" t="s">
        <v>547</v>
      </c>
      <c r="G15" s="196">
        <v>262.97000000000003</v>
      </c>
      <c r="H15" s="196">
        <v>0</v>
      </c>
      <c r="I15" s="196">
        <v>0</v>
      </c>
      <c r="J15" s="196"/>
      <c r="K15" s="196">
        <v>1017.35</v>
      </c>
      <c r="L15" s="196" t="s">
        <v>548</v>
      </c>
      <c r="M15" s="196">
        <v>51.96</v>
      </c>
      <c r="N15" s="196">
        <v>1509217200</v>
      </c>
      <c r="O15" s="196">
        <v>2</v>
      </c>
      <c r="P15" s="196">
        <v>4.16</v>
      </c>
      <c r="Q15" s="196">
        <v>192</v>
      </c>
      <c r="R15" s="196">
        <v>4.88</v>
      </c>
      <c r="S15" s="196">
        <v>1.21</v>
      </c>
      <c r="T15"/>
    </row>
    <row r="16" spans="1:20" x14ac:dyDescent="0.3">
      <c r="A16" s="196">
        <v>54.36</v>
      </c>
      <c r="B16" s="196">
        <v>0.85</v>
      </c>
      <c r="C16" s="196">
        <v>29.83</v>
      </c>
      <c r="D16" s="8">
        <v>43036.583333333336</v>
      </c>
      <c r="E16" s="196">
        <v>0.39</v>
      </c>
      <c r="F16" s="196" t="s">
        <v>547</v>
      </c>
      <c r="G16" s="196">
        <v>262.58999999999997</v>
      </c>
      <c r="H16" s="196">
        <v>0</v>
      </c>
      <c r="I16" s="196">
        <v>0</v>
      </c>
      <c r="J16" s="196"/>
      <c r="K16" s="196">
        <v>1016.41</v>
      </c>
      <c r="L16" s="196" t="s">
        <v>548</v>
      </c>
      <c r="M16" s="196">
        <v>54.36</v>
      </c>
      <c r="N16" s="196">
        <v>1509220800</v>
      </c>
      <c r="O16" s="196">
        <v>2</v>
      </c>
      <c r="P16" s="196">
        <v>4.79</v>
      </c>
      <c r="Q16" s="196">
        <v>167</v>
      </c>
      <c r="R16" s="196">
        <v>5.13</v>
      </c>
      <c r="S16" s="196">
        <v>1.37</v>
      </c>
      <c r="T16"/>
    </row>
    <row r="17" spans="1:20" x14ac:dyDescent="0.3">
      <c r="A17" s="196">
        <v>56.03</v>
      </c>
      <c r="B17" s="196">
        <v>0.76</v>
      </c>
      <c r="C17" s="196">
        <v>30.63</v>
      </c>
      <c r="D17" s="8">
        <v>43036.625</v>
      </c>
      <c r="E17" s="196">
        <v>0.38</v>
      </c>
      <c r="F17" s="196" t="s">
        <v>547</v>
      </c>
      <c r="G17" s="196">
        <v>262.33</v>
      </c>
      <c r="H17" s="196">
        <v>0</v>
      </c>
      <c r="I17" s="196">
        <v>0</v>
      </c>
      <c r="J17" s="196"/>
      <c r="K17" s="196">
        <v>1015.62</v>
      </c>
      <c r="L17" s="196" t="s">
        <v>548</v>
      </c>
      <c r="M17" s="196">
        <v>56.03</v>
      </c>
      <c r="N17" s="196">
        <v>1509224400</v>
      </c>
      <c r="O17" s="196">
        <v>1</v>
      </c>
      <c r="P17" s="196">
        <v>4.79</v>
      </c>
      <c r="Q17" s="196">
        <v>119</v>
      </c>
      <c r="R17" s="196">
        <v>4.67</v>
      </c>
      <c r="S17" s="196">
        <v>0.86</v>
      </c>
      <c r="T17"/>
    </row>
    <row r="18" spans="1:20" x14ac:dyDescent="0.3">
      <c r="A18" s="196">
        <v>57.28</v>
      </c>
      <c r="B18" s="196">
        <v>0.84</v>
      </c>
      <c r="C18" s="196">
        <v>31.02</v>
      </c>
      <c r="D18" s="8">
        <v>43036.666666666664</v>
      </c>
      <c r="E18" s="196">
        <v>0.37</v>
      </c>
      <c r="F18" s="196" t="s">
        <v>547</v>
      </c>
      <c r="G18" s="196">
        <v>261.95</v>
      </c>
      <c r="H18" s="196">
        <v>0</v>
      </c>
      <c r="I18" s="196">
        <v>0</v>
      </c>
      <c r="J18" s="196"/>
      <c r="K18" s="196">
        <v>1015.33</v>
      </c>
      <c r="L18" s="196" t="s">
        <v>548</v>
      </c>
      <c r="M18" s="196">
        <v>57.28</v>
      </c>
      <c r="N18" s="196">
        <v>1509228000</v>
      </c>
      <c r="O18" s="196">
        <v>1</v>
      </c>
      <c r="P18" s="196">
        <v>4.79</v>
      </c>
      <c r="Q18" s="196">
        <v>138</v>
      </c>
      <c r="R18" s="196">
        <v>4.04</v>
      </c>
      <c r="S18" s="196">
        <v>0.64</v>
      </c>
      <c r="T18"/>
    </row>
    <row r="19" spans="1:20" x14ac:dyDescent="0.3">
      <c r="A19" s="196">
        <v>57.9</v>
      </c>
      <c r="B19" s="196">
        <v>0.45</v>
      </c>
      <c r="C19" s="196">
        <v>31.25</v>
      </c>
      <c r="D19" s="8">
        <v>43036.708333333336</v>
      </c>
      <c r="E19" s="196">
        <v>0.36</v>
      </c>
      <c r="F19" s="196" t="s">
        <v>547</v>
      </c>
      <c r="G19" s="196">
        <v>261.57</v>
      </c>
      <c r="H19" s="196">
        <v>0</v>
      </c>
      <c r="I19" s="196">
        <v>0</v>
      </c>
      <c r="J19" s="196"/>
      <c r="K19" s="196">
        <v>1015.11</v>
      </c>
      <c r="L19" s="196" t="s">
        <v>552</v>
      </c>
      <c r="M19" s="196">
        <v>57.9</v>
      </c>
      <c r="N19" s="196">
        <v>1509231600</v>
      </c>
      <c r="O19" s="196">
        <v>1</v>
      </c>
      <c r="P19" s="196">
        <v>4.79</v>
      </c>
      <c r="Q19" s="196">
        <v>119</v>
      </c>
      <c r="R19" s="196">
        <v>3.62</v>
      </c>
      <c r="S19" s="196">
        <v>0.28000000000000003</v>
      </c>
      <c r="T19"/>
    </row>
    <row r="20" spans="1:20" x14ac:dyDescent="0.3">
      <c r="A20" s="196">
        <v>54.99</v>
      </c>
      <c r="B20" s="196">
        <v>0.12</v>
      </c>
      <c r="C20" s="196">
        <v>31.3</v>
      </c>
      <c r="D20" s="8">
        <v>43036.75</v>
      </c>
      <c r="E20" s="196">
        <v>0.4</v>
      </c>
      <c r="F20" s="196" t="s">
        <v>369</v>
      </c>
      <c r="G20" s="196">
        <v>265.61</v>
      </c>
      <c r="H20" s="196">
        <v>0</v>
      </c>
      <c r="I20" s="196">
        <v>0</v>
      </c>
      <c r="J20" s="196"/>
      <c r="K20" s="196">
        <v>1015.77</v>
      </c>
      <c r="L20" s="196" t="s">
        <v>370</v>
      </c>
      <c r="M20" s="196">
        <v>54.99</v>
      </c>
      <c r="N20" s="196">
        <v>1509235200</v>
      </c>
      <c r="O20" s="196">
        <v>0</v>
      </c>
      <c r="P20" s="196">
        <v>3.31</v>
      </c>
      <c r="Q20" s="196">
        <v>145</v>
      </c>
      <c r="R20" s="196">
        <v>1.7</v>
      </c>
      <c r="S20" s="196">
        <v>0.35</v>
      </c>
      <c r="T20"/>
    </row>
    <row r="21" spans="1:20" x14ac:dyDescent="0.3">
      <c r="A21" s="196">
        <v>49.44</v>
      </c>
      <c r="B21" s="196">
        <v>0.08</v>
      </c>
      <c r="C21" s="196">
        <v>31.48</v>
      </c>
      <c r="D21" s="8">
        <v>43036.791666666664</v>
      </c>
      <c r="E21" s="196">
        <v>0.5</v>
      </c>
      <c r="F21" s="196" t="s">
        <v>369</v>
      </c>
      <c r="G21" s="196">
        <v>265.86</v>
      </c>
      <c r="H21" s="196">
        <v>0</v>
      </c>
      <c r="I21" s="196">
        <v>0</v>
      </c>
      <c r="J21" s="196"/>
      <c r="K21" s="196">
        <v>1016.11</v>
      </c>
      <c r="L21" s="196" t="s">
        <v>370</v>
      </c>
      <c r="M21" s="196">
        <v>49.44</v>
      </c>
      <c r="N21" s="196">
        <v>1509238800</v>
      </c>
      <c r="O21" s="196">
        <v>0</v>
      </c>
      <c r="P21" s="196">
        <v>3.83</v>
      </c>
      <c r="Q21" s="196">
        <v>214</v>
      </c>
      <c r="R21" s="196">
        <v>2.33</v>
      </c>
      <c r="S21" s="196">
        <v>0.79</v>
      </c>
      <c r="T21"/>
    </row>
    <row r="22" spans="1:20" x14ac:dyDescent="0.3">
      <c r="A22" s="196">
        <v>46.81</v>
      </c>
      <c r="B22" s="196">
        <v>0.06</v>
      </c>
      <c r="C22" s="196">
        <v>31.23</v>
      </c>
      <c r="D22" s="8">
        <v>43036.833333333336</v>
      </c>
      <c r="E22" s="196">
        <v>0.54</v>
      </c>
      <c r="F22" s="196" t="s">
        <v>369</v>
      </c>
      <c r="G22" s="196">
        <v>265.86</v>
      </c>
      <c r="H22" s="196">
        <v>0</v>
      </c>
      <c r="I22" s="196">
        <v>0</v>
      </c>
      <c r="J22" s="196"/>
      <c r="K22" s="196">
        <v>1016.47</v>
      </c>
      <c r="L22" s="196" t="s">
        <v>370</v>
      </c>
      <c r="M22" s="196">
        <v>46.81</v>
      </c>
      <c r="N22" s="196">
        <v>1509242400</v>
      </c>
      <c r="O22" s="196">
        <v>0</v>
      </c>
      <c r="P22" s="196">
        <v>3.79</v>
      </c>
      <c r="Q22" s="196">
        <v>199</v>
      </c>
      <c r="R22" s="196">
        <v>2.77</v>
      </c>
      <c r="S22" s="196">
        <v>1.1599999999999999</v>
      </c>
      <c r="T22"/>
    </row>
    <row r="23" spans="1:20" x14ac:dyDescent="0.3">
      <c r="A23" s="196">
        <v>45.08</v>
      </c>
      <c r="B23" s="196">
        <v>0.04</v>
      </c>
      <c r="C23" s="196">
        <v>31.14</v>
      </c>
      <c r="D23" s="8">
        <v>43036.875</v>
      </c>
      <c r="E23" s="196">
        <v>0.57999999999999996</v>
      </c>
      <c r="F23" s="196" t="s">
        <v>369</v>
      </c>
      <c r="G23" s="196">
        <v>265.61</v>
      </c>
      <c r="H23" s="196">
        <v>0</v>
      </c>
      <c r="I23" s="196">
        <v>0</v>
      </c>
      <c r="J23" s="196"/>
      <c r="K23" s="196">
        <v>1016.22</v>
      </c>
      <c r="L23" s="196" t="s">
        <v>370</v>
      </c>
      <c r="M23" s="196">
        <v>45.08</v>
      </c>
      <c r="N23" s="196">
        <v>1509246000</v>
      </c>
      <c r="O23" s="196">
        <v>0</v>
      </c>
      <c r="P23" s="196">
        <v>4.04</v>
      </c>
      <c r="Q23" s="196">
        <v>207</v>
      </c>
      <c r="R23" s="196">
        <v>3.61</v>
      </c>
      <c r="S23" s="196">
        <v>1.57</v>
      </c>
      <c r="T23"/>
    </row>
    <row r="24" spans="1:20" x14ac:dyDescent="0.3">
      <c r="A24" s="196">
        <v>44.04</v>
      </c>
      <c r="B24" s="196">
        <v>0.05</v>
      </c>
      <c r="C24" s="196">
        <v>30.52</v>
      </c>
      <c r="D24" s="8">
        <v>43036.916666666664</v>
      </c>
      <c r="E24" s="196">
        <v>0.59</v>
      </c>
      <c r="F24" s="196" t="s">
        <v>369</v>
      </c>
      <c r="G24" s="196">
        <v>265.11</v>
      </c>
      <c r="H24" s="196">
        <v>0</v>
      </c>
      <c r="I24" s="196">
        <v>0</v>
      </c>
      <c r="J24" s="196"/>
      <c r="K24" s="196">
        <v>1016.43</v>
      </c>
      <c r="L24" s="196" t="s">
        <v>370</v>
      </c>
      <c r="M24" s="196">
        <v>44.04</v>
      </c>
      <c r="N24" s="196">
        <v>1509249600</v>
      </c>
      <c r="O24" s="196">
        <v>0</v>
      </c>
      <c r="P24" s="196">
        <v>3.34</v>
      </c>
      <c r="Q24" s="196">
        <v>206</v>
      </c>
      <c r="R24" s="196">
        <v>3.74</v>
      </c>
      <c r="S24" s="196">
        <v>1.07</v>
      </c>
      <c r="T24"/>
    </row>
    <row r="25" spans="1:20" x14ac:dyDescent="0.3">
      <c r="A25" s="196">
        <v>42.92</v>
      </c>
      <c r="B25" s="196">
        <v>0</v>
      </c>
      <c r="C25" s="196">
        <v>30.05</v>
      </c>
      <c r="D25" s="8">
        <v>43036.958333333336</v>
      </c>
      <c r="E25" s="196">
        <v>0.6</v>
      </c>
      <c r="F25" s="196" t="s">
        <v>369</v>
      </c>
      <c r="G25" s="196">
        <v>264.35000000000002</v>
      </c>
      <c r="H25" s="196">
        <v>0</v>
      </c>
      <c r="I25" s="196">
        <v>0</v>
      </c>
      <c r="J25" s="196"/>
      <c r="K25" s="196">
        <v>1015.63</v>
      </c>
      <c r="L25" s="196" t="s">
        <v>370</v>
      </c>
      <c r="M25" s="196">
        <v>42.92</v>
      </c>
      <c r="N25" s="196">
        <v>1509253200</v>
      </c>
      <c r="O25" s="196">
        <v>0</v>
      </c>
      <c r="P25" s="196">
        <v>2.77</v>
      </c>
      <c r="Q25" s="196">
        <v>188</v>
      </c>
      <c r="R25" s="196">
        <v>4.08</v>
      </c>
      <c r="S25" s="196">
        <v>1.37</v>
      </c>
      <c r="T25"/>
    </row>
    <row r="26" spans="1:20" x14ac:dyDescent="0.3">
      <c r="A26" s="196">
        <v>42.12</v>
      </c>
      <c r="B26" s="196">
        <v>0</v>
      </c>
      <c r="C26" s="196">
        <v>29.32</v>
      </c>
      <c r="D26" s="8">
        <v>43037</v>
      </c>
      <c r="E26" s="196">
        <v>0.6</v>
      </c>
      <c r="F26" s="196" t="s">
        <v>369</v>
      </c>
      <c r="G26" s="196">
        <v>263.58999999999997</v>
      </c>
      <c r="H26" s="196">
        <v>0</v>
      </c>
      <c r="I26" s="196">
        <v>0</v>
      </c>
      <c r="J26" s="196"/>
      <c r="K26" s="196">
        <v>1015.23</v>
      </c>
      <c r="L26" s="196" t="s">
        <v>370</v>
      </c>
      <c r="M26" s="196">
        <v>42.12</v>
      </c>
      <c r="N26" s="196">
        <v>1509256800</v>
      </c>
      <c r="O26" s="196">
        <v>0</v>
      </c>
      <c r="P26" s="196">
        <v>2.72</v>
      </c>
      <c r="Q26" s="196">
        <v>188</v>
      </c>
      <c r="R26" s="196">
        <v>4.08</v>
      </c>
      <c r="S26" s="196">
        <v>1.6</v>
      </c>
      <c r="T26"/>
    </row>
    <row r="27" spans="1:20" x14ac:dyDescent="0.3">
      <c r="A27" s="196">
        <v>41.41</v>
      </c>
      <c r="B27" s="196">
        <v>0</v>
      </c>
      <c r="C27" s="196">
        <v>28.7</v>
      </c>
      <c r="D27" s="8">
        <v>43037.041666666664</v>
      </c>
      <c r="E27" s="196">
        <v>0.6</v>
      </c>
      <c r="F27" s="196" t="s">
        <v>369</v>
      </c>
      <c r="G27" s="196">
        <v>262.70999999999998</v>
      </c>
      <c r="H27" s="196">
        <v>0</v>
      </c>
      <c r="I27" s="196">
        <v>0</v>
      </c>
      <c r="J27" s="196"/>
      <c r="K27" s="196">
        <v>1014.54</v>
      </c>
      <c r="L27" s="196" t="s">
        <v>370</v>
      </c>
      <c r="M27" s="196">
        <v>41.41</v>
      </c>
      <c r="N27" s="196">
        <v>1509260400</v>
      </c>
      <c r="O27" s="196">
        <v>0</v>
      </c>
      <c r="P27" s="196">
        <v>2.81</v>
      </c>
      <c r="Q27" s="196">
        <v>184</v>
      </c>
      <c r="R27" s="196">
        <v>3.62</v>
      </c>
      <c r="S27" s="196">
        <v>1.49</v>
      </c>
      <c r="T27"/>
    </row>
    <row r="28" spans="1:20" x14ac:dyDescent="0.3">
      <c r="A28" s="196">
        <v>41.31</v>
      </c>
      <c r="B28" s="196">
        <v>0</v>
      </c>
      <c r="C28" s="196">
        <v>28.21</v>
      </c>
      <c r="D28" s="8">
        <v>43037.083333333336</v>
      </c>
      <c r="E28" s="196">
        <v>0.59</v>
      </c>
      <c r="F28" s="196" t="s">
        <v>369</v>
      </c>
      <c r="G28" s="196">
        <v>261.69</v>
      </c>
      <c r="H28" s="196">
        <v>0</v>
      </c>
      <c r="I28" s="196">
        <v>0</v>
      </c>
      <c r="J28" s="196"/>
      <c r="K28" s="196">
        <v>1014.18</v>
      </c>
      <c r="L28" s="196" t="s">
        <v>370</v>
      </c>
      <c r="M28" s="196">
        <v>41.31</v>
      </c>
      <c r="N28" s="196">
        <v>1509264000</v>
      </c>
      <c r="O28" s="196">
        <v>0</v>
      </c>
      <c r="P28" s="196">
        <v>3.15</v>
      </c>
      <c r="Q28" s="196">
        <v>196</v>
      </c>
      <c r="R28" s="196">
        <v>4.16</v>
      </c>
      <c r="S28" s="196">
        <v>1.31</v>
      </c>
      <c r="T28"/>
    </row>
    <row r="29" spans="1:20" x14ac:dyDescent="0.3">
      <c r="A29" s="196">
        <v>41.68</v>
      </c>
      <c r="B29" s="196">
        <v>0</v>
      </c>
      <c r="C29" s="196">
        <v>27.92</v>
      </c>
      <c r="D29" s="8">
        <v>43037.125</v>
      </c>
      <c r="E29" s="196">
        <v>0.57999999999999996</v>
      </c>
      <c r="F29" s="196" t="s">
        <v>369</v>
      </c>
      <c r="G29" s="196">
        <v>260.93</v>
      </c>
      <c r="H29" s="196">
        <v>0</v>
      </c>
      <c r="I29" s="196">
        <v>0</v>
      </c>
      <c r="J29" s="196"/>
      <c r="K29" s="196">
        <v>1013.66</v>
      </c>
      <c r="L29" s="196" t="s">
        <v>370</v>
      </c>
      <c r="M29" s="196">
        <v>41.68</v>
      </c>
      <c r="N29" s="196">
        <v>1509267600</v>
      </c>
      <c r="O29" s="196">
        <v>0</v>
      </c>
      <c r="P29" s="196">
        <v>3.26</v>
      </c>
      <c r="Q29" s="196">
        <v>202</v>
      </c>
      <c r="R29" s="196">
        <v>5.14</v>
      </c>
      <c r="S29" s="196">
        <v>1.88</v>
      </c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A3" sqref="A3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43036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344</v>
      </c>
      <c r="AE2" s="56" t="s">
        <v>347</v>
      </c>
      <c r="AF2" s="56" t="s">
        <v>348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345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340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346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363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349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1091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1092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1093</v>
      </c>
      <c r="J20" s="140" t="s">
        <v>87</v>
      </c>
      <c r="M20" s="154" t="s">
        <v>339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1094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1095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1096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1097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1098</v>
      </c>
      <c r="J25" s="140" t="s">
        <v>144</v>
      </c>
      <c r="M25" s="154" t="b">
        <v>1</v>
      </c>
    </row>
    <row r="26" spans="3:24" x14ac:dyDescent="0.3">
      <c r="C26" t="s">
        <v>1099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%USERPROFILE%\Documents\GitHub\eaglep3-reporting\EC\2017-10-28-refined-times.txt</v>
      </c>
    </row>
    <row r="27" spans="3:24" x14ac:dyDescent="0.3">
      <c r="C27" t="s">
        <v>1100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%USERPROFILE%\Documents\GitHub\eaglep3-reporting\EC\2017-10-28-Enforcements.txt</v>
      </c>
    </row>
    <row r="28" spans="3:24" x14ac:dyDescent="0.3">
      <c r="C28" t="s">
        <v>1101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%USERPROFILE%\Documents\GitHub\eaglep3-reporting\EC\2017-10-28-Runs-refined.txt</v>
      </c>
    </row>
    <row r="29" spans="3:24" x14ac:dyDescent="0.3">
      <c r="C29" t="s">
        <v>1102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%USERPROFILE%\Documents\GitHub\eaglep3-reporting\EC\2017-10-28-Trips.txt</v>
      </c>
    </row>
    <row r="30" spans="3:24" x14ac:dyDescent="0.3">
      <c r="C30" t="s">
        <v>1103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%USERPROFILE%\Documents\GitHub\eaglep3-reporting\EC\2017-10-28-Weather.txt</v>
      </c>
    </row>
    <row r="31" spans="3:24" x14ac:dyDescent="0.3">
      <c r="C31" t="s">
        <v>1104</v>
      </c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375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2017-10-31T16:06:33Z</dcterms:modified>
</cp:coreProperties>
</file>