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Enforcements!$A$6:$AC$14</definedName>
    <definedName name="_xlnm._FilterDatabase" localSheetId="2" hidden="1">'Missing Trips'!$A$2:$J$26</definedName>
    <definedName name="_xlnm._FilterDatabase" localSheetId="0" hidden="1">'Train Runs'!$A$12:$AG$554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Runs'!$A$12:$J$80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7" i="3" l="1"/>
  <c r="N17" i="3"/>
  <c r="R17" i="3"/>
  <c r="S17" i="3"/>
  <c r="U17" i="3"/>
  <c r="T17" i="3" s="1"/>
  <c r="V17" i="3"/>
  <c r="X17" i="3"/>
  <c r="AC17" i="3"/>
  <c r="AD17" i="3"/>
  <c r="X194" i="1"/>
  <c r="X195" i="1"/>
  <c r="X196" i="1"/>
  <c r="X197" i="1"/>
  <c r="K194" i="1"/>
  <c r="L194" i="1"/>
  <c r="M194" i="1"/>
  <c r="N194" i="1" s="1"/>
  <c r="V194" i="1"/>
  <c r="AA194" i="1"/>
  <c r="AB194" i="1"/>
  <c r="AC194" i="1"/>
  <c r="AD194" i="1"/>
  <c r="T194" i="1" s="1"/>
  <c r="AE194" i="1"/>
  <c r="AF194" i="1"/>
  <c r="AH194" i="1"/>
  <c r="AM194" i="1"/>
  <c r="AN194" i="1"/>
  <c r="AO194" i="1"/>
  <c r="X181" i="1"/>
  <c r="X182" i="1"/>
  <c r="X183" i="1"/>
  <c r="K46" i="1"/>
  <c r="L46" i="1"/>
  <c r="M46" i="1"/>
  <c r="N46" i="1" s="1"/>
  <c r="V46" i="1"/>
  <c r="AA46" i="1"/>
  <c r="AB46" i="1"/>
  <c r="AC46" i="1"/>
  <c r="AD46" i="1"/>
  <c r="X46" i="1" s="1"/>
  <c r="AE46" i="1"/>
  <c r="AF46" i="1"/>
  <c r="AH46" i="1"/>
  <c r="AM46" i="1"/>
  <c r="AN46" i="1"/>
  <c r="AO46" i="1"/>
  <c r="K14" i="1"/>
  <c r="L14" i="1"/>
  <c r="M14" i="1"/>
  <c r="N14" i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AA28" i="1" s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AA37" i="1" s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A43" i="1" s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/>
  <c r="V45" i="1"/>
  <c r="Y45" i="1"/>
  <c r="Z45" i="1"/>
  <c r="AB45" i="1"/>
  <c r="AC45" i="1"/>
  <c r="AD45" i="1"/>
  <c r="AE45" i="1"/>
  <c r="AF45" i="1"/>
  <c r="AH45" i="1"/>
  <c r="AM45" i="1"/>
  <c r="AN45" i="1"/>
  <c r="AO45" i="1"/>
  <c r="K47" i="1"/>
  <c r="L47" i="1"/>
  <c r="M47" i="1"/>
  <c r="N47" i="1" s="1"/>
  <c r="V47" i="1"/>
  <c r="Y47" i="1"/>
  <c r="Z47" i="1"/>
  <c r="AB47" i="1"/>
  <c r="AC47" i="1"/>
  <c r="AD47" i="1"/>
  <c r="X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X49" i="1" s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A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A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X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X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X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X60" i="1"/>
  <c r="Y60" i="1"/>
  <c r="Z60" i="1"/>
  <c r="AA60" i="1" s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X61" i="1"/>
  <c r="Y61" i="1"/>
  <c r="Z61" i="1"/>
  <c r="AA61" i="1" s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X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X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AA64" i="1" s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T65" i="1"/>
  <c r="V65" i="1"/>
  <c r="X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AA66" i="1" s="1"/>
  <c r="Z66" i="1"/>
  <c r="AB66" i="1"/>
  <c r="AC66" i="1"/>
  <c r="AD66" i="1"/>
  <c r="X66" i="1" s="1"/>
  <c r="AE66" i="1"/>
  <c r="AF66" i="1"/>
  <c r="AH66" i="1"/>
  <c r="AM66" i="1"/>
  <c r="AN66" i="1"/>
  <c r="AO66" i="1"/>
  <c r="K67" i="1"/>
  <c r="L67" i="1"/>
  <c r="M67" i="1"/>
  <c r="N67" i="1" s="1"/>
  <c r="T67" i="1"/>
  <c r="V67" i="1"/>
  <c r="X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AA68" i="1" s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T69" i="1"/>
  <c r="V69" i="1"/>
  <c r="X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AA70" i="1" s="1"/>
  <c r="Z70" i="1"/>
  <c r="AB70" i="1"/>
  <c r="AC70" i="1"/>
  <c r="AD70" i="1"/>
  <c r="X70" i="1" s="1"/>
  <c r="AE70" i="1"/>
  <c r="AF70" i="1"/>
  <c r="AH70" i="1"/>
  <c r="AM70" i="1"/>
  <c r="AN70" i="1"/>
  <c r="AO70" i="1"/>
  <c r="K71" i="1"/>
  <c r="L71" i="1"/>
  <c r="M71" i="1"/>
  <c r="N71" i="1" s="1"/>
  <c r="T71" i="1"/>
  <c r="V71" i="1"/>
  <c r="X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AA72" i="1" s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T73" i="1"/>
  <c r="V73" i="1"/>
  <c r="X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AA74" i="1" s="1"/>
  <c r="Z74" i="1"/>
  <c r="AB74" i="1"/>
  <c r="AC74" i="1"/>
  <c r="AD74" i="1"/>
  <c r="X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R9" i="3" s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P86" i="1" s="1"/>
  <c r="V86" i="1"/>
  <c r="Y86" i="1"/>
  <c r="Z86" i="1"/>
  <c r="AB86" i="1"/>
  <c r="AC86" i="1"/>
  <c r="AD86" i="1"/>
  <c r="AE86" i="1"/>
  <c r="R12" i="3" s="1"/>
  <c r="AF86" i="1"/>
  <c r="AH86" i="1"/>
  <c r="AM86" i="1"/>
  <c r="AN86" i="1"/>
  <c r="AO86" i="1"/>
  <c r="K87" i="1"/>
  <c r="L87" i="1"/>
  <c r="M87" i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S15" i="3" s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A99" i="1" s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P101" i="1" s="1"/>
  <c r="V101" i="1"/>
  <c r="Y101" i="1"/>
  <c r="Z101" i="1"/>
  <c r="AB101" i="1"/>
  <c r="AC101" i="1"/>
  <c r="AD101" i="1"/>
  <c r="AE101" i="1"/>
  <c r="R13" i="3" s="1"/>
  <c r="AF101" i="1"/>
  <c r="AH101" i="1"/>
  <c r="AM101" i="1"/>
  <c r="AN101" i="1"/>
  <c r="AO101" i="1"/>
  <c r="K102" i="1"/>
  <c r="L102" i="1"/>
  <c r="M102" i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A107" i="1" s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/>
  <c r="V111" i="1"/>
  <c r="Y111" i="1"/>
  <c r="AA111" i="1" s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/>
  <c r="V113" i="1"/>
  <c r="Y113" i="1"/>
  <c r="AA113" i="1" s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A127" i="1" s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A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R8" i="3" s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AE147" i="1"/>
  <c r="R11" i="3" s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P151" i="1" s="1"/>
  <c r="V151" i="1"/>
  <c r="S14" i="3" s="1"/>
  <c r="Y151" i="1"/>
  <c r="Z151" i="1"/>
  <c r="AB151" i="1"/>
  <c r="AC151" i="1"/>
  <c r="AD151" i="1"/>
  <c r="AE151" i="1"/>
  <c r="R14" i="3" s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X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A156" i="1" s="1"/>
  <c r="AB156" i="1"/>
  <c r="AC156" i="1"/>
  <c r="AD156" i="1"/>
  <c r="T156" i="1" s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AO158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2" i="1"/>
  <c r="AM162" i="1"/>
  <c r="AN162" i="1"/>
  <c r="AO162" i="1"/>
  <c r="K212" i="1"/>
  <c r="L212" i="1"/>
  <c r="M212" i="1"/>
  <c r="N212" i="1"/>
  <c r="V212" i="1"/>
  <c r="Y212" i="1"/>
  <c r="Z212" i="1"/>
  <c r="AB212" i="1"/>
  <c r="AC212" i="1"/>
  <c r="AD212" i="1"/>
  <c r="X212" i="1" s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A213" i="1" s="1"/>
  <c r="AB213" i="1"/>
  <c r="AC213" i="1"/>
  <c r="AD213" i="1"/>
  <c r="T213" i="1" s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X214" i="1" s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AO166" i="1"/>
  <c r="K216" i="1"/>
  <c r="L216" i="1"/>
  <c r="M216" i="1"/>
  <c r="N216" i="1"/>
  <c r="V216" i="1"/>
  <c r="Y216" i="1"/>
  <c r="Z216" i="1"/>
  <c r="AB216" i="1"/>
  <c r="AC216" i="1"/>
  <c r="AD216" i="1"/>
  <c r="X216" i="1" s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AA217" i="1" s="1"/>
  <c r="Z217" i="1"/>
  <c r="AB217" i="1"/>
  <c r="AC217" i="1"/>
  <c r="AD217" i="1"/>
  <c r="T217" i="1" s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X220" i="1" s="1"/>
  <c r="AE220" i="1"/>
  <c r="AF220" i="1"/>
  <c r="AH171" i="1"/>
  <c r="AM171" i="1"/>
  <c r="AN171" i="1"/>
  <c r="AO171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2" i="1"/>
  <c r="AM172" i="1"/>
  <c r="AN172" i="1"/>
  <c r="AO172" i="1"/>
  <c r="K228" i="1"/>
  <c r="L228" i="1"/>
  <c r="M228" i="1"/>
  <c r="N228" i="1" s="1"/>
  <c r="V228" i="1"/>
  <c r="Y228" i="1"/>
  <c r="Z228" i="1"/>
  <c r="AA228" i="1" s="1"/>
  <c r="AB228" i="1"/>
  <c r="AC228" i="1"/>
  <c r="AD228" i="1"/>
  <c r="AE228" i="1"/>
  <c r="AF228" i="1"/>
  <c r="AH173" i="1"/>
  <c r="AM173" i="1"/>
  <c r="AN173" i="1"/>
  <c r="AO173" i="1"/>
  <c r="K229" i="1"/>
  <c r="L229" i="1"/>
  <c r="M229" i="1"/>
  <c r="N229" i="1" s="1"/>
  <c r="V229" i="1"/>
  <c r="Y229" i="1"/>
  <c r="Z229" i="1"/>
  <c r="AA229" i="1" s="1"/>
  <c r="AB229" i="1"/>
  <c r="AC229" i="1"/>
  <c r="AD229" i="1"/>
  <c r="T229" i="1" s="1"/>
  <c r="AE229" i="1"/>
  <c r="AF229" i="1"/>
  <c r="AH174" i="1"/>
  <c r="AM174" i="1"/>
  <c r="AN174" i="1"/>
  <c r="AO17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75" i="1"/>
  <c r="AM175" i="1"/>
  <c r="AN175" i="1"/>
  <c r="AO17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6" i="1"/>
  <c r="AM176" i="1"/>
  <c r="AN176" i="1"/>
  <c r="AO176" i="1"/>
  <c r="K161" i="1"/>
  <c r="L161" i="1"/>
  <c r="M161" i="1"/>
  <c r="N161" i="1" s="1"/>
  <c r="V161" i="1"/>
  <c r="Y161" i="1"/>
  <c r="Z161" i="1"/>
  <c r="AA161" i="1" s="1"/>
  <c r="AB161" i="1"/>
  <c r="AC161" i="1"/>
  <c r="AD161" i="1"/>
  <c r="AE161" i="1"/>
  <c r="AF161" i="1"/>
  <c r="AH177" i="1"/>
  <c r="AM177" i="1"/>
  <c r="AN177" i="1"/>
  <c r="AO177" i="1"/>
  <c r="K162" i="1"/>
  <c r="L162" i="1"/>
  <c r="M162" i="1"/>
  <c r="N162" i="1" s="1"/>
  <c r="V162" i="1"/>
  <c r="Y162" i="1"/>
  <c r="Z162" i="1"/>
  <c r="AA162" i="1" s="1"/>
  <c r="AB162" i="1"/>
  <c r="AC162" i="1"/>
  <c r="AD162" i="1"/>
  <c r="T162" i="1" s="1"/>
  <c r="AE162" i="1"/>
  <c r="AF162" i="1"/>
  <c r="AH178" i="1"/>
  <c r="AM178" i="1"/>
  <c r="AN178" i="1"/>
  <c r="AO178" i="1"/>
  <c r="K163" i="1"/>
  <c r="L163" i="1"/>
  <c r="M163" i="1"/>
  <c r="N163" i="1"/>
  <c r="V163" i="1"/>
  <c r="Y163" i="1"/>
  <c r="Z163" i="1"/>
  <c r="AB163" i="1"/>
  <c r="AC163" i="1"/>
  <c r="AD163" i="1"/>
  <c r="X163" i="1" s="1"/>
  <c r="AE163" i="1"/>
  <c r="AF163" i="1"/>
  <c r="AH179" i="1"/>
  <c r="AM179" i="1"/>
  <c r="AN179" i="1"/>
  <c r="AO179" i="1"/>
  <c r="K164" i="1"/>
  <c r="L164" i="1"/>
  <c r="M164" i="1"/>
  <c r="N164" i="1"/>
  <c r="V164" i="1"/>
  <c r="Y164" i="1"/>
  <c r="Z164" i="1"/>
  <c r="AA164" i="1"/>
  <c r="AB164" i="1"/>
  <c r="AC164" i="1"/>
  <c r="AD164" i="1"/>
  <c r="T164" i="1" s="1"/>
  <c r="AE164" i="1"/>
  <c r="AF164" i="1"/>
  <c r="AH180" i="1"/>
  <c r="AM180" i="1"/>
  <c r="AN180" i="1"/>
  <c r="AO180" i="1"/>
  <c r="K165" i="1"/>
  <c r="L165" i="1"/>
  <c r="M165" i="1"/>
  <c r="N165" i="1" s="1"/>
  <c r="V165" i="1"/>
  <c r="Y165" i="1"/>
  <c r="Z165" i="1"/>
  <c r="AA165" i="1" s="1"/>
  <c r="AB165" i="1"/>
  <c r="AC165" i="1"/>
  <c r="AD165" i="1"/>
  <c r="AE165" i="1"/>
  <c r="AF165" i="1"/>
  <c r="AH181" i="1"/>
  <c r="AM181" i="1"/>
  <c r="AN181" i="1"/>
  <c r="AO181" i="1"/>
  <c r="K166" i="1"/>
  <c r="L166" i="1"/>
  <c r="M166" i="1"/>
  <c r="N166" i="1" s="1"/>
  <c r="V166" i="1"/>
  <c r="X166" i="1"/>
  <c r="Y166" i="1"/>
  <c r="Z166" i="1"/>
  <c r="AA166" i="1" s="1"/>
  <c r="AB166" i="1"/>
  <c r="AC166" i="1"/>
  <c r="AD166" i="1"/>
  <c r="T166" i="1" s="1"/>
  <c r="AE166" i="1"/>
  <c r="AF166" i="1"/>
  <c r="K167" i="1"/>
  <c r="L167" i="1"/>
  <c r="M167" i="1"/>
  <c r="N167" i="1"/>
  <c r="V167" i="1"/>
  <c r="Y167" i="1"/>
  <c r="Z167" i="1"/>
  <c r="AB167" i="1"/>
  <c r="AC167" i="1"/>
  <c r="AD167" i="1"/>
  <c r="X167" i="1" s="1"/>
  <c r="AE167" i="1"/>
  <c r="AF167" i="1"/>
  <c r="K168" i="1"/>
  <c r="L168" i="1"/>
  <c r="M168" i="1"/>
  <c r="N168" i="1"/>
  <c r="V168" i="1"/>
  <c r="Y168" i="1"/>
  <c r="Z168" i="1"/>
  <c r="AB168" i="1"/>
  <c r="AC168" i="1"/>
  <c r="AD168" i="1"/>
  <c r="T168" i="1" s="1"/>
  <c r="AE168" i="1"/>
  <c r="R18" i="3" s="1"/>
  <c r="AF168" i="1"/>
  <c r="AH182" i="1"/>
  <c r="AM182" i="1"/>
  <c r="AN182" i="1"/>
  <c r="AO182" i="1"/>
  <c r="K169" i="1"/>
  <c r="L169" i="1"/>
  <c r="M169" i="1"/>
  <c r="N169" i="1" s="1"/>
  <c r="V169" i="1"/>
  <c r="Y169" i="1"/>
  <c r="Z169" i="1"/>
  <c r="AB169" i="1"/>
  <c r="AC169" i="1"/>
  <c r="AD169" i="1"/>
  <c r="X169" i="1" s="1"/>
  <c r="AE169" i="1"/>
  <c r="AF169" i="1"/>
  <c r="AH183" i="1"/>
  <c r="AM183" i="1"/>
  <c r="AN183" i="1"/>
  <c r="AO18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4" i="1"/>
  <c r="AM184" i="1"/>
  <c r="AN184" i="1"/>
  <c r="AO184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85" i="1"/>
  <c r="AM185" i="1"/>
  <c r="AN185" i="1"/>
  <c r="AO185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86" i="1"/>
  <c r="AM186" i="1"/>
  <c r="AN186" i="1"/>
  <c r="AO18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87" i="1"/>
  <c r="AM187" i="1"/>
  <c r="AN187" i="1"/>
  <c r="AO187" i="1"/>
  <c r="K174" i="1"/>
  <c r="L174" i="1"/>
  <c r="M174" i="1"/>
  <c r="N174" i="1" s="1"/>
  <c r="V174" i="1"/>
  <c r="X174" i="1"/>
  <c r="Y174" i="1"/>
  <c r="Z174" i="1"/>
  <c r="AB174" i="1"/>
  <c r="AC174" i="1"/>
  <c r="AD174" i="1"/>
  <c r="T174" i="1" s="1"/>
  <c r="AE174" i="1"/>
  <c r="AF174" i="1"/>
  <c r="AH188" i="1"/>
  <c r="AM188" i="1"/>
  <c r="AN188" i="1"/>
  <c r="AO188" i="1"/>
  <c r="K175" i="1"/>
  <c r="L175" i="1"/>
  <c r="M175" i="1"/>
  <c r="N175" i="1" s="1"/>
  <c r="V175" i="1"/>
  <c r="Y175" i="1"/>
  <c r="Z175" i="1"/>
  <c r="AB175" i="1"/>
  <c r="AC175" i="1"/>
  <c r="AD175" i="1"/>
  <c r="X175" i="1" s="1"/>
  <c r="AE175" i="1"/>
  <c r="AF175" i="1"/>
  <c r="AH189" i="1"/>
  <c r="AM189" i="1"/>
  <c r="AN189" i="1"/>
  <c r="AO18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0" i="1"/>
  <c r="AM190" i="1"/>
  <c r="AN190" i="1"/>
  <c r="AO190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91" i="1"/>
  <c r="AM191" i="1"/>
  <c r="AN191" i="1"/>
  <c r="AO191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2" i="1"/>
  <c r="AM192" i="1"/>
  <c r="AN192" i="1"/>
  <c r="AO192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93" i="1"/>
  <c r="AM193" i="1"/>
  <c r="AN193" i="1"/>
  <c r="AO193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95" i="1"/>
  <c r="AM195" i="1"/>
  <c r="AN195" i="1"/>
  <c r="AO195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96" i="1"/>
  <c r="AM196" i="1"/>
  <c r="AN196" i="1"/>
  <c r="AO196" i="1"/>
  <c r="AH197" i="1"/>
  <c r="AM197" i="1"/>
  <c r="AN197" i="1"/>
  <c r="AO197" i="1"/>
  <c r="AH198" i="1"/>
  <c r="AM198" i="1"/>
  <c r="AN198" i="1"/>
  <c r="AO19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99" i="1"/>
  <c r="AM199" i="1"/>
  <c r="AN199" i="1"/>
  <c r="AO199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0" i="1"/>
  <c r="AM200" i="1"/>
  <c r="AN200" i="1"/>
  <c r="AO200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1" i="1"/>
  <c r="AM201" i="1"/>
  <c r="AN201" i="1"/>
  <c r="AO201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2" i="1"/>
  <c r="AM202" i="1"/>
  <c r="AN202" i="1"/>
  <c r="AO202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3" i="1"/>
  <c r="AM203" i="1"/>
  <c r="AN203" i="1"/>
  <c r="AO203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4" i="1"/>
  <c r="AM204" i="1"/>
  <c r="AN204" i="1"/>
  <c r="AO204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5" i="1"/>
  <c r="AM205" i="1"/>
  <c r="AN205" i="1"/>
  <c r="AO205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06" i="1"/>
  <c r="AM206" i="1"/>
  <c r="AN206" i="1"/>
  <c r="AO206" i="1"/>
  <c r="K190" i="1"/>
  <c r="L190" i="1"/>
  <c r="M190" i="1"/>
  <c r="N190" i="1" s="1"/>
  <c r="V190" i="1"/>
  <c r="X190" i="1"/>
  <c r="Y190" i="1"/>
  <c r="Z190" i="1"/>
  <c r="AA190" i="1" s="1"/>
  <c r="AB190" i="1"/>
  <c r="AC190" i="1"/>
  <c r="AD190" i="1"/>
  <c r="T190" i="1" s="1"/>
  <c r="AE190" i="1"/>
  <c r="AF190" i="1"/>
  <c r="AH207" i="1"/>
  <c r="AM207" i="1"/>
  <c r="AN207" i="1"/>
  <c r="AO207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08" i="1"/>
  <c r="AM208" i="1"/>
  <c r="AN208" i="1"/>
  <c r="AO20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9" i="1"/>
  <c r="AM209" i="1"/>
  <c r="AN209" i="1"/>
  <c r="AO209" i="1"/>
  <c r="K193" i="1"/>
  <c r="L193" i="1"/>
  <c r="M193" i="1"/>
  <c r="N193" i="1" s="1"/>
  <c r="V193" i="1"/>
  <c r="Y193" i="1"/>
  <c r="Z193" i="1"/>
  <c r="AA193" i="1" s="1"/>
  <c r="AB193" i="1"/>
  <c r="AC193" i="1"/>
  <c r="AD193" i="1"/>
  <c r="AE193" i="1"/>
  <c r="AF193" i="1"/>
  <c r="AH210" i="1"/>
  <c r="AM210" i="1"/>
  <c r="AN210" i="1"/>
  <c r="AO210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1" i="1"/>
  <c r="AM211" i="1"/>
  <c r="AN211" i="1"/>
  <c r="AO211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2" i="1"/>
  <c r="AM212" i="1"/>
  <c r="AN212" i="1"/>
  <c r="AO212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3" i="1"/>
  <c r="AM213" i="1"/>
  <c r="AN213" i="1"/>
  <c r="AO213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14" i="1"/>
  <c r="AM214" i="1"/>
  <c r="AN214" i="1"/>
  <c r="AO214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15" i="1"/>
  <c r="AM215" i="1"/>
  <c r="AN215" i="1"/>
  <c r="AO215" i="1"/>
  <c r="K200" i="1"/>
  <c r="L200" i="1"/>
  <c r="M200" i="1"/>
  <c r="N200" i="1" s="1"/>
  <c r="V200" i="1"/>
  <c r="Y200" i="1"/>
  <c r="Z200" i="1"/>
  <c r="AA200" i="1" s="1"/>
  <c r="AB200" i="1"/>
  <c r="AC200" i="1"/>
  <c r="AD200" i="1"/>
  <c r="AE200" i="1"/>
  <c r="AF200" i="1"/>
  <c r="AH216" i="1"/>
  <c r="AM216" i="1"/>
  <c r="AN216" i="1"/>
  <c r="AO216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7" i="1"/>
  <c r="AM217" i="1"/>
  <c r="AN217" i="1"/>
  <c r="AO217" i="1"/>
  <c r="K202" i="1"/>
  <c r="L202" i="1"/>
  <c r="M202" i="1"/>
  <c r="N202" i="1"/>
  <c r="V202" i="1"/>
  <c r="Y202" i="1"/>
  <c r="AA202" i="1" s="1"/>
  <c r="Z202" i="1"/>
  <c r="AB202" i="1"/>
  <c r="AC202" i="1"/>
  <c r="AD202" i="1"/>
  <c r="AE202" i="1"/>
  <c r="AF202" i="1"/>
  <c r="AH218" i="1"/>
  <c r="AM218" i="1"/>
  <c r="AN218" i="1"/>
  <c r="AO218" i="1"/>
  <c r="K203" i="1"/>
  <c r="L203" i="1"/>
  <c r="M203" i="1"/>
  <c r="N203" i="1" s="1"/>
  <c r="V203" i="1"/>
  <c r="X203" i="1"/>
  <c r="Y203" i="1"/>
  <c r="Z203" i="1"/>
  <c r="AA203" i="1" s="1"/>
  <c r="AB203" i="1"/>
  <c r="AC203" i="1"/>
  <c r="AD203" i="1"/>
  <c r="T203" i="1" s="1"/>
  <c r="AE203" i="1"/>
  <c r="AF203" i="1"/>
  <c r="AH219" i="1"/>
  <c r="AM219" i="1"/>
  <c r="AN219" i="1"/>
  <c r="AO219" i="1"/>
  <c r="K204" i="1"/>
  <c r="L204" i="1"/>
  <c r="M204" i="1"/>
  <c r="N204" i="1" s="1"/>
  <c r="V204" i="1"/>
  <c r="S16" i="3" s="1"/>
  <c r="Y204" i="1"/>
  <c r="Z204" i="1"/>
  <c r="AB204" i="1"/>
  <c r="AC204" i="1"/>
  <c r="AD204" i="1"/>
  <c r="X204" i="1" s="1"/>
  <c r="AE204" i="1"/>
  <c r="R16" i="3" s="1"/>
  <c r="AF204" i="1"/>
  <c r="AH220" i="1"/>
  <c r="AM220" i="1"/>
  <c r="AN220" i="1"/>
  <c r="AO220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1" i="1"/>
  <c r="AM221" i="1"/>
  <c r="AN221" i="1"/>
  <c r="AO221" i="1"/>
  <c r="K206" i="1"/>
  <c r="L206" i="1"/>
  <c r="M206" i="1"/>
  <c r="N206" i="1" s="1"/>
  <c r="V206" i="1"/>
  <c r="Y206" i="1"/>
  <c r="AA206" i="1" s="1"/>
  <c r="Z206" i="1"/>
  <c r="AB206" i="1"/>
  <c r="AC206" i="1"/>
  <c r="AD206" i="1"/>
  <c r="AE206" i="1"/>
  <c r="AF206" i="1"/>
  <c r="AH222" i="1"/>
  <c r="AM222" i="1"/>
  <c r="AN222" i="1"/>
  <c r="AO222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23" i="1"/>
  <c r="AM223" i="1"/>
  <c r="AN223" i="1"/>
  <c r="AO223" i="1"/>
  <c r="K230" i="1"/>
  <c r="L230" i="1"/>
  <c r="M230" i="1"/>
  <c r="N230" i="1" s="1"/>
  <c r="V230" i="1"/>
  <c r="Y230" i="1"/>
  <c r="Z230" i="1"/>
  <c r="AA230" i="1" s="1"/>
  <c r="AB230" i="1"/>
  <c r="AC230" i="1"/>
  <c r="AD230" i="1"/>
  <c r="X230" i="1" s="1"/>
  <c r="AE230" i="1"/>
  <c r="AF230" i="1"/>
  <c r="AH224" i="1"/>
  <c r="AM224" i="1"/>
  <c r="AN224" i="1"/>
  <c r="AO224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225" i="1"/>
  <c r="AM225" i="1"/>
  <c r="AN225" i="1"/>
  <c r="AO225" i="1"/>
  <c r="K232" i="1"/>
  <c r="L232" i="1"/>
  <c r="M232" i="1"/>
  <c r="N232" i="1" s="1"/>
  <c r="V232" i="1"/>
  <c r="Y232" i="1"/>
  <c r="Z232" i="1"/>
  <c r="AA232" i="1" s="1"/>
  <c r="AB232" i="1"/>
  <c r="AC232" i="1"/>
  <c r="AD232" i="1"/>
  <c r="AE232" i="1"/>
  <c r="AF232" i="1"/>
  <c r="AH226" i="1"/>
  <c r="AM226" i="1"/>
  <c r="AN226" i="1"/>
  <c r="AO226" i="1"/>
  <c r="K221" i="1"/>
  <c r="L221" i="1"/>
  <c r="M221" i="1"/>
  <c r="N221" i="1" s="1"/>
  <c r="V221" i="1"/>
  <c r="Y221" i="1"/>
  <c r="AA221" i="1" s="1"/>
  <c r="Z221" i="1"/>
  <c r="AB221" i="1"/>
  <c r="AC221" i="1"/>
  <c r="AD221" i="1"/>
  <c r="T221" i="1" s="1"/>
  <c r="AE221" i="1"/>
  <c r="AF221" i="1"/>
  <c r="AH227" i="1"/>
  <c r="AM227" i="1"/>
  <c r="AN227" i="1"/>
  <c r="AO227" i="1"/>
  <c r="K222" i="1"/>
  <c r="L222" i="1"/>
  <c r="M222" i="1"/>
  <c r="N222" i="1"/>
  <c r="V222" i="1"/>
  <c r="Y222" i="1"/>
  <c r="AA222" i="1" s="1"/>
  <c r="Z222" i="1"/>
  <c r="AB222" i="1"/>
  <c r="AC222" i="1"/>
  <c r="AD222" i="1"/>
  <c r="AE222" i="1"/>
  <c r="AF222" i="1"/>
  <c r="AH228" i="1"/>
  <c r="AM228" i="1"/>
  <c r="AN228" i="1"/>
  <c r="AO228" i="1"/>
  <c r="K223" i="1"/>
  <c r="L223" i="1"/>
  <c r="M223" i="1"/>
  <c r="N223" i="1" s="1"/>
  <c r="V223" i="1"/>
  <c r="X223" i="1"/>
  <c r="Y223" i="1"/>
  <c r="Z223" i="1"/>
  <c r="AB223" i="1"/>
  <c r="AC223" i="1"/>
  <c r="AD223" i="1"/>
  <c r="T223" i="1" s="1"/>
  <c r="AE223" i="1"/>
  <c r="AF223" i="1"/>
  <c r="AH229" i="1"/>
  <c r="AM229" i="1"/>
  <c r="AN229" i="1"/>
  <c r="AO229" i="1"/>
  <c r="K224" i="1"/>
  <c r="L224" i="1"/>
  <c r="M224" i="1"/>
  <c r="N224" i="1" s="1"/>
  <c r="V224" i="1"/>
  <c r="Y224" i="1"/>
  <c r="Z224" i="1"/>
  <c r="AB224" i="1"/>
  <c r="AC224" i="1"/>
  <c r="AD224" i="1"/>
  <c r="X224" i="1" s="1"/>
  <c r="AE224" i="1"/>
  <c r="AF224" i="1"/>
  <c r="AH230" i="1"/>
  <c r="AM230" i="1"/>
  <c r="AN230" i="1"/>
  <c r="AO23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1" i="1"/>
  <c r="AM231" i="1"/>
  <c r="AN231" i="1"/>
  <c r="AO231" i="1"/>
  <c r="K226" i="1"/>
  <c r="L226" i="1"/>
  <c r="M226" i="1"/>
  <c r="N226" i="1" s="1"/>
  <c r="V226" i="1"/>
  <c r="Y226" i="1"/>
  <c r="Z226" i="1"/>
  <c r="AA226" i="1" s="1"/>
  <c r="AB226" i="1"/>
  <c r="AC226" i="1"/>
  <c r="AD226" i="1"/>
  <c r="AE226" i="1"/>
  <c r="R19" i="3" s="1"/>
  <c r="AF226" i="1"/>
  <c r="AH232" i="1"/>
  <c r="AM232" i="1"/>
  <c r="AN232" i="1"/>
  <c r="AO232" i="1"/>
  <c r="M18" i="3"/>
  <c r="S18" i="3"/>
  <c r="U18" i="3"/>
  <c r="AC18" i="3" s="1"/>
  <c r="V18" i="3"/>
  <c r="X18" i="3"/>
  <c r="M10" i="3"/>
  <c r="R10" i="3"/>
  <c r="S10" i="3"/>
  <c r="U10" i="3"/>
  <c r="AC10" i="3" s="1"/>
  <c r="V10" i="3"/>
  <c r="X10" i="3"/>
  <c r="M9" i="3"/>
  <c r="S9" i="3"/>
  <c r="U9" i="3"/>
  <c r="AC9" i="3" s="1"/>
  <c r="V9" i="3"/>
  <c r="X9" i="3"/>
  <c r="M12" i="3"/>
  <c r="S12" i="3"/>
  <c r="U12" i="3"/>
  <c r="T12" i="3" s="1"/>
  <c r="V12" i="3"/>
  <c r="X12" i="3"/>
  <c r="M15" i="3"/>
  <c r="R15" i="3"/>
  <c r="U15" i="3"/>
  <c r="AC15" i="3" s="1"/>
  <c r="V15" i="3"/>
  <c r="X15" i="3"/>
  <c r="M13" i="3"/>
  <c r="S13" i="3"/>
  <c r="U13" i="3"/>
  <c r="AC13" i="3" s="1"/>
  <c r="V13" i="3"/>
  <c r="X13" i="3"/>
  <c r="M16" i="3"/>
  <c r="U16" i="3"/>
  <c r="AC16" i="3" s="1"/>
  <c r="V16" i="3"/>
  <c r="X16" i="3"/>
  <c r="M7" i="3"/>
  <c r="S7" i="3"/>
  <c r="U7" i="3"/>
  <c r="AC7" i="3" s="1"/>
  <c r="V7" i="3"/>
  <c r="X7" i="3"/>
  <c r="M8" i="3"/>
  <c r="S8" i="3"/>
  <c r="U8" i="3"/>
  <c r="T8" i="3" s="1"/>
  <c r="V8" i="3"/>
  <c r="X8" i="3"/>
  <c r="M11" i="3"/>
  <c r="S11" i="3"/>
  <c r="U11" i="3"/>
  <c r="AC11" i="3" s="1"/>
  <c r="V11" i="3"/>
  <c r="X11" i="3"/>
  <c r="M14" i="3"/>
  <c r="U14" i="3"/>
  <c r="AC14" i="3" s="1"/>
  <c r="V14" i="3"/>
  <c r="X14" i="3"/>
  <c r="M19" i="3"/>
  <c r="S19" i="3"/>
  <c r="U19" i="3"/>
  <c r="AC19" i="3" s="1"/>
  <c r="V19" i="3"/>
  <c r="X19" i="3"/>
  <c r="W17" i="3"/>
  <c r="AG194" i="1"/>
  <c r="AG46" i="1"/>
  <c r="AG132" i="1"/>
  <c r="AG17" i="1"/>
  <c r="AG25" i="1"/>
  <c r="AG33" i="1"/>
  <c r="AG16" i="1"/>
  <c r="AG24" i="1"/>
  <c r="AG40" i="1"/>
  <c r="AG57" i="1"/>
  <c r="AG61" i="1"/>
  <c r="AG65" i="1"/>
  <c r="AG69" i="1"/>
  <c r="AG41" i="1"/>
  <c r="AG26" i="1"/>
  <c r="AG43" i="1"/>
  <c r="AG73" i="1"/>
  <c r="AG72" i="1"/>
  <c r="AG78" i="1"/>
  <c r="AG82" i="1"/>
  <c r="AG86" i="1"/>
  <c r="AG90" i="1"/>
  <c r="AG94" i="1"/>
  <c r="AG98" i="1"/>
  <c r="AG102" i="1"/>
  <c r="AG106" i="1"/>
  <c r="AG110" i="1"/>
  <c r="AG152" i="1"/>
  <c r="AG156" i="1"/>
  <c r="AG209" i="1"/>
  <c r="AG213" i="1"/>
  <c r="AG217" i="1"/>
  <c r="AG227" i="1"/>
  <c r="AG160" i="1"/>
  <c r="AG164" i="1"/>
  <c r="AG168" i="1"/>
  <c r="AG172" i="1"/>
  <c r="AG176" i="1"/>
  <c r="AG180" i="1"/>
  <c r="AG182" i="1"/>
  <c r="AG186" i="1"/>
  <c r="AG190" i="1"/>
  <c r="AG195" i="1"/>
  <c r="AG199" i="1"/>
  <c r="AG203" i="1"/>
  <c r="AG207" i="1"/>
  <c r="AG221" i="1"/>
  <c r="AG225" i="1"/>
  <c r="AG137" i="1"/>
  <c r="AG119" i="1"/>
  <c r="AG131" i="1"/>
  <c r="AG141" i="1"/>
  <c r="AG120" i="1"/>
  <c r="AG136" i="1"/>
  <c r="AG77" i="1"/>
  <c r="AG114" i="1"/>
  <c r="AG146" i="1"/>
  <c r="AG138" i="1"/>
  <c r="AG228" i="1"/>
  <c r="AG165" i="1"/>
  <c r="AG173" i="1"/>
  <c r="AG181" i="1"/>
  <c r="AG187" i="1"/>
  <c r="AG191" i="1"/>
  <c r="AG200" i="1"/>
  <c r="AG204" i="1"/>
  <c r="AG222" i="1"/>
  <c r="AG74" i="1"/>
  <c r="AG121" i="1"/>
  <c r="AG145" i="1"/>
  <c r="AG140" i="1"/>
  <c r="AG143" i="1"/>
  <c r="AG150" i="1"/>
  <c r="AG142" i="1"/>
  <c r="AG36" i="1"/>
  <c r="AG51" i="1"/>
  <c r="AG47" i="1"/>
  <c r="AG85" i="1"/>
  <c r="AG93" i="1"/>
  <c r="AG101" i="1"/>
  <c r="AG109" i="1"/>
  <c r="AG155" i="1"/>
  <c r="AG212" i="1"/>
  <c r="AG220" i="1"/>
  <c r="AG159" i="1"/>
  <c r="AG167" i="1"/>
  <c r="AG175" i="1"/>
  <c r="AG189" i="1"/>
  <c r="AG198" i="1"/>
  <c r="AG202" i="1"/>
  <c r="AG232" i="1"/>
  <c r="AG127" i="1"/>
  <c r="AG129" i="1"/>
  <c r="AG116" i="1"/>
  <c r="AG151" i="1"/>
  <c r="AG19" i="1"/>
  <c r="AG27" i="1"/>
  <c r="AG35" i="1"/>
  <c r="AG18" i="1"/>
  <c r="AG28" i="1"/>
  <c r="AG48" i="1"/>
  <c r="AG58" i="1"/>
  <c r="AG62" i="1"/>
  <c r="AG66" i="1"/>
  <c r="AG70" i="1"/>
  <c r="AG42" i="1"/>
  <c r="AG30" i="1"/>
  <c r="AG44" i="1"/>
  <c r="AG76" i="1"/>
  <c r="AG75" i="1"/>
  <c r="AG79" i="1"/>
  <c r="AG83" i="1"/>
  <c r="AG87" i="1"/>
  <c r="AG91" i="1"/>
  <c r="AG95" i="1"/>
  <c r="AG99" i="1"/>
  <c r="AG103" i="1"/>
  <c r="AG107" i="1"/>
  <c r="AG111" i="1"/>
  <c r="AG153" i="1"/>
  <c r="AG157" i="1"/>
  <c r="AG210" i="1"/>
  <c r="AG214" i="1"/>
  <c r="AG218" i="1"/>
  <c r="AG161" i="1"/>
  <c r="AG169" i="1"/>
  <c r="AG177" i="1"/>
  <c r="AG183" i="1"/>
  <c r="AG196" i="1"/>
  <c r="AG230" i="1"/>
  <c r="AG226" i="1"/>
  <c r="AG133" i="1"/>
  <c r="AG124" i="1"/>
  <c r="AG118" i="1"/>
  <c r="AG15" i="1"/>
  <c r="AG23" i="1"/>
  <c r="AG31" i="1"/>
  <c r="AG14" i="1"/>
  <c r="AG22" i="1"/>
  <c r="AG56" i="1"/>
  <c r="AG60" i="1"/>
  <c r="AG64" i="1"/>
  <c r="AG68" i="1"/>
  <c r="AG39" i="1"/>
  <c r="AG38" i="1"/>
  <c r="AG53" i="1"/>
  <c r="AG55" i="1"/>
  <c r="AG81" i="1"/>
  <c r="AG89" i="1"/>
  <c r="AG97" i="1"/>
  <c r="AG105" i="1"/>
  <c r="AG113" i="1"/>
  <c r="AG208" i="1"/>
  <c r="AG216" i="1"/>
  <c r="AG163" i="1"/>
  <c r="AG171" i="1"/>
  <c r="AG179" i="1"/>
  <c r="AG185" i="1"/>
  <c r="AG193" i="1"/>
  <c r="AG206" i="1"/>
  <c r="AG224" i="1"/>
  <c r="AG117" i="1"/>
  <c r="AG139" i="1"/>
  <c r="AG148" i="1"/>
  <c r="AG134" i="1"/>
  <c r="AG130" i="1"/>
  <c r="AG21" i="1"/>
  <c r="AG29" i="1"/>
  <c r="AG37" i="1"/>
  <c r="AG20" i="1"/>
  <c r="AG32" i="1"/>
  <c r="AG49" i="1"/>
  <c r="AG59" i="1"/>
  <c r="AG63" i="1"/>
  <c r="AG67" i="1"/>
  <c r="AG71" i="1"/>
  <c r="AG50" i="1"/>
  <c r="AG34" i="1"/>
  <c r="AG52" i="1"/>
  <c r="AG45" i="1"/>
  <c r="AG54" i="1"/>
  <c r="AG80" i="1"/>
  <c r="AG84" i="1"/>
  <c r="AG88" i="1"/>
  <c r="AG92" i="1"/>
  <c r="AG96" i="1"/>
  <c r="AG100" i="1"/>
  <c r="AG104" i="1"/>
  <c r="AG108" i="1"/>
  <c r="AG112" i="1"/>
  <c r="AG154" i="1"/>
  <c r="AG158" i="1"/>
  <c r="AG211" i="1"/>
  <c r="AG215" i="1"/>
  <c r="AG219" i="1"/>
  <c r="AG229" i="1"/>
  <c r="AG162" i="1"/>
  <c r="AG166" i="1"/>
  <c r="AG170" i="1"/>
  <c r="AG174" i="1"/>
  <c r="AG178" i="1"/>
  <c r="AG184" i="1"/>
  <c r="AG188" i="1"/>
  <c r="AG192" i="1"/>
  <c r="AG197" i="1"/>
  <c r="AG201" i="1"/>
  <c r="AG205" i="1"/>
  <c r="AG231" i="1"/>
  <c r="AG223" i="1"/>
  <c r="AG123" i="1"/>
  <c r="AG115" i="1"/>
  <c r="AG125" i="1"/>
  <c r="AG135" i="1"/>
  <c r="AG149" i="1"/>
  <c r="AG128" i="1"/>
  <c r="AG144" i="1"/>
  <c r="AG147" i="1"/>
  <c r="AG126" i="1"/>
  <c r="AG122" i="1"/>
  <c r="W11" i="3"/>
  <c r="W12" i="3"/>
  <c r="W9" i="3"/>
  <c r="W10" i="3"/>
  <c r="W13" i="3"/>
  <c r="W16" i="3"/>
  <c r="W19" i="3"/>
  <c r="W15" i="3"/>
  <c r="W18" i="3"/>
  <c r="W14" i="3"/>
  <c r="W8" i="3"/>
  <c r="W7" i="3"/>
  <c r="Y17" i="3" l="1"/>
  <c r="AE17" i="3"/>
  <c r="AI194" i="1"/>
  <c r="U194" i="1"/>
  <c r="S194" i="1" s="1"/>
  <c r="W194" i="1"/>
  <c r="AA196" i="1"/>
  <c r="AA170" i="1"/>
  <c r="X159" i="1"/>
  <c r="AA227" i="1"/>
  <c r="AA132" i="1"/>
  <c r="AA128" i="1"/>
  <c r="AA125" i="1"/>
  <c r="AA124" i="1"/>
  <c r="AA121" i="1"/>
  <c r="AA120" i="1"/>
  <c r="AA106" i="1"/>
  <c r="AA105" i="1"/>
  <c r="AA96" i="1"/>
  <c r="AA29" i="1"/>
  <c r="T46" i="1"/>
  <c r="U46" i="1" s="1"/>
  <c r="S46" i="1" s="1"/>
  <c r="X48" i="1"/>
  <c r="AA231" i="1"/>
  <c r="AA198" i="1"/>
  <c r="AA187" i="1"/>
  <c r="AA181" i="1"/>
  <c r="X171" i="1"/>
  <c r="X218" i="1"/>
  <c r="X215" i="1"/>
  <c r="X155" i="1"/>
  <c r="X76" i="1"/>
  <c r="X75" i="1"/>
  <c r="AA207" i="1"/>
  <c r="AA204" i="1"/>
  <c r="X199" i="1"/>
  <c r="AA195" i="1"/>
  <c r="AA191" i="1"/>
  <c r="W191" i="1" s="1"/>
  <c r="AA189" i="1"/>
  <c r="AA184" i="1"/>
  <c r="AA183" i="1"/>
  <c r="AA178" i="1"/>
  <c r="W178" i="1" s="1"/>
  <c r="X177" i="1"/>
  <c r="AA174" i="1"/>
  <c r="AA173" i="1"/>
  <c r="AA210" i="1"/>
  <c r="AA209" i="1"/>
  <c r="AA140" i="1"/>
  <c r="AA136" i="1"/>
  <c r="AA131" i="1"/>
  <c r="W131" i="1" s="1"/>
  <c r="AA123" i="1"/>
  <c r="AA119" i="1"/>
  <c r="AA115" i="1"/>
  <c r="AA103" i="1"/>
  <c r="X77" i="1"/>
  <c r="AA52" i="1"/>
  <c r="AA44" i="1"/>
  <c r="AA39" i="1"/>
  <c r="W39" i="1" s="1"/>
  <c r="AA31" i="1"/>
  <c r="AI46" i="1"/>
  <c r="W46" i="1"/>
  <c r="AA158" i="1"/>
  <c r="AA157" i="1"/>
  <c r="AA154" i="1"/>
  <c r="AA133" i="1"/>
  <c r="AA129" i="1"/>
  <c r="AA104" i="1"/>
  <c r="AA102" i="1"/>
  <c r="AA101" i="1"/>
  <c r="AA95" i="1"/>
  <c r="AA48" i="1"/>
  <c r="AA41" i="1"/>
  <c r="AA40" i="1"/>
  <c r="W40" i="1" s="1"/>
  <c r="AA36" i="1"/>
  <c r="AA33" i="1"/>
  <c r="AA32" i="1"/>
  <c r="AA23" i="1"/>
  <c r="X226" i="1"/>
  <c r="X221" i="1"/>
  <c r="X232" i="1"/>
  <c r="X231" i="1"/>
  <c r="X205" i="1"/>
  <c r="AA201" i="1"/>
  <c r="AA192" i="1"/>
  <c r="X188" i="1"/>
  <c r="AA182" i="1"/>
  <c r="AA177" i="1"/>
  <c r="AA176" i="1"/>
  <c r="X173" i="1"/>
  <c r="AA160" i="1"/>
  <c r="X228" i="1"/>
  <c r="X161" i="1"/>
  <c r="X229" i="1"/>
  <c r="AA215" i="1"/>
  <c r="AA214" i="1"/>
  <c r="AA211" i="1"/>
  <c r="X210" i="1"/>
  <c r="X158" i="1"/>
  <c r="AA152" i="1"/>
  <c r="AA151" i="1"/>
  <c r="AA148" i="1"/>
  <c r="W148" i="1" s="1"/>
  <c r="AA147" i="1"/>
  <c r="AA144" i="1"/>
  <c r="AA143" i="1"/>
  <c r="AA139" i="1"/>
  <c r="W139" i="1" s="1"/>
  <c r="AA117" i="1"/>
  <c r="AA116" i="1"/>
  <c r="AA112" i="1"/>
  <c r="AA110" i="1"/>
  <c r="AA109" i="1"/>
  <c r="AA97" i="1"/>
  <c r="AA93" i="1"/>
  <c r="AA75" i="1"/>
  <c r="AA56" i="1"/>
  <c r="AA53" i="1"/>
  <c r="AA42" i="1"/>
  <c r="AA38" i="1"/>
  <c r="W38" i="1" s="1"/>
  <c r="AA35" i="1"/>
  <c r="AA34" i="1"/>
  <c r="AA30" i="1"/>
  <c r="AA15" i="1"/>
  <c r="W15" i="1" s="1"/>
  <c r="AA225" i="1"/>
  <c r="AA224" i="1"/>
  <c r="AA223" i="1"/>
  <c r="X222" i="1"/>
  <c r="X207" i="1"/>
  <c r="X206" i="1"/>
  <c r="AA205" i="1"/>
  <c r="X201" i="1"/>
  <c r="AA197" i="1"/>
  <c r="X192" i="1"/>
  <c r="AA188" i="1"/>
  <c r="AA186" i="1"/>
  <c r="W186" i="1" s="1"/>
  <c r="AA185" i="1"/>
  <c r="AA180" i="1"/>
  <c r="AA179" i="1"/>
  <c r="AA169" i="1"/>
  <c r="W169" i="1" s="1"/>
  <c r="AA168" i="1"/>
  <c r="X165" i="1"/>
  <c r="AA218" i="1"/>
  <c r="AA153" i="1"/>
  <c r="W153" i="1" s="1"/>
  <c r="AA149" i="1"/>
  <c r="AA145" i="1"/>
  <c r="AA141" i="1"/>
  <c r="AA137" i="1"/>
  <c r="W137" i="1" s="1"/>
  <c r="AA100" i="1"/>
  <c r="AA98" i="1"/>
  <c r="AA94" i="1"/>
  <c r="AA76" i="1"/>
  <c r="AA27" i="1"/>
  <c r="X225" i="1"/>
  <c r="X186" i="1"/>
  <c r="X184" i="1"/>
  <c r="X180" i="1"/>
  <c r="X178" i="1"/>
  <c r="X170" i="1"/>
  <c r="X162" i="1"/>
  <c r="X219" i="1"/>
  <c r="X211" i="1"/>
  <c r="X208" i="1"/>
  <c r="X154" i="1"/>
  <c r="AA92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T74" i="1"/>
  <c r="X72" i="1"/>
  <c r="AA71" i="1"/>
  <c r="T70" i="1"/>
  <c r="U70" i="1" s="1"/>
  <c r="S70" i="1" s="1"/>
  <c r="X68" i="1"/>
  <c r="AA67" i="1"/>
  <c r="T66" i="1"/>
  <c r="X64" i="1"/>
  <c r="AA21" i="1"/>
  <c r="X202" i="1"/>
  <c r="X200" i="1"/>
  <c r="X198" i="1"/>
  <c r="X193" i="1"/>
  <c r="X191" i="1"/>
  <c r="X189" i="1"/>
  <c r="X187" i="1"/>
  <c r="X185" i="1"/>
  <c r="X179" i="1"/>
  <c r="X172" i="1"/>
  <c r="AA171" i="1"/>
  <c r="W171" i="1" s="1"/>
  <c r="X164" i="1"/>
  <c r="AA163" i="1"/>
  <c r="X227" i="1"/>
  <c r="AA220" i="1"/>
  <c r="W220" i="1" s="1"/>
  <c r="X213" i="1"/>
  <c r="AA212" i="1"/>
  <c r="X156" i="1"/>
  <c r="AA155" i="1"/>
  <c r="W155" i="1" s="1"/>
  <c r="AA146" i="1"/>
  <c r="AA138" i="1"/>
  <c r="AA130" i="1"/>
  <c r="AA122" i="1"/>
  <c r="AA114" i="1"/>
  <c r="T76" i="1"/>
  <c r="AA14" i="1"/>
  <c r="AA73" i="1"/>
  <c r="W73" i="1" s="1"/>
  <c r="AA69" i="1"/>
  <c r="AA65" i="1"/>
  <c r="AA54" i="1"/>
  <c r="AA49" i="1"/>
  <c r="AA25" i="1"/>
  <c r="AA17" i="1"/>
  <c r="X176" i="1"/>
  <c r="AA175" i="1"/>
  <c r="W175" i="1" s="1"/>
  <c r="X168" i="1"/>
  <c r="AA167" i="1"/>
  <c r="X160" i="1"/>
  <c r="AA159" i="1"/>
  <c r="W159" i="1" s="1"/>
  <c r="X217" i="1"/>
  <c r="AA216" i="1"/>
  <c r="X209" i="1"/>
  <c r="AA208" i="1"/>
  <c r="W208" i="1" s="1"/>
  <c r="AA150" i="1"/>
  <c r="AA142" i="1"/>
  <c r="AA134" i="1"/>
  <c r="AA126" i="1"/>
  <c r="W126" i="1" s="1"/>
  <c r="AA118" i="1"/>
  <c r="AA58" i="1"/>
  <c r="AA57" i="1"/>
  <c r="AA47" i="1"/>
  <c r="AA45" i="1"/>
  <c r="AA19" i="1"/>
  <c r="AI142" i="1"/>
  <c r="AI138" i="1"/>
  <c r="AI130" i="1"/>
  <c r="AI122" i="1"/>
  <c r="AI150" i="1"/>
  <c r="AI146" i="1"/>
  <c r="AI134" i="1"/>
  <c r="AI126" i="1"/>
  <c r="AI118" i="1"/>
  <c r="AI114" i="1"/>
  <c r="AI151" i="1"/>
  <c r="AI147" i="1"/>
  <c r="AI143" i="1"/>
  <c r="AI77" i="1"/>
  <c r="U77" i="1"/>
  <c r="S77" i="1" s="1"/>
  <c r="AI148" i="1"/>
  <c r="AI144" i="1"/>
  <c r="AI140" i="1"/>
  <c r="AI136" i="1"/>
  <c r="AI132" i="1"/>
  <c r="AI128" i="1"/>
  <c r="AI124" i="1"/>
  <c r="AI120" i="1"/>
  <c r="AI116" i="1"/>
  <c r="AI149" i="1"/>
  <c r="AI145" i="1"/>
  <c r="AI141" i="1"/>
  <c r="AI139" i="1"/>
  <c r="AI135" i="1"/>
  <c r="AI133" i="1"/>
  <c r="AI131" i="1"/>
  <c r="AI129" i="1"/>
  <c r="AI125" i="1"/>
  <c r="AI121" i="1"/>
  <c r="AI119" i="1"/>
  <c r="AI117" i="1"/>
  <c r="AI115" i="1"/>
  <c r="AI74" i="1"/>
  <c r="U74" i="1"/>
  <c r="S74" i="1" s="1"/>
  <c r="AI137" i="1"/>
  <c r="AI127" i="1"/>
  <c r="AI123" i="1"/>
  <c r="AI232" i="1"/>
  <c r="U225" i="1"/>
  <c r="S225" i="1" s="1"/>
  <c r="AI231" i="1"/>
  <c r="AI230" i="1"/>
  <c r="U223" i="1"/>
  <c r="S223" i="1" s="1"/>
  <c r="AI229" i="1"/>
  <c r="AI228" i="1"/>
  <c r="U221" i="1"/>
  <c r="S221" i="1" s="1"/>
  <c r="AI227" i="1"/>
  <c r="AI226" i="1"/>
  <c r="U231" i="1"/>
  <c r="S231" i="1" s="1"/>
  <c r="AI225" i="1"/>
  <c r="AI224" i="1"/>
  <c r="U207" i="1"/>
  <c r="S207" i="1" s="1"/>
  <c r="AI223" i="1"/>
  <c r="AI222" i="1"/>
  <c r="U205" i="1"/>
  <c r="S205" i="1" s="1"/>
  <c r="AI221" i="1"/>
  <c r="AI220" i="1"/>
  <c r="U203" i="1"/>
  <c r="S203" i="1" s="1"/>
  <c r="AI219" i="1"/>
  <c r="AI218" i="1"/>
  <c r="U201" i="1"/>
  <c r="S201" i="1" s="1"/>
  <c r="AI217" i="1"/>
  <c r="AI216" i="1"/>
  <c r="U199" i="1"/>
  <c r="S199" i="1" s="1"/>
  <c r="AI215" i="1"/>
  <c r="AI214" i="1"/>
  <c r="U197" i="1"/>
  <c r="S197" i="1" s="1"/>
  <c r="AI213" i="1"/>
  <c r="AI212" i="1"/>
  <c r="U195" i="1"/>
  <c r="S195" i="1" s="1"/>
  <c r="AI211" i="1"/>
  <c r="AI210" i="1"/>
  <c r="U192" i="1"/>
  <c r="S192" i="1" s="1"/>
  <c r="AI209" i="1"/>
  <c r="AI208" i="1"/>
  <c r="U190" i="1"/>
  <c r="S190" i="1" s="1"/>
  <c r="AI207" i="1"/>
  <c r="AI206" i="1"/>
  <c r="U188" i="1"/>
  <c r="S188" i="1" s="1"/>
  <c r="AI205" i="1"/>
  <c r="AI204" i="1"/>
  <c r="U186" i="1"/>
  <c r="S186" i="1" s="1"/>
  <c r="AI203" i="1"/>
  <c r="AI202" i="1"/>
  <c r="U184" i="1"/>
  <c r="S184" i="1" s="1"/>
  <c r="AI201" i="1"/>
  <c r="AI200" i="1"/>
  <c r="U182" i="1"/>
  <c r="S182" i="1" s="1"/>
  <c r="AI199" i="1"/>
  <c r="AI198" i="1"/>
  <c r="AI197" i="1"/>
  <c r="AI196" i="1"/>
  <c r="U180" i="1"/>
  <c r="S180" i="1" s="1"/>
  <c r="AI195" i="1"/>
  <c r="AI193" i="1"/>
  <c r="U178" i="1"/>
  <c r="S178" i="1" s="1"/>
  <c r="AI192" i="1"/>
  <c r="AI191" i="1"/>
  <c r="U176" i="1"/>
  <c r="S176" i="1" s="1"/>
  <c r="AI190" i="1"/>
  <c r="AI189" i="1"/>
  <c r="U174" i="1"/>
  <c r="S174" i="1" s="1"/>
  <c r="AI188" i="1"/>
  <c r="AI187" i="1"/>
  <c r="U172" i="1"/>
  <c r="S172" i="1" s="1"/>
  <c r="AI186" i="1"/>
  <c r="AI185" i="1"/>
  <c r="U170" i="1"/>
  <c r="S170" i="1" s="1"/>
  <c r="AI184" i="1"/>
  <c r="AI183" i="1"/>
  <c r="U168" i="1"/>
  <c r="S168" i="1" s="1"/>
  <c r="AI182" i="1"/>
  <c r="U166" i="1"/>
  <c r="S166" i="1" s="1"/>
  <c r="AI181" i="1"/>
  <c r="U164" i="1"/>
  <c r="S164" i="1" s="1"/>
  <c r="AI180" i="1"/>
  <c r="AI179" i="1"/>
  <c r="U162" i="1"/>
  <c r="S162" i="1" s="1"/>
  <c r="AI178" i="1"/>
  <c r="AI177" i="1"/>
  <c r="U160" i="1"/>
  <c r="S160" i="1" s="1"/>
  <c r="AI176" i="1"/>
  <c r="AI175" i="1"/>
  <c r="U229" i="1"/>
  <c r="S229" i="1" s="1"/>
  <c r="AI174" i="1"/>
  <c r="AI173" i="1"/>
  <c r="U227" i="1"/>
  <c r="S227" i="1" s="1"/>
  <c r="AI172" i="1"/>
  <c r="AI171" i="1"/>
  <c r="U219" i="1"/>
  <c r="S219" i="1" s="1"/>
  <c r="AI170" i="1"/>
  <c r="AI169" i="1"/>
  <c r="U217" i="1"/>
  <c r="S217" i="1" s="1"/>
  <c r="AI168" i="1"/>
  <c r="AI167" i="1"/>
  <c r="U215" i="1"/>
  <c r="S215" i="1" s="1"/>
  <c r="AI166" i="1"/>
  <c r="AI165" i="1"/>
  <c r="U213" i="1"/>
  <c r="S213" i="1" s="1"/>
  <c r="AI164" i="1"/>
  <c r="AI163" i="1"/>
  <c r="U211" i="1"/>
  <c r="S211" i="1" s="1"/>
  <c r="AI162" i="1"/>
  <c r="AI161" i="1"/>
  <c r="U209" i="1"/>
  <c r="S209" i="1" s="1"/>
  <c r="AI160" i="1"/>
  <c r="AI159" i="1"/>
  <c r="U158" i="1"/>
  <c r="S158" i="1" s="1"/>
  <c r="AI158" i="1"/>
  <c r="AI157" i="1"/>
  <c r="U156" i="1"/>
  <c r="S156" i="1" s="1"/>
  <c r="AI156" i="1"/>
  <c r="AI155" i="1"/>
  <c r="U154" i="1"/>
  <c r="S154" i="1" s="1"/>
  <c r="AI154" i="1"/>
  <c r="AI153" i="1"/>
  <c r="U152" i="1"/>
  <c r="S152" i="1" s="1"/>
  <c r="AI152" i="1"/>
  <c r="AI113" i="1"/>
  <c r="AI112" i="1"/>
  <c r="AI111" i="1"/>
  <c r="AI110" i="1"/>
  <c r="AI109" i="1"/>
  <c r="AI108" i="1"/>
  <c r="AI107" i="1"/>
  <c r="AI106" i="1"/>
  <c r="AI105" i="1"/>
  <c r="AI104" i="1"/>
  <c r="AI103" i="1"/>
  <c r="W103" i="1"/>
  <c r="AI102" i="1"/>
  <c r="W102" i="1"/>
  <c r="AI101" i="1"/>
  <c r="W101" i="1"/>
  <c r="AI100" i="1"/>
  <c r="W100" i="1"/>
  <c r="AI99" i="1"/>
  <c r="W99" i="1"/>
  <c r="AI98" i="1"/>
  <c r="W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55" i="1"/>
  <c r="AI54" i="1"/>
  <c r="U75" i="1"/>
  <c r="S75" i="1" s="1"/>
  <c r="AI75" i="1"/>
  <c r="AI72" i="1"/>
  <c r="U72" i="1"/>
  <c r="S72" i="1" s="1"/>
  <c r="AI47" i="1"/>
  <c r="AI45" i="1"/>
  <c r="U76" i="1"/>
  <c r="S76" i="1" s="1"/>
  <c r="AI76" i="1"/>
  <c r="AI73" i="1"/>
  <c r="U73" i="1"/>
  <c r="S73" i="1" s="1"/>
  <c r="AI53" i="1"/>
  <c r="AI52" i="1"/>
  <c r="AI44" i="1"/>
  <c r="AI43" i="1"/>
  <c r="AI38" i="1"/>
  <c r="AI34" i="1"/>
  <c r="AI30" i="1"/>
  <c r="AI26" i="1"/>
  <c r="AI51" i="1"/>
  <c r="AI50" i="1"/>
  <c r="AI42" i="1"/>
  <c r="AI41" i="1"/>
  <c r="AI39" i="1"/>
  <c r="U71" i="1"/>
  <c r="S71" i="1" s="1"/>
  <c r="AI71" i="1"/>
  <c r="AI70" i="1"/>
  <c r="U69" i="1"/>
  <c r="S69" i="1" s="1"/>
  <c r="AI69" i="1"/>
  <c r="U68" i="1"/>
  <c r="S68" i="1" s="1"/>
  <c r="AI68" i="1"/>
  <c r="U67" i="1"/>
  <c r="S67" i="1" s="1"/>
  <c r="AI67" i="1"/>
  <c r="U66" i="1"/>
  <c r="S66" i="1" s="1"/>
  <c r="AI66" i="1"/>
  <c r="U65" i="1"/>
  <c r="S65" i="1" s="1"/>
  <c r="AI65" i="1"/>
  <c r="U64" i="1"/>
  <c r="S64" i="1" s="1"/>
  <c r="AI64" i="1"/>
  <c r="U63" i="1"/>
  <c r="S63" i="1" s="1"/>
  <c r="AI63" i="1"/>
  <c r="AI62" i="1"/>
  <c r="U62" i="1"/>
  <c r="S62" i="1" s="1"/>
  <c r="AI61" i="1"/>
  <c r="U61" i="1"/>
  <c r="S61" i="1" s="1"/>
  <c r="AI60" i="1"/>
  <c r="U60" i="1"/>
  <c r="S60" i="1" s="1"/>
  <c r="AI59" i="1"/>
  <c r="U59" i="1"/>
  <c r="S59" i="1" s="1"/>
  <c r="AI58" i="1"/>
  <c r="U58" i="1"/>
  <c r="S58" i="1" s="1"/>
  <c r="AI57" i="1"/>
  <c r="U57" i="1"/>
  <c r="S57" i="1" s="1"/>
  <c r="AI56" i="1"/>
  <c r="W56" i="1"/>
  <c r="AI49" i="1"/>
  <c r="AI48" i="1"/>
  <c r="AI40" i="1"/>
  <c r="AI36" i="1"/>
  <c r="AI32" i="1"/>
  <c r="AI28" i="1"/>
  <c r="AI24" i="1"/>
  <c r="AI22" i="1"/>
  <c r="AI20" i="1"/>
  <c r="AI18" i="1"/>
  <c r="AI16" i="1"/>
  <c r="AI14" i="1"/>
  <c r="AI37" i="1"/>
  <c r="AI35" i="1"/>
  <c r="AI33" i="1"/>
  <c r="AI31" i="1"/>
  <c r="AI29" i="1"/>
  <c r="AI27" i="1"/>
  <c r="AI25" i="1"/>
  <c r="AI23" i="1"/>
  <c r="AI21" i="1"/>
  <c r="AI19" i="1"/>
  <c r="AI17" i="1"/>
  <c r="AI15" i="1"/>
  <c r="W174" i="1"/>
  <c r="W226" i="1"/>
  <c r="W224" i="1"/>
  <c r="W222" i="1"/>
  <c r="W232" i="1"/>
  <c r="W230" i="1"/>
  <c r="W206" i="1"/>
  <c r="W204" i="1"/>
  <c r="W202" i="1"/>
  <c r="W200" i="1"/>
  <c r="W198" i="1"/>
  <c r="W196" i="1"/>
  <c r="W193" i="1"/>
  <c r="W189" i="1"/>
  <c r="W187" i="1"/>
  <c r="W185" i="1"/>
  <c r="W183" i="1"/>
  <c r="W181" i="1"/>
  <c r="W179" i="1"/>
  <c r="W177" i="1"/>
  <c r="W176" i="1"/>
  <c r="W168" i="1"/>
  <c r="W161" i="1"/>
  <c r="W160" i="1"/>
  <c r="W218" i="1"/>
  <c r="W217" i="1"/>
  <c r="W210" i="1"/>
  <c r="W209" i="1"/>
  <c r="W151" i="1"/>
  <c r="W143" i="1"/>
  <c r="W167" i="1"/>
  <c r="W166" i="1"/>
  <c r="W158" i="1"/>
  <c r="W150" i="1"/>
  <c r="W225" i="1"/>
  <c r="W223" i="1"/>
  <c r="W231" i="1"/>
  <c r="W205" i="1"/>
  <c r="W203" i="1"/>
  <c r="W199" i="1"/>
  <c r="W192" i="1"/>
  <c r="W190" i="1"/>
  <c r="W182" i="1"/>
  <c r="W180" i="1"/>
  <c r="W170" i="1"/>
  <c r="W163" i="1"/>
  <c r="W162" i="1"/>
  <c r="W219" i="1"/>
  <c r="W212" i="1"/>
  <c r="W211" i="1"/>
  <c r="W154" i="1"/>
  <c r="W146" i="1"/>
  <c r="W229" i="1"/>
  <c r="W216" i="1"/>
  <c r="W215" i="1"/>
  <c r="W142" i="1"/>
  <c r="W221" i="1"/>
  <c r="W207" i="1"/>
  <c r="W201" i="1"/>
  <c r="W197" i="1"/>
  <c r="W195" i="1"/>
  <c r="W188" i="1"/>
  <c r="W184" i="1"/>
  <c r="W173" i="1"/>
  <c r="W172" i="1"/>
  <c r="W165" i="1"/>
  <c r="W164" i="1"/>
  <c r="W228" i="1"/>
  <c r="W227" i="1"/>
  <c r="W214" i="1"/>
  <c r="W213" i="1"/>
  <c r="W157" i="1"/>
  <c r="W156" i="1"/>
  <c r="W147" i="1"/>
  <c r="W152" i="1"/>
  <c r="W111" i="1"/>
  <c r="W144" i="1"/>
  <c r="W107" i="1"/>
  <c r="T226" i="1"/>
  <c r="U226" i="1" s="1"/>
  <c r="S226" i="1" s="1"/>
  <c r="T222" i="1"/>
  <c r="U222" i="1" s="1"/>
  <c r="S222" i="1" s="1"/>
  <c r="T230" i="1"/>
  <c r="U230" i="1" s="1"/>
  <c r="S230" i="1" s="1"/>
  <c r="T206" i="1"/>
  <c r="U206" i="1" s="1"/>
  <c r="S206" i="1" s="1"/>
  <c r="T202" i="1"/>
  <c r="U202" i="1" s="1"/>
  <c r="S202" i="1" s="1"/>
  <c r="T200" i="1"/>
  <c r="U200" i="1" s="1"/>
  <c r="S200" i="1" s="1"/>
  <c r="T196" i="1"/>
  <c r="U196" i="1" s="1"/>
  <c r="S196" i="1" s="1"/>
  <c r="T191" i="1"/>
  <c r="U191" i="1" s="1"/>
  <c r="S191" i="1" s="1"/>
  <c r="T187" i="1"/>
  <c r="U187" i="1" s="1"/>
  <c r="S187" i="1" s="1"/>
  <c r="T185" i="1"/>
  <c r="U185" i="1" s="1"/>
  <c r="S185" i="1" s="1"/>
  <c r="T179" i="1"/>
  <c r="U179" i="1" s="1"/>
  <c r="S179" i="1" s="1"/>
  <c r="T175" i="1"/>
  <c r="U175" i="1" s="1"/>
  <c r="S175" i="1" s="1"/>
  <c r="T171" i="1"/>
  <c r="U171" i="1" s="1"/>
  <c r="S171" i="1" s="1"/>
  <c r="T167" i="1"/>
  <c r="U167" i="1" s="1"/>
  <c r="S167" i="1" s="1"/>
  <c r="T163" i="1"/>
  <c r="U163" i="1" s="1"/>
  <c r="S163" i="1" s="1"/>
  <c r="T161" i="1"/>
  <c r="U161" i="1" s="1"/>
  <c r="S161" i="1" s="1"/>
  <c r="T228" i="1"/>
  <c r="U228" i="1" s="1"/>
  <c r="S228" i="1" s="1"/>
  <c r="T220" i="1"/>
  <c r="U220" i="1" s="1"/>
  <c r="S220" i="1" s="1"/>
  <c r="T216" i="1"/>
  <c r="U216" i="1" s="1"/>
  <c r="S216" i="1" s="1"/>
  <c r="T212" i="1"/>
  <c r="U212" i="1" s="1"/>
  <c r="S212" i="1" s="1"/>
  <c r="T208" i="1"/>
  <c r="U208" i="1" s="1"/>
  <c r="S208" i="1" s="1"/>
  <c r="T157" i="1"/>
  <c r="U157" i="1" s="1"/>
  <c r="S157" i="1" s="1"/>
  <c r="T155" i="1"/>
  <c r="U155" i="1" s="1"/>
  <c r="S155" i="1" s="1"/>
  <c r="T153" i="1"/>
  <c r="U153" i="1" s="1"/>
  <c r="S153" i="1" s="1"/>
  <c r="W149" i="1"/>
  <c r="W145" i="1"/>
  <c r="W141" i="1"/>
  <c r="W140" i="1"/>
  <c r="W136" i="1"/>
  <c r="W135" i="1"/>
  <c r="W132" i="1"/>
  <c r="W128" i="1"/>
  <c r="W127" i="1"/>
  <c r="W124" i="1"/>
  <c r="W123" i="1"/>
  <c r="W120" i="1"/>
  <c r="W119" i="1"/>
  <c r="W116" i="1"/>
  <c r="W115" i="1"/>
  <c r="W110" i="1"/>
  <c r="W106" i="1"/>
  <c r="T224" i="1"/>
  <c r="U224" i="1" s="1"/>
  <c r="S224" i="1" s="1"/>
  <c r="T232" i="1"/>
  <c r="U232" i="1" s="1"/>
  <c r="S232" i="1" s="1"/>
  <c r="T204" i="1"/>
  <c r="U204" i="1" s="1"/>
  <c r="S204" i="1" s="1"/>
  <c r="T198" i="1"/>
  <c r="U198" i="1" s="1"/>
  <c r="S198" i="1" s="1"/>
  <c r="T193" i="1"/>
  <c r="U193" i="1" s="1"/>
  <c r="S193" i="1" s="1"/>
  <c r="T189" i="1"/>
  <c r="U189" i="1" s="1"/>
  <c r="S189" i="1" s="1"/>
  <c r="T183" i="1"/>
  <c r="U183" i="1" s="1"/>
  <c r="S183" i="1" s="1"/>
  <c r="T181" i="1"/>
  <c r="U181" i="1" s="1"/>
  <c r="S181" i="1" s="1"/>
  <c r="T177" i="1"/>
  <c r="U177" i="1" s="1"/>
  <c r="S177" i="1" s="1"/>
  <c r="T173" i="1"/>
  <c r="U173" i="1" s="1"/>
  <c r="S173" i="1" s="1"/>
  <c r="T169" i="1"/>
  <c r="U169" i="1" s="1"/>
  <c r="S169" i="1" s="1"/>
  <c r="T165" i="1"/>
  <c r="U165" i="1" s="1"/>
  <c r="S165" i="1" s="1"/>
  <c r="T159" i="1"/>
  <c r="U159" i="1" s="1"/>
  <c r="S159" i="1" s="1"/>
  <c r="T218" i="1"/>
  <c r="U218" i="1" s="1"/>
  <c r="S218" i="1" s="1"/>
  <c r="T214" i="1"/>
  <c r="U214" i="1" s="1"/>
  <c r="S214" i="1" s="1"/>
  <c r="T210" i="1"/>
  <c r="U210" i="1" s="1"/>
  <c r="S210" i="1" s="1"/>
  <c r="R7" i="3"/>
  <c r="X152" i="1"/>
  <c r="W113" i="1"/>
  <c r="W109" i="1"/>
  <c r="W105" i="1"/>
  <c r="W97" i="1"/>
  <c r="W75" i="1"/>
  <c r="W54" i="1"/>
  <c r="T53" i="1"/>
  <c r="U53" i="1" s="1"/>
  <c r="S53" i="1" s="1"/>
  <c r="X53" i="1"/>
  <c r="W44" i="1"/>
  <c r="W138" i="1"/>
  <c r="W134" i="1"/>
  <c r="W133" i="1"/>
  <c r="W130" i="1"/>
  <c r="W129" i="1"/>
  <c r="W125" i="1"/>
  <c r="W122" i="1"/>
  <c r="W121" i="1"/>
  <c r="W118" i="1"/>
  <c r="W117" i="1"/>
  <c r="W114" i="1"/>
  <c r="W112" i="1"/>
  <c r="W108" i="1"/>
  <c r="W104" i="1"/>
  <c r="W76" i="1"/>
  <c r="T151" i="1"/>
  <c r="U151" i="1" s="1"/>
  <c r="S151" i="1" s="1"/>
  <c r="X151" i="1"/>
  <c r="T149" i="1"/>
  <c r="U149" i="1" s="1"/>
  <c r="S149" i="1" s="1"/>
  <c r="X149" i="1"/>
  <c r="T147" i="1"/>
  <c r="U147" i="1" s="1"/>
  <c r="S147" i="1" s="1"/>
  <c r="X147" i="1"/>
  <c r="T145" i="1"/>
  <c r="U145" i="1" s="1"/>
  <c r="S145" i="1" s="1"/>
  <c r="X145" i="1"/>
  <c r="T143" i="1"/>
  <c r="U143" i="1" s="1"/>
  <c r="S143" i="1" s="1"/>
  <c r="X143" i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X131" i="1"/>
  <c r="T129" i="1"/>
  <c r="U129" i="1" s="1"/>
  <c r="S129" i="1" s="1"/>
  <c r="X129" i="1"/>
  <c r="T127" i="1"/>
  <c r="U127" i="1" s="1"/>
  <c r="S127" i="1" s="1"/>
  <c r="X127" i="1"/>
  <c r="T125" i="1"/>
  <c r="U125" i="1" s="1"/>
  <c r="S125" i="1" s="1"/>
  <c r="X125" i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T117" i="1"/>
  <c r="U117" i="1" s="1"/>
  <c r="S117" i="1" s="1"/>
  <c r="X117" i="1"/>
  <c r="T115" i="1"/>
  <c r="U115" i="1" s="1"/>
  <c r="S115" i="1" s="1"/>
  <c r="X115" i="1"/>
  <c r="W47" i="1"/>
  <c r="W21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0" i="1"/>
  <c r="W66" i="1"/>
  <c r="T150" i="1"/>
  <c r="U150" i="1" s="1"/>
  <c r="S150" i="1" s="1"/>
  <c r="X150" i="1"/>
  <c r="T148" i="1"/>
  <c r="U148" i="1" s="1"/>
  <c r="S148" i="1" s="1"/>
  <c r="X148" i="1"/>
  <c r="T146" i="1"/>
  <c r="U146" i="1" s="1"/>
  <c r="S146" i="1" s="1"/>
  <c r="X146" i="1"/>
  <c r="T144" i="1"/>
  <c r="U144" i="1" s="1"/>
  <c r="S144" i="1" s="1"/>
  <c r="X144" i="1"/>
  <c r="T142" i="1"/>
  <c r="U142" i="1" s="1"/>
  <c r="S142" i="1" s="1"/>
  <c r="X142" i="1"/>
  <c r="T140" i="1"/>
  <c r="U140" i="1" s="1"/>
  <c r="S140" i="1" s="1"/>
  <c r="X140" i="1"/>
  <c r="T138" i="1"/>
  <c r="U138" i="1" s="1"/>
  <c r="S138" i="1" s="1"/>
  <c r="X138" i="1"/>
  <c r="T136" i="1"/>
  <c r="U136" i="1" s="1"/>
  <c r="S136" i="1" s="1"/>
  <c r="X136" i="1"/>
  <c r="T134" i="1"/>
  <c r="U134" i="1" s="1"/>
  <c r="S134" i="1" s="1"/>
  <c r="X134" i="1"/>
  <c r="T132" i="1"/>
  <c r="U132" i="1" s="1"/>
  <c r="S132" i="1" s="1"/>
  <c r="X132" i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105" i="1"/>
  <c r="U105" i="1" s="1"/>
  <c r="S105" i="1" s="1"/>
  <c r="X105" i="1"/>
  <c r="T104" i="1"/>
  <c r="U104" i="1" s="1"/>
  <c r="S104" i="1" s="1"/>
  <c r="X104" i="1"/>
  <c r="T103" i="1"/>
  <c r="U103" i="1" s="1"/>
  <c r="S103" i="1" s="1"/>
  <c r="X103" i="1"/>
  <c r="T102" i="1"/>
  <c r="U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X87" i="1"/>
  <c r="T86" i="1"/>
  <c r="U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T80" i="1"/>
  <c r="U80" i="1" s="1"/>
  <c r="S80" i="1" s="1"/>
  <c r="X80" i="1"/>
  <c r="T79" i="1"/>
  <c r="U79" i="1" s="1"/>
  <c r="S79" i="1" s="1"/>
  <c r="X79" i="1"/>
  <c r="T78" i="1"/>
  <c r="U78" i="1" s="1"/>
  <c r="S78" i="1" s="1"/>
  <c r="X78" i="1"/>
  <c r="W77" i="1"/>
  <c r="W50" i="1"/>
  <c r="W48" i="1"/>
  <c r="W43" i="1"/>
  <c r="W33" i="1"/>
  <c r="W72" i="1"/>
  <c r="W69" i="1"/>
  <c r="W65" i="1"/>
  <c r="W49" i="1"/>
  <c r="W45" i="1"/>
  <c r="T44" i="1"/>
  <c r="U44" i="1" s="1"/>
  <c r="S44" i="1" s="1"/>
  <c r="X44" i="1"/>
  <c r="W41" i="1"/>
  <c r="W37" i="1"/>
  <c r="W30" i="1"/>
  <c r="W23" i="1"/>
  <c r="W68" i="1"/>
  <c r="W64" i="1"/>
  <c r="W51" i="1"/>
  <c r="W34" i="1"/>
  <c r="W25" i="1"/>
  <c r="W17" i="1"/>
  <c r="W74" i="1"/>
  <c r="W71" i="1"/>
  <c r="W67" i="1"/>
  <c r="AA55" i="1"/>
  <c r="W55" i="1" s="1"/>
  <c r="W53" i="1"/>
  <c r="W52" i="1"/>
  <c r="W42" i="1"/>
  <c r="W29" i="1"/>
  <c r="W19" i="1"/>
  <c r="W63" i="1"/>
  <c r="W62" i="1"/>
  <c r="W61" i="1"/>
  <c r="W60" i="1"/>
  <c r="W59" i="1"/>
  <c r="W58" i="1"/>
  <c r="W57" i="1"/>
  <c r="T51" i="1"/>
  <c r="U51" i="1" s="1"/>
  <c r="S51" i="1" s="1"/>
  <c r="X51" i="1"/>
  <c r="T42" i="1"/>
  <c r="U42" i="1" s="1"/>
  <c r="S42" i="1" s="1"/>
  <c r="X42" i="1"/>
  <c r="T49" i="1"/>
  <c r="U49" i="1" s="1"/>
  <c r="S49" i="1" s="1"/>
  <c r="W36" i="1"/>
  <c r="W35" i="1"/>
  <c r="W32" i="1"/>
  <c r="W31" i="1"/>
  <c r="W28" i="1"/>
  <c r="W27" i="1"/>
  <c r="T55" i="1"/>
  <c r="U55" i="1" s="1"/>
  <c r="S55" i="1" s="1"/>
  <c r="X55" i="1"/>
  <c r="T47" i="1"/>
  <c r="U47" i="1" s="1"/>
  <c r="S47" i="1" s="1"/>
  <c r="AA26" i="1"/>
  <c r="W26" i="1" s="1"/>
  <c r="AA24" i="1"/>
  <c r="W24" i="1" s="1"/>
  <c r="AA22" i="1"/>
  <c r="W22" i="1" s="1"/>
  <c r="AA20" i="1"/>
  <c r="W20" i="1" s="1"/>
  <c r="AA18" i="1"/>
  <c r="W18" i="1" s="1"/>
  <c r="AA16" i="1"/>
  <c r="W16" i="1" s="1"/>
  <c r="W14" i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X22" i="1"/>
  <c r="T20" i="1"/>
  <c r="U20" i="1" s="1"/>
  <c r="S20" i="1" s="1"/>
  <c r="X20" i="1"/>
  <c r="T18" i="1"/>
  <c r="U18" i="1" s="1"/>
  <c r="S18" i="1" s="1"/>
  <c r="X18" i="1"/>
  <c r="T16" i="1"/>
  <c r="U16" i="1" s="1"/>
  <c r="S16" i="1" s="1"/>
  <c r="X16" i="1"/>
  <c r="T14" i="1"/>
  <c r="U14" i="1" s="1"/>
  <c r="S14" i="1" s="1"/>
  <c r="T56" i="1"/>
  <c r="U56" i="1" s="1"/>
  <c r="S56" i="1" s="1"/>
  <c r="X56" i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T37" i="1"/>
  <c r="U37" i="1" s="1"/>
  <c r="S37" i="1" s="1"/>
  <c r="X37" i="1"/>
  <c r="T35" i="1"/>
  <c r="U35" i="1" s="1"/>
  <c r="S35" i="1" s="1"/>
  <c r="X35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T21" i="1"/>
  <c r="U21" i="1" s="1"/>
  <c r="S21" i="1" s="1"/>
  <c r="X21" i="1"/>
  <c r="T19" i="1"/>
  <c r="U19" i="1" s="1"/>
  <c r="S19" i="1" s="1"/>
  <c r="X19" i="1"/>
  <c r="T17" i="1"/>
  <c r="U17" i="1" s="1"/>
  <c r="S17" i="1" s="1"/>
  <c r="X17" i="1"/>
  <c r="T15" i="1"/>
  <c r="U15" i="1" s="1"/>
  <c r="S15" i="1" s="1"/>
  <c r="X15" i="1"/>
  <c r="T19" i="3"/>
  <c r="T7" i="3"/>
  <c r="AD16" i="3"/>
  <c r="T13" i="3"/>
  <c r="AD13" i="3"/>
  <c r="AD15" i="3"/>
  <c r="T9" i="3"/>
  <c r="AD12" i="3"/>
  <c r="AD19" i="3"/>
  <c r="AE11" i="3"/>
  <c r="AD9" i="3"/>
  <c r="AD11" i="3"/>
  <c r="AD8" i="3"/>
  <c r="AC8" i="3"/>
  <c r="AC12" i="3"/>
  <c r="Y19" i="3"/>
  <c r="Y9" i="3"/>
  <c r="Y8" i="3"/>
  <c r="Y12" i="3"/>
  <c r="Y7" i="3"/>
  <c r="Y14" i="3"/>
  <c r="Y16" i="3"/>
  <c r="Y18" i="3"/>
  <c r="Y13" i="3"/>
  <c r="Y11" i="3"/>
  <c r="Y15" i="3"/>
  <c r="Y10" i="3"/>
  <c r="AE18" i="3"/>
  <c r="T16" i="3"/>
  <c r="AE14" i="3"/>
  <c r="AE10" i="3"/>
  <c r="T18" i="3"/>
  <c r="AE19" i="3"/>
  <c r="T11" i="3"/>
  <c r="AD18" i="3"/>
  <c r="T15" i="3"/>
  <c r="AD14" i="3"/>
  <c r="AE13" i="3"/>
  <c r="T10" i="3"/>
  <c r="AD10" i="3"/>
  <c r="AE9" i="3"/>
  <c r="T14" i="3"/>
  <c r="AE16" i="3"/>
  <c r="AE15" i="3"/>
  <c r="AE12" i="3"/>
  <c r="AE8" i="3"/>
  <c r="S86" i="1" l="1"/>
  <c r="S20" i="3"/>
  <c r="R20" i="3"/>
  <c r="M20" i="3"/>
  <c r="U20" i="3"/>
  <c r="V20" i="3"/>
  <c r="X20" i="3"/>
  <c r="W20" i="3"/>
  <c r="AC20" i="3" l="1"/>
  <c r="AD20" i="3"/>
  <c r="AE20" i="3"/>
  <c r="T20" i="3"/>
  <c r="Y20" i="3"/>
  <c r="AF13" i="1" l="1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N18" i="3" s="1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N10" i="3" s="1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N9" i="3" s="1"/>
  <c r="G109" i="4"/>
  <c r="G110" i="4"/>
  <c r="G111" i="4"/>
  <c r="G112" i="4"/>
  <c r="G113" i="4"/>
  <c r="G114" i="4"/>
  <c r="G115" i="4"/>
  <c r="G116" i="4"/>
  <c r="G117" i="4"/>
  <c r="G118" i="4"/>
  <c r="G119" i="4"/>
  <c r="N12" i="3" s="1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N15" i="3" s="1"/>
  <c r="G134" i="4"/>
  <c r="G135" i="4"/>
  <c r="G136" i="4"/>
  <c r="G137" i="4"/>
  <c r="G138" i="4"/>
  <c r="G139" i="4"/>
  <c r="N13" i="3" s="1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16" i="3" s="1"/>
  <c r="G204" i="4"/>
  <c r="G205" i="4"/>
  <c r="G206" i="4"/>
  <c r="G207" i="4"/>
  <c r="N11" i="3" s="1"/>
  <c r="G208" i="4"/>
  <c r="G209" i="4"/>
  <c r="G210" i="4"/>
  <c r="G211" i="4"/>
  <c r="G212" i="4"/>
  <c r="G213" i="4"/>
  <c r="G214" i="4"/>
  <c r="N14" i="3" s="1"/>
  <c r="G215" i="4"/>
  <c r="G216" i="4"/>
  <c r="G217" i="4"/>
  <c r="N19" i="3" s="1"/>
  <c r="G218" i="4"/>
  <c r="G219" i="4"/>
  <c r="G220" i="4"/>
  <c r="G221" i="4"/>
  <c r="G222" i="4"/>
  <c r="G223" i="4"/>
  <c r="G2" i="4"/>
  <c r="N8" i="3" l="1"/>
  <c r="N7" i="3"/>
  <c r="N20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<sst xmlns="http://schemas.openxmlformats.org/spreadsheetml/2006/main" count="2687" uniqueCount="1085">
  <si>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</si>
  <si>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</si>
  <si>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</si>
  <si>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</si>
  <si>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</si>
  <si>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</si>
  <si>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</si>
  <si>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</si>
  <si>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</si>
  <si>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</si>
  <si>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</si>
  <si>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</si>
  <si>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</si>
  <si>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</si>
  <si>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</si>
  <si>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</si>
  <si>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</si>
  <si>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</si>
  <si>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</si>
  <si>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</si>
  <si>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</si>
  <si>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</si>
  <si>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</si>
  <si>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</si>
  <si>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</si>
  <si>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</si>
  <si>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</si>
  <si>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</si>
  <si>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</si>
  <si>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</si>
  <si>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</si>
  <si>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</si>
  <si>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</si>
  <si>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</si>
  <si>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</si>
  <si>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</si>
  <si>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</si>
  <si>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</si>
  <si>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</si>
  <si>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</si>
  <si>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</si>
  <si>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</si>
  <si>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</si>
  <si>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</si>
  <si>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</si>
  <si>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</si>
  <si>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</si>
  <si>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</si>
  <si>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</si>
  <si>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</si>
  <si>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</si>
  <si>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</si>
  <si>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</si>
  <si>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</si>
  <si>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</si>
  <si>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</si>
  <si>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</si>
  <si>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</si>
  <si>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</si>
  <si>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</si>
  <si>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</si>
  <si>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</si>
  <si>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</si>
  <si>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</si>
  <si>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</si>
  <si>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</si>
  <si>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</si>
  <si>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</si>
  <si>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</si>
  <si>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</si>
  <si>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</si>
  <si>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</si>
  <si>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</si>
  <si>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</si>
  <si>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</si>
  <si>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</si>
  <si>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</si>
  <si>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</si>
  <si>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</si>
  <si>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</si>
  <si>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</si>
  <si>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</si>
  <si>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</si>
  <si>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</si>
  <si>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</si>
  <si>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</si>
  <si>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</si>
  <si>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</si>
  <si>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</si>
  <si>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</si>
  <si>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</si>
  <si>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</si>
  <si>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</si>
  <si>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</si>
  <si>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</si>
  <si>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</si>
  <si>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</si>
  <si>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</si>
  <si>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</si>
  <si>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</si>
  <si>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</si>
  <si>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</si>
  <si>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</si>
  <si>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</si>
  <si>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</si>
  <si>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</si>
  <si>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</si>
  <si>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</si>
  <si>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</si>
  <si>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</si>
  <si>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</si>
  <si>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</si>
  <si>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</si>
  <si>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</si>
  <si>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</si>
  <si>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</si>
  <si>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</si>
  <si>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</si>
  <si>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</si>
  <si>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</si>
  <si>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</si>
  <si>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</si>
  <si>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</si>
  <si>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</si>
  <si>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</si>
  <si>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</si>
  <si>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</si>
  <si>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</si>
  <si>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</si>
  <si>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</si>
  <si>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</si>
  <si>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</si>
  <si>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</si>
  <si>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</si>
  <si>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</si>
  <si>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</si>
  <si>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</si>
  <si>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</si>
  <si>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</si>
  <si>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</si>
  <si>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</si>
  <si>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</si>
  <si>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</si>
  <si>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</si>
  <si>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</si>
  <si>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</si>
  <si>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</si>
  <si>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</si>
  <si>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</si>
  <si>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</si>
  <si>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</si>
  <si>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</si>
  <si>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</si>
  <si>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</si>
  <si>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</si>
  <si>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</si>
  <si>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</si>
  <si>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</si>
  <si>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</si>
  <si>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</si>
  <si>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</si>
  <si>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</si>
  <si>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</si>
  <si>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</si>
  <si>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</si>
  <si>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</si>
  <si>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</si>
  <si>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</si>
  <si>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</si>
  <si>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</si>
  <si>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</si>
  <si>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</si>
  <si>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</si>
  <si>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</si>
  <si>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</si>
  <si>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</si>
  <si>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</si>
  <si>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</si>
  <si>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</si>
  <si>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</si>
  <si>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</si>
  <si>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</si>
  <si>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</si>
  <si>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</si>
  <si>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</si>
  <si>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</si>
  <si>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</si>
  <si>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</si>
  <si>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</si>
  <si>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</si>
  <si>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</si>
  <si>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</si>
  <si>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</si>
  <si>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</si>
  <si>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</si>
  <si>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</si>
  <si>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</si>
  <si>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</si>
  <si>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</si>
  <si>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</si>
  <si>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</si>
  <si>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</si>
  <si>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</si>
  <si>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</si>
  <si>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</si>
  <si>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</si>
  <si>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</si>
  <si>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</si>
  <si>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</si>
  <si>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</si>
  <si>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</si>
  <si>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</si>
  <si>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</si>
  <si>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</si>
  <si>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</si>
  <si>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</si>
  <si>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</si>
  <si>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</si>
  <si>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</si>
  <si>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</si>
  <si>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</si>
  <si>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</si>
  <si>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</si>
  <si>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</si>
  <si>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</si>
  <si>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</si>
  <si>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</si>
  <si>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</si>
  <si>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</si>
  <si>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</si>
  <si>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</si>
  <si>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</si>
  <si>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</si>
  <si>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</si>
  <si>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</si>
  <si>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</si>
  <si>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</si>
  <si>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</si>
  <si>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</si>
  <si>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</si>
  <si>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</si>
  <si>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</si>
  <si>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</si>
  <si>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</si>
  <si>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</si>
  <si>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</si>
  <si>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</si>
  <si>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</si>
  <si>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</si>
  <si>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</si>
  <si>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</si>
  <si>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</si>
  <si>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</si>
  <si>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</si>
  <si>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</si>
  <si>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</si>
  <si>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</si>
  <si>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</si>
  <si>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</si>
  <si>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</si>
  <si>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</si>
  <si>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</si>
  <si>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</si>
  <si>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</si>
  <si>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</si>
  <si>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</si>
  <si>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</si>
  <si>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</si>
  <si>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</si>
  <si>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</si>
  <si>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</si>
  <si>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</si>
  <si>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</si>
  <si>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</si>
  <si>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</si>
  <si>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</si>
  <si>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</si>
  <si>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</si>
  <si>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</si>
  <si>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</si>
  <si>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</si>
  <si>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</si>
  <si>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</si>
  <si>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</si>
  <si>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</si>
  <si>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</si>
  <si>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</si>
  <si>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</si>
  <si>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</si>
  <si>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</si>
  <si>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</si>
  <si>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</si>
  <si>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</si>
  <si>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</si>
  <si>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</si>
  <si>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</si>
  <si>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</si>
  <si>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</si>
  <si>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</si>
  <si>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</si>
  <si>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</si>
  <si>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</si>
  <si>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</si>
  <si>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</si>
  <si>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</si>
  <si>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</si>
  <si>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</si>
  <si>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</si>
  <si>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</si>
  <si>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</si>
  <si>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</si>
  <si>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</si>
  <si>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</si>
  <si>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</si>
  <si>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</si>
  <si>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</si>
  <si>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</si>
  <si>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</si>
  <si>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</si>
  <si>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</si>
  <si>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</si>
  <si>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</si>
  <si>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</si>
  <si>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</si>
  <si>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</si>
  <si>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</si>
  <si>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</si>
  <si>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</si>
  <si>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</si>
  <si>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</si>
  <si>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</si>
  <si>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</si>
  <si>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</si>
  <si>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</si>
  <si>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</si>
  <si>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</si>
  <si>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</si>
  <si>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</si>
  <si>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</si>
  <si>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</si>
  <si>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</si>
  <si>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</si>
  <si>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</si>
  <si>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</si>
  <si>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</si>
  <si>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</si>
  <si>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</si>
  <si>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</si>
  <si>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</si>
  <si>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</si>
  <si>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</si>
  <si>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</si>
  <si>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</si>
  <si>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</si>
  <si>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</si>
  <si>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</si>
  <si>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</si>
  <si>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</si>
  <si>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</si>
  <si>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</si>
  <si>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</si>
  <si>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</si>
  <si>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</si>
  <si>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</si>
  <si>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</si>
  <si>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</si>
  <si>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</si>
  <si>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</si>
  <si>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</si>
  <si>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</si>
  <si>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</si>
  <si>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</si>
  <si>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</si>
  <si>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</si>
  <si>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</si>
  <si>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</si>
  <si>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</si>
  <si>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</si>
  <si>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</si>
  <si>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</si>
  <si>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</si>
  <si>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</si>
  <si>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</si>
  <si>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</si>
  <si>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</si>
  <si>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</si>
  <si>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</si>
  <si>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</si>
  <si>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</si>
  <si>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</si>
  <si>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</si>
  <si>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</si>
  <si>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</si>
  <si>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</si>
  <si>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</si>
  <si>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</si>
  <si>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</si>
  <si>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</si>
  <si>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</si>
  <si>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</si>
  <si>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</si>
  <si>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</si>
  <si>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</si>
  <si>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</si>
  <si>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</si>
  <si>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</si>
  <si>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</si>
  <si>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</si>
  <si>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</si>
  <si>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</si>
  <si>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</si>
  <si>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</si>
  <si>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</si>
  <si>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</si>
  <si>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</si>
  <si>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</si>
  <si>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</si>
  <si>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</si>
  <si>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</si>
  <si>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</si>
  <si>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</si>
  <si>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</si>
  <si>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</si>
  <si>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</si>
  <si>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</si>
  <si>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</si>
  <si>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</si>
  <si>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</si>
  <si>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</si>
  <si>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</si>
  <si>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</si>
  <si>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</si>
  <si>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</si>
  <si>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</si>
  <si>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</si>
  <si>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</si>
  <si>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</si>
  <si>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</si>
  <si>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</si>
  <si>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</si>
  <si>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</si>
  <si>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</si>
  <si>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</si>
  <si>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</si>
  <si>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</si>
  <si>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</si>
  <si>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</si>
  <si>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</si>
  <si>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</si>
  <si>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</si>
  <si>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</si>
  <si>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</si>
  <si>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</si>
  <si>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</si>
  <si>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</si>
  <si>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</si>
  <si>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</si>
  <si>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</si>
  <si>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</si>
  <si>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</si>
  <si>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</si>
  <si>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</si>
  <si>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</si>
  <si>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Wi-MAX data drop</t>
  </si>
  <si>
    <t>HAMMOND</t>
  </si>
  <si>
    <t>JUSTYNN</t>
  </si>
  <si>
    <t>313-17</t>
  </si>
  <si>
    <t>rtdc.l.rtdc.4053:itc</t>
  </si>
  <si>
    <t>rtdc.l.rtdc.4009:itc</t>
  </si>
  <si>
    <t>204:508</t>
  </si>
  <si>
    <t>rtdc.l.rtdc.4044:itc</t>
  </si>
  <si>
    <t>rtdc.l.rtdc.4043:itc</t>
  </si>
  <si>
    <t>204:194</t>
  </si>
  <si>
    <t>204:198</t>
  </si>
  <si>
    <t>204:517</t>
  </si>
  <si>
    <t>204:221</t>
  </si>
  <si>
    <t>204:233261</t>
  </si>
  <si>
    <t>204:504</t>
  </si>
  <si>
    <t>204:233295</t>
  </si>
  <si>
    <t>204:233293</t>
  </si>
  <si>
    <t>204:232959</t>
  </si>
  <si>
    <t>STEWART</t>
  </si>
  <si>
    <t>DAVID</t>
  </si>
  <si>
    <t>204:200</t>
  </si>
  <si>
    <t>SPECTOR</t>
  </si>
  <si>
    <t>DAVIDSON</t>
  </si>
  <si>
    <t>YANAI</t>
  </si>
  <si>
    <t>IAN</t>
  </si>
  <si>
    <t>ROBINSON</t>
  </si>
  <si>
    <t>KADDIBA</t>
  </si>
  <si>
    <t>204:232998</t>
  </si>
  <si>
    <t>204:232977</t>
  </si>
  <si>
    <t>204:531</t>
  </si>
  <si>
    <t>Early Arrival</t>
  </si>
  <si>
    <t>FORTUNATO</t>
  </si>
  <si>
    <t>FRANK</t>
  </si>
  <si>
    <t>NEWELL</t>
  </si>
  <si>
    <t>204:216</t>
  </si>
  <si>
    <t>204:444</t>
  </si>
  <si>
    <t>204:149</t>
  </si>
  <si>
    <t>204:453</t>
  </si>
  <si>
    <t>204:233291</t>
  </si>
  <si>
    <t>204:446</t>
  </si>
  <si>
    <t>204:209</t>
  </si>
  <si>
    <t>204:553</t>
  </si>
  <si>
    <t>rtdc.l.rtdc.4020:itc</t>
  </si>
  <si>
    <t>309-20</t>
  </si>
  <si>
    <t>rtdc.l.rtdc.4019:itc</t>
  </si>
  <si>
    <t>236-20</t>
  </si>
  <si>
    <t>239-20</t>
  </si>
  <si>
    <t>908-20</t>
  </si>
  <si>
    <t>241-20</t>
  </si>
  <si>
    <t>238-20</t>
  </si>
  <si>
    <t>243-20</t>
  </si>
  <si>
    <t>240-20</t>
  </si>
  <si>
    <t>313-20</t>
  </si>
  <si>
    <t>242-20</t>
  </si>
  <si>
    <t>307-20</t>
  </si>
  <si>
    <t>244-20</t>
  </si>
  <si>
    <t>311-20</t>
  </si>
  <si>
    <t>300-21</t>
  </si>
  <si>
    <t>204:233264</t>
  </si>
  <si>
    <t>204:526</t>
  </si>
  <si>
    <t>204:506</t>
  </si>
  <si>
    <t>204:205</t>
  </si>
  <si>
    <t>204:519</t>
  </si>
  <si>
    <t>204:218</t>
  </si>
  <si>
    <t>204:227</t>
  </si>
  <si>
    <t>300:23306</t>
  </si>
  <si>
    <t>204:493</t>
  </si>
  <si>
    <t>204:455</t>
  </si>
  <si>
    <t>204:146</t>
  </si>
  <si>
    <t>300:58619</t>
  </si>
  <si>
    <t>rtdc.l.rtdc.4006:itc</t>
  </si>
  <si>
    <t>rtdc.l.rtdc.4005:itc</t>
  </si>
  <si>
    <t>ANDERS</t>
  </si>
  <si>
    <t>STEVEN</t>
  </si>
  <si>
    <t>204:233297</t>
  </si>
  <si>
    <t>204:458</t>
  </si>
  <si>
    <t>204:220</t>
  </si>
  <si>
    <t>204:509</t>
  </si>
  <si>
    <t>204:489</t>
  </si>
  <si>
    <t>204:232955</t>
  </si>
  <si>
    <t>204:542</t>
  </si>
  <si>
    <t>204:528</t>
  </si>
  <si>
    <t>204:232898</t>
  </si>
  <si>
    <t>204:549</t>
  </si>
  <si>
    <t>300:58662</t>
  </si>
  <si>
    <t>204:140</t>
  </si>
  <si>
    <t>204:155</t>
  </si>
  <si>
    <t>204:153</t>
  </si>
  <si>
    <t>:.+?(?&gt;(PRM\|1\|D)|(KPR)|(KDP)|(train st[a-z]+ moving)|(SYSTEM_STATE:s[a-z]+ state changed)|(Enforcement Action)|(\[TIMEOUT)|(parse_ebi_status: Penalty)|(\|GPPS))</t>
  </si>
  <si>
    <t>rtdc.l.rtdc.4041:itc</t>
  </si>
  <si>
    <t>rtdc.l.rtdc.4042:itc</t>
  </si>
  <si>
    <t>rtdc.l.rtdc.4031:itc</t>
  </si>
  <si>
    <t>rtdc.l.rtdc.4032:itc</t>
  </si>
  <si>
    <t>rtdc.l.rtdc.4021:itc</t>
  </si>
  <si>
    <t>LONG</t>
  </si>
  <si>
    <t>FULLER</t>
  </si>
  <si>
    <t>BRUDER</t>
  </si>
  <si>
    <t>RICHARD</t>
  </si>
  <si>
    <t>KILLION</t>
  </si>
  <si>
    <t>ZEWDU</t>
  </si>
  <si>
    <t>DEREJE</t>
  </si>
  <si>
    <t>rtdc.l.rtdc.4016:itc</t>
  </si>
  <si>
    <t>204:233284</t>
  </si>
  <si>
    <t>204:232984</t>
  </si>
  <si>
    <t>204:160</t>
  </si>
  <si>
    <t>204:451</t>
  </si>
  <si>
    <t>204:141</t>
  </si>
  <si>
    <t>204:232964</t>
  </si>
  <si>
    <t>204:232976</t>
  </si>
  <si>
    <t>204:232987</t>
  </si>
  <si>
    <t>204:469</t>
  </si>
  <si>
    <t>204:515</t>
  </si>
  <si>
    <t>204:232996</t>
  </si>
  <si>
    <t>204:233208</t>
  </si>
  <si>
    <t>204:232896</t>
  </si>
  <si>
    <t>204:533</t>
  </si>
  <si>
    <t>204:232957</t>
  </si>
  <si>
    <t>204:233280</t>
  </si>
  <si>
    <t>204:562</t>
  </si>
  <si>
    <t>204:232892</t>
  </si>
  <si>
    <t>204:231</t>
  </si>
  <si>
    <t>204:214</t>
  </si>
  <si>
    <t>204:232982</t>
  </si>
  <si>
    <t>204:539</t>
  </si>
  <si>
    <t>204:233244</t>
  </si>
  <si>
    <t>204:233317</t>
  </si>
  <si>
    <t>204:150</t>
  </si>
  <si>
    <t>204:178</t>
  </si>
  <si>
    <t>204:143</t>
  </si>
  <si>
    <t>300:58672</t>
  </si>
  <si>
    <t>204:162</t>
  </si>
  <si>
    <t>204:142</t>
  </si>
  <si>
    <t>204:459</t>
  </si>
  <si>
    <t>300:58971</t>
  </si>
  <si>
    <t>300:58933</t>
  </si>
  <si>
    <t>300:58649</t>
  </si>
  <si>
    <t>300:58937</t>
  </si>
  <si>
    <t>rtdc.l.rtdc.4003:itc</t>
  </si>
  <si>
    <t>rtdc.l.rtdc.4046:itc</t>
  </si>
  <si>
    <t>307-27</t>
  </si>
  <si>
    <t>rtdc.l.rtdc.4045:itc</t>
  </si>
  <si>
    <t>GEBRETEKLE</t>
  </si>
  <si>
    <t>DAGNEW</t>
  </si>
  <si>
    <t>HOLCOMB</t>
  </si>
  <si>
    <t>KAMDEN</t>
  </si>
  <si>
    <t>LORI</t>
  </si>
  <si>
    <t>SANTOS</t>
  </si>
  <si>
    <t>rtdc.l.rtdc.4004:itc</t>
  </si>
  <si>
    <t>313-27</t>
  </si>
  <si>
    <t>242-27</t>
  </si>
  <si>
    <t>244-27</t>
  </si>
  <si>
    <t>309-27</t>
  </si>
  <si>
    <t>311-27</t>
  </si>
  <si>
    <t>300-28</t>
  </si>
  <si>
    <t>clear-day</t>
  </si>
  <si>
    <t>204:232950</t>
  </si>
  <si>
    <t>204:233319</t>
  </si>
  <si>
    <t>204:464</t>
  </si>
  <si>
    <t>204:233282</t>
  </si>
  <si>
    <t>204:232961</t>
  </si>
  <si>
    <t>204:232953</t>
  </si>
  <si>
    <t>204:535</t>
  </si>
  <si>
    <t>204:233011</t>
  </si>
  <si>
    <t>204:211</t>
  </si>
  <si>
    <t>204:520</t>
  </si>
  <si>
    <t>204:232867</t>
  </si>
  <si>
    <t>204:233312</t>
  </si>
  <si>
    <t>204:232985</t>
  </si>
  <si>
    <t>204:233274</t>
  </si>
  <si>
    <t>204:212</t>
  </si>
  <si>
    <t>204:233025</t>
  </si>
  <si>
    <t>204:223</t>
  </si>
  <si>
    <t>204:169</t>
  </si>
  <si>
    <t>204:233276</t>
  </si>
  <si>
    <t>204:529</t>
  </si>
  <si>
    <t>204:233305</t>
  </si>
  <si>
    <t>204:232965</t>
  </si>
  <si>
    <t>204:232979</t>
  </si>
  <si>
    <t>204:191</t>
  </si>
  <si>
    <t>204:181</t>
  </si>
  <si>
    <t>204:233215</t>
  </si>
  <si>
    <t>204:473</t>
  </si>
  <si>
    <t>204:233270</t>
  </si>
  <si>
    <t>204:233306</t>
  </si>
  <si>
    <t>204:232975</t>
  </si>
  <si>
    <t>204:475</t>
  </si>
  <si>
    <t>204:233251</t>
  </si>
  <si>
    <t>204:233210</t>
  </si>
  <si>
    <t>204:488</t>
  </si>
  <si>
    <t>204:232874</t>
  </si>
  <si>
    <t>204:229</t>
  </si>
  <si>
    <t>204:238</t>
  </si>
  <si>
    <t>204:232949</t>
  </si>
  <si>
    <t>204:232944</t>
  </si>
  <si>
    <t>204:232951</t>
  </si>
  <si>
    <t>204:495</t>
  </si>
  <si>
    <t>204:161</t>
  </si>
  <si>
    <t>300:23299</t>
  </si>
  <si>
    <t>300:58645</t>
  </si>
  <si>
    <t>204:151</t>
  </si>
  <si>
    <t>300:58956</t>
  </si>
  <si>
    <t>204:144</t>
  </si>
  <si>
    <t>300:58638</t>
  </si>
  <si>
    <t>204:435</t>
  </si>
  <si>
    <t>204:450</t>
  </si>
  <si>
    <t>300:58630</t>
  </si>
  <si>
    <t>300:58948</t>
  </si>
  <si>
    <t>300:58683</t>
  </si>
  <si>
    <t>300:23605</t>
  </si>
  <si>
    <t>204:148</t>
  </si>
  <si>
    <t>310-28</t>
  </si>
  <si>
    <t>TRACK WARRANT AUTHORITY</t>
  </si>
  <si>
    <t>Form based authority (4)</t>
  </si>
  <si>
    <t>rtdc.l.rtdc.4015:itc</t>
  </si>
  <si>
    <t>806-28</t>
  </si>
  <si>
    <t>809-28</t>
  </si>
  <si>
    <t>811-28</t>
  </si>
  <si>
    <t>rtdc.l.rtdc.4013:itc</t>
  </si>
  <si>
    <t>134-28</t>
  </si>
  <si>
    <t>149-28</t>
  </si>
  <si>
    <t>815-28</t>
  </si>
  <si>
    <t>166-28</t>
  </si>
  <si>
    <t>rtdc.l.rtdc.4063:itc</t>
  </si>
  <si>
    <t>174-28</t>
  </si>
  <si>
    <t>184-28</t>
  </si>
  <si>
    <t>188-28</t>
  </si>
  <si>
    <t>198-28</t>
  </si>
  <si>
    <t>220-28</t>
  </si>
  <si>
    <t>845-28</t>
  </si>
  <si>
    <t>230-28</t>
  </si>
  <si>
    <t>rtdc.l.rtdc.4014:itc</t>
  </si>
  <si>
    <t>233-28</t>
  </si>
  <si>
    <t>237-28</t>
  </si>
  <si>
    <t>908-28</t>
  </si>
  <si>
    <t>85-28</t>
  </si>
  <si>
    <t>101-28</t>
  </si>
  <si>
    <t>86-28</t>
  </si>
  <si>
    <t>302-28</t>
  </si>
  <si>
    <t>MAELZER</t>
  </si>
  <si>
    <t>KURT</t>
  </si>
  <si>
    <t>103-28</t>
  </si>
  <si>
    <t>304-28</t>
  </si>
  <si>
    <t>306-28</t>
  </si>
  <si>
    <t>102-28</t>
  </si>
  <si>
    <t>105-28</t>
  </si>
  <si>
    <t>308-28</t>
  </si>
  <si>
    <t>DONTE</t>
  </si>
  <si>
    <t>107-28</t>
  </si>
  <si>
    <t>rtdc.l.rtdc.4056:itc</t>
  </si>
  <si>
    <t>109-28</t>
  </si>
  <si>
    <t>104-28</t>
  </si>
  <si>
    <t>901-28</t>
  </si>
  <si>
    <t>111-28</t>
  </si>
  <si>
    <t>106-28</t>
  </si>
  <si>
    <t>113-28</t>
  </si>
  <si>
    <t>800-28</t>
  </si>
  <si>
    <t>108-28</t>
  </si>
  <si>
    <t>312-28</t>
  </si>
  <si>
    <t>115-28</t>
  </si>
  <si>
    <t>801-28</t>
  </si>
  <si>
    <t>rtdc.l.rtdc.4064:itc</t>
  </si>
  <si>
    <t>117-28</t>
  </si>
  <si>
    <t>110-28</t>
  </si>
  <si>
    <t>112-28</t>
  </si>
  <si>
    <t>902-28</t>
  </si>
  <si>
    <t>114-28</t>
  </si>
  <si>
    <t>119-28</t>
  </si>
  <si>
    <t>802-28</t>
  </si>
  <si>
    <t>803-28</t>
  </si>
  <si>
    <t>121-28</t>
  </si>
  <si>
    <t>PAGE</t>
  </si>
  <si>
    <t>MARCUS</t>
  </si>
  <si>
    <t>116-28</t>
  </si>
  <si>
    <t>118-28</t>
  </si>
  <si>
    <t>123-28</t>
  </si>
  <si>
    <t>804-28</t>
  </si>
  <si>
    <t>805-28</t>
  </si>
  <si>
    <t>125-28</t>
  </si>
  <si>
    <t>120-28</t>
  </si>
  <si>
    <t>127-28</t>
  </si>
  <si>
    <t>122-28</t>
  </si>
  <si>
    <t>807-28</t>
  </si>
  <si>
    <t>129-28</t>
  </si>
  <si>
    <t>124-28</t>
  </si>
  <si>
    <t>131-28</t>
  </si>
  <si>
    <t>808-28</t>
  </si>
  <si>
    <t>126-28</t>
  </si>
  <si>
    <t>128-28</t>
  </si>
  <si>
    <t>133-28</t>
  </si>
  <si>
    <t>135-28</t>
  </si>
  <si>
    <t>810-28</t>
  </si>
  <si>
    <t>130-28</t>
  </si>
  <si>
    <t>137-28</t>
  </si>
  <si>
    <t>132-28</t>
  </si>
  <si>
    <t>139-28</t>
  </si>
  <si>
    <t>812-28</t>
  </si>
  <si>
    <t>903-28</t>
  </si>
  <si>
    <t>136-28</t>
  </si>
  <si>
    <t>141-28</t>
  </si>
  <si>
    <t>143-28</t>
  </si>
  <si>
    <t>813-28</t>
  </si>
  <si>
    <t>138-28</t>
  </si>
  <si>
    <t>140-28</t>
  </si>
  <si>
    <t>145-28</t>
  </si>
  <si>
    <t>147-28</t>
  </si>
  <si>
    <t>142-28</t>
  </si>
  <si>
    <t>814-28</t>
  </si>
  <si>
    <t>144-28</t>
  </si>
  <si>
    <t>151-28</t>
  </si>
  <si>
    <t>146-28</t>
  </si>
  <si>
    <t>153-28</t>
  </si>
  <si>
    <t>148-28</t>
  </si>
  <si>
    <t>155-28</t>
  </si>
  <si>
    <t>150-28</t>
  </si>
  <si>
    <t>816-28</t>
  </si>
  <si>
    <t>157-28</t>
  </si>
  <si>
    <t>BADERTSCHER</t>
  </si>
  <si>
    <t>DIANE</t>
  </si>
  <si>
    <t>152-28</t>
  </si>
  <si>
    <t>159-28</t>
  </si>
  <si>
    <t>817-28</t>
  </si>
  <si>
    <t>154-28</t>
  </si>
  <si>
    <t>156-28</t>
  </si>
  <si>
    <t>161-28</t>
  </si>
  <si>
    <t>163-28</t>
  </si>
  <si>
    <t>818-28</t>
  </si>
  <si>
    <t>158-28</t>
  </si>
  <si>
    <t>160-28</t>
  </si>
  <si>
    <t>165-28</t>
  </si>
  <si>
    <t>167-28</t>
  </si>
  <si>
    <t>819-28</t>
  </si>
  <si>
    <t>162-28</t>
  </si>
  <si>
    <t>169-28</t>
  </si>
  <si>
    <t>164-28</t>
  </si>
  <si>
    <t>171-28</t>
  </si>
  <si>
    <t>820-28</t>
  </si>
  <si>
    <t>173-28</t>
  </si>
  <si>
    <t>168-28</t>
  </si>
  <si>
    <t>175-28</t>
  </si>
  <si>
    <t>170-28</t>
  </si>
  <si>
    <t>821-28</t>
  </si>
  <si>
    <t>177-28</t>
  </si>
  <si>
    <t>172-28</t>
  </si>
  <si>
    <t>822-28</t>
  </si>
  <si>
    <t>179-28</t>
  </si>
  <si>
    <t>181-28</t>
  </si>
  <si>
    <t>183-28</t>
  </si>
  <si>
    <t>176-28</t>
  </si>
  <si>
    <t>178-28</t>
  </si>
  <si>
    <t>823-28</t>
  </si>
  <si>
    <t>180-28</t>
  </si>
  <si>
    <t>185-28</t>
  </si>
  <si>
    <t>187-28</t>
  </si>
  <si>
    <t>824-28</t>
  </si>
  <si>
    <t>182-28</t>
  </si>
  <si>
    <t>189-28</t>
  </si>
  <si>
    <t>191-28</t>
  </si>
  <si>
    <t>186-28</t>
  </si>
  <si>
    <t>825-28</t>
  </si>
  <si>
    <t>193-28</t>
  </si>
  <si>
    <t>904-28</t>
  </si>
  <si>
    <t>826-28</t>
  </si>
  <si>
    <t>195-28</t>
  </si>
  <si>
    <t>827-28</t>
  </si>
  <si>
    <t>190-28</t>
  </si>
  <si>
    <t>197-28</t>
  </si>
  <si>
    <t>192-28</t>
  </si>
  <si>
    <t>199-28</t>
  </si>
  <si>
    <t>828-28</t>
  </si>
  <si>
    <t>194-28</t>
  </si>
  <si>
    <t>75-28</t>
  </si>
  <si>
    <t>STRICKLAND</t>
  </si>
  <si>
    <t>EVAN</t>
  </si>
  <si>
    <t>829-28</t>
  </si>
  <si>
    <t>201-28</t>
  </si>
  <si>
    <t>196-28</t>
  </si>
  <si>
    <t>203-28</t>
  </si>
  <si>
    <t>830-28</t>
  </si>
  <si>
    <t>831-28</t>
  </si>
  <si>
    <t>205-28</t>
  </si>
  <si>
    <t>200-28</t>
  </si>
  <si>
    <t>207-28</t>
  </si>
  <si>
    <t>832-28</t>
  </si>
  <si>
    <t>77-28</t>
  </si>
  <si>
    <t>833-28</t>
  </si>
  <si>
    <t>202-28</t>
  </si>
  <si>
    <t>209-28</t>
  </si>
  <si>
    <t>204-28</t>
  </si>
  <si>
    <t>211-28</t>
  </si>
  <si>
    <t>834-28</t>
  </si>
  <si>
    <t>835-28</t>
  </si>
  <si>
    <t>206-28</t>
  </si>
  <si>
    <t>88-28</t>
  </si>
  <si>
    <t>213-28</t>
  </si>
  <si>
    <t>208-28</t>
  </si>
  <si>
    <t>215-28</t>
  </si>
  <si>
    <t>836-28</t>
  </si>
  <si>
    <t>210-28</t>
  </si>
  <si>
    <t>837-28</t>
  </si>
  <si>
    <t>217-28</t>
  </si>
  <si>
    <t>ELBAUM</t>
  </si>
  <si>
    <t>MIKE</t>
  </si>
  <si>
    <t>212-28</t>
  </si>
  <si>
    <t>219-28</t>
  </si>
  <si>
    <t>838-28</t>
  </si>
  <si>
    <t>839-28</t>
  </si>
  <si>
    <t>301-28</t>
  </si>
  <si>
    <t>214-28</t>
  </si>
  <si>
    <t>216-28</t>
  </si>
  <si>
    <t>218-28</t>
  </si>
  <si>
    <t>906-28</t>
  </si>
  <si>
    <t>221-28</t>
  </si>
  <si>
    <t>841-28</t>
  </si>
  <si>
    <t>303-28</t>
  </si>
  <si>
    <t>223-28</t>
  </si>
  <si>
    <t>840-28</t>
  </si>
  <si>
    <t>225-28</t>
  </si>
  <si>
    <t>222-28</t>
  </si>
  <si>
    <t>843-28</t>
  </si>
  <si>
    <t>305-28</t>
  </si>
  <si>
    <t>224-28</t>
  </si>
  <si>
    <t>227-28</t>
  </si>
  <si>
    <t>842-28</t>
  </si>
  <si>
    <t>226-28</t>
  </si>
  <si>
    <t>229-28</t>
  </si>
  <si>
    <t>231-28</t>
  </si>
  <si>
    <t>228-28</t>
  </si>
  <si>
    <t>844-28</t>
  </si>
  <si>
    <t>847-28</t>
  </si>
  <si>
    <t>235-28</t>
  </si>
  <si>
    <t>232-28</t>
  </si>
  <si>
    <t>846-28</t>
  </si>
  <si>
    <t>234-28</t>
  </si>
  <si>
    <t>849-28</t>
  </si>
  <si>
    <t>236-28</t>
  </si>
  <si>
    <t>239-28</t>
  </si>
  <si>
    <t>241-28</t>
  </si>
  <si>
    <t>238-28</t>
  </si>
  <si>
    <t>240-28</t>
  </si>
  <si>
    <t>243-28</t>
  </si>
  <si>
    <t>242-28</t>
  </si>
  <si>
    <t>313-28</t>
  </si>
  <si>
    <t>307-28</t>
  </si>
  <si>
    <t>244-28</t>
  </si>
  <si>
    <t>309-28</t>
  </si>
  <si>
    <t>311-28</t>
  </si>
  <si>
    <t>54-29</t>
  </si>
  <si>
    <t>CHANDLER</t>
  </si>
  <si>
    <t>KELVIN</t>
  </si>
  <si>
    <t>55-29</t>
  </si>
  <si>
    <t>300-29</t>
  </si>
  <si>
    <t>204:770</t>
  </si>
  <si>
    <t>204:145</t>
  </si>
  <si>
    <t>204:491</t>
  </si>
  <si>
    <t>204:233302</t>
  </si>
  <si>
    <t>204:232930</t>
  </si>
  <si>
    <t>204:233289</t>
  </si>
  <si>
    <t>204:154</t>
  </si>
  <si>
    <t>204:564</t>
  </si>
  <si>
    <t>204:254</t>
  </si>
  <si>
    <t>204:498</t>
  </si>
  <si>
    <t>204:233321</t>
  </si>
  <si>
    <t>204:196</t>
  </si>
  <si>
    <t>204:233303</t>
  </si>
  <si>
    <t>204:180</t>
  </si>
  <si>
    <t>204:232973</t>
  </si>
  <si>
    <t>204:233331</t>
  </si>
  <si>
    <t>204:233309</t>
  </si>
  <si>
    <t>204:232988</t>
  </si>
  <si>
    <t>204:522</t>
  </si>
  <si>
    <t>204:233286</t>
  </si>
  <si>
    <t>204:513</t>
  </si>
  <si>
    <t>204:233298</t>
  </si>
  <si>
    <t>204:233006</t>
  </si>
  <si>
    <t>204:233178</t>
  </si>
  <si>
    <t>204:232911</t>
  </si>
  <si>
    <t>204:232983</t>
  </si>
  <si>
    <t>204:232967</t>
  </si>
  <si>
    <t>204:438</t>
  </si>
  <si>
    <t>204:233272</t>
  </si>
  <si>
    <t>204:207</t>
  </si>
  <si>
    <t>204:511</t>
  </si>
  <si>
    <t>204:233268</t>
  </si>
  <si>
    <t>204:203</t>
  </si>
  <si>
    <t>204:185</t>
  </si>
  <si>
    <t>204:233205</t>
  </si>
  <si>
    <t>204:233255</t>
  </si>
  <si>
    <t>204:232926</t>
  </si>
  <si>
    <t>204:233288</t>
  </si>
  <si>
    <t>204:232994</t>
  </si>
  <si>
    <t>204:233316</t>
  </si>
  <si>
    <t>204:233240</t>
  </si>
  <si>
    <t>204:256</t>
  </si>
  <si>
    <t>204:486</t>
  </si>
  <si>
    <t>204:233228</t>
  </si>
  <si>
    <t>204:232923</t>
  </si>
  <si>
    <t>204:63933</t>
  </si>
  <si>
    <t>204:36779</t>
  </si>
  <si>
    <t>204:233245</t>
  </si>
  <si>
    <t>204:110</t>
  </si>
  <si>
    <t>204:289</t>
  </si>
  <si>
    <t>204:568</t>
  </si>
  <si>
    <t>204:233318</t>
  </si>
  <si>
    <t>204:233019</t>
  </si>
  <si>
    <t>204:172</t>
  </si>
  <si>
    <t>204:433</t>
  </si>
  <si>
    <t>204:86761</t>
  </si>
  <si>
    <t>204:18762</t>
  </si>
  <si>
    <t>204:233209</t>
  </si>
  <si>
    <t>204:232873</t>
  </si>
  <si>
    <t>204:407</t>
  </si>
  <si>
    <t>204:233330</t>
  </si>
  <si>
    <t>204:588</t>
  </si>
  <si>
    <t>204:232952</t>
  </si>
  <si>
    <t>204:233221</t>
  </si>
  <si>
    <t>204:437</t>
  </si>
  <si>
    <t>204:233195</t>
  </si>
  <si>
    <t>204:478</t>
  </si>
  <si>
    <t>204:156</t>
  </si>
  <si>
    <t>204:233372</t>
  </si>
  <si>
    <t>204:232980</t>
  </si>
  <si>
    <t>204:251</t>
  </si>
  <si>
    <t>204:999</t>
  </si>
  <si>
    <t>204:232974</t>
  </si>
  <si>
    <t>204:269</t>
  </si>
  <si>
    <t>204:233196</t>
  </si>
  <si>
    <t>204:232879</t>
  </si>
  <si>
    <t>204:240</t>
  </si>
  <si>
    <t>204:258</t>
  </si>
  <si>
    <t>204:271</t>
  </si>
  <si>
    <t>204:233181</t>
  </si>
  <si>
    <t>204:232872</t>
  </si>
  <si>
    <t>204:127456</t>
  </si>
  <si>
    <t>204:234</t>
  </si>
  <si>
    <t>204:233003</t>
  </si>
  <si>
    <t>204:283</t>
  </si>
  <si>
    <t>204:537</t>
  </si>
  <si>
    <t>204:233172</t>
  </si>
  <si>
    <t>204:131</t>
  </si>
  <si>
    <t>300:23308</t>
  </si>
  <si>
    <t>300:19555</t>
  </si>
  <si>
    <t>204:189</t>
  </si>
  <si>
    <t>300:23312</t>
  </si>
  <si>
    <t>300:23499</t>
  </si>
  <si>
    <t>204:1155</t>
  </si>
  <si>
    <t>300:23699</t>
  </si>
  <si>
    <t>204:163</t>
  </si>
  <si>
    <t>300:23230</t>
  </si>
  <si>
    <t>300:23737</t>
  </si>
  <si>
    <t>204:419</t>
  </si>
  <si>
    <t>300:23300</t>
  </si>
  <si>
    <t>300:23310</t>
  </si>
  <si>
    <t>300:30824</t>
  </si>
  <si>
    <t>300:54840</t>
  </si>
  <si>
    <t>204:1505</t>
  </si>
  <si>
    <t>204:1164</t>
  </si>
  <si>
    <t>300:58634</t>
  </si>
  <si>
    <t>204:448</t>
  </si>
  <si>
    <t>300:58952</t>
  </si>
  <si>
    <t>300:58643</t>
  </si>
  <si>
    <t>204:4552</t>
  </si>
  <si>
    <t>204:468</t>
  </si>
  <si>
    <t>300:58982</t>
  </si>
  <si>
    <t>300:58668</t>
  </si>
  <si>
    <t>204:372</t>
  </si>
  <si>
    <t>300:58980</t>
  </si>
  <si>
    <t>204:441</t>
  </si>
  <si>
    <t>300:58975</t>
  </si>
  <si>
    <t>300:58984</t>
  </si>
  <si>
    <t>300:58670</t>
  </si>
  <si>
    <t>204:164</t>
  </si>
  <si>
    <t>300:58978</t>
  </si>
  <si>
    <t>300:57246</t>
  </si>
  <si>
    <t>300:58613</t>
  </si>
  <si>
    <t>300:58929</t>
  </si>
  <si>
    <t>300:58946</t>
  </si>
  <si>
    <t>300:58999</t>
  </si>
  <si>
    <t>204:128</t>
  </si>
  <si>
    <t>300:58931</t>
  </si>
  <si>
    <t>300:58617</t>
  </si>
  <si>
    <t>204:421</t>
  </si>
  <si>
    <t>300:58924</t>
  </si>
  <si>
    <t>300:58600</t>
  </si>
  <si>
    <t>204:135</t>
  </si>
  <si>
    <t>300:58944</t>
  </si>
  <si>
    <t>300:58623</t>
  </si>
  <si>
    <t>300:58628</t>
  </si>
  <si>
    <t>300:58928</t>
  </si>
  <si>
    <t>300:58615</t>
  </si>
  <si>
    <t>300:58943</t>
  </si>
  <si>
    <t>300:58611</t>
  </si>
  <si>
    <t>300:58926</t>
  </si>
  <si>
    <t>300:58606</t>
  </si>
  <si>
    <t>300:58075</t>
  </si>
  <si>
    <t>300:58636</t>
  </si>
  <si>
    <t>300:58958</t>
  </si>
  <si>
    <t>300:58950</t>
  </si>
  <si>
    <t>204:3564</t>
  </si>
  <si>
    <t>204:3249</t>
  </si>
  <si>
    <t>204:1186</t>
  </si>
  <si>
    <t>300:22694</t>
  </si>
  <si>
    <t>204:1838</t>
  </si>
  <si>
    <t>300:30343</t>
  </si>
  <si>
    <t>300:24237</t>
  </si>
  <si>
    <t>300:23688</t>
  </si>
  <si>
    <t>300:28778</t>
  </si>
  <si>
    <t>300:28761</t>
  </si>
  <si>
    <t>start /low /b %USERPROFILE%\Documents\GitHub\eaglep3\Utilities\DownloadLogsFromS3.py --loco 4063 --day 2017-12-28</t>
  </si>
  <si>
    <t>start /low /b %USERPROFILE%\Documents\GitHub\eaglep3\Utilities\DownloadLogsFromS3.py --loco 4062 --day 2017-12-28</t>
  </si>
  <si>
    <t>start /low /b %USERPROFILE%\Documents\GitHub\eaglep3\Utilities\DownloadLogsFromS3.py --loco 4015 --day 2017-12-28</t>
  </si>
  <si>
    <t>start /low /b %USERPROFILE%\Documents\GitHub\eaglep3\Utilities\DownloadLogsFromS3.py --loco 4017 --day 2017-12-28</t>
  </si>
  <si>
    <t>start /low /b %USERPROFILE%\Documents\GitHub\eaglep3\Utilities\DownloadLogsFromS3.py --loco 4061 --day 2017-12-29</t>
  </si>
  <si>
    <t>start /low /b %USERPROFILE%\Documents\GitHub\eaglep3\Utilities\DownloadLogsFromS3.py --loco 4055 --day 2017-12-28</t>
  </si>
  <si>
    <t>start /low /b %USERPROFILE%\Documents\GitHub\eaglep3\Utilities\DownloadLogsFromS3.py --loco 4046 --day 2017-12-28</t>
  </si>
  <si>
    <t>start /low /b %USERPROFILE%\Documents\GitHub\eaglep3\Utilities\DownloadLogsFromS3.py --loco 4014 --day 2017-12-29</t>
  </si>
  <si>
    <t>start /low /b %USERPROFILE%\Documents\GitHub\eaglep3\Utilities\DownloadLogsFromS3.py --loco 4062 --day 2017-12-29</t>
  </si>
  <si>
    <t>start /low /b %USERPROFILE%\Documents\GitHub\eaglep3\Utilities\DownloadLogsFromS3.py --loco 4003 --day 2017-12-28</t>
  </si>
  <si>
    <t>start /low /b %USERPROFILE%\Documents\GitHub\eaglep3\Utilities\DownloadLogsFromS3.py --loco 4018 --day 2017-12-29</t>
  </si>
  <si>
    <t>start /low /b %USERPROFILE%\Documents\GitHub\eaglep3\Utilities\DownloadLogsFromS3.py --loco 4016 --day 2017-12-28</t>
  </si>
  <si>
    <t>Poor GPS @ Wewatta</t>
  </si>
  <si>
    <t>Unhealthy crossing @ Chambers due to train stop</t>
  </si>
  <si>
    <t>Unhealthy crossing @ Chambers due to train stop; Observed track warrant enforcement at end of trip (59104)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</si>
</sst>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59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59" customWidth="1"/>
    <col min="19" max="19" width="6" style="217" customWidth="1"/>
    <col min="20" max="20" width="3.85546875" style="166" customWidth="1"/>
    <col min="21" max="21" width="5" style="194" customWidth="1"/>
    <col min="22" max="22" width="5.7109375" style="215" customWidth="1"/>
    <col min="23" max="23" width="3.85546875" style="200" customWidth="1"/>
    <col min="24" max="24" width="6.5703125" style="200" customWidth="1"/>
    <col min="25" max="25" width="8.85546875" style="200" customWidth="1"/>
    <col min="26" max="26" width="7.28515625" style="200" customWidth="1"/>
    <col min="27" max="27" width="9.140625" style="200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4" customWidth="1"/>
    <col min="32" max="32" width="6.28515625" style="72" customWidth="1"/>
    <col min="33" max="33" width="3.7109375" style="166" customWidth="1"/>
    <col min="34" max="34" width="5" style="77" customWidth="1"/>
    <col min="35" max="35" width="5.7109375" style="90" customWidth="1"/>
    <col min="36" max="36" width="9.85546875" customWidth="1"/>
    <col min="37" max="37" width="5" customWidth="1"/>
    <col min="38" max="38" width="4.140625" customWidth="1"/>
    <col min="39" max="39" width="9.140625" style="140"/>
    <col min="41" max="41" width="3.7109375" style="166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7"/>
      <c r="M1" s="35"/>
      <c r="N1" s="36"/>
      <c r="O1" s="2"/>
      <c r="P1" s="2"/>
      <c r="R1" s="158" t="s">
        <v>103</v>
      </c>
      <c r="S1" s="122"/>
      <c r="T1" s="167"/>
      <c r="U1" s="190"/>
      <c r="V1" s="206"/>
      <c r="W1" s="190"/>
      <c r="X1" s="194"/>
      <c r="Y1" s="200"/>
      <c r="Z1" s="200"/>
      <c r="AA1" s="200"/>
      <c r="AB1" s="52"/>
      <c r="AC1" s="49"/>
      <c r="AD1" s="2"/>
      <c r="AE1" s="1"/>
      <c r="AF1" s="1"/>
      <c r="AG1" s="180"/>
      <c r="AH1" s="47"/>
      <c r="AI1" s="1"/>
      <c r="AM1" s="140"/>
      <c r="AO1" s="166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43097</v>
      </c>
      <c r="J2" s="58"/>
      <c r="K2" s="59"/>
      <c r="L2" s="168"/>
      <c r="M2" s="60" t="s">
        <v>8</v>
      </c>
      <c r="N2" s="61"/>
      <c r="O2" s="62"/>
      <c r="P2" s="2"/>
      <c r="R2" s="57">
        <f>Variables!$A$2</f>
        <v>43097</v>
      </c>
      <c r="S2" s="203"/>
      <c r="T2" s="168"/>
      <c r="U2" s="191"/>
      <c r="V2" s="207" t="s">
        <v>8</v>
      </c>
      <c r="W2" s="208"/>
      <c r="X2" s="197"/>
      <c r="Y2" s="200"/>
      <c r="Z2" s="200"/>
      <c r="AA2" s="200"/>
      <c r="AB2" s="52"/>
      <c r="AC2" s="49"/>
      <c r="AD2" s="2"/>
      <c r="AE2" s="1"/>
      <c r="AF2" s="1"/>
      <c r="AG2" s="180"/>
      <c r="AH2" s="47"/>
      <c r="AI2" s="1"/>
      <c r="AM2" s="140"/>
      <c r="AO2" s="166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69"/>
      <c r="M3" s="37" t="s">
        <v>11</v>
      </c>
      <c r="N3" s="38" t="s">
        <v>12</v>
      </c>
      <c r="O3" s="3" t="s">
        <v>13</v>
      </c>
      <c r="P3" s="2"/>
      <c r="R3" s="160" t="s">
        <v>10</v>
      </c>
      <c r="S3" s="204"/>
      <c r="T3" s="169"/>
      <c r="U3" s="192"/>
      <c r="V3" s="209" t="s">
        <v>11</v>
      </c>
      <c r="W3" s="210" t="s">
        <v>12</v>
      </c>
      <c r="X3" s="198" t="s">
        <v>13</v>
      </c>
      <c r="Y3" s="200"/>
      <c r="Z3" s="200"/>
      <c r="AA3" s="200"/>
      <c r="AB3" s="52"/>
      <c r="AC3" s="49"/>
      <c r="AD3" s="2"/>
      <c r="AE3" s="1"/>
      <c r="AF3" s="1"/>
      <c r="AG3" s="180"/>
      <c r="AH3" s="47"/>
      <c r="AI3" s="1"/>
      <c r="AM3" s="140"/>
      <c r="AO3" s="166"/>
    </row>
    <row r="4" spans="1:91" s="20" customFormat="1" ht="15.75" thickBot="1" x14ac:dyDescent="0.3">
      <c r="A4" s="34"/>
      <c r="B4" s="36"/>
      <c r="C4" s="27"/>
      <c r="D4" s="27"/>
      <c r="E4" s="33"/>
      <c r="F4" s="158"/>
      <c r="G4" s="36"/>
      <c r="H4" s="33"/>
      <c r="I4" s="66" t="s">
        <v>14</v>
      </c>
      <c r="J4" s="48">
        <f>SUM(J5:J7)</f>
        <v>144</v>
      </c>
      <c r="K4" s="39"/>
      <c r="L4" s="170"/>
      <c r="M4" s="40" t="s">
        <v>15</v>
      </c>
      <c r="N4" s="38" t="s">
        <v>15</v>
      </c>
      <c r="O4" s="3" t="s">
        <v>15</v>
      </c>
      <c r="P4" s="2"/>
      <c r="R4" s="161" t="s">
        <v>14</v>
      </c>
      <c r="S4" s="205">
        <f>SUM(S5:S7)</f>
        <v>49</v>
      </c>
      <c r="T4" s="170"/>
      <c r="U4" s="193"/>
      <c r="V4" s="209" t="s">
        <v>15</v>
      </c>
      <c r="W4" s="210" t="s">
        <v>15</v>
      </c>
      <c r="X4" s="198" t="s">
        <v>15</v>
      </c>
      <c r="Y4" s="200"/>
      <c r="Z4" s="200"/>
      <c r="AA4" s="200"/>
      <c r="AB4" s="52"/>
      <c r="AC4" s="49"/>
      <c r="AD4" s="2"/>
      <c r="AE4" s="1"/>
      <c r="AF4" s="1"/>
      <c r="AG4" s="180"/>
      <c r="AH4" s="47"/>
      <c r="AI4" s="1"/>
      <c r="AM4" s="140"/>
      <c r="AO4" s="166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COUNTIFS($N$13:$N$9602,"&gt;0",$AG$13:$AG$9602,I1)</f>
        <v>141</v>
      </c>
      <c r="K5" s="39"/>
      <c r="L5" s="170"/>
      <c r="M5" s="40">
        <f>AVERAGEIFS($N$13:$N$9602,$AG$13:$AG$9602,I1)</f>
        <v>36.994208038333767</v>
      </c>
      <c r="N5" s="38">
        <f t="array" ref="N5">MIN(IF($AG$13:$AG$9602=I1,IF(ISNUMBER($N$13:$N$9602),IF($N$13:$N$9602&gt;0,$N$13:$N$9602))))</f>
        <v>34.133333328645676</v>
      </c>
      <c r="O5" s="3">
        <f t="array" ref="O5">MAX(IF($AG$13:$AG$9602=I1,IF(ISNUMBER($N$13:$N$9602),IF($N$13:$N$9602&gt;0,$N$13:$N$9602))))</f>
        <v>43.350000001955777</v>
      </c>
      <c r="P5" s="2"/>
      <c r="R5" s="161" t="s">
        <v>17</v>
      </c>
      <c r="S5" s="205">
        <f>COUNTIFS($N$13:$N$9602,"&gt;0",$AG$13:$AG$9602,R1)</f>
        <v>49</v>
      </c>
      <c r="T5" s="170"/>
      <c r="U5" s="193"/>
      <c r="V5" s="209">
        <f>AVERAGEIFS($N$13:$N$9602,$AG$13:$AG$9602,R1)</f>
        <v>14.133333332945917</v>
      </c>
      <c r="W5" s="210">
        <f t="array" ref="W5">MIN(IF($AG$13:$AG$9602=R1,IF(ISNUMBER($N$13:$N$9602),IF($N$13:$N$9602&gt;0,$N$13:$N$9602))))</f>
        <v>11.916666665347293</v>
      </c>
      <c r="X5" s="198">
        <f t="array" ref="X5">MAX(IF($AG$13:$AG$9602=R1,IF(ISNUMBER($N$13:$N$9602),IF($N$13:$N$9602&gt;0,$N$13:$N$9602))))</f>
        <v>24.999999997671694</v>
      </c>
      <c r="Y5" s="200"/>
      <c r="Z5" s="200"/>
      <c r="AA5" s="200"/>
      <c r="AB5" s="52"/>
      <c r="AC5" s="49"/>
      <c r="AD5" s="2"/>
      <c r="AE5" s="1"/>
      <c r="AF5" s="1"/>
      <c r="AG5" s="180"/>
      <c r="AH5" s="47"/>
      <c r="AI5" s="1"/>
      <c r="AM5" s="140"/>
      <c r="AO5" s="166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COUNT($O$13:$O$360)</f>
        <v>0</v>
      </c>
      <c r="K6" s="39"/>
      <c r="L6" s="170"/>
      <c r="M6" s="40">
        <f>IFERROR(AVERAGE($O$13:$O$360),0)</f>
        <v>0</v>
      </c>
      <c r="N6" s="38">
        <f>MIN($O$13:$O$360)</f>
        <v>0</v>
      </c>
      <c r="O6" s="3">
        <f>MAX($O$13:$O$360)</f>
        <v>0</v>
      </c>
      <c r="P6" s="2"/>
      <c r="R6" s="162" t="s">
        <v>43</v>
      </c>
      <c r="S6" s="205">
        <f>COUNT($O$13:$O$360)</f>
        <v>0</v>
      </c>
      <c r="T6" s="170"/>
      <c r="U6" s="193"/>
      <c r="V6" s="209">
        <f>IFERROR(AVERAGE($O$13:$O$360),0)</f>
        <v>0</v>
      </c>
      <c r="W6" s="210">
        <f>MIN($O$13:$O$360)</f>
        <v>0</v>
      </c>
      <c r="X6" s="198">
        <f>MAX($O$13:$O$360)</f>
        <v>0</v>
      </c>
      <c r="Y6" s="200"/>
      <c r="Z6" s="200"/>
      <c r="AA6" s="200"/>
      <c r="AB6" s="52"/>
      <c r="AC6" s="49"/>
      <c r="AD6" s="2"/>
      <c r="AE6" s="1"/>
      <c r="AF6" s="1"/>
      <c r="AG6" s="180"/>
      <c r="AH6" s="47"/>
      <c r="AI6" s="1"/>
      <c r="AM6" s="140"/>
      <c r="AO6" s="166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COUNTIFS($P$13:$P$9602,"&gt;0",$AG$13:$AG$9602,I1)</f>
        <v>3</v>
      </c>
      <c r="K7" s="39"/>
      <c r="L7" s="170"/>
      <c r="M7" s="38" t="s">
        <v>15</v>
      </c>
      <c r="N7" s="38" t="s">
        <v>15</v>
      </c>
      <c r="O7" s="3" t="s">
        <v>15</v>
      </c>
      <c r="P7" s="2"/>
      <c r="R7" s="163" t="s">
        <v>9</v>
      </c>
      <c r="S7" s="205">
        <f>COUNTIFS($P$13:$P$9602,"&gt;0",$AG$13:$AG$9602,R1)</f>
        <v>0</v>
      </c>
      <c r="T7" s="170"/>
      <c r="U7" s="193"/>
      <c r="V7" s="209" t="s">
        <v>15</v>
      </c>
      <c r="W7" s="210" t="s">
        <v>15</v>
      </c>
      <c r="X7" s="198" t="s">
        <v>15</v>
      </c>
      <c r="Y7" s="200"/>
      <c r="Z7" s="200"/>
      <c r="AA7" s="200"/>
      <c r="AB7" s="52"/>
      <c r="AC7" s="49"/>
      <c r="AD7" s="2"/>
      <c r="AE7" s="1"/>
      <c r="AF7" s="1"/>
      <c r="AG7" s="180"/>
      <c r="AH7" s="47"/>
      <c r="AI7" s="1"/>
      <c r="AM7" s="140"/>
      <c r="AO7" s="166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0"/>
      <c r="M8" s="40">
        <f>M5</f>
        <v>36.994208038333767</v>
      </c>
      <c r="N8" s="38">
        <f>N5</f>
        <v>34.133333328645676</v>
      </c>
      <c r="O8" s="3">
        <f>O5</f>
        <v>43.350000001955777</v>
      </c>
      <c r="P8" s="2"/>
      <c r="R8" s="161" t="s">
        <v>16</v>
      </c>
      <c r="S8" s="205">
        <f>S5</f>
        <v>49</v>
      </c>
      <c r="T8" s="170"/>
      <c r="U8" s="193"/>
      <c r="V8" s="209">
        <f>V5</f>
        <v>14.133333332945917</v>
      </c>
      <c r="W8" s="210">
        <f>W5</f>
        <v>11.916666665347293</v>
      </c>
      <c r="X8" s="198">
        <f>X5</f>
        <v>24.999999997671694</v>
      </c>
      <c r="Y8" s="200"/>
      <c r="Z8" s="200"/>
      <c r="AA8" s="200"/>
      <c r="AB8" s="52"/>
      <c r="AC8" s="49"/>
      <c r="AD8" s="2"/>
      <c r="AE8" s="1"/>
      <c r="AF8" s="1"/>
      <c r="AG8" s="180"/>
      <c r="AH8" s="47"/>
      <c r="AI8" s="1"/>
      <c r="AM8" s="140"/>
      <c r="AO8" s="166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2">
        <f>J8/J4</f>
        <v>0.97916666666666663</v>
      </c>
      <c r="K9" s="41"/>
      <c r="L9" s="167"/>
      <c r="M9" s="69"/>
      <c r="N9" s="36"/>
      <c r="O9" s="70"/>
      <c r="P9" s="2"/>
      <c r="R9" s="161" t="s">
        <v>19</v>
      </c>
      <c r="S9" s="122">
        <f>S8/S4</f>
        <v>1</v>
      </c>
      <c r="T9" s="167"/>
      <c r="U9" s="190"/>
      <c r="V9" s="211"/>
      <c r="W9" s="190"/>
      <c r="X9" s="199"/>
      <c r="Y9" s="200"/>
      <c r="Z9" s="200"/>
      <c r="AA9" s="200"/>
      <c r="AB9" s="52"/>
      <c r="AC9" s="49"/>
      <c r="AD9" s="2"/>
      <c r="AE9" s="1"/>
      <c r="AF9" s="1"/>
      <c r="AG9" s="180"/>
      <c r="AH9" s="47"/>
      <c r="AI9" s="1"/>
      <c r="AM9" s="140"/>
      <c r="AO9" s="166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7"/>
      <c r="M10" s="35"/>
      <c r="N10" s="36"/>
      <c r="O10" s="2"/>
      <c r="P10" s="2"/>
      <c r="R10" s="159"/>
      <c r="S10" s="217"/>
      <c r="T10" s="166"/>
      <c r="U10" s="194"/>
      <c r="V10" s="212"/>
      <c r="W10" s="200"/>
      <c r="X10" s="200"/>
      <c r="Y10" s="200"/>
      <c r="Z10" s="200"/>
      <c r="AA10" s="200"/>
      <c r="AB10" s="52"/>
      <c r="AC10" s="49"/>
      <c r="AD10" s="2"/>
      <c r="AE10" s="1"/>
      <c r="AF10" s="1"/>
      <c r="AG10" s="180"/>
      <c r="AH10" s="47"/>
      <c r="AI10" s="1"/>
      <c r="AM10" s="140"/>
      <c r="AO10" s="166"/>
    </row>
    <row r="11" spans="1:91" ht="16.5" thickBot="1" x14ac:dyDescent="0.3">
      <c r="A11" s="249" t="str">
        <f>"Eagle P3 System Performance - "&amp;TEXT(Variables!A2,"yyyy-mm-dd")</f>
        <v>Eagle P3 System Performance - 2017-12-28</v>
      </c>
      <c r="B11" s="249"/>
      <c r="C11" s="249"/>
      <c r="D11" s="249"/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49"/>
      <c r="S11" s="217">
        <f>AVERAGE(S13:S142)</f>
        <v>0.98958333333333337</v>
      </c>
      <c r="V11" s="212"/>
      <c r="AE11" s="1"/>
      <c r="AF11" s="1"/>
      <c r="AG11" s="180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2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4" t="s">
        <v>24</v>
      </c>
      <c r="S12" s="218" t="s">
        <v>63</v>
      </c>
      <c r="T12" s="171" t="s">
        <v>64</v>
      </c>
      <c r="U12" s="195" t="s">
        <v>65</v>
      </c>
      <c r="V12" s="213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3" t="s">
        <v>39</v>
      </c>
      <c r="AC12" s="50" t="s">
        <v>40</v>
      </c>
      <c r="AD12" s="176" t="s">
        <v>82</v>
      </c>
      <c r="AE12" s="75" t="s">
        <v>89</v>
      </c>
      <c r="AF12" s="73" t="s">
        <v>93</v>
      </c>
      <c r="AG12" s="175" t="s">
        <v>104</v>
      </c>
      <c r="AH12" s="78" t="s">
        <v>106</v>
      </c>
      <c r="AI12" s="94" t="s">
        <v>141</v>
      </c>
      <c r="AJ12" s="46" t="s">
        <v>142</v>
      </c>
      <c r="AK12" s="46" t="s">
        <v>115</v>
      </c>
      <c r="AL12" s="46" t="s">
        <v>143</v>
      </c>
      <c r="AM12" s="141" t="s">
        <v>187</v>
      </c>
      <c r="AN12" s="46" t="s">
        <v>329</v>
      </c>
      <c r="AO12" s="175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698</v>
      </c>
      <c r="B13" s="7">
        <v>4062</v>
      </c>
      <c r="C13" s="21" t="s">
        <v>192</v>
      </c>
      <c r="D13" s="21" t="s">
        <v>914</v>
      </c>
      <c r="E13" s="13">
        <v>43097.124155092592</v>
      </c>
      <c r="F13" s="13">
        <v>43097.13559027778</v>
      </c>
      <c r="G13" s="7">
        <v>52</v>
      </c>
      <c r="H13" s="21" t="s">
        <v>636</v>
      </c>
      <c r="I13" s="13">
        <v>43097.15929398148</v>
      </c>
      <c r="J13" s="7">
        <v>0</v>
      </c>
      <c r="K13" s="88" t="str">
        <f t="shared" ref="K13:K76" si="0">IF(ISEVEN(B13),(B13-1)&amp;"/"&amp;B13,B13&amp;"/"&amp;(B13+1))</f>
        <v>4061/4062</v>
      </c>
      <c r="L13" s="183" t="str">
        <f>VLOOKUP(A13,'Trips&amp;Operators'!$C$1:$G$99911,5,FALSE)</f>
        <v>YORK EDGAR</v>
      </c>
      <c r="M13" s="6">
        <f t="shared" ref="M13:M76" si="1">I13-F13</f>
        <v>2.3703703700448386E-2</v>
      </c>
      <c r="N13" s="7">
        <f t="shared" ref="N13:N44" si="2">24*60*SUM($M13:$M13)</f>
        <v>34.133333328645676</v>
      </c>
      <c r="O13" s="7"/>
      <c r="P13" s="7"/>
      <c r="Q13" s="22"/>
      <c r="R13" s="165"/>
      <c r="S13" s="248">
        <f t="shared" ref="S13:S44" si="3">1/IF(AG13="EC",12,1)*SUM(U13:U13)</f>
        <v>1</v>
      </c>
      <c r="T13" s="172" t="str">
        <f t="shared" ref="T13:T76" si="4">IF(ISEVEN(LEFT(AD13,4)),"Southbound","NorthBound")</f>
        <v>NorthBound</v>
      </c>
      <c r="U13" s="19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-28T01:58:47-0700',mode:absolute,to:'2017-12-28T04:49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" s="202" t="str">
        <f>IF(AA13&lt;VLOOKUP(AG13,Variables!$AC$3:$AD$8,2,FALSE),"Y","N")</f>
        <v>N</v>
      </c>
      <c r="X13" s="202" t="e">
        <f t="shared" ref="X13:X45" si="6">VALUE(LEFT(AD13,4))-VALUE(LEFT(AD12,4))</f>
        <v>#VALUE!</v>
      </c>
      <c r="Y13" s="202">
        <f t="shared" ref="Y13:Y45" si="7">RIGHT(D13,LEN(D13)-4)/10000</f>
        <v>7.6999999999999999E-2</v>
      </c>
      <c r="Z13" s="202">
        <f t="shared" ref="Z13:Z45" si="8">RIGHT(H13,LEN(H13)-4)/10000</f>
        <v>23.3276</v>
      </c>
      <c r="AA13" s="202">
        <f t="shared" ref="AA13:AA76" si="9">ABS(Z13-Y13)</f>
        <v>23.250599999999999</v>
      </c>
      <c r="AB13" s="54" t="e">
        <f>VLOOKUP(A13,Enforcements!$C$7:$K$9,8,0)</f>
        <v>#N/A</v>
      </c>
      <c r="AC13" s="51" t="e">
        <f>VLOOKUP(A13,Enforcements!$C$7:$E$9,3,0)</f>
        <v>#N/A</v>
      </c>
      <c r="AD13" s="177">
        <f t="shared" ref="AD13:AD76" si="10">VALUE(LEFT(A13,LEN(A13)-3))</f>
        <v>101</v>
      </c>
      <c r="AE13" s="76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s3://rtdc.mdm.uploadarchive.raw/RTDC4062/ "%USERPROFILE%\AppData\Local\Temp\OnboardLogs"\RTDC4062\2017-12-28 --exclude "*" --recursive --include "*20171228*" &amp; "%USERPROFILE%\Documents\GitHub\mrs-test-scripts\Headless Mode &amp; Sideloading\WalkAndUnGZ.bat" "%USERPROFILE%\AppData\Local\Temp\OnboardLogs"\RTDC4062\2017-12-28 &amp; aws s3 cp s3://rtdc.mdm.uploadarchive.raw/RTDC4062/ "%USERPROFILE%\AppData\Local\Temp\OnboardLogs"\RTDC4062\2017-12-29 --exclude "*" --recursive --include "*20171229*" &amp; "%USERPROFILE%\Documents\GitHub\mrs-test-scripts\Headless Mode &amp; Sideloading\WalkAndUnGZ.bat" "%USERPROFILE%\AppData\Local\Temp\OnboardLogs"\RTDC4062\2017-12-29</v>
      </c>
      <c r="AF13" s="233" t="str">
        <f t="shared" ref="AF13:AF76" si="12">astrogrep_path&amp;" /e /r /s /spath="&amp;search_path&amp;" /stypes=""app*"&amp;B13&amp;"*"&amp;TEXT(I13-utc_offset/24,"YYYYMMDD")&amp;LEFT(TEXT(I13-utc_offset/24,"HH"),1)&amp;"*"" /stext="" "&amp;TEXT(I13-utc_offset/24,"HH")&amp;search_regexp&amp;""""</f>
        <v>"C:\Program Files (x86)\AstroGrep\AstroGrep.exe" /e /r /s /spath="%USERPROFILE%\AppData\Local\Temp\OnboardLogs" /stypes="app*4062*201712281*" /stext=" 10:.+?(?&gt;(PRM\|1\|D)|(KPR)|(KDP)|(train st[a-z]+ moving)|(SYSTEM_STATE:s[a-z]+ state changed)|(Enforcement Action)|(\[TIMEOUT)|(parse_ebi_status: Penalty)|(\|GPPS))"</v>
      </c>
      <c r="AG13" s="180" t="str">
        <f t="shared" ref="AG13:AG76" si="13">DetSubdiv(A13)</f>
        <v>EC</v>
      </c>
      <c r="AH13" s="77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101-28 --locoid 4062 --swversion DE.1.0.9.0 --startMP 204:770 --initTime 2017-12-28T02:58:47 --startdatetime 2017-12-28T03:15:15 --delay 52 --endMP 204:233276 --enddatetime 2017-12-28T03:49:23 --enforcementcount 0 &gt;&gt;%USERPROFILE%\Documents\GitHub\eaglep3-reporting\EC\2017-12-28-refined-times.txt</v>
      </c>
      <c r="AI13" s="95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{"issue":{"subject":"","project_id":79,"tracker_id":40,"status_id":1,"priority_id":2,"assigned_to_id":338,"start_date":"2017-12-28","description":"","custom_fields":[{"id":1,"name":"Subdivision","value":"EC"},{"id":4,"name":"Milepost","value":"23.3276"},{"id":17,"name":"Train ID","value":"101-28"},{"id":16,"name":"Locomotive ID","value":"4062"},{"id":130,"name":"Impact","value":""},{"id":150,"name":"Time of Event (Mountain Time)","value":"03:49:23"},{"id":151,"name":"Denver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0" t="str">
        <f t="shared" ref="AM13" si="16">"start /low /b "&amp;dls3logs&amp;" --loco "&amp;B13&amp;" --day "&amp;TEXT(F13,"YYYY-MM-DD")</f>
        <v>start /low /b %USERPROFILE%\Documents\GitHub\eaglep3\Utilities\DownloadLogsFromS3.py --loco 4062 --day 2017-12-28</v>
      </c>
      <c r="AN13" s="149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10:49:23"},{"id":29,"name":"Sharepoint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6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-28T01:58:47-0700',mode:absolute,to:'2017-12-28T04:49:23-0700'))&amp;_a=(columns:!('Message%20ID',Summary),filters:!(),index:'emp_*',interval:auto,query:(query_string:(analyze_wildcard:!t,query:'%22rtdc.l.rtdc.4062%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8" t="s">
        <v>706</v>
      </c>
      <c r="B14" s="224">
        <v>4061</v>
      </c>
      <c r="C14" s="226" t="s">
        <v>192</v>
      </c>
      <c r="D14" s="226" t="s">
        <v>623</v>
      </c>
      <c r="E14" s="225">
        <v>43097.170775462961</v>
      </c>
      <c r="F14" s="225">
        <v>43097.175162037034</v>
      </c>
      <c r="G14" s="224">
        <v>63</v>
      </c>
      <c r="H14" s="226" t="s">
        <v>915</v>
      </c>
      <c r="I14" s="225">
        <v>43097.200127314813</v>
      </c>
      <c r="J14" s="224">
        <v>0</v>
      </c>
      <c r="K14" s="236" t="str">
        <f t="shared" si="0"/>
        <v>4061/4062</v>
      </c>
      <c r="L14" s="244" t="str">
        <f>VLOOKUP(A14,'Trips&amp;Operators'!$C$1:$G$99911,5,FALSE)</f>
        <v>YORK EDGAR</v>
      </c>
      <c r="M14" s="223">
        <f t="shared" si="1"/>
        <v>2.4965277778392192E-2</v>
      </c>
      <c r="N14" s="224">
        <f t="shared" si="2"/>
        <v>35.950000000884756</v>
      </c>
      <c r="O14" s="224"/>
      <c r="P14" s="224"/>
      <c r="Q14" s="227"/>
      <c r="R14" s="241"/>
      <c r="S14" s="248">
        <f t="shared" si="3"/>
        <v>1</v>
      </c>
      <c r="T14" s="241" t="str">
        <f t="shared" si="4"/>
        <v>Southbound</v>
      </c>
      <c r="U14" s="24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7" t="str">
        <f t="shared" si="5"/>
        <v>https://d0f6bd738d7f1b3e5a7ca70fe4ff75f0.us-east-1.aws.found.io/app/kibana#/discover/Steve-Slow-Train-Analysis-(2080s-and-2083s)?_g=(refreshInterval:(display:Off,pause:!f,section:0,value:0),time:(from:'2017-12-28T03:05:55-0700',mode:absolute,to:'2017-12-28T05:48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" s="246" t="str">
        <f>IF(AA14&lt;VLOOKUP(AG14,Variables!$AC$3:$AD$8,2,FALSE),"Y","N")</f>
        <v>N</v>
      </c>
      <c r="X14" s="246">
        <f t="shared" si="6"/>
        <v>1</v>
      </c>
      <c r="Y14" s="246">
        <f t="shared" si="7"/>
        <v>23.295300000000001</v>
      </c>
      <c r="Z14" s="246">
        <f t="shared" si="8"/>
        <v>1.4500000000000001E-2</v>
      </c>
      <c r="AA14" s="246">
        <f t="shared" si="9"/>
        <v>23.280799999999999</v>
      </c>
      <c r="AB14" s="232" t="e">
        <f>VLOOKUP(A14,Enforcements!$C$7:$K$9,8,0)</f>
        <v>#N/A</v>
      </c>
      <c r="AC14" s="231" t="e">
        <f>VLOOKUP(A14,Enforcements!$C$7:$E$9,3,0)</f>
        <v>#N/A</v>
      </c>
      <c r="AD14" s="242">
        <f t="shared" si="10"/>
        <v>102</v>
      </c>
      <c r="AE14" s="234" t="str">
        <f t="shared" si="11"/>
        <v>aws s3 cp s3://rtdc.mdm.uploadarchive.raw/RTDC4061/ "%USERPROFILE%\AppData\Local\Temp\OnboardLogs"\RTDC4061\2017-12-28 --exclude "*" --recursive --include "*20171228*" &amp; "%USERPROFILE%\Documents\GitHub\mrs-test-scripts\Headless Mode &amp; Sideloading\WalkAndUnGZ.bat" "%USERPROFILE%\AppData\Local\Temp\OnboardLogs"\RTDC4061\2017-12-28 &amp; aws s3 cp s3://rtdc.mdm.uploadarchive.raw/RTDC4061/ "%USERPROFILE%\AppData\Local\Temp\OnboardLogs"\RTDC4061\2017-12-29 --exclude "*" --recursive --include "*20171229*" &amp; "%USERPROFILE%\Documents\GitHub\mrs-test-scripts\Headless Mode &amp; Sideloading\WalkAndUnGZ.bat" "%USERPROFILE%\AppData\Local\Temp\OnboardLogs"\RTDC4061\2017-12-29</v>
      </c>
      <c r="AF14" s="233" t="str">
        <f t="shared" si="12"/>
        <v>"C:\Program Files (x86)\AstroGrep\AstroGrep.exe" /e /r /s /spath="%USERPROFILE%\AppData\Local\Temp\OnboardLogs" /stypes="app*4061*201712281*" /stext=" 11:.+?(?&gt;(PRM\|1\|D)|(KPR)|(KDP)|(train st[a-z]+ moving)|(SYSTEM_STATE:s[a-z]+ state changed)|(Enforcement Action)|(\[TIMEOUT)|(parse_ebi_status: Penalty)|(\|GPPS))"</v>
      </c>
      <c r="AG14" s="243" t="str">
        <f t="shared" si="13"/>
        <v>EC</v>
      </c>
      <c r="AH14" s="235" t="str">
        <f t="shared" ref="AH14:AH78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102-28 --locoid 4061 --swversion DE.1.0.9.0 --startMP 204:232953 --initTime 2017-12-28T04:05:55 --startdatetime 2017-12-28T04:12:14 --delay 63 --endMP 204:145 --enddatetime 2017-12-28T04:48:11 --enforcementcount 0 &gt;&gt;%USERPROFILE%\Documents\GitHub\eaglep3-reporting\EC\2017-12-28-refined-times.txt</v>
      </c>
      <c r="AI14" s="237" t="str">
        <f t="shared" ref="AI14:AI78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{"issue":{"subject":"","project_id":79,"tracker_id":40,"status_id":1,"priority_id":2,"assigned_to_id":338,"start_date":"2017-12-28","description":"","custom_fields":[{"id":1,"name":"Subdivision","value":"EC"},{"id":4,"name":"Milepost","value":"0.0145"},{"id":17,"name":"Train ID","value":"102-28"},{"id":16,"name":"Locomotive ID","value":"4061"},{"id":130,"name":"Impact","value":""},{"id":150,"name":"Time of Event (Mountain Time)","value":"04:48:11"},{"id":151,"name":"Denver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2"/>
      <c r="AK14" s="230"/>
      <c r="AL14" s="230"/>
      <c r="AM14" s="239" t="str">
        <f t="shared" ref="AM14:AM78" si="21">"start /low /b "&amp;dls3logs&amp;" --loco "&amp;B14&amp;" --day "&amp;TEXT(F14,"YYYY-MM-DD")</f>
        <v>start /low /b %USERPROFILE%\Documents\GitHub\eaglep3\Utilities\DownloadLogsFromS3.py --loco 4061 --day 2017-12-28</v>
      </c>
      <c r="AN14" s="240" t="str">
        <f t="shared" ref="AN14:AN78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11:48:11"},{"id":29,"name":"Sharepoint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29" t="str">
        <f t="shared" ref="AO14:AO78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-28T03:05:55-0700',mode:absolute,to:'2017-12-28T05:48:11-0700'))&amp;_a=(columns:!('Message%20ID',Summary),filters:!(),index:'emp_*',interval:auto,query:(query_string:(analyze_wildcard:!t,query:'%22rtdc.l.rtdc.4061%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8" t="s">
        <v>703</v>
      </c>
      <c r="B15" s="224">
        <v>4042</v>
      </c>
      <c r="C15" s="226" t="s">
        <v>192</v>
      </c>
      <c r="D15" s="226" t="s">
        <v>916</v>
      </c>
      <c r="E15" s="225">
        <v>43097.151805555557</v>
      </c>
      <c r="F15" s="225">
        <v>43097.156423611108</v>
      </c>
      <c r="G15" s="224">
        <v>59</v>
      </c>
      <c r="H15" s="226" t="s">
        <v>619</v>
      </c>
      <c r="I15" s="225">
        <v>43097.181238425925</v>
      </c>
      <c r="J15" s="224">
        <v>0</v>
      </c>
      <c r="K15" s="236" t="str">
        <f t="shared" si="0"/>
        <v>4041/4042</v>
      </c>
      <c r="L15" s="244" t="str">
        <f>VLOOKUP(A15,'Trips&amp;Operators'!$C$1:$G$99911,5,FALSE)</f>
        <v>MAELZER KURT</v>
      </c>
      <c r="M15" s="223">
        <f t="shared" si="1"/>
        <v>2.4814814816636499E-2</v>
      </c>
      <c r="N15" s="224">
        <f t="shared" si="2"/>
        <v>35.733333335956559</v>
      </c>
      <c r="O15" s="224"/>
      <c r="P15" s="224"/>
      <c r="Q15" s="227"/>
      <c r="R15" s="241"/>
      <c r="S15" s="248">
        <f t="shared" si="3"/>
        <v>1</v>
      </c>
      <c r="T15" s="241" t="str">
        <f t="shared" si="4"/>
        <v>NorthBound</v>
      </c>
      <c r="U15" s="24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7" t="str">
        <f t="shared" si="5"/>
        <v>https://d0f6bd738d7f1b3e5a7ca70fe4ff75f0.us-east-1.aws.found.io/app/kibana#/discover/Steve-Slow-Train-Analysis-(2080s-and-2083s)?_g=(refreshInterval:(display:Off,pause:!f,section:0,value:0),time:(from:'2017-12-28T02:38:36-0700',mode:absolute,to:'2017-12-28T05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246" t="str">
        <f>IF(AA15&lt;VLOOKUP(AG15,Variables!$AC$3:$AD$8,2,FALSE),"Y","N")</f>
        <v>N</v>
      </c>
      <c r="X15" s="246">
        <f t="shared" si="6"/>
        <v>1</v>
      </c>
      <c r="Y15" s="246">
        <f t="shared" si="7"/>
        <v>4.9099999999999998E-2</v>
      </c>
      <c r="Z15" s="246">
        <f t="shared" si="8"/>
        <v>23.331900000000001</v>
      </c>
      <c r="AA15" s="246">
        <f t="shared" si="9"/>
        <v>23.282800000000002</v>
      </c>
      <c r="AB15" s="232" t="e">
        <f>VLOOKUP(A15,Enforcements!$C$7:$K$9,8,0)</f>
        <v>#N/A</v>
      </c>
      <c r="AC15" s="231" t="e">
        <f>VLOOKUP(A15,Enforcements!$C$7:$E$9,3,0)</f>
        <v>#N/A</v>
      </c>
      <c r="AD15" s="242">
        <f t="shared" si="10"/>
        <v>103</v>
      </c>
      <c r="AE15" s="234" t="str">
        <f t="shared" si="11"/>
        <v>aws s3 cp s3://rtdc.mdm.uploadarchive.raw/RTDC4042/ "%USERPROFILE%\AppData\Local\Temp\OnboardLogs"\RTDC4042\2017-12-28 --exclude "*" --recursive --include "*20171228*" &amp; "%USERPROFILE%\Documents\GitHub\mrs-test-scripts\Headless Mode &amp; Sideloading\WalkAndUnGZ.bat" "%USERPROFILE%\AppData\Local\Temp\OnboardLogs"\RTDC4042\2017-12-28 &amp; aws s3 cp s3://rtdc.mdm.uploadarchive.raw/RTDC4042/ "%USERPROFILE%\AppData\Local\Temp\OnboardLogs"\RTDC4042\2017-12-29 --exclude "*" --recursive --include "*20171229*" &amp; "%USERPROFILE%\Documents\GitHub\mrs-test-scripts\Headless Mode &amp; Sideloading\WalkAndUnGZ.bat" "%USERPROFILE%\AppData\Local\Temp\OnboardLogs"\RTDC4042\2017-12-29</v>
      </c>
      <c r="AF15" s="233" t="str">
        <f t="shared" si="12"/>
        <v>"C:\Program Files (x86)\AstroGrep\AstroGrep.exe" /e /r /s /spath="%USERPROFILE%\AppData\Local\Temp\OnboardLogs" /stypes="app*4042*201712281*" /stext=" 11:.+?(?&gt;(PRM\|1\|D)|(KPR)|(KDP)|(train st[a-z]+ moving)|(SYSTEM_STATE:s[a-z]+ state changed)|(Enforcement Action)|(\[TIMEOUT)|(parse_ebi_status: Penalty)|(\|GPPS))"</v>
      </c>
      <c r="AG15" s="243" t="str">
        <f t="shared" si="13"/>
        <v>EC</v>
      </c>
      <c r="AH15" s="235" t="str">
        <f t="shared" si="19"/>
        <v>"%USERPROFILE%\Documents\GitHub\eaglep3\Utilities\RefineRTDCRunTimes.py" --tripid 103-28 --locoid 4042 --swversion DE.1.0.9.0 --startMP 204:491 --initTime 2017-12-28T03:38:36 --startdatetime 2017-12-28T03:45:15 --delay 59 --endMP 204:233319 --enddatetime 2017-12-28T04:20:59 --enforcementcount 0 &gt;&gt;%USERPROFILE%\Documents\GitHub\eaglep3-reporting\EC\2017-12-28-refined-times.txt</v>
      </c>
      <c r="AI15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{"issue":{"subject":"","project_id":79,"tracker_id":40,"status_id":1,"priority_id":2,"assigned_to_id":338,"start_date":"2017-12-28","description":"","custom_fields":[{"id":1,"name":"Subdivision","value":"EC"},{"id":4,"name":"Milepost","value":"23.3319"},{"id":17,"name":"Train ID","value":"103-28"},{"id":16,"name":"Locomotive ID","value":"4042"},{"id":130,"name":"Impact","value":""},{"id":150,"name":"Time of Event (Mountain Time)","value":"04:20:59"},{"id":151,"name":"Denver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2"/>
      <c r="AK15" s="230"/>
      <c r="AL15" s="230"/>
      <c r="AM15" s="239" t="str">
        <f t="shared" si="21"/>
        <v>start /low /b %USERPROFILE%\Documents\GitHub\eaglep3\Utilities\DownloadLogsFromS3.py --loco 4042 --day 2017-12-28</v>
      </c>
      <c r="AN15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11:20:59"},{"id":29,"name":"Sharepoint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29" t="str">
        <f t="shared" si="23"/>
        <v>https://d0f6bd738d7f1b3e5a7ca70fe4ff75f0.us-east-1.aws.found.io/app/kibana#/discover/Steve-Slow-Train-Analysis-(2080s-and-2083s)?_g=(refreshInterval:(display:Off,pause:!f,section:0,value:0),time:(from:'2017-12-28T02:38:36-0700',mode:absolute,to:'2017-12-28T05:20:59-0700'))&amp;_a=(columns:!('Message%20ID',Summary),filters:!(),index:'emp_*',interval:auto,query:(query_string:(analyze_wildcard:!t,query:'%22rtdc.l.rtdc.4042%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8" t="s">
        <v>713</v>
      </c>
      <c r="B16" s="224">
        <v>4041</v>
      </c>
      <c r="C16" s="226" t="s">
        <v>192</v>
      </c>
      <c r="D16" s="226" t="s">
        <v>630</v>
      </c>
      <c r="E16" s="225">
        <v>43097.193553240744</v>
      </c>
      <c r="F16" s="225">
        <v>43097.196076388886</v>
      </c>
      <c r="G16" s="224">
        <v>50</v>
      </c>
      <c r="H16" s="226" t="s">
        <v>641</v>
      </c>
      <c r="I16" s="225">
        <v>43097.221805555557</v>
      </c>
      <c r="J16" s="224">
        <v>0</v>
      </c>
      <c r="K16" s="236" t="str">
        <f t="shared" si="0"/>
        <v>4041/4042</v>
      </c>
      <c r="L16" s="244" t="str">
        <f>VLOOKUP(A16,'Trips&amp;Operators'!$C$1:$G$99911,5,FALSE)</f>
        <v>MAELZER KURT</v>
      </c>
      <c r="M16" s="223">
        <f t="shared" si="1"/>
        <v>2.5729166671226267E-2</v>
      </c>
      <c r="N16" s="224">
        <f t="shared" si="2"/>
        <v>37.050000006565824</v>
      </c>
      <c r="O16" s="224"/>
      <c r="P16" s="224"/>
      <c r="Q16" s="227"/>
      <c r="R16" s="241"/>
      <c r="S16" s="248">
        <f t="shared" si="3"/>
        <v>1</v>
      </c>
      <c r="T16" s="241" t="str">
        <f t="shared" si="4"/>
        <v>Southbound</v>
      </c>
      <c r="U16" s="24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7" t="str">
        <f t="shared" si="5"/>
        <v>https://d0f6bd738d7f1b3e5a7ca70fe4ff75f0.us-east-1.aws.found.io/app/kibana#/discover/Steve-Slow-Train-Analysis-(2080s-and-2083s)?_g=(refreshInterval:(display:Off,pause:!f,section:0,value:0),time:(from:'2017-12-28T03:38:43-0700',mode:absolute,to:'2017-12-28T06:19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246" t="str">
        <f>IF(AA16&lt;VLOOKUP(AG16,Variables!$AC$3:$AD$8,2,FALSE),"Y","N")</f>
        <v>N</v>
      </c>
      <c r="X16" s="246">
        <f t="shared" si="6"/>
        <v>1</v>
      </c>
      <c r="Y16" s="246">
        <f t="shared" si="7"/>
        <v>23.298500000000001</v>
      </c>
      <c r="Z16" s="246">
        <f t="shared" si="8"/>
        <v>1.9099999999999999E-2</v>
      </c>
      <c r="AA16" s="246">
        <f t="shared" si="9"/>
        <v>23.279399999999999</v>
      </c>
      <c r="AB16" s="232" t="e">
        <f>VLOOKUP(A16,Enforcements!$C$7:$K$9,8,0)</f>
        <v>#N/A</v>
      </c>
      <c r="AC16" s="231" t="e">
        <f>VLOOKUP(A16,Enforcements!$C$7:$E$9,3,0)</f>
        <v>#N/A</v>
      </c>
      <c r="AD16" s="242">
        <f t="shared" si="10"/>
        <v>104</v>
      </c>
      <c r="AE16" s="234" t="str">
        <f t="shared" si="11"/>
        <v>aws s3 cp s3://rtdc.mdm.uploadarchive.raw/RTDC4041/ "%USERPROFILE%\AppData\Local\Temp\OnboardLogs"\RTDC4041\2017-12-28 --exclude "*" --recursive --include "*20171228*" &amp; "%USERPROFILE%\Documents\GitHub\mrs-test-scripts\Headless Mode &amp; Sideloading\WalkAndUnGZ.bat" "%USERPROFILE%\AppData\Local\Temp\OnboardLogs"\RTDC4041\2017-12-28 &amp; aws s3 cp s3://rtdc.mdm.uploadarchive.raw/RTDC4041/ "%USERPROFILE%\AppData\Local\Temp\OnboardLogs"\RTDC4041\2017-12-29 --exclude "*" --recursive --include "*20171229*" &amp; "%USERPROFILE%\Documents\GitHub\mrs-test-scripts\Headless Mode &amp; Sideloading\WalkAndUnGZ.bat" "%USERPROFILE%\AppData\Local\Temp\OnboardLogs"\RTDC4041\2017-12-29</v>
      </c>
      <c r="AF16" s="233" t="str">
        <f t="shared" si="12"/>
        <v>"C:\Program Files (x86)\AstroGrep\AstroGrep.exe" /e /r /s /spath="%USERPROFILE%\AppData\Local\Temp\OnboardLogs" /stypes="app*4041*201712281*" /stext=" 12:.+?(?&gt;(PRM\|1\|D)|(KPR)|(KDP)|(train st[a-z]+ moving)|(SYSTEM_STATE:s[a-z]+ state changed)|(Enforcement Action)|(\[TIMEOUT)|(parse_ebi_status: Penalty)|(\|GPPS))"</v>
      </c>
      <c r="AG16" s="243" t="str">
        <f t="shared" si="13"/>
        <v>EC</v>
      </c>
      <c r="AH16" s="235" t="str">
        <f t="shared" si="19"/>
        <v>"%USERPROFILE%\Documents\GitHub\eaglep3\Utilities\RefineRTDCRunTimes.py" --tripid 104-28 --locoid 4041 --swversion DE.1.0.9.0 --startMP 204:232985 --initTime 2017-12-28T04:38:43 --startdatetime 2017-12-28T04:42:21 --delay 50 --endMP 204:191 --enddatetime 2017-12-28T05:19:24 --enforcementcount 0 &gt;&gt;%USERPROFILE%\Documents\GitHub\eaglep3-reporting\EC\2017-12-28-refined-times.txt</v>
      </c>
      <c r="AI16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{"issue":{"subject":"","project_id":79,"tracker_id":40,"status_id":1,"priority_id":2,"assigned_to_id":338,"start_date":"2017-12-28","description":"","custom_fields":[{"id":1,"name":"Subdivision","value":"EC"},{"id":4,"name":"Milepost","value":"0.0191"},{"id":17,"name":"Train ID","value":"104-28"},{"id":16,"name":"Locomotive ID","value":"4041"},{"id":130,"name":"Impact","value":""},{"id":150,"name":"Time of Event (Mountain Time)","value":"05:19:24"},{"id":151,"name":"Denver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2"/>
      <c r="AK16" s="230"/>
      <c r="AL16" s="230"/>
      <c r="AM16" s="239" t="str">
        <f t="shared" si="21"/>
        <v>start /low /b %USERPROFILE%\Documents\GitHub\eaglep3\Utilities\DownloadLogsFromS3.py --loco 4041 --day 2017-12-28</v>
      </c>
      <c r="AN16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12:19:24"},{"id":29,"name":"Sharepoint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29" t="str">
        <f t="shared" si="23"/>
        <v>https://d0f6bd738d7f1b3e5a7ca70fe4ff75f0.us-east-1.aws.found.io/app/kibana#/discover/Steve-Slow-Train-Analysis-(2080s-and-2083s)?_g=(refreshInterval:(display:Off,pause:!f,section:0,value:0),time:(from:'2017-12-28T03:38:43-0700',mode:absolute,to:'2017-12-28T06:19:24-0700'))&amp;_a=(columns:!('Message%20ID',Summary),filters:!(),index:'emp_*',interval:auto,query:(query_string:(analyze_wildcard:!t,query:'%22rtdc.l.rtdc.4041%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8" t="s">
        <v>707</v>
      </c>
      <c r="B17" s="224">
        <v>4014</v>
      </c>
      <c r="C17" s="226" t="s">
        <v>192</v>
      </c>
      <c r="D17" s="226" t="s">
        <v>522</v>
      </c>
      <c r="E17" s="225">
        <v>43097.174085648148</v>
      </c>
      <c r="F17" s="225">
        <v>43097.177245370367</v>
      </c>
      <c r="G17" s="224">
        <v>89</v>
      </c>
      <c r="H17" s="226" t="s">
        <v>631</v>
      </c>
      <c r="I17" s="225">
        <v>43097.202673611115</v>
      </c>
      <c r="J17" s="224">
        <v>0</v>
      </c>
      <c r="K17" s="236" t="str">
        <f t="shared" si="0"/>
        <v>4013/4014</v>
      </c>
      <c r="L17" s="244" t="str">
        <f>VLOOKUP(A17,'Trips&amp;Operators'!$C$1:$G$99911,5,FALSE)</f>
        <v>LONG FULLER</v>
      </c>
      <c r="M17" s="223">
        <f t="shared" si="1"/>
        <v>2.5428240747714881E-2</v>
      </c>
      <c r="N17" s="224">
        <f t="shared" si="2"/>
        <v>36.616666676709428</v>
      </c>
      <c r="O17" s="224"/>
      <c r="P17" s="224"/>
      <c r="Q17" s="227"/>
      <c r="R17" s="241"/>
      <c r="S17" s="248">
        <f t="shared" si="3"/>
        <v>1</v>
      </c>
      <c r="T17" s="241" t="str">
        <f t="shared" si="4"/>
        <v>NorthBound</v>
      </c>
      <c r="U17" s="24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7" t="str">
        <f t="shared" si="5"/>
        <v>https://d0f6bd738d7f1b3e5a7ca70fe4ff75f0.us-east-1.aws.found.io/app/kibana#/discover/Steve-Slow-Train-Analysis-(2080s-and-2083s)?_g=(refreshInterval:(display:Off,pause:!f,section:0,value:0),time:(from:'2017-12-28T03:10:41-0700',mode:absolute,to:'2017-12-28T05:51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" s="246" t="str">
        <f>IF(AA17&lt;VLOOKUP(AG17,Variables!$AC$3:$AD$8,2,FALSE),"Y","N")</f>
        <v>N</v>
      </c>
      <c r="X17" s="246">
        <f t="shared" si="6"/>
        <v>1</v>
      </c>
      <c r="Y17" s="246">
        <f t="shared" si="7"/>
        <v>5.2600000000000001E-2</v>
      </c>
      <c r="Z17" s="246">
        <f t="shared" si="8"/>
        <v>23.327400000000001</v>
      </c>
      <c r="AA17" s="246">
        <f t="shared" si="9"/>
        <v>23.274799999999999</v>
      </c>
      <c r="AB17" s="232" t="e">
        <f>VLOOKUP(A17,Enforcements!$C$7:$K$9,8,0)</f>
        <v>#N/A</v>
      </c>
      <c r="AC17" s="231" t="e">
        <f>VLOOKUP(A17,Enforcements!$C$7:$E$9,3,0)</f>
        <v>#N/A</v>
      </c>
      <c r="AD17" s="242">
        <f t="shared" si="10"/>
        <v>105</v>
      </c>
      <c r="AE17" s="234" t="str">
        <f t="shared" si="11"/>
        <v>aws s3 cp s3://rtdc.mdm.uploadarchive.raw/RTDC4014/ "%USERPROFILE%\AppData\Local\Temp\OnboardLogs"\RTDC4014\2017-12-28 --exclude "*" --recursive --include "*20171228*" &amp; "%USERPROFILE%\Documents\GitHub\mrs-test-scripts\Headless Mode &amp; Sideloading\WalkAndUnGZ.bat" "%USERPROFILE%\AppData\Local\Temp\OnboardLogs"\RTDC4014\2017-12-28 &amp; aws s3 cp s3://rtdc.mdm.uploadarchive.raw/RTDC4014/ "%USERPROFILE%\AppData\Local\Temp\OnboardLogs"\RTDC4014\2017-12-29 --exclude "*" --recursive --include "*20171229*" &amp; "%USERPROFILE%\Documents\GitHub\mrs-test-scripts\Headless Mode &amp; Sideloading\WalkAndUnGZ.bat" "%USERPROFILE%\AppData\Local\Temp\OnboardLogs"\RTDC4014\2017-12-29</v>
      </c>
      <c r="AF17" s="233" t="str">
        <f t="shared" si="12"/>
        <v>"C:\Program Files (x86)\AstroGrep\AstroGrep.exe" /e /r /s /spath="%USERPROFILE%\AppData\Local\Temp\OnboardLogs" /stypes="app*4014*201712281*" /stext=" 11:.+?(?&gt;(PRM\|1\|D)|(KPR)|(KDP)|(train st[a-z]+ moving)|(SYSTEM_STATE:s[a-z]+ state changed)|(Enforcement Action)|(\[TIMEOUT)|(parse_ebi_status: Penalty)|(\|GPPS))"</v>
      </c>
      <c r="AG17" s="243" t="str">
        <f t="shared" si="13"/>
        <v>EC</v>
      </c>
      <c r="AH17" s="235" t="str">
        <f t="shared" si="19"/>
        <v>"%USERPROFILE%\Documents\GitHub\eaglep3\Utilities\RefineRTDCRunTimes.py" --tripid 105-28 --locoid 4014 --swversion DE.1.0.9.0 --startMP 204:526 --initTime 2017-12-28T04:10:41 --startdatetime 2017-12-28T04:15:14 --delay 89 --endMP 204:233274 --enddatetime 2017-12-28T04:51:51 --enforcementcount 0 &gt;&gt;%USERPROFILE%\Documents\GitHub\eaglep3-reporting\EC\2017-12-28-refined-times.txt</v>
      </c>
      <c r="AI17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{"issue":{"subject":"","project_id":79,"tracker_id":40,"status_id":1,"priority_id":2,"assigned_to_id":338,"start_date":"2017-12-28","description":"","custom_fields":[{"id":1,"name":"Subdivision","value":"EC"},{"id":4,"name":"Milepost","value":"23.3274"},{"id":17,"name":"Train ID","value":"105-28"},{"id":16,"name":"Locomotive ID","value":"4014"},{"id":130,"name":"Impact","value":""},{"id":150,"name":"Time of Event (Mountain Time)","value":"04:51:51"},{"id":151,"name":"Denver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2"/>
      <c r="AK17" s="230"/>
      <c r="AL17" s="230"/>
      <c r="AM17" s="239" t="str">
        <f t="shared" si="21"/>
        <v>start /low /b %USERPROFILE%\Documents\GitHub\eaglep3\Utilities\DownloadLogsFromS3.py --loco 4014 --day 2017-12-28</v>
      </c>
      <c r="AN17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11:51:51"},{"id":29,"name":"Sharepoint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29" t="str">
        <f t="shared" si="23"/>
        <v>https://d0f6bd738d7f1b3e5a7ca70fe4ff75f0.us-east-1.aws.found.io/app/kibana#/discover/Steve-Slow-Train-Analysis-(2080s-and-2083s)?_g=(refreshInterval:(display:Off,pause:!f,section:0,value:0),time:(from:'2017-12-28T03:10:41-0700',mode:absolute,to:'2017-12-28T05:51:51-0700'))&amp;_a=(columns:!('Message%20ID',Summary),filters:!(),index:'emp_*',interval:auto,query:(query_string:(analyze_wildcard:!t,query:'%22rtdc.l.rtdc.4014%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8" t="s">
        <v>716</v>
      </c>
      <c r="B18" s="224">
        <v>4013</v>
      </c>
      <c r="C18" s="226" t="s">
        <v>192</v>
      </c>
      <c r="D18" s="226" t="s">
        <v>618</v>
      </c>
      <c r="E18" s="225">
        <v>43097.209016203706</v>
      </c>
      <c r="F18" s="225">
        <v>43097.216851851852</v>
      </c>
      <c r="G18" s="224">
        <v>51</v>
      </c>
      <c r="H18" s="226" t="s">
        <v>497</v>
      </c>
      <c r="I18" s="225">
        <v>43097.244097222225</v>
      </c>
      <c r="J18" s="224">
        <v>0</v>
      </c>
      <c r="K18" s="236" t="str">
        <f t="shared" si="0"/>
        <v>4013/4014</v>
      </c>
      <c r="L18" s="244" t="str">
        <f>VLOOKUP(A18,'Trips&amp;Operators'!$C$1:$G$99911,5,FALSE)</f>
        <v>LONG FULLER</v>
      </c>
      <c r="M18" s="223">
        <f t="shared" si="1"/>
        <v>2.7245370372838806E-2</v>
      </c>
      <c r="N18" s="224">
        <f t="shared" si="2"/>
        <v>39.233333336887881</v>
      </c>
      <c r="O18" s="224"/>
      <c r="P18" s="224"/>
      <c r="Q18" s="227"/>
      <c r="R18" s="241"/>
      <c r="S18" s="248">
        <f t="shared" si="3"/>
        <v>1</v>
      </c>
      <c r="T18" s="241" t="str">
        <f t="shared" si="4"/>
        <v>Southbound</v>
      </c>
      <c r="U18" s="24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7" t="str">
        <f t="shared" si="5"/>
        <v>https://d0f6bd738d7f1b3e5a7ca70fe4ff75f0.us-east-1.aws.found.io/app/kibana#/discover/Steve-Slow-Train-Analysis-(2080s-and-2083s)?_g=(refreshInterval:(display:Off,pause:!f,section:0,value:0),time:(from:'2017-12-28T04:00:59-0700',mode:absolute,to:'2017-12-28T06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" s="246" t="str">
        <f>IF(AA18&lt;VLOOKUP(AG18,Variables!$AC$3:$AD$8,2,FALSE),"Y","N")</f>
        <v>N</v>
      </c>
      <c r="X18" s="246">
        <f t="shared" si="6"/>
        <v>1</v>
      </c>
      <c r="Y18" s="246">
        <f t="shared" si="7"/>
        <v>23.295000000000002</v>
      </c>
      <c r="Z18" s="246">
        <f t="shared" si="8"/>
        <v>2.1600000000000001E-2</v>
      </c>
      <c r="AA18" s="246">
        <f t="shared" si="9"/>
        <v>23.273400000000002</v>
      </c>
      <c r="AB18" s="232" t="e">
        <f>VLOOKUP(A18,Enforcements!$C$7:$K$9,8,0)</f>
        <v>#N/A</v>
      </c>
      <c r="AC18" s="231" t="e">
        <f>VLOOKUP(A18,Enforcements!$C$7:$E$9,3,0)</f>
        <v>#N/A</v>
      </c>
      <c r="AD18" s="242">
        <f t="shared" si="10"/>
        <v>106</v>
      </c>
      <c r="AE18" s="234" t="str">
        <f t="shared" si="11"/>
        <v>aws s3 cp s3://rtdc.mdm.uploadarchive.raw/RTDC4013/ "%USERPROFILE%\AppData\Local\Temp\OnboardLogs"\RTDC4013\2017-12-28 --exclude "*" --recursive --include "*20171228*" &amp; "%USERPROFILE%\Documents\GitHub\mrs-test-scripts\Headless Mode &amp; Sideloading\WalkAndUnGZ.bat" "%USERPROFILE%\AppData\Local\Temp\OnboardLogs"\RTDC4013\2017-12-28 &amp; aws s3 cp s3://rtdc.mdm.uploadarchive.raw/RTDC4013/ "%USERPROFILE%\AppData\Local\Temp\OnboardLogs"\RTDC4013\2017-12-29 --exclude "*" --recursive --include "*20171229*" &amp; "%USERPROFILE%\Documents\GitHub\mrs-test-scripts\Headless Mode &amp; Sideloading\WalkAndUnGZ.bat" "%USERPROFILE%\AppData\Local\Temp\OnboardLogs"\RTDC4013\2017-12-29</v>
      </c>
      <c r="AF18" s="233" t="str">
        <f t="shared" si="12"/>
        <v>"C:\Program Files (x86)\AstroGrep\AstroGrep.exe" /e /r /s /spath="%USERPROFILE%\AppData\Local\Temp\OnboardLogs" /stypes="app*4013*201712281*" /stext=" 12:.+?(?&gt;(PRM\|1\|D)|(KPR)|(KDP)|(train st[a-z]+ moving)|(SYSTEM_STATE:s[a-z]+ state changed)|(Enforcement Action)|(\[TIMEOUT)|(parse_ebi_status: Penalty)|(\|GPPS))"</v>
      </c>
      <c r="AG18" s="243" t="str">
        <f t="shared" si="13"/>
        <v>EC</v>
      </c>
      <c r="AH18" s="235" t="str">
        <f t="shared" si="19"/>
        <v>"%USERPROFILE%\Documents\GitHub\eaglep3\Utilities\RefineRTDCRunTimes.py" --tripid 106-28 --locoid 4013 --swversion DE.1.0.9.0 --startMP 204:232950 --initTime 2017-12-28T05:00:59 --startdatetime 2017-12-28T05:12:16 --delay 51 --endMP 204:216 --enddatetime 2017-12-28T05:51:30 --enforcementcount 0 &gt;&gt;%USERPROFILE%\Documents\GitHub\eaglep3-reporting\EC\2017-12-28-refined-times.txt</v>
      </c>
      <c r="AI18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{"issue":{"subject":"","project_id":79,"tracker_id":40,"status_id":1,"priority_id":2,"assigned_to_id":338,"start_date":"2017-12-28","description":"","custom_fields":[{"id":1,"name":"Subdivision","value":"EC"},{"id":4,"name":"Milepost","value":"0.0216"},{"id":17,"name":"Train ID","value":"106-28"},{"id":16,"name":"Locomotive ID","value":"4013"},{"id":130,"name":"Impact","value":""},{"id":150,"name":"Time of Event (Mountain Time)","value":"05:51:30"},{"id":151,"name":"Denver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2"/>
      <c r="AK18" s="230"/>
      <c r="AL18" s="230"/>
      <c r="AM18" s="239" t="str">
        <f t="shared" si="21"/>
        <v>start /low /b %USERPROFILE%\Documents\GitHub\eaglep3\Utilities\DownloadLogsFromS3.py --loco 4013 --day 2017-12-28</v>
      </c>
      <c r="AN18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12:51:30"},{"id":29,"name":"Sharepoint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29" t="str">
        <f t="shared" si="23"/>
        <v>https://d0f6bd738d7f1b3e5a7ca70fe4ff75f0.us-east-1.aws.found.io/app/kibana#/discover/Steve-Slow-Train-Analysis-(2080s-and-2083s)?_g=(refreshInterval:(display:Off,pause:!f,section:0,value:0),time:(from:'2017-12-28T04:00:59-0700',mode:absolute,to:'2017-12-28T06:51:30-0700'))&amp;_a=(columns:!('Message%20ID',Summary),filters:!(),index:'emp_*',interval:auto,query:(query_string:(analyze_wildcard:!t,query:'%22rtdc.l.rtdc.4013%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8" t="s">
        <v>710</v>
      </c>
      <c r="B19" s="224">
        <v>4046</v>
      </c>
      <c r="C19" s="226" t="s">
        <v>192</v>
      </c>
      <c r="D19" s="226" t="s">
        <v>620</v>
      </c>
      <c r="E19" s="225">
        <v>43097.181689814817</v>
      </c>
      <c r="F19" s="225">
        <v>43097.187719907408</v>
      </c>
      <c r="G19" s="224">
        <v>76</v>
      </c>
      <c r="H19" s="226" t="s">
        <v>917</v>
      </c>
      <c r="I19" s="225">
        <v>43097.212291666663</v>
      </c>
      <c r="J19" s="224">
        <v>0</v>
      </c>
      <c r="K19" s="236" t="str">
        <f t="shared" si="0"/>
        <v>4045/4046</v>
      </c>
      <c r="L19" s="244" t="str">
        <f>VLOOKUP(A19,'Trips&amp;Operators'!$C$1:$G$99911,5,FALSE)</f>
        <v>GEBRETEKLE DAGNEW</v>
      </c>
      <c r="M19" s="223">
        <f t="shared" si="1"/>
        <v>2.4571759255195502E-2</v>
      </c>
      <c r="N19" s="224">
        <f t="shared" si="2"/>
        <v>35.383333327481523</v>
      </c>
      <c r="O19" s="224"/>
      <c r="P19" s="224"/>
      <c r="Q19" s="227"/>
      <c r="R19" s="241"/>
      <c r="S19" s="248">
        <f t="shared" si="3"/>
        <v>1</v>
      </c>
      <c r="T19" s="241" t="str">
        <f t="shared" si="4"/>
        <v>NorthBound</v>
      </c>
      <c r="U19" s="24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7" t="str">
        <f t="shared" si="5"/>
        <v>https://d0f6bd738d7f1b3e5a7ca70fe4ff75f0.us-east-1.aws.found.io/app/kibana#/discover/Steve-Slow-Train-Analysis-(2080s-and-2083s)?_g=(refreshInterval:(display:Off,pause:!f,section:0,value:0),time:(from:'2017-12-28T03:21:38-0700',mode:absolute,to:'2017-12-28T06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246" t="str">
        <f>IF(AA19&lt;VLOOKUP(AG19,Variables!$AC$3:$AD$8,2,FALSE),"Y","N")</f>
        <v>N</v>
      </c>
      <c r="X19" s="246">
        <f t="shared" si="6"/>
        <v>1</v>
      </c>
      <c r="Y19" s="246">
        <f t="shared" si="7"/>
        <v>4.6399999999999997E-2</v>
      </c>
      <c r="Z19" s="246">
        <f t="shared" si="8"/>
        <v>23.330200000000001</v>
      </c>
      <c r="AA19" s="246">
        <f t="shared" si="9"/>
        <v>23.283800000000003</v>
      </c>
      <c r="AB19" s="232" t="e">
        <f>VLOOKUP(A19,Enforcements!$C$7:$K$9,8,0)</f>
        <v>#N/A</v>
      </c>
      <c r="AC19" s="231" t="e">
        <f>VLOOKUP(A19,Enforcements!$C$7:$E$9,3,0)</f>
        <v>#N/A</v>
      </c>
      <c r="AD19" s="242">
        <f t="shared" si="10"/>
        <v>107</v>
      </c>
      <c r="AE19" s="234" t="str">
        <f t="shared" si="11"/>
        <v>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 &amp; aws s3 cp s3://rtdc.mdm.uploadarchive.raw/RTDC4046/ "%USERPROFILE%\AppData\Local\Temp\OnboardLogs"\RTDC4046\2017-12-29 --exclude "*" --recursive --include "*20171229*" &amp; "%USERPROFILE%\Documents\GitHub\mrs-test-scripts\Headless Mode &amp; Sideloading\WalkAndUnGZ.bat" "%USERPROFILE%\AppData\Local\Temp\OnboardLogs"\RTDC4046\2017-12-29</v>
      </c>
      <c r="AF19" s="233" t="str">
        <f t="shared" si="12"/>
        <v>"C:\Program Files (x86)\AstroGrep\AstroGrep.exe" /e /r /s /spath="%USERPROFILE%\AppData\Local\Temp\OnboardLogs" /stypes="app*4046*201712281*" /stext=" 12:.+?(?&gt;(PRM\|1\|D)|(KPR)|(KDP)|(train st[a-z]+ moving)|(SYSTEM_STATE:s[a-z]+ state changed)|(Enforcement Action)|(\[TIMEOUT)|(parse_ebi_status: Penalty)|(\|GPPS))"</v>
      </c>
      <c r="AG19" s="243" t="str">
        <f t="shared" si="13"/>
        <v>EC</v>
      </c>
      <c r="AH19" s="235" t="str">
        <f t="shared" si="19"/>
        <v>"%USERPROFILE%\Documents\GitHub\eaglep3\Utilities\RefineRTDCRunTimes.py" --tripid 107-28 --locoid 4046 --swversion DE.1.0.9.0 --startMP 204:464 --initTime 2017-12-28T04:21:38 --startdatetime 2017-12-28T04:30:19 --delay 76 --endMP 204:233302 --enddatetime 2017-12-28T05:05:42 --enforcementcount 0 &gt;&gt;%USERPROFILE%\Documents\GitHub\eaglep3-reporting\EC\2017-12-28-refined-times.txt</v>
      </c>
      <c r="AI19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{"issue":{"subject":"","project_id":79,"tracker_id":40,"status_id":1,"priority_id":2,"assigned_to_id":338,"start_date":"2017-12-28","description":"","custom_fields":[{"id":1,"name":"Subdivision","value":"EC"},{"id":4,"name":"Milepost","value":"23.3302"},{"id":17,"name":"Train ID","value":"107-28"},{"id":16,"name":"Locomotive ID","value":"4046"},{"id":130,"name":"Impact","value":""},{"id":150,"name":"Time of Event (Mountain Time)","value":"05:05:42"},{"id":151,"name":"Denver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2"/>
      <c r="AK19" s="230"/>
      <c r="AL19" s="230"/>
      <c r="AM19" s="239" t="str">
        <f t="shared" si="21"/>
        <v>start /low /b %USERPROFILE%\Documents\GitHub\eaglep3\Utilities\DownloadLogsFromS3.py --loco 4046 --day 2017-12-28</v>
      </c>
      <c r="AN19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12:05:42"},{"id":29,"name":"Sharepoint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29" t="str">
        <f t="shared" si="23"/>
        <v>https://d0f6bd738d7f1b3e5a7ca70fe4ff75f0.us-east-1.aws.found.io/app/kibana#/discover/Steve-Slow-Train-Analysis-(2080s-and-2083s)?_g=(refreshInterval:(display:Off,pause:!f,section:0,value:0),time:(from:'2017-12-28T03:21:38-0700',mode:absolute,to:'2017-12-28T06:05:42-0700'))&amp;_a=(columns:!('Message%20ID',Summary),filters:!(),index:'emp_*',interval:auto,query:(query_string:(analyze_wildcard:!t,query:'%22rtdc.l.rtdc.4046%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8" t="s">
        <v>719</v>
      </c>
      <c r="B20" s="224">
        <v>4045</v>
      </c>
      <c r="C20" s="226" t="s">
        <v>192</v>
      </c>
      <c r="D20" s="226" t="s">
        <v>490</v>
      </c>
      <c r="E20" s="225">
        <v>43097.213495370372</v>
      </c>
      <c r="F20" s="225">
        <v>43097.227280092593</v>
      </c>
      <c r="G20" s="224">
        <v>47</v>
      </c>
      <c r="H20" s="226" t="s">
        <v>567</v>
      </c>
      <c r="I20" s="225">
        <v>43097.253171296295</v>
      </c>
      <c r="J20" s="224">
        <v>0</v>
      </c>
      <c r="K20" s="236" t="str">
        <f t="shared" si="0"/>
        <v>4045/4046</v>
      </c>
      <c r="L20" s="244" t="str">
        <f>VLOOKUP(A20,'Trips&amp;Operators'!$C$1:$G$99911,5,FALSE)</f>
        <v>GEBRETEKLE DAGNEW</v>
      </c>
      <c r="M20" s="223">
        <f t="shared" si="1"/>
        <v>2.5891203702485655E-2</v>
      </c>
      <c r="N20" s="224">
        <f t="shared" si="2"/>
        <v>37.283333331579342</v>
      </c>
      <c r="O20" s="224"/>
      <c r="P20" s="224"/>
      <c r="Q20" s="227"/>
      <c r="R20" s="241"/>
      <c r="S20" s="248">
        <f t="shared" si="3"/>
        <v>1</v>
      </c>
      <c r="T20" s="241" t="str">
        <f t="shared" si="4"/>
        <v>Southbound</v>
      </c>
      <c r="U20" s="24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7" t="str">
        <f t="shared" si="5"/>
        <v>https://d0f6bd738d7f1b3e5a7ca70fe4ff75f0.us-east-1.aws.found.io/app/kibana#/discover/Steve-Slow-Train-Analysis-(2080s-and-2083s)?_g=(refreshInterval:(display:Off,pause:!f,section:0,value:0),time:(from:'2017-12-28T04:07:26-0700',mode:absolute,to:'2017-12-28T07:04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246" t="str">
        <f>IF(AA20&lt;VLOOKUP(AG20,Variables!$AC$3:$AD$8,2,FALSE),"Y","N")</f>
        <v>N</v>
      </c>
      <c r="X20" s="246">
        <f t="shared" si="6"/>
        <v>1</v>
      </c>
      <c r="Y20" s="246">
        <f t="shared" si="7"/>
        <v>23.299800000000001</v>
      </c>
      <c r="Z20" s="246">
        <f t="shared" si="8"/>
        <v>1.6E-2</v>
      </c>
      <c r="AA20" s="246">
        <f t="shared" si="9"/>
        <v>23.283800000000003</v>
      </c>
      <c r="AB20" s="232" t="e">
        <f>VLOOKUP(A20,Enforcements!$C$7:$K$9,8,0)</f>
        <v>#N/A</v>
      </c>
      <c r="AC20" s="231" t="e">
        <f>VLOOKUP(A20,Enforcements!$C$7:$E$9,3,0)</f>
        <v>#N/A</v>
      </c>
      <c r="AD20" s="242">
        <f t="shared" si="10"/>
        <v>108</v>
      </c>
      <c r="AE20" s="234" t="str">
        <f t="shared" si="11"/>
        <v>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 &amp; aws s3 cp s3://rtdc.mdm.uploadarchive.raw/RTDC4045/ "%USERPROFILE%\AppData\Local\Temp\OnboardLogs"\RTDC4045\2017-12-29 --exclude "*" --recursive --include "*20171229*" &amp; "%USERPROFILE%\Documents\GitHub\mrs-test-scripts\Headless Mode &amp; Sideloading\WalkAndUnGZ.bat" "%USERPROFILE%\AppData\Local\Temp\OnboardLogs"\RTDC4045\2017-12-29</v>
      </c>
      <c r="AF20" s="233" t="str">
        <f t="shared" si="12"/>
        <v>"C:\Program Files (x86)\AstroGrep\AstroGrep.exe" /e /r /s /spath="%USERPROFILE%\AppData\Local\Temp\OnboardLogs" /stypes="app*4045*201712281*" /stext=" 13:.+?(?&gt;(PRM\|1\|D)|(KPR)|(KDP)|(train st[a-z]+ moving)|(SYSTEM_STATE:s[a-z]+ state changed)|(Enforcement Action)|(\[TIMEOUT)|(parse_ebi_status: Penalty)|(\|GPPS))"</v>
      </c>
      <c r="AG20" s="243" t="str">
        <f t="shared" si="13"/>
        <v>EC</v>
      </c>
      <c r="AH20" s="235" t="str">
        <f t="shared" si="19"/>
        <v>"%USERPROFILE%\Documents\GitHub\eaglep3\Utilities\RefineRTDCRunTimes.py" --tripid 108-28 --locoid 4045 --swversion DE.1.0.9.0 --startMP 204:232998 --initTime 2017-12-28T05:07:26 --startdatetime 2017-12-28T05:27:17 --delay 47 --endMP 204:160 --enddatetime 2017-12-28T06:04:34 --enforcementcount 0 &gt;&gt;%USERPROFILE%\Documents\GitHub\eaglep3-reporting\EC\2017-12-28-refined-times.txt</v>
      </c>
      <c r="AI20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{"issue":{"subject":"","project_id":79,"tracker_id":40,"status_id":1,"priority_id":2,"assigned_to_id":338,"start_date":"2017-12-28","description":"","custom_fields":[{"id":1,"name":"Subdivision","value":"EC"},{"id":4,"name":"Milepost","value":"0.016"},{"id":17,"name":"Train ID","value":"108-28"},{"id":16,"name":"Locomotive ID","value":"4045"},{"id":130,"name":"Impact","value":""},{"id":150,"name":"Time of Event (Mountain Time)","value":"06:04:34"},{"id":151,"name":"Denver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2"/>
      <c r="AK20" s="230"/>
      <c r="AL20" s="230"/>
      <c r="AM20" s="239" t="str">
        <f t="shared" si="21"/>
        <v>start /low /b %USERPROFILE%\Documents\GitHub\eaglep3\Utilities\DownloadLogsFromS3.py --loco 4045 --day 2017-12-28</v>
      </c>
      <c r="AN20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13:04:34"},{"id":29,"name":"Sharepoint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29" t="str">
        <f t="shared" si="23"/>
        <v>https://d0f6bd738d7f1b3e5a7ca70fe4ff75f0.us-east-1.aws.found.io/app/kibana#/discover/Steve-Slow-Train-Analysis-(2080s-and-2083s)?_g=(refreshInterval:(display:Off,pause:!f,section:0,value:0),time:(from:'2017-12-28T04:07:26-0700',mode:absolute,to:'2017-12-28T07:04:34-0700'))&amp;_a=(columns:!('Message%20ID',Summary),filters:!(),index:'emp_*',interval:auto,query:(query_string:(analyze_wildcard:!t,query:'%22rtdc.l.rtdc.4045%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8" t="s">
        <v>712</v>
      </c>
      <c r="B21" s="224">
        <v>4056</v>
      </c>
      <c r="C21" s="226" t="s">
        <v>192</v>
      </c>
      <c r="D21" s="226" t="s">
        <v>648</v>
      </c>
      <c r="E21" s="225">
        <v>43097.19290509259</v>
      </c>
      <c r="F21" s="225">
        <v>43097.198101851849</v>
      </c>
      <c r="G21" s="224">
        <v>98</v>
      </c>
      <c r="H21" s="226" t="s">
        <v>649</v>
      </c>
      <c r="I21" s="225">
        <v>43097.223553240743</v>
      </c>
      <c r="J21" s="224">
        <v>0</v>
      </c>
      <c r="K21" s="236" t="str">
        <f t="shared" si="0"/>
        <v>4055/4056</v>
      </c>
      <c r="L21" s="244" t="str">
        <f>VLOOKUP(A21,'Trips&amp;Operators'!$C$1:$G$99911,5,FALSE)</f>
        <v>WILLIAMS DONTE</v>
      </c>
      <c r="M21" s="223">
        <f t="shared" si="1"/>
        <v>2.5451388893998228E-2</v>
      </c>
      <c r="N21" s="224">
        <f t="shared" si="2"/>
        <v>36.650000007357448</v>
      </c>
      <c r="O21" s="224"/>
      <c r="P21" s="224"/>
      <c r="Q21" s="227"/>
      <c r="R21" s="241"/>
      <c r="S21" s="248">
        <f t="shared" si="3"/>
        <v>1</v>
      </c>
      <c r="T21" s="241" t="str">
        <f t="shared" si="4"/>
        <v>NorthBound</v>
      </c>
      <c r="U21" s="24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7" t="str">
        <f t="shared" si="5"/>
        <v>https://d0f6bd738d7f1b3e5a7ca70fe4ff75f0.us-east-1.aws.found.io/app/kibana#/discover/Steve-Slow-Train-Analysis-(2080s-and-2083s)?_g=(refreshInterval:(display:Off,pause:!f,section:0,value:0),time:(from:'2017-12-28T03:37:47-0700',mode:absolute,to:'2017-12-28T06:21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" s="246" t="str">
        <f>IF(AA21&lt;VLOOKUP(AG21,Variables!$AC$3:$AD$8,2,FALSE),"Y","N")</f>
        <v>N</v>
      </c>
      <c r="X21" s="246">
        <f t="shared" si="6"/>
        <v>1</v>
      </c>
      <c r="Y21" s="246">
        <f t="shared" si="7"/>
        <v>4.7500000000000001E-2</v>
      </c>
      <c r="Z21" s="246">
        <f t="shared" si="8"/>
        <v>23.325099999999999</v>
      </c>
      <c r="AA21" s="246">
        <f t="shared" si="9"/>
        <v>23.2776</v>
      </c>
      <c r="AB21" s="232" t="e">
        <f>VLOOKUP(A21,Enforcements!$C$7:$K$9,8,0)</f>
        <v>#N/A</v>
      </c>
      <c r="AC21" s="231" t="e">
        <f>VLOOKUP(A21,Enforcements!$C$7:$E$9,3,0)</f>
        <v>#N/A</v>
      </c>
      <c r="AD21" s="242">
        <f t="shared" si="10"/>
        <v>109</v>
      </c>
      <c r="AE21" s="234" t="str">
        <f t="shared" si="11"/>
        <v>aws s3 cp s3://rtdc.mdm.uploadarchive.raw/RTDC4056/ "%USERPROFILE%\AppData\Local\Temp\OnboardLogs"\RTDC4056\2017-12-28 --exclude "*" --recursive --include "*20171228*" &amp; "%USERPROFILE%\Documents\GitHub\mrs-test-scripts\Headless Mode &amp; Sideloading\WalkAndUnGZ.bat" "%USERPROFILE%\AppData\Local\Temp\OnboardLogs"\RTDC4056\2017-12-28 &amp; aws s3 cp s3://rtdc.mdm.uploadarchive.raw/RTDC4056/ "%USERPROFILE%\AppData\Local\Temp\OnboardLogs"\RTDC4056\2017-12-29 --exclude "*" --recursive --include "*20171229*" &amp; "%USERPROFILE%\Documents\GitHub\mrs-test-scripts\Headless Mode &amp; Sideloading\WalkAndUnGZ.bat" "%USERPROFILE%\AppData\Local\Temp\OnboardLogs"\RTDC4056\2017-12-29</v>
      </c>
      <c r="AF21" s="233" t="str">
        <f t="shared" si="12"/>
        <v>"C:\Program Files (x86)\AstroGrep\AstroGrep.exe" /e /r /s /spath="%USERPROFILE%\AppData\Local\Temp\OnboardLogs" /stypes="app*4056*201712281*" /stext=" 12:.+?(?&gt;(PRM\|1\|D)|(KPR)|(KDP)|(train st[a-z]+ moving)|(SYSTEM_STATE:s[a-z]+ state changed)|(Enforcement Action)|(\[TIMEOUT)|(parse_ebi_status: Penalty)|(\|GPPS))"</v>
      </c>
      <c r="AG21" s="243" t="str">
        <f t="shared" si="13"/>
        <v>EC</v>
      </c>
      <c r="AH21" s="235" t="str">
        <f t="shared" si="19"/>
        <v>"%USERPROFILE%\Documents\GitHub\eaglep3\Utilities\RefineRTDCRunTimes.py" --tripid 109-28 --locoid 4056 --swversion DE.1.0.9.0 --startMP 204:475 --initTime 2017-12-28T04:37:47 --startdatetime 2017-12-28T04:45:16 --delay 98 --endMP 204:233251 --enddatetime 2017-12-28T05:21:55 --enforcementcount 0 &gt;&gt;%USERPROFILE%\Documents\GitHub\eaglep3-reporting\EC\2017-12-28-refined-times.txt</v>
      </c>
      <c r="AI21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{"issue":{"subject":"","project_id":79,"tracker_id":40,"status_id":1,"priority_id":2,"assigned_to_id":338,"start_date":"2017-12-28","description":"","custom_fields":[{"id":1,"name":"Subdivision","value":"EC"},{"id":4,"name":"Milepost","value":"23.3251"},{"id":17,"name":"Train ID","value":"109-28"},{"id":16,"name":"Locomotive ID","value":"4056"},{"id":130,"name":"Impact","value":""},{"id":150,"name":"Time of Event (Mountain Time)","value":"05:21:55"},{"id":151,"name":"Denver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2"/>
      <c r="AK21" s="230"/>
      <c r="AL21" s="230"/>
      <c r="AM21" s="239" t="str">
        <f t="shared" si="21"/>
        <v>start /low /b %USERPROFILE%\Documents\GitHub\eaglep3\Utilities\DownloadLogsFromS3.py --loco 4056 --day 2017-12-28</v>
      </c>
      <c r="AN21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12:21:55"},{"id":29,"name":"Sharepoint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29" t="str">
        <f t="shared" si="23"/>
        <v>https://d0f6bd738d7f1b3e5a7ca70fe4ff75f0.us-east-1.aws.found.io/app/kibana#/discover/Steve-Slow-Train-Analysis-(2080s-and-2083s)?_g=(refreshInterval:(display:Off,pause:!f,section:0,value:0),time:(from:'2017-12-28T03:37:47-0700',mode:absolute,to:'2017-12-28T06:21:55-0700'))&amp;_a=(columns:!('Message%20ID',Summary),filters:!(),index:'emp_*',interval:auto,query:(query_string:(analyze_wildcard:!t,query:'%22rtdc.l.rtdc.4056%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8" t="s">
        <v>725</v>
      </c>
      <c r="B22" s="224">
        <v>4055</v>
      </c>
      <c r="C22" s="226" t="s">
        <v>192</v>
      </c>
      <c r="D22" s="226" t="s">
        <v>918</v>
      </c>
      <c r="E22" s="225">
        <v>43097.232372685183</v>
      </c>
      <c r="F22" s="225">
        <v>43097.237673611111</v>
      </c>
      <c r="G22" s="224">
        <v>94</v>
      </c>
      <c r="H22" s="226" t="s">
        <v>626</v>
      </c>
      <c r="I22" s="225">
        <v>43097.26494212963</v>
      </c>
      <c r="J22" s="224">
        <v>0</v>
      </c>
      <c r="K22" s="236" t="str">
        <f t="shared" si="0"/>
        <v>4055/4056</v>
      </c>
      <c r="L22" s="244" t="str">
        <f>VLOOKUP(A22,'Trips&amp;Operators'!$C$1:$G$99911,5,FALSE)</f>
        <v>WILLIAMS DONTE</v>
      </c>
      <c r="M22" s="223">
        <f t="shared" si="1"/>
        <v>2.7268518519122154E-2</v>
      </c>
      <c r="N22" s="224">
        <f t="shared" si="2"/>
        <v>39.266666667535901</v>
      </c>
      <c r="O22" s="224"/>
      <c r="P22" s="224"/>
      <c r="Q22" s="227"/>
      <c r="R22" s="241"/>
      <c r="S22" s="248">
        <f t="shared" si="3"/>
        <v>1</v>
      </c>
      <c r="T22" s="241" t="str">
        <f t="shared" si="4"/>
        <v>Southbound</v>
      </c>
      <c r="U22" s="24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7" t="str">
        <f t="shared" si="5"/>
        <v>https://d0f6bd738d7f1b3e5a7ca70fe4ff75f0.us-east-1.aws.found.io/app/kibana#/discover/Steve-Slow-Train-Analysis-(2080s-and-2083s)?_g=(refreshInterval:(display:Off,pause:!f,section:0,value:0),time:(from:'2017-12-28T04:34:37-0700',mode:absolute,to:'2017-12-28T07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" s="246" t="str">
        <f>IF(AA22&lt;VLOOKUP(AG22,Variables!$AC$3:$AD$8,2,FALSE),"Y","N")</f>
        <v>N</v>
      </c>
      <c r="X22" s="246">
        <f t="shared" si="6"/>
        <v>1</v>
      </c>
      <c r="Y22" s="246">
        <f t="shared" si="7"/>
        <v>23.292999999999999</v>
      </c>
      <c r="Z22" s="246">
        <f t="shared" si="8"/>
        <v>2.1100000000000001E-2</v>
      </c>
      <c r="AA22" s="246">
        <f t="shared" si="9"/>
        <v>23.271899999999999</v>
      </c>
      <c r="AB22" s="232" t="e">
        <f>VLOOKUP(A22,Enforcements!$C$7:$K$9,8,0)</f>
        <v>#N/A</v>
      </c>
      <c r="AC22" s="231" t="e">
        <f>VLOOKUP(A22,Enforcements!$C$7:$E$9,3,0)</f>
        <v>#N/A</v>
      </c>
      <c r="AD22" s="242">
        <f t="shared" si="10"/>
        <v>110</v>
      </c>
      <c r="AE22" s="234" t="str">
        <f t="shared" si="11"/>
        <v>aws s3 cp s3://rtdc.mdm.uploadarchive.raw/RTDC4055/ "%USERPROFILE%\AppData\Local\Temp\OnboardLogs"\RTDC4055\2017-12-28 --exclude "*" --recursive --include "*20171228*" &amp; "%USERPROFILE%\Documents\GitHub\mrs-test-scripts\Headless Mode &amp; Sideloading\WalkAndUnGZ.bat" "%USERPROFILE%\AppData\Local\Temp\OnboardLogs"\RTDC4055\2017-12-28 &amp; aws s3 cp s3://rtdc.mdm.uploadarchive.raw/RTDC4055/ "%USERPROFILE%\AppData\Local\Temp\OnboardLogs"\RTDC4055\2017-12-29 --exclude "*" --recursive --include "*20171229*" &amp; "%USERPROFILE%\Documents\GitHub\mrs-test-scripts\Headless Mode &amp; Sideloading\WalkAndUnGZ.bat" "%USERPROFILE%\AppData\Local\Temp\OnboardLogs"\RTDC4055\2017-12-29</v>
      </c>
      <c r="AF22" s="233" t="str">
        <f t="shared" si="12"/>
        <v>"C:\Program Files (x86)\AstroGrep\AstroGrep.exe" /e /r /s /spath="%USERPROFILE%\AppData\Local\Temp\OnboardLogs" /stypes="app*4055*201712281*" /stext=" 13:.+?(?&gt;(PRM\|1\|D)|(KPR)|(KDP)|(train st[a-z]+ moving)|(SYSTEM_STATE:s[a-z]+ state changed)|(Enforcement Action)|(\[TIMEOUT)|(parse_ebi_status: Penalty)|(\|GPPS))"</v>
      </c>
      <c r="AG22" s="243" t="str">
        <f t="shared" si="13"/>
        <v>EC</v>
      </c>
      <c r="AH22" s="235" t="str">
        <f t="shared" si="19"/>
        <v>"%USERPROFILE%\Documents\GitHub\eaglep3\Utilities\RefineRTDCRunTimes.py" --tripid 110-28 --locoid 4055 --swversion DE.1.0.9.0 --startMP 204:232930 --initTime 2017-12-28T05:34:37 --startdatetime 2017-12-28T05:42:15 --delay 94 --endMP 204:211 --enddatetime 2017-12-28T06:21:31 --enforcementcount 0 &gt;&gt;%USERPROFILE%\Documents\GitHub\eaglep3-reporting\EC\2017-12-28-refined-times.txt</v>
      </c>
      <c r="AI22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{"issue":{"subject":"","project_id":79,"tracker_id":40,"status_id":1,"priority_id":2,"assigned_to_id":338,"start_date":"2017-12-28","description":"","custom_fields":[{"id":1,"name":"Subdivision","value":"EC"},{"id":4,"name":"Milepost","value":"0.0211"},{"id":17,"name":"Train ID","value":"110-28"},{"id":16,"name":"Locomotive ID","value":"4055"},{"id":130,"name":"Impact","value":""},{"id":150,"name":"Time of Event (Mountain Time)","value":"06:21:31"},{"id":151,"name":"Denver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2"/>
      <c r="AK22" s="230"/>
      <c r="AL22" s="230"/>
      <c r="AM22" s="239" t="str">
        <f t="shared" si="21"/>
        <v>start /low /b %USERPROFILE%\Documents\GitHub\eaglep3\Utilities\DownloadLogsFromS3.py --loco 4055 --day 2017-12-28</v>
      </c>
      <c r="AN22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13:21:31"},{"id":29,"name":"Sharepoint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29" t="str">
        <f t="shared" si="23"/>
        <v>https://d0f6bd738d7f1b3e5a7ca70fe4ff75f0.us-east-1.aws.found.io/app/kibana#/discover/Steve-Slow-Train-Analysis-(2080s-and-2083s)?_g=(refreshInterval:(display:Off,pause:!f,section:0,value:0),time:(from:'2017-12-28T04:34:37-0700',mode:absolute,to:'2017-12-28T07:21:31-0700'))&amp;_a=(columns:!('Message%20ID',Summary),filters:!(),index:'emp_*',interval:auto,query:(query_string:(analyze_wildcard:!t,query:'%22rtdc.l.rtdc.4055%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8" t="s">
        <v>715</v>
      </c>
      <c r="B23" s="224">
        <v>4062</v>
      </c>
      <c r="C23" s="226" t="s">
        <v>192</v>
      </c>
      <c r="D23" s="226" t="s">
        <v>573</v>
      </c>
      <c r="E23" s="225">
        <v>43097.201377314814</v>
      </c>
      <c r="F23" s="225">
        <v>43097.208495370367</v>
      </c>
      <c r="G23" s="224">
        <v>41</v>
      </c>
      <c r="H23" s="226" t="s">
        <v>919</v>
      </c>
      <c r="I23" s="225">
        <v>43097.233668981484</v>
      </c>
      <c r="J23" s="224">
        <v>0</v>
      </c>
      <c r="K23" s="236" t="str">
        <f t="shared" si="0"/>
        <v>4061/4062</v>
      </c>
      <c r="L23" s="244" t="str">
        <f>VLOOKUP(A23,'Trips&amp;Operators'!$C$1:$G$99911,5,FALSE)</f>
        <v>YORK EDGAR</v>
      </c>
      <c r="M23" s="223">
        <f t="shared" si="1"/>
        <v>2.5173611116770189E-2</v>
      </c>
      <c r="N23" s="224">
        <f t="shared" si="2"/>
        <v>36.250000008149073</v>
      </c>
      <c r="O23" s="224"/>
      <c r="P23" s="224"/>
      <c r="Q23" s="227"/>
      <c r="R23" s="241"/>
      <c r="S23" s="248">
        <f t="shared" si="3"/>
        <v>1</v>
      </c>
      <c r="T23" s="241" t="str">
        <f t="shared" si="4"/>
        <v>NorthBound</v>
      </c>
      <c r="U23" s="24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7" t="str">
        <f t="shared" si="5"/>
        <v>https://d0f6bd738d7f1b3e5a7ca70fe4ff75f0.us-east-1.aws.found.io/app/kibana#/discover/Steve-Slow-Train-Analysis-(2080s-and-2083s)?_g=(refreshInterval:(display:Off,pause:!f,section:0,value:0),time:(from:'2017-12-28T03:49:59-0700',mode:absolute,to:'2017-12-28T06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" s="246" t="str">
        <f>IF(AA23&lt;VLOOKUP(AG23,Variables!$AC$3:$AD$8,2,FALSE),"Y","N")</f>
        <v>N</v>
      </c>
      <c r="X23" s="246">
        <f t="shared" si="6"/>
        <v>1</v>
      </c>
      <c r="Y23" s="246">
        <f t="shared" si="7"/>
        <v>4.6899999999999997E-2</v>
      </c>
      <c r="Z23" s="246">
        <f t="shared" si="8"/>
        <v>23.328900000000001</v>
      </c>
      <c r="AA23" s="246">
        <f t="shared" si="9"/>
        <v>23.282</v>
      </c>
      <c r="AB23" s="232" t="e">
        <f>VLOOKUP(A23,Enforcements!$C$7:$K$9,8,0)</f>
        <v>#N/A</v>
      </c>
      <c r="AC23" s="231" t="e">
        <f>VLOOKUP(A23,Enforcements!$C$7:$E$9,3,0)</f>
        <v>#N/A</v>
      </c>
      <c r="AD23" s="242">
        <f t="shared" si="10"/>
        <v>111</v>
      </c>
      <c r="AE23" s="234" t="str">
        <f t="shared" si="11"/>
        <v>aws s3 cp s3://rtdc.mdm.uploadarchive.raw/RTDC4062/ "%USERPROFILE%\AppData\Local\Temp\OnboardLogs"\RTDC4062\2017-12-28 --exclude "*" --recursive --include "*20171228*" &amp; "%USERPROFILE%\Documents\GitHub\mrs-test-scripts\Headless Mode &amp; Sideloading\WalkAndUnGZ.bat" "%USERPROFILE%\AppData\Local\Temp\OnboardLogs"\RTDC4062\2017-12-28 &amp; aws s3 cp s3://rtdc.mdm.uploadarchive.raw/RTDC4062/ "%USERPROFILE%\AppData\Local\Temp\OnboardLogs"\RTDC4062\2017-12-29 --exclude "*" --recursive --include "*20171229*" &amp; "%USERPROFILE%\Documents\GitHub\mrs-test-scripts\Headless Mode &amp; Sideloading\WalkAndUnGZ.bat" "%USERPROFILE%\AppData\Local\Temp\OnboardLogs"\RTDC4062\2017-12-29</v>
      </c>
      <c r="AF23" s="233" t="str">
        <f t="shared" si="12"/>
        <v>"C:\Program Files (x86)\AstroGrep\AstroGrep.exe" /e /r /s /spath="%USERPROFILE%\AppData\Local\Temp\OnboardLogs" /stypes="app*4062*201712281*" /stext=" 12:.+?(?&gt;(PRM\|1\|D)|(KPR)|(KDP)|(train st[a-z]+ moving)|(SYSTEM_STATE:s[a-z]+ state changed)|(Enforcement Action)|(\[TIMEOUT)|(parse_ebi_status: Penalty)|(\|GPPS))"</v>
      </c>
      <c r="AG23" s="243" t="str">
        <f t="shared" si="13"/>
        <v>EC</v>
      </c>
      <c r="AH23" s="235" t="str">
        <f t="shared" si="19"/>
        <v>"%USERPROFILE%\Documents\GitHub\eaglep3\Utilities\RefineRTDCRunTimes.py" --tripid 111-28 --locoid 4062 --swversion DE.1.0.9.0 --startMP 204:469 --initTime 2017-12-28T04:49:59 --startdatetime 2017-12-28T05:00:14 --delay 41 --endMP 204:233289 --enddatetime 2017-12-28T05:36:29 --enforcementcount 0 &gt;&gt;%USERPROFILE%\Documents\GitHub\eaglep3-reporting\EC\2017-12-28-refined-times.txt</v>
      </c>
      <c r="AI23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{"issue":{"subject":"","project_id":79,"tracker_id":40,"status_id":1,"priority_id":2,"assigned_to_id":338,"start_date":"2017-12-28","description":"","custom_fields":[{"id":1,"name":"Subdivision","value":"EC"},{"id":4,"name":"Milepost","value":"23.3289"},{"id":17,"name":"Train ID","value":"111-28"},{"id":16,"name":"Locomotive ID","value":"4062"},{"id":130,"name":"Impact","value":""},{"id":150,"name":"Time of Event (Mountain Time)","value":"05:36:29"},{"id":151,"name":"Denver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2"/>
      <c r="AK23" s="230"/>
      <c r="AL23" s="230"/>
      <c r="AM23" s="239" t="str">
        <f t="shared" si="21"/>
        <v>start /low /b %USERPROFILE%\Documents\GitHub\eaglep3\Utilities\DownloadLogsFromS3.py --loco 4062 --day 2017-12-28</v>
      </c>
      <c r="AN23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12:36:29"},{"id":29,"name":"Sharepoint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29" t="str">
        <f t="shared" si="23"/>
        <v>https://d0f6bd738d7f1b3e5a7ca70fe4ff75f0.us-east-1.aws.found.io/app/kibana#/discover/Steve-Slow-Train-Analysis-(2080s-and-2083s)?_g=(refreshInterval:(display:Off,pause:!f,section:0,value:0),time:(from:'2017-12-28T03:49:59-0700',mode:absolute,to:'2017-12-28T06:36:29-0700'))&amp;_a=(columns:!('Message%20ID',Summary),filters:!(),index:'emp_*',interval:auto,query:(query_string:(analyze_wildcard:!t,query:'%22rtdc.l.rtdc.4062%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8" t="s">
        <v>726</v>
      </c>
      <c r="B24" s="224">
        <v>4061</v>
      </c>
      <c r="C24" s="226" t="s">
        <v>192</v>
      </c>
      <c r="D24" s="226" t="s">
        <v>571</v>
      </c>
      <c r="E24" s="225">
        <v>43097.236134259256</v>
      </c>
      <c r="F24" s="225">
        <v>43097.248287037037</v>
      </c>
      <c r="G24" s="224">
        <v>45</v>
      </c>
      <c r="H24" s="226" t="s">
        <v>920</v>
      </c>
      <c r="I24" s="225">
        <v>43097.2731712963</v>
      </c>
      <c r="J24" s="224">
        <v>0</v>
      </c>
      <c r="K24" s="236" t="str">
        <f t="shared" si="0"/>
        <v>4061/4062</v>
      </c>
      <c r="L24" s="244" t="str">
        <f>VLOOKUP(A24,'Trips&amp;Operators'!$C$1:$G$99911,5,FALSE)</f>
        <v>YORK EDGAR</v>
      </c>
      <c r="M24" s="223">
        <f t="shared" si="1"/>
        <v>2.4884259262762498E-2</v>
      </c>
      <c r="N24" s="224">
        <f t="shared" si="2"/>
        <v>35.833333338377997</v>
      </c>
      <c r="O24" s="224"/>
      <c r="P24" s="224"/>
      <c r="Q24" s="227"/>
      <c r="R24" s="241"/>
      <c r="S24" s="248">
        <f t="shared" si="3"/>
        <v>1</v>
      </c>
      <c r="T24" s="241" t="str">
        <f t="shared" si="4"/>
        <v>Southbound</v>
      </c>
      <c r="U24" s="24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7" t="str">
        <f t="shared" si="5"/>
        <v>https://d0f6bd738d7f1b3e5a7ca70fe4ff75f0.us-east-1.aws.found.io/app/kibana#/discover/Steve-Slow-Train-Analysis-(2080s-and-2083s)?_g=(refreshInterval:(display:Off,pause:!f,section:0,value:0),time:(from:'2017-12-28T04:40:02-0700',mode:absolute,to:'2017-12-28T07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" s="246" t="str">
        <f>IF(AA24&lt;VLOOKUP(AG24,Variables!$AC$3:$AD$8,2,FALSE),"Y","N")</f>
        <v>N</v>
      </c>
      <c r="X24" s="246">
        <f t="shared" si="6"/>
        <v>1</v>
      </c>
      <c r="Y24" s="246">
        <f t="shared" si="7"/>
        <v>23.297599999999999</v>
      </c>
      <c r="Z24" s="246">
        <f t="shared" si="8"/>
        <v>1.54E-2</v>
      </c>
      <c r="AA24" s="246">
        <f t="shared" si="9"/>
        <v>23.2822</v>
      </c>
      <c r="AB24" s="232" t="e">
        <f>VLOOKUP(A24,Enforcements!$C$7:$K$9,8,0)</f>
        <v>#N/A</v>
      </c>
      <c r="AC24" s="231" t="e">
        <f>VLOOKUP(A24,Enforcements!$C$7:$E$9,3,0)</f>
        <v>#N/A</v>
      </c>
      <c r="AD24" s="242">
        <f t="shared" si="10"/>
        <v>112</v>
      </c>
      <c r="AE24" s="234" t="str">
        <f t="shared" si="11"/>
        <v>aws s3 cp s3://rtdc.mdm.uploadarchive.raw/RTDC4061/ "%USERPROFILE%\AppData\Local\Temp\OnboardLogs"\RTDC4061\2017-12-28 --exclude "*" --recursive --include "*20171228*" &amp; "%USERPROFILE%\Documents\GitHub\mrs-test-scripts\Headless Mode &amp; Sideloading\WalkAndUnGZ.bat" "%USERPROFILE%\AppData\Local\Temp\OnboardLogs"\RTDC4061\2017-12-28 &amp; aws s3 cp s3://rtdc.mdm.uploadarchive.raw/RTDC4061/ "%USERPROFILE%\AppData\Local\Temp\OnboardLogs"\RTDC4061\2017-12-29 --exclude "*" --recursive --include "*20171229*" &amp; "%USERPROFILE%\Documents\GitHub\mrs-test-scripts\Headless Mode &amp; Sideloading\WalkAndUnGZ.bat" "%USERPROFILE%\AppData\Local\Temp\OnboardLogs"\RTDC4061\2017-12-29</v>
      </c>
      <c r="AF24" s="233" t="str">
        <f t="shared" si="12"/>
        <v>"C:\Program Files (x86)\AstroGrep\AstroGrep.exe" /e /r /s /spath="%USERPROFILE%\AppData\Local\Temp\OnboardLogs" /stypes="app*4061*201712281*" /stext=" 13:.+?(?&gt;(PRM\|1\|D)|(KPR)|(KDP)|(train st[a-z]+ moving)|(SYSTEM_STATE:s[a-z]+ state changed)|(Enforcement Action)|(\[TIMEOUT)|(parse_ebi_status: Penalty)|(\|GPPS))"</v>
      </c>
      <c r="AG24" s="243" t="str">
        <f t="shared" si="13"/>
        <v>EC</v>
      </c>
      <c r="AH24" s="235" t="str">
        <f t="shared" si="19"/>
        <v>"%USERPROFILE%\Documents\GitHub\eaglep3\Utilities\RefineRTDCRunTimes.py" --tripid 112-28 --locoid 4061 --swversion DE.1.0.9.0 --startMP 204:232976 --initTime 2017-12-28T05:40:02 --startdatetime 2017-12-28T05:57:32 --delay 45 --endMP 204:154 --enddatetime 2017-12-28T06:33:22 --enforcementcount 0 &gt;&gt;%USERPROFILE%\Documents\GitHub\eaglep3-reporting\EC\2017-12-28-refined-times.txt</v>
      </c>
      <c r="AI24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{"issue":{"subject":"","project_id":79,"tracker_id":40,"status_id":1,"priority_id":2,"assigned_to_id":338,"start_date":"2017-12-28","description":"","custom_fields":[{"id":1,"name":"Subdivision","value":"EC"},{"id":4,"name":"Milepost","value":"0.0154"},{"id":17,"name":"Train ID","value":"112-28"},{"id":16,"name":"Locomotive ID","value":"4061"},{"id":130,"name":"Impact","value":""},{"id":150,"name":"Time of Event (Mountain Time)","value":"06:33:22"},{"id":151,"name":"Denver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2"/>
      <c r="AK24" s="230"/>
      <c r="AL24" s="230"/>
      <c r="AM24" s="239" t="str">
        <f t="shared" si="21"/>
        <v>start /low /b %USERPROFILE%\Documents\GitHub\eaglep3\Utilities\DownloadLogsFromS3.py --loco 4061 --day 2017-12-28</v>
      </c>
      <c r="AN24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13:33:22"},{"id":29,"name":"Sharepoint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29" t="str">
        <f t="shared" si="23"/>
        <v>https://d0f6bd738d7f1b3e5a7ca70fe4ff75f0.us-east-1.aws.found.io/app/kibana#/discover/Steve-Slow-Train-Analysis-(2080s-and-2083s)?_g=(refreshInterval:(display:Off,pause:!f,section:0,value:0),time:(from:'2017-12-28T04:40:02-0700',mode:absolute,to:'2017-12-28T07:33:22-0700'))&amp;_a=(columns:!('Message%20ID',Summary),filters:!(),index:'emp_*',interval:auto,query:(query_string:(analyze_wildcard:!t,query:'%22rtdc.l.rtdc.4061%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8" t="s">
        <v>717</v>
      </c>
      <c r="B25" s="224">
        <v>4004</v>
      </c>
      <c r="C25" s="226" t="s">
        <v>192</v>
      </c>
      <c r="D25" s="226" t="s">
        <v>921</v>
      </c>
      <c r="E25" s="225">
        <v>43097.209016203706</v>
      </c>
      <c r="F25" s="225">
        <v>43097.218923611108</v>
      </c>
      <c r="G25" s="224">
        <v>53</v>
      </c>
      <c r="H25" s="226" t="s">
        <v>621</v>
      </c>
      <c r="I25" s="225">
        <v>43097.243171296293</v>
      </c>
      <c r="J25" s="224">
        <v>0</v>
      </c>
      <c r="K25" s="236" t="str">
        <f t="shared" si="0"/>
        <v>4003/4004</v>
      </c>
      <c r="L25" s="244" t="str">
        <f>VLOOKUP(A25,'Trips&amp;Operators'!$C$1:$G$99911,5,FALSE)</f>
        <v>YANAI IAN</v>
      </c>
      <c r="M25" s="223">
        <f t="shared" si="1"/>
        <v>2.4247685185400769E-2</v>
      </c>
      <c r="N25" s="224">
        <f t="shared" si="2"/>
        <v>34.916666666977108</v>
      </c>
      <c r="O25" s="224"/>
      <c r="P25" s="224"/>
      <c r="Q25" s="227"/>
      <c r="R25" s="241"/>
      <c r="S25" s="248">
        <f t="shared" si="3"/>
        <v>1</v>
      </c>
      <c r="T25" s="241" t="str">
        <f t="shared" si="4"/>
        <v>NorthBound</v>
      </c>
      <c r="U25" s="24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7" t="str">
        <f t="shared" si="5"/>
        <v>https://d0f6bd738d7f1b3e5a7ca70fe4ff75f0.us-east-1.aws.found.io/app/kibana#/discover/Steve-Slow-Train-Analysis-(2080s-and-2083s)?_g=(refreshInterval:(display:Off,pause:!f,section:0,value:0),time:(from:'2017-12-28T04:00:59-0700',mode:absolute,to:'2017-12-28T06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" s="246" t="str">
        <f>IF(AA25&lt;VLOOKUP(AG25,Variables!$AC$3:$AD$8,2,FALSE),"Y","N")</f>
        <v>N</v>
      </c>
      <c r="X25" s="246">
        <f t="shared" si="6"/>
        <v>1</v>
      </c>
      <c r="Y25" s="246">
        <f t="shared" si="7"/>
        <v>5.6399999999999999E-2</v>
      </c>
      <c r="Z25" s="246">
        <f t="shared" si="8"/>
        <v>23.328199999999999</v>
      </c>
      <c r="AA25" s="246">
        <f t="shared" si="9"/>
        <v>23.271799999999999</v>
      </c>
      <c r="AB25" s="232" t="e">
        <f>VLOOKUP(A25,Enforcements!$C$7:$K$9,8,0)</f>
        <v>#N/A</v>
      </c>
      <c r="AC25" s="231" t="e">
        <f>VLOOKUP(A25,Enforcements!$C$7:$E$9,3,0)</f>
        <v>#N/A</v>
      </c>
      <c r="AD25" s="242">
        <f t="shared" si="10"/>
        <v>113</v>
      </c>
      <c r="AE25" s="234" t="str">
        <f t="shared" si="11"/>
        <v>aws s3 cp s3://rtdc.mdm.uploadarchive.raw/RTDC4004/ "%USERPROFILE%\AppData\Local\Temp\OnboardLogs"\RTDC4004\2017-12-28 --exclude "*" --recursive --include "*20171228*" &amp; "%USERPROFILE%\Documents\GitHub\mrs-test-scripts\Headless Mode &amp; Sideloading\WalkAndUnGZ.bat" "%USERPROFILE%\AppData\Local\Temp\OnboardLogs"\RTDC4004\2017-12-28 &amp; aws s3 cp s3://rtdc.mdm.uploadarchive.raw/RTDC4004/ "%USERPROFILE%\AppData\Local\Temp\OnboardLogs"\RTDC4004\2017-12-29 --exclude "*" --recursive --include "*20171229*" &amp; "%USERPROFILE%\Documents\GitHub\mrs-test-scripts\Headless Mode &amp; Sideloading\WalkAndUnGZ.bat" "%USERPROFILE%\AppData\Local\Temp\OnboardLogs"\RTDC4004\2017-12-29</v>
      </c>
      <c r="AF25" s="233" t="str">
        <f t="shared" si="12"/>
        <v>"C:\Program Files (x86)\AstroGrep\AstroGrep.exe" /e /r /s /spath="%USERPROFILE%\AppData\Local\Temp\OnboardLogs" /stypes="app*4004*201712281*" /stext=" 12:.+?(?&gt;(PRM\|1\|D)|(KPR)|(KDP)|(train st[a-z]+ moving)|(SYSTEM_STATE:s[a-z]+ state changed)|(Enforcement Action)|(\[TIMEOUT)|(parse_ebi_status: Penalty)|(\|GPPS))"</v>
      </c>
      <c r="AG25" s="243" t="str">
        <f t="shared" si="13"/>
        <v>EC</v>
      </c>
      <c r="AH25" s="235" t="str">
        <f t="shared" si="19"/>
        <v>"%USERPROFILE%\Documents\GitHub\eaglep3\Utilities\RefineRTDCRunTimes.py" --tripid 113-28 --locoid 4004 --swversion DE.1.0.9.0 --startMP 204:564 --initTime 2017-12-28T05:00:59 --startdatetime 2017-12-28T05:15:15 --delay 53 --endMP 204:233282 --enddatetime 2017-12-28T05:50:10 --enforcementcount 0 &gt;&gt;%USERPROFILE%\Documents\GitHub\eaglep3-reporting\EC\2017-12-28-refined-times.txt</v>
      </c>
      <c r="AI25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{"issue":{"subject":"","project_id":79,"tracker_id":40,"status_id":1,"priority_id":2,"assigned_to_id":338,"start_date":"2017-12-28","description":"","custom_fields":[{"id":1,"name":"Subdivision","value":"EC"},{"id":4,"name":"Milepost","value":"23.3282"},{"id":17,"name":"Train ID","value":"113-28"},{"id":16,"name":"Locomotive ID","value":"4004"},{"id":130,"name":"Impact","value":""},{"id":150,"name":"Time of Event (Mountain Time)","value":"05:50:10"},{"id":151,"name":"Denver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2"/>
      <c r="AK25" s="230"/>
      <c r="AL25" s="230"/>
      <c r="AM25" s="239" t="str">
        <f t="shared" si="21"/>
        <v>start /low /b %USERPROFILE%\Documents\GitHub\eaglep3\Utilities\DownloadLogsFromS3.py --loco 4004 --day 2017-12-28</v>
      </c>
      <c r="AN25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12:50:10"},{"id":29,"name":"Sharepoint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29" t="str">
        <f t="shared" si="23"/>
        <v>https://d0f6bd738d7f1b3e5a7ca70fe4ff75f0.us-east-1.aws.found.io/app/kibana#/discover/Steve-Slow-Train-Analysis-(2080s-and-2083s)?_g=(refreshInterval:(display:Off,pause:!f,section:0,value:0),time:(from:'2017-12-28T04:00:59-0700',mode:absolute,to:'2017-12-28T06:50:10-0700'))&amp;_a=(columns:!('Message%20ID',Summary),filters:!(),index:'emp_*',interval:auto,query:(query_string:(analyze_wildcard:!t,query:'%22rtdc.l.rtdc.4004%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8" t="s">
        <v>728</v>
      </c>
      <c r="B26" s="224">
        <v>4003</v>
      </c>
      <c r="C26" s="226" t="s">
        <v>192</v>
      </c>
      <c r="D26" s="226" t="s">
        <v>639</v>
      </c>
      <c r="E26" s="225">
        <v>43097.24490740741</v>
      </c>
      <c r="F26" s="225">
        <v>43097.258506944447</v>
      </c>
      <c r="G26" s="224">
        <v>58</v>
      </c>
      <c r="H26" s="226" t="s">
        <v>922</v>
      </c>
      <c r="I26" s="225">
        <v>43097.284305555557</v>
      </c>
      <c r="J26" s="224">
        <v>0</v>
      </c>
      <c r="K26" s="236" t="str">
        <f t="shared" si="0"/>
        <v>4003/4004</v>
      </c>
      <c r="L26" s="244" t="str">
        <f>VLOOKUP(A26,'Trips&amp;Operators'!$C$1:$G$99911,5,FALSE)</f>
        <v>YANAI IAN</v>
      </c>
      <c r="M26" s="223">
        <f t="shared" si="1"/>
        <v>2.5798611110076308E-2</v>
      </c>
      <c r="N26" s="224">
        <f t="shared" si="2"/>
        <v>37.149999998509884</v>
      </c>
      <c r="O26" s="224"/>
      <c r="P26" s="224"/>
      <c r="Q26" s="227"/>
      <c r="R26" s="241"/>
      <c r="S26" s="248">
        <f t="shared" si="3"/>
        <v>1</v>
      </c>
      <c r="T26" s="241" t="str">
        <f t="shared" si="4"/>
        <v>Southbound</v>
      </c>
      <c r="U26" s="24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7" t="str">
        <f t="shared" si="5"/>
        <v>https://d0f6bd738d7f1b3e5a7ca70fe4ff75f0.us-east-1.aws.found.io/app/kibana#/discover/Steve-Slow-Train-Analysis-(2080s-and-2083s)?_g=(refreshInterval:(display:Off,pause:!f,section:0,value:0),time:(from:'2017-12-28T04:52:40-0700',mode:absolute,to:'2017-12-28T07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6" s="246" t="str">
        <f>IF(AA26&lt;VLOOKUP(AG26,Variables!$AC$3:$AD$8,2,FALSE),"Y","N")</f>
        <v>N</v>
      </c>
      <c r="X26" s="246">
        <f t="shared" si="6"/>
        <v>1</v>
      </c>
      <c r="Y26" s="246">
        <f t="shared" si="7"/>
        <v>23.296500000000002</v>
      </c>
      <c r="Z26" s="246">
        <f t="shared" si="8"/>
        <v>2.5399999999999999E-2</v>
      </c>
      <c r="AA26" s="246">
        <f t="shared" si="9"/>
        <v>23.271100000000001</v>
      </c>
      <c r="AB26" s="232" t="e">
        <f>VLOOKUP(A26,Enforcements!$C$7:$K$9,8,0)</f>
        <v>#N/A</v>
      </c>
      <c r="AC26" s="231" t="e">
        <f>VLOOKUP(A26,Enforcements!$C$7:$E$9,3,0)</f>
        <v>#N/A</v>
      </c>
      <c r="AD26" s="242">
        <f t="shared" si="10"/>
        <v>114</v>
      </c>
      <c r="AE26" s="234" t="str">
        <f t="shared" si="11"/>
        <v>aws s3 cp s3://rtdc.mdm.uploadarchive.raw/RTDC4003/ "%USERPROFILE%\AppData\Local\Temp\OnboardLogs"\RTDC4003\2017-12-28 --exclude "*" --recursive --include "*20171228*" &amp; "%USERPROFILE%\Documents\GitHub\mrs-test-scripts\Headless Mode &amp; Sideloading\WalkAndUnGZ.bat" "%USERPROFILE%\AppData\Local\Temp\OnboardLogs"\RTDC4003\2017-12-28 &amp; aws s3 cp s3://rtdc.mdm.uploadarchive.raw/RTDC4003/ "%USERPROFILE%\AppData\Local\Temp\OnboardLogs"\RTDC4003\2017-12-29 --exclude "*" --recursive --include "*20171229*" &amp; "%USERPROFILE%\Documents\GitHub\mrs-test-scripts\Headless Mode &amp; Sideloading\WalkAndUnGZ.bat" "%USERPROFILE%\AppData\Local\Temp\OnboardLogs"\RTDC4003\2017-12-29</v>
      </c>
      <c r="AF26" s="233" t="str">
        <f t="shared" si="12"/>
        <v>"C:\Program Files (x86)\AstroGrep\AstroGrep.exe" /e /r /s /spath="%USERPROFILE%\AppData\Local\Temp\OnboardLogs" /stypes="app*4003*201712281*" /stext=" 13:.+?(?&gt;(PRM\|1\|D)|(KPR)|(KDP)|(train st[a-z]+ moving)|(SYSTEM_STATE:s[a-z]+ state changed)|(Enforcement Action)|(\[TIMEOUT)|(parse_ebi_status: Penalty)|(\|GPPS))"</v>
      </c>
      <c r="AG26" s="243" t="str">
        <f t="shared" si="13"/>
        <v>EC</v>
      </c>
      <c r="AH26" s="235" t="str">
        <f t="shared" si="19"/>
        <v>"%USERPROFILE%\Documents\GitHub\eaglep3\Utilities\RefineRTDCRunTimes.py" --tripid 114-28 --locoid 4003 --swversion DE.1.0.9.0 --startMP 204:232965 --initTime 2017-12-28T05:52:40 --startdatetime 2017-12-28T06:12:15 --delay 58 --endMP 204:254 --enddatetime 2017-12-28T06:49:24 --enforcementcount 0 &gt;&gt;%USERPROFILE%\Documents\GitHub\eaglep3-reporting\EC\2017-12-28-refined-times.txt</v>
      </c>
      <c r="AI26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{"issue":{"subject":"","project_id":79,"tracker_id":40,"status_id":1,"priority_id":2,"assigned_to_id":338,"start_date":"2017-12-28","description":"","custom_fields":[{"id":1,"name":"Subdivision","value":"EC"},{"id":4,"name":"Milepost","value":"0.0254"},{"id":17,"name":"Train ID","value":"114-28"},{"id":16,"name":"Locomotive ID","value":"4003"},{"id":130,"name":"Impact","value":""},{"id":150,"name":"Time of Event (Mountain Time)","value":"06:49:24"},{"id":151,"name":"Denver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2"/>
      <c r="AK26" s="230"/>
      <c r="AL26" s="230"/>
      <c r="AM26" s="239" t="str">
        <f t="shared" si="21"/>
        <v>start /low /b %USERPROFILE%\Documents\GitHub\eaglep3\Utilities\DownloadLogsFromS3.py --loco 4003 --day 2017-12-28</v>
      </c>
      <c r="AN26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13:49:24"},{"id":29,"name":"Sharepoint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29" t="str">
        <f t="shared" si="23"/>
        <v>https://d0f6bd738d7f1b3e5a7ca70fe4ff75f0.us-east-1.aws.found.io/app/kibana#/discover/Steve-Slow-Train-Analysis-(2080s-and-2083s)?_g=(refreshInterval:(display:Off,pause:!f,section:0,value:0),time:(from:'2017-12-28T04:52:40-0700',mode:absolute,to:'2017-12-28T07:49:24-0700'))&amp;_a=(columns:!('Message%20ID',Summary),filters:!(),index:'emp_*',interval:auto,query:(query_string:(analyze_wildcard:!t,query:'%22rtdc.l.rtdc.4003%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8" t="s">
        <v>721</v>
      </c>
      <c r="B27" s="224">
        <v>4042</v>
      </c>
      <c r="C27" s="226" t="s">
        <v>192</v>
      </c>
      <c r="D27" s="226" t="s">
        <v>923</v>
      </c>
      <c r="E27" s="225">
        <v>43097.227164351854</v>
      </c>
      <c r="F27" s="225">
        <v>43097.269004629627</v>
      </c>
      <c r="G27" s="224">
        <v>44</v>
      </c>
      <c r="H27" s="226" t="s">
        <v>619</v>
      </c>
      <c r="I27" s="225">
        <v>43097.295057870368</v>
      </c>
      <c r="J27" s="224">
        <v>0</v>
      </c>
      <c r="K27" s="236" t="str">
        <f t="shared" si="0"/>
        <v>4041/4042</v>
      </c>
      <c r="L27" s="244" t="str">
        <f>VLOOKUP(A27,'Trips&amp;Operators'!$C$1:$G$99911,5,FALSE)</f>
        <v>MAELZER KURT</v>
      </c>
      <c r="M27" s="223">
        <f t="shared" si="1"/>
        <v>2.6053240741021E-2</v>
      </c>
      <c r="N27" s="224">
        <f t="shared" si="2"/>
        <v>37.51666666707024</v>
      </c>
      <c r="O27" s="224"/>
      <c r="P27" s="224"/>
      <c r="Q27" s="227"/>
      <c r="R27" s="241"/>
      <c r="S27" s="248">
        <f t="shared" si="3"/>
        <v>1</v>
      </c>
      <c r="T27" s="241" t="str">
        <f t="shared" si="4"/>
        <v>NorthBound</v>
      </c>
      <c r="U27" s="24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7" t="str">
        <f t="shared" si="5"/>
        <v>https://d0f6bd738d7f1b3e5a7ca70fe4ff75f0.us-east-1.aws.found.io/app/kibana#/discover/Steve-Slow-Train-Analysis-(2080s-and-2083s)?_g=(refreshInterval:(display:Off,pause:!f,section:0,value:0),time:(from:'2017-12-28T04:27:07-0700',mode:absolute,to:'2017-12-28T08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246" t="str">
        <f>IF(AA27&lt;VLOOKUP(AG27,Variables!$AC$3:$AD$8,2,FALSE),"Y","N")</f>
        <v>N</v>
      </c>
      <c r="X27" s="246">
        <f t="shared" si="6"/>
        <v>1</v>
      </c>
      <c r="Y27" s="246">
        <f t="shared" si="7"/>
        <v>4.9799999999999997E-2</v>
      </c>
      <c r="Z27" s="246">
        <f t="shared" si="8"/>
        <v>23.331900000000001</v>
      </c>
      <c r="AA27" s="246">
        <f t="shared" si="9"/>
        <v>23.2821</v>
      </c>
      <c r="AB27" s="232" t="e">
        <f>VLOOKUP(A27,Enforcements!$C$7:$K$9,8,0)</f>
        <v>#N/A</v>
      </c>
      <c r="AC27" s="231" t="e">
        <f>VLOOKUP(A27,Enforcements!$C$7:$E$9,3,0)</f>
        <v>#N/A</v>
      </c>
      <c r="AD27" s="242">
        <f t="shared" si="10"/>
        <v>115</v>
      </c>
      <c r="AE27" s="234" t="str">
        <f t="shared" si="11"/>
        <v>aws s3 cp s3://rtdc.mdm.uploadarchive.raw/RTDC4042/ "%USERPROFILE%\AppData\Local\Temp\OnboardLogs"\RTDC4042\2017-12-28 --exclude "*" --recursive --include "*20171228*" &amp; "%USERPROFILE%\Documents\GitHub\mrs-test-scripts\Headless Mode &amp; Sideloading\WalkAndUnGZ.bat" "%USERPROFILE%\AppData\Local\Temp\OnboardLogs"\RTDC4042\2017-12-28 &amp; aws s3 cp s3://rtdc.mdm.uploadarchive.raw/RTDC4042/ "%USERPROFILE%\AppData\Local\Temp\OnboardLogs"\RTDC4042\2017-12-29 --exclude "*" --recursive --include "*20171229*" &amp; "%USERPROFILE%\Documents\GitHub\mrs-test-scripts\Headless Mode &amp; Sideloading\WalkAndUnGZ.bat" "%USERPROFILE%\AppData\Local\Temp\OnboardLogs"\RTDC4042\2017-12-29</v>
      </c>
      <c r="AF27" s="233" t="str">
        <f t="shared" si="12"/>
        <v>"C:\Program Files (x86)\AstroGrep\AstroGrep.exe" /e /r /s /spath="%USERPROFILE%\AppData\Local\Temp\OnboardLogs" /stypes="app*4042*201712281*" /stext=" 14:.+?(?&gt;(PRM\|1\|D)|(KPR)|(KDP)|(train st[a-z]+ moving)|(SYSTEM_STATE:s[a-z]+ state changed)|(Enforcement Action)|(\[TIMEOUT)|(parse_ebi_status: Penalty)|(\|GPPS))"</v>
      </c>
      <c r="AG27" s="243" t="str">
        <f t="shared" si="13"/>
        <v>EC</v>
      </c>
      <c r="AH27" s="235" t="str">
        <f t="shared" si="19"/>
        <v>"%USERPROFILE%\Documents\GitHub\eaglep3\Utilities\RefineRTDCRunTimes.py" --tripid 115-28 --locoid 4042 --swversion DE.1.0.9.0 --startMP 204:498 --initTime 2017-12-28T05:27:07 --startdatetime 2017-12-28T06:27:22 --delay 44 --endMP 204:233319 --enddatetime 2017-12-28T07:04:53 --enforcementcount 0 &gt;&gt;%USERPROFILE%\Documents\GitHub\eaglep3-reporting\EC\2017-12-28-refined-times.txt</v>
      </c>
      <c r="AI27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{"issue":{"subject":"","project_id":79,"tracker_id":40,"status_id":1,"priority_id":2,"assigned_to_id":338,"start_date":"2017-12-28","description":"","custom_fields":[{"id":1,"name":"Subdivision","value":"EC"},{"id":4,"name":"Milepost","value":"23.3319"},{"id":17,"name":"Train ID","value":"115-28"},{"id":16,"name":"Locomotive ID","value":"4042"},{"id":130,"name":"Impact","value":""},{"id":150,"name":"Time of Event (Mountain Time)","value":"07:04:53"},{"id":151,"name":"Denver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2"/>
      <c r="AK27" s="230"/>
      <c r="AL27" s="230"/>
      <c r="AM27" s="239" t="str">
        <f t="shared" si="21"/>
        <v>start /low /b %USERPROFILE%\Documents\GitHub\eaglep3\Utilities\DownloadLogsFromS3.py --loco 4042 --day 2017-12-28</v>
      </c>
      <c r="AN27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14:04:53"},{"id":29,"name":"Sharepoint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29" t="str">
        <f t="shared" si="23"/>
        <v>https://d0f6bd738d7f1b3e5a7ca70fe4ff75f0.us-east-1.aws.found.io/app/kibana#/discover/Steve-Slow-Train-Analysis-(2080s-and-2083s)?_g=(refreshInterval:(display:Off,pause:!f,section:0,value:0),time:(from:'2017-12-28T04:27:07-0700',mode:absolute,to:'2017-12-28T08:04:53-0700'))&amp;_a=(columns:!('Message%20ID',Summary),filters:!(),index:'emp_*',interval:auto,query:(query_string:(analyze_wildcard:!t,query:'%22rtdc.l.rtdc.4042%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8" t="s">
        <v>735</v>
      </c>
      <c r="B28" s="224">
        <v>4041</v>
      </c>
      <c r="C28" s="226" t="s">
        <v>192</v>
      </c>
      <c r="D28" s="226" t="s">
        <v>575</v>
      </c>
      <c r="E28" s="225">
        <v>43097.257384259261</v>
      </c>
      <c r="F28" s="225">
        <v>43097.269004629627</v>
      </c>
      <c r="G28" s="224">
        <v>46</v>
      </c>
      <c r="H28" s="226" t="s">
        <v>626</v>
      </c>
      <c r="I28" s="225">
        <v>43097.295057870368</v>
      </c>
      <c r="J28" s="224">
        <v>0</v>
      </c>
      <c r="K28" s="236" t="str">
        <f t="shared" si="0"/>
        <v>4041/4042</v>
      </c>
      <c r="L28" s="244" t="str">
        <f>VLOOKUP(A28,'Trips&amp;Operators'!$C$1:$G$99911,5,FALSE)</f>
        <v>MAELZER KURT</v>
      </c>
      <c r="M28" s="223">
        <f t="shared" si="1"/>
        <v>2.6053240741021E-2</v>
      </c>
      <c r="N28" s="224">
        <f t="shared" si="2"/>
        <v>37.51666666707024</v>
      </c>
      <c r="O28" s="224"/>
      <c r="P28" s="224"/>
      <c r="Q28" s="227"/>
      <c r="R28" s="241"/>
      <c r="S28" s="248">
        <f t="shared" si="3"/>
        <v>1</v>
      </c>
      <c r="T28" s="241" t="str">
        <f t="shared" si="4"/>
        <v>Southbound</v>
      </c>
      <c r="U28" s="24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7" t="str">
        <f t="shared" si="5"/>
        <v>https://d0f6bd738d7f1b3e5a7ca70fe4ff75f0.us-east-1.aws.found.io/app/kibana#/discover/Steve-Slow-Train-Analysis-(2080s-and-2083s)?_g=(refreshInterval:(display:Off,pause:!f,section:0,value:0),time:(from:'2017-12-28T05:10:38-0700',mode:absolute,to:'2017-12-28T08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246" t="str">
        <f>IF(AA28&lt;VLOOKUP(AG28,Variables!$AC$3:$AD$8,2,FALSE),"Y","N")</f>
        <v>N</v>
      </c>
      <c r="X28" s="246">
        <f t="shared" si="6"/>
        <v>1</v>
      </c>
      <c r="Y28" s="246">
        <f t="shared" si="7"/>
        <v>23.299600000000002</v>
      </c>
      <c r="Z28" s="246">
        <f t="shared" si="8"/>
        <v>2.1100000000000001E-2</v>
      </c>
      <c r="AA28" s="246">
        <f t="shared" si="9"/>
        <v>23.278500000000001</v>
      </c>
      <c r="AB28" s="232" t="e">
        <f>VLOOKUP(A28,Enforcements!$C$7:$K$9,8,0)</f>
        <v>#N/A</v>
      </c>
      <c r="AC28" s="231" t="e">
        <f>VLOOKUP(A28,Enforcements!$C$7:$E$9,3,0)</f>
        <v>#N/A</v>
      </c>
      <c r="AD28" s="242">
        <f t="shared" si="10"/>
        <v>116</v>
      </c>
      <c r="AE28" s="234" t="str">
        <f t="shared" si="11"/>
        <v>aws s3 cp s3://rtdc.mdm.uploadarchive.raw/RTDC4041/ "%USERPROFILE%\AppData\Local\Temp\OnboardLogs"\RTDC4041\2017-12-28 --exclude "*" --recursive --include "*20171228*" &amp; "%USERPROFILE%\Documents\GitHub\mrs-test-scripts\Headless Mode &amp; Sideloading\WalkAndUnGZ.bat" "%USERPROFILE%\AppData\Local\Temp\OnboardLogs"\RTDC4041\2017-12-28 &amp; aws s3 cp s3://rtdc.mdm.uploadarchive.raw/RTDC4041/ "%USERPROFILE%\AppData\Local\Temp\OnboardLogs"\RTDC4041\2017-12-29 --exclude "*" --recursive --include "*20171229*" &amp; "%USERPROFILE%\Documents\GitHub\mrs-test-scripts\Headless Mode &amp; Sideloading\WalkAndUnGZ.bat" "%USERPROFILE%\AppData\Local\Temp\OnboardLogs"\RTDC4041\2017-12-29</v>
      </c>
      <c r="AF28" s="233" t="str">
        <f t="shared" si="12"/>
        <v>"C:\Program Files (x86)\AstroGrep\AstroGrep.exe" /e /r /s /spath="%USERPROFILE%\AppData\Local\Temp\OnboardLogs" /stypes="app*4041*201712281*" /stext=" 14:.+?(?&gt;(PRM\|1\|D)|(KPR)|(KDP)|(train st[a-z]+ moving)|(SYSTEM_STATE:s[a-z]+ state changed)|(Enforcement Action)|(\[TIMEOUT)|(parse_ebi_status: Penalty)|(\|GPPS))"</v>
      </c>
      <c r="AG28" s="243" t="str">
        <f t="shared" si="13"/>
        <v>EC</v>
      </c>
      <c r="AH28" s="235" t="str">
        <f t="shared" si="19"/>
        <v>"%USERPROFILE%\Documents\GitHub\eaglep3\Utilities\RefineRTDCRunTimes.py" --tripid 116-28 --locoid 4041 --swversion DE.1.0.9.0 --startMP 204:232996 --initTime 2017-12-28T06:10:38 --startdatetime 2017-12-28T06:27:22 --delay 46 --endMP 204:211 --enddatetime 2017-12-28T07:04:53 --enforcementcount 0 &gt;&gt;%USERPROFILE%\Documents\GitHub\eaglep3-reporting\EC\2017-12-28-refined-times.txt</v>
      </c>
      <c r="AI28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{"issue":{"subject":"","project_id":79,"tracker_id":40,"status_id":1,"priority_id":2,"assigned_to_id":338,"start_date":"2017-12-28","description":"","custom_fields":[{"id":1,"name":"Subdivision","value":"EC"},{"id":4,"name":"Milepost","value":"0.0211"},{"id":17,"name":"Train ID","value":"116-28"},{"id":16,"name":"Locomotive ID","value":"4041"},{"id":130,"name":"Impact","value":""},{"id":150,"name":"Time of Event (Mountain Time)","value":"07:04:53"},{"id":151,"name":"Denver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2"/>
      <c r="AK28" s="230"/>
      <c r="AL28" s="230"/>
      <c r="AM28" s="239" t="str">
        <f t="shared" si="21"/>
        <v>start /low /b %USERPROFILE%\Documents\GitHub\eaglep3\Utilities\DownloadLogsFromS3.py --loco 4041 --day 2017-12-28</v>
      </c>
      <c r="AN28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14:04:53"},{"id":29,"name":"Sharepoint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29" t="str">
        <f t="shared" si="23"/>
        <v>https://d0f6bd738d7f1b3e5a7ca70fe4ff75f0.us-east-1.aws.found.io/app/kibana#/discover/Steve-Slow-Train-Analysis-(2080s-and-2083s)?_g=(refreshInterval:(display:Off,pause:!f,section:0,value:0),time:(from:'2017-12-28T05:10:38-0700',mode:absolute,to:'2017-12-28T08:04:53-0700'))&amp;_a=(columns:!('Message%20ID',Summary),filters:!(),index:'emp_*',interval:auto,query:(query_string:(analyze_wildcard:!t,query:'%22rtdc.l.rtdc.4041%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8" t="s">
        <v>724</v>
      </c>
      <c r="B29" s="224">
        <v>4064</v>
      </c>
      <c r="C29" s="226" t="s">
        <v>192</v>
      </c>
      <c r="D29" s="226" t="s">
        <v>658</v>
      </c>
      <c r="E29" s="225">
        <v>43097.230358796296</v>
      </c>
      <c r="F29" s="225">
        <v>43097.239814814813</v>
      </c>
      <c r="G29" s="224">
        <v>81</v>
      </c>
      <c r="H29" s="226" t="s">
        <v>636</v>
      </c>
      <c r="I29" s="225">
        <v>43097.265300925923</v>
      </c>
      <c r="J29" s="224">
        <v>0</v>
      </c>
      <c r="K29" s="236" t="str">
        <f t="shared" si="0"/>
        <v>4063/4064</v>
      </c>
      <c r="L29" s="244" t="str">
        <f>VLOOKUP(A29,'Trips&amp;Operators'!$C$1:$G$99911,5,FALSE)</f>
        <v>DAVIDSON DAVID</v>
      </c>
      <c r="M29" s="223">
        <f t="shared" si="1"/>
        <v>2.548611110978527E-2</v>
      </c>
      <c r="N29" s="224">
        <f t="shared" si="2"/>
        <v>36.699999998090789</v>
      </c>
      <c r="O29" s="224"/>
      <c r="P29" s="224"/>
      <c r="Q29" s="227"/>
      <c r="R29" s="241"/>
      <c r="S29" s="248">
        <f t="shared" si="3"/>
        <v>1</v>
      </c>
      <c r="T29" s="241" t="str">
        <f t="shared" si="4"/>
        <v>NorthBound</v>
      </c>
      <c r="U29" s="24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7" t="str">
        <f t="shared" si="5"/>
        <v>https://d0f6bd738d7f1b3e5a7ca70fe4ff75f0.us-east-1.aws.found.io/app/kibana#/discover/Steve-Slow-Train-Analysis-(2080s-and-2083s)?_g=(refreshInterval:(display:Off,pause:!f,section:0,value:0),time:(from:'2017-12-28T04:31:43-0700',mode:absolute,to:'2017-12-28T07:22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9" s="246" t="str">
        <f>IF(AA29&lt;VLOOKUP(AG29,Variables!$AC$3:$AD$8,2,FALSE),"Y","N")</f>
        <v>N</v>
      </c>
      <c r="X29" s="246">
        <f t="shared" si="6"/>
        <v>1</v>
      </c>
      <c r="Y29" s="246">
        <f t="shared" si="7"/>
        <v>4.9500000000000002E-2</v>
      </c>
      <c r="Z29" s="246">
        <f t="shared" si="8"/>
        <v>23.3276</v>
      </c>
      <c r="AA29" s="246">
        <f t="shared" si="9"/>
        <v>23.278100000000002</v>
      </c>
      <c r="AB29" s="232" t="e">
        <f>VLOOKUP(A29,Enforcements!$C$7:$K$9,8,0)</f>
        <v>#N/A</v>
      </c>
      <c r="AC29" s="231" t="e">
        <f>VLOOKUP(A29,Enforcements!$C$7:$E$9,3,0)</f>
        <v>#N/A</v>
      </c>
      <c r="AD29" s="242">
        <f t="shared" si="10"/>
        <v>117</v>
      </c>
      <c r="AE29" s="234" t="str">
        <f t="shared" si="11"/>
        <v>aws s3 cp s3://rtdc.mdm.uploadarchive.raw/RTDC4064/ "%USERPROFILE%\AppData\Local\Temp\OnboardLogs"\RTDC4064\2017-12-28 --exclude "*" --recursive --include "*20171228*" &amp; "%USERPROFILE%\Documents\GitHub\mrs-test-scripts\Headless Mode &amp; Sideloading\WalkAndUnGZ.bat" "%USERPROFILE%\AppData\Local\Temp\OnboardLogs"\RTDC4064\2017-12-28 &amp; aws s3 cp s3://rtdc.mdm.uploadarchive.raw/RTDC4064/ "%USERPROFILE%\AppData\Local\Temp\OnboardLogs"\RTDC4064\2017-12-29 --exclude "*" --recursive --include "*20171229*" &amp; "%USERPROFILE%\Documents\GitHub\mrs-test-scripts\Headless Mode &amp; Sideloading\WalkAndUnGZ.bat" "%USERPROFILE%\AppData\Local\Temp\OnboardLogs"\RTDC4064\2017-12-29</v>
      </c>
      <c r="AF29" s="233" t="str">
        <f t="shared" si="12"/>
        <v>"C:\Program Files (x86)\AstroGrep\AstroGrep.exe" /e /r /s /spath="%USERPROFILE%\AppData\Local\Temp\OnboardLogs" /stypes="app*4064*201712281*" /stext=" 13:.+?(?&gt;(PRM\|1\|D)|(KPR)|(KDP)|(train st[a-z]+ moving)|(SYSTEM_STATE:s[a-z]+ state changed)|(Enforcement Action)|(\[TIMEOUT)|(parse_ebi_status: Penalty)|(\|GPPS))"</v>
      </c>
      <c r="AG29" s="243" t="str">
        <f t="shared" si="13"/>
        <v>EC</v>
      </c>
      <c r="AH29" s="235" t="str">
        <f t="shared" si="19"/>
        <v>"%USERPROFILE%\Documents\GitHub\eaglep3\Utilities\RefineRTDCRunTimes.py" --tripid 117-28 --locoid 4064 --swversion DE.1.0.9.0 --startMP 204:495 --initTime 2017-12-28T05:31:43 --startdatetime 2017-12-28T05:45:20 --delay 81 --endMP 204:233276 --enddatetime 2017-12-28T06:22:02 --enforcementcount 0 &gt;&gt;%USERPROFILE%\Documents\GitHub\eaglep3-reporting\EC\2017-12-28-refined-times.txt</v>
      </c>
      <c r="AI29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{"issue":{"subject":"","project_id":79,"tracker_id":40,"status_id":1,"priority_id":2,"assigned_to_id":338,"start_date":"2017-12-28","description":"","custom_fields":[{"id":1,"name":"Subdivision","value":"EC"},{"id":4,"name":"Milepost","value":"23.3276"},{"id":17,"name":"Train ID","value":"117-28"},{"id":16,"name":"Locomotive ID","value":"4064"},{"id":130,"name":"Impact","value":""},{"id":150,"name":"Time of Event (Mountain Time)","value":"06:22:02"},{"id":151,"name":"Denver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2"/>
      <c r="AK29" s="230"/>
      <c r="AL29" s="230"/>
      <c r="AM29" s="239" t="str">
        <f t="shared" si="21"/>
        <v>start /low /b %USERPROFILE%\Documents\GitHub\eaglep3\Utilities\DownloadLogsFromS3.py --loco 4064 --day 2017-12-28</v>
      </c>
      <c r="AN29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13:22:02"},{"id":29,"name":"Sharepoint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29" t="str">
        <f t="shared" si="23"/>
        <v>https://d0f6bd738d7f1b3e5a7ca70fe4ff75f0.us-east-1.aws.found.io/app/kibana#/discover/Steve-Slow-Train-Analysis-(2080s-and-2083s)?_g=(refreshInterval:(display:Off,pause:!f,section:0,value:0),time:(from:'2017-12-28T04:31:43-0700',mode:absolute,to:'2017-12-28T07:22:02-0700'))&amp;_a=(columns:!('Message%20ID',Summary),filters:!(),index:'emp_*',interval:auto,query:(query_string:(analyze_wildcard:!t,query:'%22rtdc.l.rtdc.4064%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8" t="s">
        <v>736</v>
      </c>
      <c r="B30" s="224">
        <v>4063</v>
      </c>
      <c r="C30" s="226" t="s">
        <v>192</v>
      </c>
      <c r="D30" s="226" t="s">
        <v>622</v>
      </c>
      <c r="E30" s="225">
        <v>43097.26703703704</v>
      </c>
      <c r="F30" s="225">
        <v>43097.279374999998</v>
      </c>
      <c r="G30" s="224">
        <v>57</v>
      </c>
      <c r="H30" s="226" t="s">
        <v>475</v>
      </c>
      <c r="I30" s="225">
        <v>43097.305925925924</v>
      </c>
      <c r="J30" s="224">
        <v>0</v>
      </c>
      <c r="K30" s="236" t="str">
        <f t="shared" si="0"/>
        <v>4063/4064</v>
      </c>
      <c r="L30" s="244" t="str">
        <f>VLOOKUP(A30,'Trips&amp;Operators'!$C$1:$G$99911,5,FALSE)</f>
        <v>DAVIDSON DAVID</v>
      </c>
      <c r="M30" s="223">
        <f t="shared" si="1"/>
        <v>2.6550925926130731E-2</v>
      </c>
      <c r="N30" s="224">
        <f t="shared" si="2"/>
        <v>38.233333333628252</v>
      </c>
      <c r="O30" s="224"/>
      <c r="P30" s="224"/>
      <c r="Q30" s="227"/>
      <c r="R30" s="241"/>
      <c r="S30" s="248">
        <f t="shared" si="3"/>
        <v>1</v>
      </c>
      <c r="T30" s="241" t="str">
        <f t="shared" si="4"/>
        <v>Southbound</v>
      </c>
      <c r="U30" s="24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7" t="str">
        <f t="shared" si="5"/>
        <v>https://d0f6bd738d7f1b3e5a7ca70fe4ff75f0.us-east-1.aws.found.io/app/kibana#/discover/Steve-Slow-Train-Analysis-(2080s-and-2083s)?_g=(refreshInterval:(display:Off,pause:!f,section:0,value:0),time:(from:'2017-12-28T05:24:32-0700',mode:absolute,to:'2017-12-28T08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0" s="246" t="str">
        <f>IF(AA30&lt;VLOOKUP(AG30,Variables!$AC$3:$AD$8,2,FALSE),"Y","N")</f>
        <v>N</v>
      </c>
      <c r="X30" s="246">
        <f t="shared" si="6"/>
        <v>1</v>
      </c>
      <c r="Y30" s="246">
        <f t="shared" si="7"/>
        <v>23.296099999999999</v>
      </c>
      <c r="Z30" s="246">
        <f t="shared" si="8"/>
        <v>2.2100000000000002E-2</v>
      </c>
      <c r="AA30" s="246">
        <f t="shared" si="9"/>
        <v>23.274000000000001</v>
      </c>
      <c r="AB30" s="232" t="e">
        <f>VLOOKUP(A30,Enforcements!$C$7:$K$9,8,0)</f>
        <v>#N/A</v>
      </c>
      <c r="AC30" s="231" t="e">
        <f>VLOOKUP(A30,Enforcements!$C$7:$E$9,3,0)</f>
        <v>#N/A</v>
      </c>
      <c r="AD30" s="242">
        <f t="shared" si="10"/>
        <v>118</v>
      </c>
      <c r="AE30" s="234" t="str">
        <f t="shared" si="11"/>
        <v>aws s3 cp s3://rtdc.mdm.uploadarchive.raw/RTDC4063/ "%USERPROFILE%\AppData\Local\Temp\OnboardLogs"\RTDC4063\2017-12-28 --exclude "*" --recursive --include "*20171228*" &amp; "%USERPROFILE%\Documents\GitHub\mrs-test-scripts\Headless Mode &amp; Sideloading\WalkAndUnGZ.bat" "%USERPROFILE%\AppData\Local\Temp\OnboardLogs"\RTDC4063\2017-12-28 &amp; aws s3 cp s3://rtdc.mdm.uploadarchive.raw/RTDC4063/ "%USERPROFILE%\AppData\Local\Temp\OnboardLogs"\RTDC4063\2017-12-29 --exclude "*" --recursive --include "*20171229*" &amp; "%USERPROFILE%\Documents\GitHub\mrs-test-scripts\Headless Mode &amp; Sideloading\WalkAndUnGZ.bat" "%USERPROFILE%\AppData\Local\Temp\OnboardLogs"\RTDC4063\2017-12-29</v>
      </c>
      <c r="AF30" s="233" t="str">
        <f t="shared" si="12"/>
        <v>"C:\Program Files (x86)\AstroGrep\AstroGrep.exe" /e /r /s /spath="%USERPROFILE%\AppData\Local\Temp\OnboardLogs" /stypes="app*4063*201712281*" /stext=" 14:.+?(?&gt;(PRM\|1\|D)|(KPR)|(KDP)|(train st[a-z]+ moving)|(SYSTEM_STATE:s[a-z]+ state changed)|(Enforcement Action)|(\[TIMEOUT)|(parse_ebi_status: Penalty)|(\|GPPS))"</v>
      </c>
      <c r="AG30" s="243" t="str">
        <f t="shared" si="13"/>
        <v>EC</v>
      </c>
      <c r="AH30" s="235" t="str">
        <f t="shared" si="19"/>
        <v>"%USERPROFILE%\Documents\GitHub\eaglep3\Utilities\RefineRTDCRunTimes.py" --tripid 118-28 --locoid 4063 --swversion DE.1.0.9.0 --startMP 204:232961 --initTime 2017-12-28T06:24:32 --startdatetime 2017-12-28T06:42:18 --delay 57 --endMP 204:221 --enddatetime 2017-12-28T07:20:32 --enforcementcount 0 &gt;&gt;%USERPROFILE%\Documents\GitHub\eaglep3-reporting\EC\2017-12-28-refined-times.txt</v>
      </c>
      <c r="AI30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{"issue":{"subject":"","project_id":79,"tracker_id":40,"status_id":1,"priority_id":2,"assigned_to_id":338,"start_date":"2017-12-28","description":"","custom_fields":[{"id":1,"name":"Subdivision","value":"EC"},{"id":4,"name":"Milepost","value":"0.0221"},{"id":17,"name":"Train ID","value":"118-28"},{"id":16,"name":"Locomotive ID","value":"4063"},{"id":130,"name":"Impact","value":""},{"id":150,"name":"Time of Event (Mountain Time)","value":"07:20:32"},{"id":151,"name":"Denver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2"/>
      <c r="AK30" s="230"/>
      <c r="AL30" s="230"/>
      <c r="AM30" s="239" t="str">
        <f t="shared" si="21"/>
        <v>start /low /b %USERPROFILE%\Documents\GitHub\eaglep3\Utilities\DownloadLogsFromS3.py --loco 4063 --day 2017-12-28</v>
      </c>
      <c r="AN30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14:20:32"},{"id":29,"name":"Sharepoint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29" t="str">
        <f t="shared" si="23"/>
        <v>https://d0f6bd738d7f1b3e5a7ca70fe4ff75f0.us-east-1.aws.found.io/app/kibana#/discover/Steve-Slow-Train-Analysis-(2080s-and-2083s)?_g=(refreshInterval:(display:Off,pause:!f,section:0,value:0),time:(from:'2017-12-28T05:24:32-0700',mode:absolute,to:'2017-12-28T08:20:32-0700'))&amp;_a=(columns:!('Message%20ID',Summary),filters:!(),index:'emp_*',interval:auto,query:(query_string:(analyze_wildcard:!t,query:'%22rtdc.l.rtdc.4063%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8" t="s">
        <v>729</v>
      </c>
      <c r="B31" s="224">
        <v>4014</v>
      </c>
      <c r="C31" s="226" t="s">
        <v>192</v>
      </c>
      <c r="D31" s="226" t="s">
        <v>523</v>
      </c>
      <c r="E31" s="225">
        <v>43097.246608796297</v>
      </c>
      <c r="F31" s="225">
        <v>43097.250243055554</v>
      </c>
      <c r="G31" s="224">
        <v>52</v>
      </c>
      <c r="H31" s="226" t="s">
        <v>924</v>
      </c>
      <c r="I31" s="225">
        <v>43097.276701388888</v>
      </c>
      <c r="J31" s="224">
        <v>0</v>
      </c>
      <c r="K31" s="236" t="str">
        <f t="shared" si="0"/>
        <v>4013/4014</v>
      </c>
      <c r="L31" s="244" t="str">
        <f>VLOOKUP(A31,'Trips&amp;Operators'!$C$1:$G$99911,5,FALSE)</f>
        <v>LONG FULLER</v>
      </c>
      <c r="M31" s="223">
        <f t="shared" si="1"/>
        <v>2.6458333333721384E-2</v>
      </c>
      <c r="N31" s="224">
        <f t="shared" si="2"/>
        <v>38.100000000558794</v>
      </c>
      <c r="O31" s="224"/>
      <c r="P31" s="224"/>
      <c r="Q31" s="227"/>
      <c r="R31" s="241"/>
      <c r="S31" s="248">
        <f t="shared" si="3"/>
        <v>1</v>
      </c>
      <c r="T31" s="241" t="str">
        <f t="shared" si="4"/>
        <v>NorthBound</v>
      </c>
      <c r="U31" s="24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7" t="str">
        <f t="shared" si="5"/>
        <v>https://d0f6bd738d7f1b3e5a7ca70fe4ff75f0.us-east-1.aws.found.io/app/kibana#/discover/Steve-Slow-Train-Analysis-(2080s-and-2083s)?_g=(refreshInterval:(display:Off,pause:!f,section:0,value:0),time:(from:'2017-12-28T04:55:07-0700',mode:absolute,to:'2017-12-28T07:38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1" s="246" t="str">
        <f>IF(AA31&lt;VLOOKUP(AG31,Variables!$AC$3:$AD$8,2,FALSE),"Y","N")</f>
        <v>N</v>
      </c>
      <c r="X31" s="246">
        <f t="shared" si="6"/>
        <v>1</v>
      </c>
      <c r="Y31" s="246">
        <f t="shared" si="7"/>
        <v>5.0599999999999999E-2</v>
      </c>
      <c r="Z31" s="246">
        <f t="shared" si="8"/>
        <v>23.332100000000001</v>
      </c>
      <c r="AA31" s="246">
        <f t="shared" si="9"/>
        <v>23.281500000000001</v>
      </c>
      <c r="AB31" s="232" t="e">
        <f>VLOOKUP(A31,Enforcements!$C$7:$K$9,8,0)</f>
        <v>#N/A</v>
      </c>
      <c r="AC31" s="231" t="e">
        <f>VLOOKUP(A31,Enforcements!$C$7:$E$9,3,0)</f>
        <v>#N/A</v>
      </c>
      <c r="AD31" s="242">
        <f t="shared" si="10"/>
        <v>119</v>
      </c>
      <c r="AE31" s="234" t="str">
        <f t="shared" si="11"/>
        <v>aws s3 cp s3://rtdc.mdm.uploadarchive.raw/RTDC4014/ "%USERPROFILE%\AppData\Local\Temp\OnboardLogs"\RTDC4014\2017-12-28 --exclude "*" --recursive --include "*20171228*" &amp; "%USERPROFILE%\Documents\GitHub\mrs-test-scripts\Headless Mode &amp; Sideloading\WalkAndUnGZ.bat" "%USERPROFILE%\AppData\Local\Temp\OnboardLogs"\RTDC4014\2017-12-28 &amp; aws s3 cp s3://rtdc.mdm.uploadarchive.raw/RTDC4014/ "%USERPROFILE%\AppData\Local\Temp\OnboardLogs"\RTDC4014\2017-12-29 --exclude "*" --recursive --include "*20171229*" &amp; "%USERPROFILE%\Documents\GitHub\mrs-test-scripts\Headless Mode &amp; Sideloading\WalkAndUnGZ.bat" "%USERPROFILE%\AppData\Local\Temp\OnboardLogs"\RTDC4014\2017-12-29</v>
      </c>
      <c r="AF31" s="233" t="str">
        <f t="shared" si="12"/>
        <v>"C:\Program Files (x86)\AstroGrep\AstroGrep.exe" /e /r /s /spath="%USERPROFILE%\AppData\Local\Temp\OnboardLogs" /stypes="app*4014*201712281*" /stext=" 13:.+?(?&gt;(PRM\|1\|D)|(KPR)|(KDP)|(train st[a-z]+ moving)|(SYSTEM_STATE:s[a-z]+ state changed)|(Enforcement Action)|(\[TIMEOUT)|(parse_ebi_status: Penalty)|(\|GPPS))"</v>
      </c>
      <c r="AG31" s="243" t="str">
        <f t="shared" si="13"/>
        <v>EC</v>
      </c>
      <c r="AH31" s="235" t="str">
        <f t="shared" si="19"/>
        <v>"%USERPROFILE%\Documents\GitHub\eaglep3\Utilities\RefineRTDCRunTimes.py" --tripid 119-28 --locoid 4014 --swversion DE.1.0.9.0 --startMP 204:506 --initTime 2017-12-28T05:55:07 --startdatetime 2017-12-28T06:00:21 --delay 52 --endMP 204:233321 --enddatetime 2017-12-28T06:38:27 --enforcementcount 0 &gt;&gt;%USERPROFILE%\Documents\GitHub\eaglep3-reporting\EC\2017-12-28-refined-times.txt</v>
      </c>
      <c r="AI31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{"issue":{"subject":"","project_id":79,"tracker_id":40,"status_id":1,"priority_id":2,"assigned_to_id":338,"start_date":"2017-12-28","description":"","custom_fields":[{"id":1,"name":"Subdivision","value":"EC"},{"id":4,"name":"Milepost","value":"23.3321"},{"id":17,"name":"Train ID","value":"119-28"},{"id":16,"name":"Locomotive ID","value":"4014"},{"id":130,"name":"Impact","value":""},{"id":150,"name":"Time of Event (Mountain Time)","value":"06:38:27"},{"id":151,"name":"Denver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2"/>
      <c r="AK31" s="230"/>
      <c r="AL31" s="230"/>
      <c r="AM31" s="239" t="str">
        <f t="shared" si="21"/>
        <v>start /low /b %USERPROFILE%\Documents\GitHub\eaglep3\Utilities\DownloadLogsFromS3.py --loco 4014 --day 2017-12-28</v>
      </c>
      <c r="AN31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13:38:27"},{"id":29,"name":"Sharepoint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29" t="str">
        <f t="shared" si="23"/>
        <v>https://d0f6bd738d7f1b3e5a7ca70fe4ff75f0.us-east-1.aws.found.io/app/kibana#/discover/Steve-Slow-Train-Analysis-(2080s-and-2083s)?_g=(refreshInterval:(display:Off,pause:!f,section:0,value:0),time:(from:'2017-12-28T04:55:07-0700',mode:absolute,to:'2017-12-28T07:38:27-0700'))&amp;_a=(columns:!('Message%20ID',Summary),filters:!(),index:'emp_*',interval:auto,query:(query_string:(analyze_wildcard:!t,query:'%22rtdc.l.rtdc.4014%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8" t="s">
        <v>741</v>
      </c>
      <c r="B32" s="224">
        <v>4013</v>
      </c>
      <c r="C32" s="226" t="s">
        <v>192</v>
      </c>
      <c r="D32" s="226" t="s">
        <v>572</v>
      </c>
      <c r="E32" s="225">
        <v>43097.283750000002</v>
      </c>
      <c r="F32" s="225">
        <v>43097.289756944447</v>
      </c>
      <c r="G32" s="224">
        <v>86</v>
      </c>
      <c r="H32" s="226" t="s">
        <v>925</v>
      </c>
      <c r="I32" s="225">
        <v>43097.315775462965</v>
      </c>
      <c r="J32" s="224">
        <v>0</v>
      </c>
      <c r="K32" s="236" t="str">
        <f t="shared" si="0"/>
        <v>4013/4014</v>
      </c>
      <c r="L32" s="244" t="str">
        <f>VLOOKUP(A32,'Trips&amp;Operators'!$C$1:$G$99911,5,FALSE)</f>
        <v>LONG FULLER</v>
      </c>
      <c r="M32" s="223">
        <f t="shared" si="1"/>
        <v>2.6018518517958E-2</v>
      </c>
      <c r="N32" s="224">
        <f t="shared" si="2"/>
        <v>37.46666666585952</v>
      </c>
      <c r="O32" s="224"/>
      <c r="P32" s="224"/>
      <c r="Q32" s="227"/>
      <c r="R32" s="241"/>
      <c r="S32" s="248">
        <f t="shared" si="3"/>
        <v>1</v>
      </c>
      <c r="T32" s="241" t="str">
        <f t="shared" si="4"/>
        <v>Southbound</v>
      </c>
      <c r="U32" s="24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7" t="str">
        <f t="shared" si="5"/>
        <v>https://d0f6bd738d7f1b3e5a7ca70fe4ff75f0.us-east-1.aws.found.io/app/kibana#/discover/Steve-Slow-Train-Analysis-(2080s-and-2083s)?_g=(refreshInterval:(display:Off,pause:!f,section:0,value:0),time:(from:'2017-12-28T05:48:36-0700',mode:absolute,to:'2017-12-28T08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2" s="246" t="str">
        <f>IF(AA32&lt;VLOOKUP(AG32,Variables!$AC$3:$AD$8,2,FALSE),"Y","N")</f>
        <v>N</v>
      </c>
      <c r="X32" s="246">
        <f t="shared" si="6"/>
        <v>1</v>
      </c>
      <c r="Y32" s="246">
        <f t="shared" si="7"/>
        <v>23.2987</v>
      </c>
      <c r="Z32" s="246">
        <f t="shared" si="8"/>
        <v>1.9599999999999999E-2</v>
      </c>
      <c r="AA32" s="246">
        <f t="shared" si="9"/>
        <v>23.2791</v>
      </c>
      <c r="AB32" s="232" t="e">
        <f>VLOOKUP(A32,Enforcements!$C$7:$K$9,8,0)</f>
        <v>#N/A</v>
      </c>
      <c r="AC32" s="231" t="e">
        <f>VLOOKUP(A32,Enforcements!$C$7:$E$9,3,0)</f>
        <v>#N/A</v>
      </c>
      <c r="AD32" s="242">
        <f t="shared" si="10"/>
        <v>120</v>
      </c>
      <c r="AE32" s="234" t="str">
        <f t="shared" si="11"/>
        <v>aws s3 cp s3://rtdc.mdm.uploadarchive.raw/RTDC4013/ "%USERPROFILE%\AppData\Local\Temp\OnboardLogs"\RTDC4013\2017-12-28 --exclude "*" --recursive --include "*20171228*" &amp; "%USERPROFILE%\Documents\GitHub\mrs-test-scripts\Headless Mode &amp; Sideloading\WalkAndUnGZ.bat" "%USERPROFILE%\AppData\Local\Temp\OnboardLogs"\RTDC4013\2017-12-28 &amp; aws s3 cp s3://rtdc.mdm.uploadarchive.raw/RTDC4013/ "%USERPROFILE%\AppData\Local\Temp\OnboardLogs"\RTDC4013\2017-12-29 --exclude "*" --recursive --include "*20171229*" &amp; "%USERPROFILE%\Documents\GitHub\mrs-test-scripts\Headless Mode &amp; Sideloading\WalkAndUnGZ.bat" "%USERPROFILE%\AppData\Local\Temp\OnboardLogs"\RTDC4013\2017-12-29</v>
      </c>
      <c r="AF32" s="233" t="str">
        <f t="shared" si="12"/>
        <v>"C:\Program Files (x86)\AstroGrep\AstroGrep.exe" /e /r /s /spath="%USERPROFILE%\AppData\Local\Temp\OnboardLogs" /stypes="app*4013*201712281*" /stext=" 14:.+?(?&gt;(PRM\|1\|D)|(KPR)|(KDP)|(train st[a-z]+ moving)|(SYSTEM_STATE:s[a-z]+ state changed)|(Enforcement Action)|(\[TIMEOUT)|(parse_ebi_status: Penalty)|(\|GPPS))"</v>
      </c>
      <c r="AG32" s="243" t="str">
        <f t="shared" si="13"/>
        <v>EC</v>
      </c>
      <c r="AH32" s="235" t="str">
        <f t="shared" si="19"/>
        <v>"%USERPROFILE%\Documents\GitHub\eaglep3\Utilities\RefineRTDCRunTimes.py" --tripid 120-28 --locoid 4013 --swversion DE.1.0.9.0 --startMP 204:232987 --initTime 2017-12-28T06:48:36 --startdatetime 2017-12-28T06:57:15 --delay 86 --endMP 204:196 --enddatetime 2017-12-28T07:34:43 --enforcementcount 0 &gt;&gt;%USERPROFILE%\Documents\GitHub\eaglep3-reporting\EC\2017-12-28-refined-times.txt</v>
      </c>
      <c r="AI32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{"issue":{"subject":"","project_id":79,"tracker_id":40,"status_id":1,"priority_id":2,"assigned_to_id":338,"start_date":"2017-12-28","description":"","custom_fields":[{"id":1,"name":"Subdivision","value":"EC"},{"id":4,"name":"Milepost","value":"0.0196"},{"id":17,"name":"Train ID","value":"120-28"},{"id":16,"name":"Locomotive ID","value":"4013"},{"id":130,"name":"Impact","value":""},{"id":150,"name":"Time of Event (Mountain Time)","value":"07:34:43"},{"id":151,"name":"Denver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2"/>
      <c r="AK32" s="230"/>
      <c r="AL32" s="230"/>
      <c r="AM32" s="239" t="str">
        <f t="shared" si="21"/>
        <v>start /low /b %USERPROFILE%\Documents\GitHub\eaglep3\Utilities\DownloadLogsFromS3.py --loco 4013 --day 2017-12-28</v>
      </c>
      <c r="AN32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14:34:43"},{"id":29,"name":"Sharepoint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29" t="str">
        <f t="shared" si="23"/>
        <v>https://d0f6bd738d7f1b3e5a7ca70fe4ff75f0.us-east-1.aws.found.io/app/kibana#/discover/Steve-Slow-Train-Analysis-(2080s-and-2083s)?_g=(refreshInterval:(display:Off,pause:!f,section:0,value:0),time:(from:'2017-12-28T05:48:36-0700',mode:absolute,to:'2017-12-28T08:34:43-0700'))&amp;_a=(columns:!('Message%20ID',Summary),filters:!(),index:'emp_*',interval:auto,query:(query_string:(analyze_wildcard:!t,query:'%22rtdc.l.rtdc.4013%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8" t="s">
        <v>732</v>
      </c>
      <c r="B33" s="224">
        <v>4046</v>
      </c>
      <c r="C33" s="226" t="s">
        <v>192</v>
      </c>
      <c r="D33" s="226" t="s">
        <v>644</v>
      </c>
      <c r="E33" s="225">
        <v>43097.254791666666</v>
      </c>
      <c r="F33" s="225">
        <v>43097.260567129626</v>
      </c>
      <c r="G33" s="224">
        <v>72</v>
      </c>
      <c r="H33" s="226" t="s">
        <v>926</v>
      </c>
      <c r="I33" s="225">
        <v>43097.285405092596</v>
      </c>
      <c r="J33" s="224">
        <v>0</v>
      </c>
      <c r="K33" s="236" t="str">
        <f t="shared" si="0"/>
        <v>4045/4046</v>
      </c>
      <c r="L33" s="244" t="str">
        <f>VLOOKUP(A33,'Trips&amp;Operators'!$C$1:$G$99911,5,FALSE)</f>
        <v>PAGE MARCUS</v>
      </c>
      <c r="M33" s="223">
        <f t="shared" si="1"/>
        <v>2.4837962970195804E-2</v>
      </c>
      <c r="N33" s="224">
        <f t="shared" si="2"/>
        <v>35.766666677081957</v>
      </c>
      <c r="O33" s="224"/>
      <c r="P33" s="224"/>
      <c r="Q33" s="227"/>
      <c r="R33" s="241"/>
      <c r="S33" s="248">
        <f t="shared" si="3"/>
        <v>1</v>
      </c>
      <c r="T33" s="241" t="str">
        <f t="shared" si="4"/>
        <v>NorthBound</v>
      </c>
      <c r="U33" s="24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7" t="str">
        <f t="shared" si="5"/>
        <v>https://d0f6bd738d7f1b3e5a7ca70fe4ff75f0.us-east-1.aws.found.io/app/kibana#/discover/Steve-Slow-Train-Analysis-(2080s-and-2083s)?_g=(refreshInterval:(display:Off,pause:!f,section:0,value:0),time:(from:'2017-12-28T05:06:54-0700',mode:absolute,to:'2017-12-28T07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3" s="246" t="str">
        <f>IF(AA33&lt;VLOOKUP(AG33,Variables!$AC$3:$AD$8,2,FALSE),"Y","N")</f>
        <v>N</v>
      </c>
      <c r="X33" s="246">
        <f t="shared" si="6"/>
        <v>1</v>
      </c>
      <c r="Y33" s="246">
        <f t="shared" si="7"/>
        <v>4.7300000000000002E-2</v>
      </c>
      <c r="Z33" s="246">
        <f t="shared" si="8"/>
        <v>23.330300000000001</v>
      </c>
      <c r="AA33" s="246">
        <f t="shared" si="9"/>
        <v>23.283000000000001</v>
      </c>
      <c r="AB33" s="232" t="e">
        <f>VLOOKUP(A33,Enforcements!$C$7:$K$9,8,0)</f>
        <v>#N/A</v>
      </c>
      <c r="AC33" s="231" t="e">
        <f>VLOOKUP(A33,Enforcements!$C$7:$E$9,3,0)</f>
        <v>#N/A</v>
      </c>
      <c r="AD33" s="242">
        <f t="shared" si="10"/>
        <v>121</v>
      </c>
      <c r="AE33" s="234" t="str">
        <f t="shared" si="11"/>
        <v>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 &amp; aws s3 cp s3://rtdc.mdm.uploadarchive.raw/RTDC4046/ "%USERPROFILE%\AppData\Local\Temp\OnboardLogs"\RTDC4046\2017-12-29 --exclude "*" --recursive --include "*20171229*" &amp; "%USERPROFILE%\Documents\GitHub\mrs-test-scripts\Headless Mode &amp; Sideloading\WalkAndUnGZ.bat" "%USERPROFILE%\AppData\Local\Temp\OnboardLogs"\RTDC4046\2017-12-29</v>
      </c>
      <c r="AF33" s="233" t="str">
        <f t="shared" si="12"/>
        <v>"C:\Program Files (x86)\AstroGrep\AstroGrep.exe" /e /r /s /spath="%USERPROFILE%\AppData\Local\Temp\OnboardLogs" /stypes="app*4046*201712281*" /stext=" 13:.+?(?&gt;(PRM\|1\|D)|(KPR)|(KDP)|(train st[a-z]+ moving)|(SYSTEM_STATE:s[a-z]+ state changed)|(Enforcement Action)|(\[TIMEOUT)|(parse_ebi_status: Penalty)|(\|GPPS))"</v>
      </c>
      <c r="AG33" s="243" t="str">
        <f t="shared" si="13"/>
        <v>EC</v>
      </c>
      <c r="AH33" s="235" t="str">
        <f t="shared" si="19"/>
        <v>"%USERPROFILE%\Documents\GitHub\eaglep3\Utilities\RefineRTDCRunTimes.py" --tripid 121-28 --locoid 4046 --swversion DE.1.0.9.0 --startMP 204:473 --initTime 2017-12-28T06:06:54 --startdatetime 2017-12-28T06:15:13 --delay 72 --endMP 204:233303 --enddatetime 2017-12-28T06:50:59 --enforcementcount 0 &gt;&gt;%USERPROFILE%\Documents\GitHub\eaglep3-reporting\EC\2017-12-28-refined-times.txt</v>
      </c>
      <c r="AI33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{"issue":{"subject":"","project_id":79,"tracker_id":40,"status_id":1,"priority_id":2,"assigned_to_id":338,"start_date":"2017-12-28","description":"","custom_fields":[{"id":1,"name":"Subdivision","value":"EC"},{"id":4,"name":"Milepost","value":"23.3303"},{"id":17,"name":"Train ID","value":"121-28"},{"id":16,"name":"Locomotive ID","value":"4046"},{"id":130,"name":"Impact","value":""},{"id":150,"name":"Time of Event (Mountain Time)","value":"06:50:59"},{"id":151,"name":"Denver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2"/>
      <c r="AK33" s="230"/>
      <c r="AL33" s="230"/>
      <c r="AM33" s="239" t="str">
        <f t="shared" si="21"/>
        <v>start /low /b %USERPROFILE%\Documents\GitHub\eaglep3\Utilities\DownloadLogsFromS3.py --loco 4046 --day 2017-12-28</v>
      </c>
      <c r="AN33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13:50:59"},{"id":29,"name":"Sharepoint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29" t="str">
        <f t="shared" si="23"/>
        <v>https://d0f6bd738d7f1b3e5a7ca70fe4ff75f0.us-east-1.aws.found.io/app/kibana#/discover/Steve-Slow-Train-Analysis-(2080s-and-2083s)?_g=(refreshInterval:(display:Off,pause:!f,section:0,value:0),time:(from:'2017-12-28T05:06:54-0700',mode:absolute,to:'2017-12-28T07:50:59-0700'))&amp;_a=(columns:!('Message%20ID',Summary),filters:!(),index:'emp_*',interval:auto,query:(query_string:(analyze_wildcard:!t,query:'%22rtdc.l.rtdc.4046%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8" t="s">
        <v>743</v>
      </c>
      <c r="B34" s="224">
        <v>4045</v>
      </c>
      <c r="C34" s="226" t="s">
        <v>192</v>
      </c>
      <c r="D34" s="226" t="s">
        <v>566</v>
      </c>
      <c r="E34" s="225">
        <v>43097.286724537036</v>
      </c>
      <c r="F34" s="225">
        <v>43097.300162037034</v>
      </c>
      <c r="G34" s="224">
        <v>64</v>
      </c>
      <c r="H34" s="226" t="s">
        <v>927</v>
      </c>
      <c r="I34" s="225">
        <v>43097.325590277775</v>
      </c>
      <c r="J34" s="224">
        <v>0</v>
      </c>
      <c r="K34" s="236" t="str">
        <f t="shared" si="0"/>
        <v>4045/4046</v>
      </c>
      <c r="L34" s="244" t="str">
        <f>VLOOKUP(A34,'Trips&amp;Operators'!$C$1:$G$99911,5,FALSE)</f>
        <v>PAGE MARCUS</v>
      </c>
      <c r="M34" s="223">
        <f t="shared" si="1"/>
        <v>2.5428240740438923E-2</v>
      </c>
      <c r="N34" s="224">
        <f t="shared" si="2"/>
        <v>36.616666666232049</v>
      </c>
      <c r="O34" s="224"/>
      <c r="P34" s="224"/>
      <c r="Q34" s="227"/>
      <c r="R34" s="241"/>
      <c r="S34" s="248">
        <f t="shared" si="3"/>
        <v>1</v>
      </c>
      <c r="T34" s="241" t="str">
        <f t="shared" si="4"/>
        <v>Southbound</v>
      </c>
      <c r="U34" s="24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7" t="str">
        <f t="shared" si="5"/>
        <v>https://d0f6bd738d7f1b3e5a7ca70fe4ff75f0.us-east-1.aws.found.io/app/kibana#/discover/Steve-Slow-Train-Analysis-(2080s-and-2083s)?_g=(refreshInterval:(display:Off,pause:!f,section:0,value:0),time:(from:'2017-12-28T05:52:53-0700',mode:absolute,to:'2017-12-28T08:48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4" s="246" t="str">
        <f>IF(AA34&lt;VLOOKUP(AG34,Variables!$AC$3:$AD$8,2,FALSE),"Y","N")</f>
        <v>N</v>
      </c>
      <c r="X34" s="246">
        <f t="shared" si="6"/>
        <v>1</v>
      </c>
      <c r="Y34" s="246">
        <f t="shared" si="7"/>
        <v>23.298400000000001</v>
      </c>
      <c r="Z34" s="246">
        <f t="shared" si="8"/>
        <v>1.7999999999999999E-2</v>
      </c>
      <c r="AA34" s="246">
        <f t="shared" si="9"/>
        <v>23.2804</v>
      </c>
      <c r="AB34" s="232" t="e">
        <f>VLOOKUP(A34,Enforcements!$C$7:$K$9,8,0)</f>
        <v>#N/A</v>
      </c>
      <c r="AC34" s="231" t="e">
        <f>VLOOKUP(A34,Enforcements!$C$7:$E$9,3,0)</f>
        <v>#N/A</v>
      </c>
      <c r="AD34" s="242">
        <f t="shared" si="10"/>
        <v>122</v>
      </c>
      <c r="AE34" s="234" t="str">
        <f t="shared" si="11"/>
        <v>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 &amp; aws s3 cp s3://rtdc.mdm.uploadarchive.raw/RTDC4045/ "%USERPROFILE%\AppData\Local\Temp\OnboardLogs"\RTDC4045\2017-12-29 --exclude "*" --recursive --include "*20171229*" &amp; "%USERPROFILE%\Documents\GitHub\mrs-test-scripts\Headless Mode &amp; Sideloading\WalkAndUnGZ.bat" "%USERPROFILE%\AppData\Local\Temp\OnboardLogs"\RTDC4045\2017-12-29</v>
      </c>
      <c r="AF34" s="233" t="str">
        <f t="shared" si="12"/>
        <v>"C:\Program Files (x86)\AstroGrep\AstroGrep.exe" /e /r /s /spath="%USERPROFILE%\AppData\Local\Temp\OnboardLogs" /stypes="app*4045*201712281*" /stext=" 14:.+?(?&gt;(PRM\|1\|D)|(KPR)|(KDP)|(train st[a-z]+ moving)|(SYSTEM_STATE:s[a-z]+ state changed)|(Enforcement Action)|(\[TIMEOUT)|(parse_ebi_status: Penalty)|(\|GPPS))"</v>
      </c>
      <c r="AG34" s="243" t="str">
        <f t="shared" si="13"/>
        <v>EC</v>
      </c>
      <c r="AH34" s="235" t="str">
        <f t="shared" si="19"/>
        <v>"%USERPROFILE%\Documents\GitHub\eaglep3\Utilities\RefineRTDCRunTimes.py" --tripid 122-28 --locoid 4045 --swversion DE.1.0.9.0 --startMP 204:232984 --initTime 2017-12-28T06:52:53 --startdatetime 2017-12-28T07:12:14 --delay 64 --endMP 204:180 --enddatetime 2017-12-28T07:48:51 --enforcementcount 0 &gt;&gt;%USERPROFILE%\Documents\GitHub\eaglep3-reporting\EC\2017-12-28-refined-times.txt</v>
      </c>
      <c r="AI34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{"issue":{"subject":"","project_id":79,"tracker_id":40,"status_id":1,"priority_id":2,"assigned_to_id":338,"start_date":"2017-12-28","description":"","custom_fields":[{"id":1,"name":"Subdivision","value":"EC"},{"id":4,"name":"Milepost","value":"0.018"},{"id":17,"name":"Train ID","value":"122-28"},{"id":16,"name":"Locomotive ID","value":"4045"},{"id":130,"name":"Impact","value":""},{"id":150,"name":"Time of Event (Mountain Time)","value":"07:48:51"},{"id":151,"name":"Denver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2"/>
      <c r="AK34" s="230"/>
      <c r="AL34" s="230"/>
      <c r="AM34" s="239" t="str">
        <f t="shared" si="21"/>
        <v>start /low /b %USERPROFILE%\Documents\GitHub\eaglep3\Utilities\DownloadLogsFromS3.py --loco 4045 --day 2017-12-28</v>
      </c>
      <c r="AN34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14:48:51"},{"id":29,"name":"Sharepoint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29" t="str">
        <f t="shared" si="23"/>
        <v>https://d0f6bd738d7f1b3e5a7ca70fe4ff75f0.us-east-1.aws.found.io/app/kibana#/discover/Steve-Slow-Train-Analysis-(2080s-and-2083s)?_g=(refreshInterval:(display:Off,pause:!f,section:0,value:0),time:(from:'2017-12-28T05:52:53-0700',mode:absolute,to:'2017-12-28T08:48:51-0700'))&amp;_a=(columns:!('Message%20ID',Summary),filters:!(),index:'emp_*',interval:auto,query:(query_string:(analyze_wildcard:!t,query:'%22rtdc.l.rtdc.4045%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8" t="s">
        <v>737</v>
      </c>
      <c r="B35" s="224">
        <v>4056</v>
      </c>
      <c r="C35" s="226" t="s">
        <v>192</v>
      </c>
      <c r="D35" s="226" t="s">
        <v>540</v>
      </c>
      <c r="E35" s="225">
        <v>43097.267118055555</v>
      </c>
      <c r="F35" s="225">
        <v>43097.271006944444</v>
      </c>
      <c r="G35" s="224">
        <v>81</v>
      </c>
      <c r="H35" s="226" t="s">
        <v>587</v>
      </c>
      <c r="I35" s="225">
        <v>43097.296122685184</v>
      </c>
      <c r="J35" s="224">
        <v>0</v>
      </c>
      <c r="K35" s="236" t="str">
        <f t="shared" si="0"/>
        <v>4055/4056</v>
      </c>
      <c r="L35" s="244" t="str">
        <f>VLOOKUP(A35,'Trips&amp;Operators'!$C$1:$G$99911,5,FALSE)</f>
        <v>WILLIAMS DONTE</v>
      </c>
      <c r="M35" s="223">
        <f t="shared" si="1"/>
        <v>2.5115740740147885E-2</v>
      </c>
      <c r="N35" s="224">
        <f t="shared" si="2"/>
        <v>36.166666665812954</v>
      </c>
      <c r="O35" s="224"/>
      <c r="P35" s="224"/>
      <c r="Q35" s="227"/>
      <c r="R35" s="241"/>
      <c r="S35" s="248">
        <f t="shared" si="3"/>
        <v>1</v>
      </c>
      <c r="T35" s="241" t="str">
        <f t="shared" si="4"/>
        <v>NorthBound</v>
      </c>
      <c r="U35" s="24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7" t="str">
        <f t="shared" si="5"/>
        <v>https://d0f6bd738d7f1b3e5a7ca70fe4ff75f0.us-east-1.aws.found.io/app/kibana#/discover/Steve-Slow-Train-Analysis-(2080s-and-2083s)?_g=(refreshInterval:(display:Off,pause:!f,section:0,value:0),time:(from:'2017-12-28T05:24:39-0700',mode:absolute,to:'2017-12-28T08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5" s="246" t="str">
        <f>IF(AA35&lt;VLOOKUP(AG35,Variables!$AC$3:$AD$8,2,FALSE),"Y","N")</f>
        <v>N</v>
      </c>
      <c r="X35" s="246">
        <f t="shared" si="6"/>
        <v>1</v>
      </c>
      <c r="Y35" s="246">
        <f t="shared" si="7"/>
        <v>5.0900000000000001E-2</v>
      </c>
      <c r="Z35" s="246">
        <f t="shared" si="8"/>
        <v>23.324400000000001</v>
      </c>
      <c r="AA35" s="246">
        <f t="shared" si="9"/>
        <v>23.273500000000002</v>
      </c>
      <c r="AB35" s="232" t="e">
        <f>VLOOKUP(A35,Enforcements!$C$7:$K$9,8,0)</f>
        <v>#N/A</v>
      </c>
      <c r="AC35" s="231" t="e">
        <f>VLOOKUP(A35,Enforcements!$C$7:$E$9,3,0)</f>
        <v>#N/A</v>
      </c>
      <c r="AD35" s="242">
        <f t="shared" si="10"/>
        <v>123</v>
      </c>
      <c r="AE35" s="234" t="str">
        <f t="shared" si="11"/>
        <v>aws s3 cp s3://rtdc.mdm.uploadarchive.raw/RTDC4056/ "%USERPROFILE%\AppData\Local\Temp\OnboardLogs"\RTDC4056\2017-12-28 --exclude "*" --recursive --include "*20171228*" &amp; "%USERPROFILE%\Documents\GitHub\mrs-test-scripts\Headless Mode &amp; Sideloading\WalkAndUnGZ.bat" "%USERPROFILE%\AppData\Local\Temp\OnboardLogs"\RTDC4056\2017-12-28 &amp; aws s3 cp s3://rtdc.mdm.uploadarchive.raw/RTDC4056/ "%USERPROFILE%\AppData\Local\Temp\OnboardLogs"\RTDC4056\2017-12-29 --exclude "*" --recursive --include "*20171229*" &amp; "%USERPROFILE%\Documents\GitHub\mrs-test-scripts\Headless Mode &amp; Sideloading\WalkAndUnGZ.bat" "%USERPROFILE%\AppData\Local\Temp\OnboardLogs"\RTDC4056\2017-12-29</v>
      </c>
      <c r="AF35" s="233" t="str">
        <f t="shared" si="12"/>
        <v>"C:\Program Files (x86)\AstroGrep\AstroGrep.exe" /e /r /s /spath="%USERPROFILE%\AppData\Local\Temp\OnboardLogs" /stypes="app*4056*201712281*" /stext=" 14:.+?(?&gt;(PRM\|1\|D)|(KPR)|(KDP)|(train st[a-z]+ moving)|(SYSTEM_STATE:s[a-z]+ state changed)|(Enforcement Action)|(\[TIMEOUT)|(parse_ebi_status: Penalty)|(\|GPPS))"</v>
      </c>
      <c r="AG35" s="243" t="str">
        <f t="shared" si="13"/>
        <v>EC</v>
      </c>
      <c r="AH35" s="235" t="str">
        <f t="shared" si="19"/>
        <v>"%USERPROFILE%\Documents\GitHub\eaglep3\Utilities\RefineRTDCRunTimes.py" --tripid 123-28 --locoid 4056 --swversion DE.1.0.9.0 --startMP 204:509 --initTime 2017-12-28T06:24:39 --startdatetime 2017-12-28T06:30:15 --delay 81 --endMP 204:233244 --enddatetime 2017-12-28T07:06:25 --enforcementcount 0 &gt;&gt;%USERPROFILE%\Documents\GitHub\eaglep3-reporting\EC\2017-12-28-refined-times.txt</v>
      </c>
      <c r="AI35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{"issue":{"subject":"","project_id":79,"tracker_id":40,"status_id":1,"priority_id":2,"assigned_to_id":338,"start_date":"2017-12-28","description":"","custom_fields":[{"id":1,"name":"Subdivision","value":"EC"},{"id":4,"name":"Milepost","value":"23.3244"},{"id":17,"name":"Train ID","value":"123-28"},{"id":16,"name":"Locomotive ID","value":"4056"},{"id":130,"name":"Impact","value":""},{"id":150,"name":"Time of Event (Mountain Time)","value":"07:06:25"},{"id":151,"name":"Denver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2"/>
      <c r="AK35" s="230"/>
      <c r="AL35" s="230"/>
      <c r="AM35" s="239" t="str">
        <f t="shared" si="21"/>
        <v>start /low /b %USERPROFILE%\Documents\GitHub\eaglep3\Utilities\DownloadLogsFromS3.py --loco 4056 --day 2017-12-28</v>
      </c>
      <c r="AN35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14:06:25"},{"id":29,"name":"Sharepoint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29" t="str">
        <f t="shared" si="23"/>
        <v>https://d0f6bd738d7f1b3e5a7ca70fe4ff75f0.us-east-1.aws.found.io/app/kibana#/discover/Steve-Slow-Train-Analysis-(2080s-and-2083s)?_g=(refreshInterval:(display:Off,pause:!f,section:0,value:0),time:(from:'2017-12-28T05:24:39-0700',mode:absolute,to:'2017-12-28T08:06:25-0700'))&amp;_a=(columns:!('Message%20ID',Summary),filters:!(),index:'emp_*',interval:auto,query:(query_string:(analyze_wildcard:!t,query:'%22rtdc.l.rtdc.4056%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8" t="s">
        <v>746</v>
      </c>
      <c r="B36" s="224">
        <v>4055</v>
      </c>
      <c r="C36" s="226" t="s">
        <v>192</v>
      </c>
      <c r="D36" s="226" t="s">
        <v>918</v>
      </c>
      <c r="E36" s="225">
        <v>43097.30636574074</v>
      </c>
      <c r="F36" s="225">
        <v>43097.310590277775</v>
      </c>
      <c r="G36" s="224">
        <v>112</v>
      </c>
      <c r="H36" s="226" t="s">
        <v>483</v>
      </c>
      <c r="I36" s="225">
        <v>43097.336597222224</v>
      </c>
      <c r="J36" s="224">
        <v>0</v>
      </c>
      <c r="K36" s="236" t="str">
        <f t="shared" si="0"/>
        <v>4055/4056</v>
      </c>
      <c r="L36" s="244" t="str">
        <f>VLOOKUP(A36,'Trips&amp;Operators'!$C$1:$G$99911,5,FALSE)</f>
        <v>WILLIAMS DONTE</v>
      </c>
      <c r="M36" s="223">
        <f t="shared" si="1"/>
        <v>2.6006944448454306E-2</v>
      </c>
      <c r="N36" s="224">
        <f t="shared" si="2"/>
        <v>37.4500000057742</v>
      </c>
      <c r="O36" s="224"/>
      <c r="P36" s="224"/>
      <c r="Q36" s="227"/>
      <c r="R36" s="241"/>
      <c r="S36" s="248">
        <f t="shared" si="3"/>
        <v>1</v>
      </c>
      <c r="T36" s="241" t="str">
        <f t="shared" si="4"/>
        <v>Southbound</v>
      </c>
      <c r="U36" s="24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7" t="str">
        <f t="shared" si="5"/>
        <v>https://d0f6bd738d7f1b3e5a7ca70fe4ff75f0.us-east-1.aws.found.io/app/kibana#/discover/Steve-Slow-Train-Analysis-(2080s-and-2083s)?_g=(refreshInterval:(display:Off,pause:!f,section:0,value:0),time:(from:'2017-12-28T06:21:10-0700',mode:absolute,to:'2017-12-28T09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6" s="246" t="str">
        <f>IF(AA36&lt;VLOOKUP(AG36,Variables!$AC$3:$AD$8,2,FALSE),"Y","N")</f>
        <v>N</v>
      </c>
      <c r="X36" s="246">
        <f t="shared" si="6"/>
        <v>1</v>
      </c>
      <c r="Y36" s="246">
        <f t="shared" si="7"/>
        <v>23.292999999999999</v>
      </c>
      <c r="Z36" s="246">
        <f t="shared" si="8"/>
        <v>0.02</v>
      </c>
      <c r="AA36" s="246">
        <f t="shared" si="9"/>
        <v>23.273</v>
      </c>
      <c r="AB36" s="232" t="e">
        <f>VLOOKUP(A36,Enforcements!$C$7:$K$9,8,0)</f>
        <v>#N/A</v>
      </c>
      <c r="AC36" s="231" t="e">
        <f>VLOOKUP(A36,Enforcements!$C$7:$E$9,3,0)</f>
        <v>#N/A</v>
      </c>
      <c r="AD36" s="242">
        <f t="shared" si="10"/>
        <v>124</v>
      </c>
      <c r="AE36" s="234" t="str">
        <f t="shared" si="11"/>
        <v>aws s3 cp s3://rtdc.mdm.uploadarchive.raw/RTDC4055/ "%USERPROFILE%\AppData\Local\Temp\OnboardLogs"\RTDC4055\2017-12-28 --exclude "*" --recursive --include "*20171228*" &amp; "%USERPROFILE%\Documents\GitHub\mrs-test-scripts\Headless Mode &amp; Sideloading\WalkAndUnGZ.bat" "%USERPROFILE%\AppData\Local\Temp\OnboardLogs"\RTDC4055\2017-12-28 &amp; aws s3 cp s3://rtdc.mdm.uploadarchive.raw/RTDC4055/ "%USERPROFILE%\AppData\Local\Temp\OnboardLogs"\RTDC4055\2017-12-29 --exclude "*" --recursive --include "*20171229*" &amp; "%USERPROFILE%\Documents\GitHub\mrs-test-scripts\Headless Mode &amp; Sideloading\WalkAndUnGZ.bat" "%USERPROFILE%\AppData\Local\Temp\OnboardLogs"\RTDC4055\2017-12-29</v>
      </c>
      <c r="AF36" s="233" t="str">
        <f t="shared" si="12"/>
        <v>"C:\Program Files (x86)\AstroGrep\AstroGrep.exe" /e /r /s /spath="%USERPROFILE%\AppData\Local\Temp\OnboardLogs" /stypes="app*4055*201712281*" /stext=" 15:.+?(?&gt;(PRM\|1\|D)|(KPR)|(KDP)|(train st[a-z]+ moving)|(SYSTEM_STATE:s[a-z]+ state changed)|(Enforcement Action)|(\[TIMEOUT)|(parse_ebi_status: Penalty)|(\|GPPS))"</v>
      </c>
      <c r="AG36" s="243" t="str">
        <f t="shared" si="13"/>
        <v>EC</v>
      </c>
      <c r="AH36" s="235" t="str">
        <f t="shared" si="19"/>
        <v>"%USERPROFILE%\Documents\GitHub\eaglep3\Utilities\RefineRTDCRunTimes.py" --tripid 124-28 --locoid 4055 --swversion DE.1.0.9.0 --startMP 204:232930 --initTime 2017-12-28T07:21:10 --startdatetime 2017-12-28T07:27:15 --delay 112 --endMP 204:200 --enddatetime 2017-12-28T08:04:42 --enforcementcount 0 &gt;&gt;%USERPROFILE%\Documents\GitHub\eaglep3-reporting\EC\2017-12-28-refined-times.txt</v>
      </c>
      <c r="AI36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{"issue":{"subject":"","project_id":79,"tracker_id":40,"status_id":1,"priority_id":2,"assigned_to_id":338,"start_date":"2017-12-28","description":"","custom_fields":[{"id":1,"name":"Subdivision","value":"EC"},{"id":4,"name":"Milepost","value":"0.02"},{"id":17,"name":"Train ID","value":"124-28"},{"id":16,"name":"Locomotive ID","value":"4055"},{"id":130,"name":"Impact","value":""},{"id":150,"name":"Time of Event (Mountain Time)","value":"08:04:42"},{"id":151,"name":"Denver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2"/>
      <c r="AK36" s="230"/>
      <c r="AL36" s="230"/>
      <c r="AM36" s="239" t="str">
        <f t="shared" si="21"/>
        <v>start /low /b %USERPROFILE%\Documents\GitHub\eaglep3\Utilities\DownloadLogsFromS3.py --loco 4055 --day 2017-12-28</v>
      </c>
      <c r="AN36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15:04:42"},{"id":29,"name":"Sharepoint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29" t="str">
        <f t="shared" si="23"/>
        <v>https://d0f6bd738d7f1b3e5a7ca70fe4ff75f0.us-east-1.aws.found.io/app/kibana#/discover/Steve-Slow-Train-Analysis-(2080s-and-2083s)?_g=(refreshInterval:(display:Off,pause:!f,section:0,value:0),time:(from:'2017-12-28T06:21:10-0700',mode:absolute,to:'2017-12-28T09:04:42-0700'))&amp;_a=(columns:!('Message%20ID',Summary),filters:!(),index:'emp_*',interval:auto,query:(query_string:(analyze_wildcard:!t,query:'%22rtdc.l.rtdc.4055%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8" t="s">
        <v>740</v>
      </c>
      <c r="B37" s="224">
        <v>4062</v>
      </c>
      <c r="C37" s="226" t="s">
        <v>192</v>
      </c>
      <c r="D37" s="226" t="s">
        <v>530</v>
      </c>
      <c r="E37" s="225">
        <v>43097.274155092593</v>
      </c>
      <c r="F37" s="225">
        <v>43097.281550925924</v>
      </c>
      <c r="G37" s="224">
        <v>43</v>
      </c>
      <c r="H37" s="226" t="s">
        <v>919</v>
      </c>
      <c r="I37" s="225">
        <v>43097.305821759262</v>
      </c>
      <c r="J37" s="224">
        <v>0</v>
      </c>
      <c r="K37" s="236" t="str">
        <f t="shared" si="0"/>
        <v>4061/4062</v>
      </c>
      <c r="L37" s="244" t="str">
        <f>VLOOKUP(A37,'Trips&amp;Operators'!$C$1:$G$99911,5,FALSE)</f>
        <v>YORK EDGAR</v>
      </c>
      <c r="M37" s="223">
        <f t="shared" si="1"/>
        <v>2.4270833338960074E-2</v>
      </c>
      <c r="N37" s="224">
        <f t="shared" si="2"/>
        <v>34.950000008102506</v>
      </c>
      <c r="O37" s="224"/>
      <c r="P37" s="224"/>
      <c r="Q37" s="227"/>
      <c r="R37" s="241"/>
      <c r="S37" s="248">
        <f t="shared" si="3"/>
        <v>1</v>
      </c>
      <c r="T37" s="241" t="str">
        <f t="shared" si="4"/>
        <v>NorthBound</v>
      </c>
      <c r="U37" s="24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7" t="str">
        <f t="shared" si="5"/>
        <v>https://d0f6bd738d7f1b3e5a7ca70fe4ff75f0.us-east-1.aws.found.io/app/kibana#/discover/Steve-Slow-Train-Analysis-(2080s-and-2083s)?_g=(refreshInterval:(display:Off,pause:!f,section:0,value:0),time:(from:'2017-12-28T05:34:47-0700',mode:absolute,to:'2017-12-28T08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7" s="246" t="str">
        <f>IF(AA37&lt;VLOOKUP(AG37,Variables!$AC$3:$AD$8,2,FALSE),"Y","N")</f>
        <v>N</v>
      </c>
      <c r="X37" s="246">
        <f t="shared" si="6"/>
        <v>1</v>
      </c>
      <c r="Y37" s="246">
        <f t="shared" si="7"/>
        <v>4.5499999999999999E-2</v>
      </c>
      <c r="Z37" s="246">
        <f t="shared" si="8"/>
        <v>23.328900000000001</v>
      </c>
      <c r="AA37" s="246">
        <f t="shared" si="9"/>
        <v>23.2834</v>
      </c>
      <c r="AB37" s="232" t="e">
        <f>VLOOKUP(A37,Enforcements!$C$7:$K$9,8,0)</f>
        <v>#N/A</v>
      </c>
      <c r="AC37" s="231" t="e">
        <f>VLOOKUP(A37,Enforcements!$C$7:$E$9,3,0)</f>
        <v>#N/A</v>
      </c>
      <c r="AD37" s="242">
        <f t="shared" si="10"/>
        <v>125</v>
      </c>
      <c r="AE37" s="234" t="str">
        <f t="shared" si="11"/>
        <v>aws s3 cp s3://rtdc.mdm.uploadarchive.raw/RTDC4062/ "%USERPROFILE%\AppData\Local\Temp\OnboardLogs"\RTDC4062\2017-12-28 --exclude "*" --recursive --include "*20171228*" &amp; "%USERPROFILE%\Documents\GitHub\mrs-test-scripts\Headless Mode &amp; Sideloading\WalkAndUnGZ.bat" "%USERPROFILE%\AppData\Local\Temp\OnboardLogs"\RTDC4062\2017-12-28 &amp; aws s3 cp s3://rtdc.mdm.uploadarchive.raw/RTDC4062/ "%USERPROFILE%\AppData\Local\Temp\OnboardLogs"\RTDC4062\2017-12-29 --exclude "*" --recursive --include "*20171229*" &amp; "%USERPROFILE%\Documents\GitHub\mrs-test-scripts\Headless Mode &amp; Sideloading\WalkAndUnGZ.bat" "%USERPROFILE%\AppData\Local\Temp\OnboardLogs"\RTDC4062\2017-12-29</v>
      </c>
      <c r="AF37" s="233" t="str">
        <f t="shared" si="12"/>
        <v>"C:\Program Files (x86)\AstroGrep\AstroGrep.exe" /e /r /s /spath="%USERPROFILE%\AppData\Local\Temp\OnboardLogs" /stypes="app*4062*201712281*" /stext=" 14:.+?(?&gt;(PRM\|1\|D)|(KPR)|(KDP)|(train st[a-z]+ moving)|(SYSTEM_STATE:s[a-z]+ state changed)|(Enforcement Action)|(\[TIMEOUT)|(parse_ebi_status: Penalty)|(\|GPPS))"</v>
      </c>
      <c r="AG37" s="243" t="str">
        <f t="shared" si="13"/>
        <v>EC</v>
      </c>
      <c r="AH37" s="235" t="str">
        <f t="shared" si="19"/>
        <v>"%USERPROFILE%\Documents\GitHub\eaglep3\Utilities\RefineRTDCRunTimes.py" --tripid 125-28 --locoid 4062 --swversion DE.1.0.9.0 --startMP 204:455 --initTime 2017-12-28T06:34:47 --startdatetime 2017-12-28T06:45:26 --delay 43 --endMP 204:233289 --enddatetime 2017-12-28T07:20:23 --enforcementcount 0 &gt;&gt;%USERPROFILE%\Documents\GitHub\eaglep3-reporting\EC\2017-12-28-refined-times.txt</v>
      </c>
      <c r="AI37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{"issue":{"subject":"","project_id":79,"tracker_id":40,"status_id":1,"priority_id":2,"assigned_to_id":338,"start_date":"2017-12-28","description":"","custom_fields":[{"id":1,"name":"Subdivision","value":"EC"},{"id":4,"name":"Milepost","value":"23.3289"},{"id":17,"name":"Train ID","value":"125-28"},{"id":16,"name":"Locomotive ID","value":"4062"},{"id":130,"name":"Impact","value":""},{"id":150,"name":"Time of Event (Mountain Time)","value":"07:20:23"},{"id":151,"name":"Denver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2"/>
      <c r="AK37" s="230"/>
      <c r="AL37" s="230"/>
      <c r="AM37" s="239" t="str">
        <f t="shared" si="21"/>
        <v>start /low /b %USERPROFILE%\Documents\GitHub\eaglep3\Utilities\DownloadLogsFromS3.py --loco 4062 --day 2017-12-28</v>
      </c>
      <c r="AN37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14:20:23"},{"id":29,"name":"Sharepoint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29" t="str">
        <f t="shared" si="23"/>
        <v>https://d0f6bd738d7f1b3e5a7ca70fe4ff75f0.us-east-1.aws.found.io/app/kibana#/discover/Steve-Slow-Train-Analysis-(2080s-and-2083s)?_g=(refreshInterval:(display:Off,pause:!f,section:0,value:0),time:(from:'2017-12-28T05:34:47-0700',mode:absolute,to:'2017-12-28T08:20:23-0700'))&amp;_a=(columns:!('Message%20ID',Summary),filters:!(),index:'emp_*',interval:auto,query:(query_string:(analyze_wildcard:!t,query:'%22rtdc.l.rtdc.4062%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8" t="s">
        <v>749</v>
      </c>
      <c r="B38" s="224">
        <v>4061</v>
      </c>
      <c r="C38" s="226" t="s">
        <v>192</v>
      </c>
      <c r="D38" s="226" t="s">
        <v>928</v>
      </c>
      <c r="E38" s="225">
        <v>43097.31726851852</v>
      </c>
      <c r="F38" s="225">
        <v>43097.321250000001</v>
      </c>
      <c r="G38" s="224">
        <v>53</v>
      </c>
      <c r="H38" s="226" t="s">
        <v>499</v>
      </c>
      <c r="I38" s="225">
        <v>43097.346238425926</v>
      </c>
      <c r="J38" s="224">
        <v>0</v>
      </c>
      <c r="K38" s="236" t="str">
        <f t="shared" si="0"/>
        <v>4061/4062</v>
      </c>
      <c r="L38" s="244" t="str">
        <f>VLOOKUP(A38,'Trips&amp;Operators'!$C$1:$G$99911,5,FALSE)</f>
        <v>YORK EDGAR</v>
      </c>
      <c r="M38" s="223">
        <f t="shared" si="1"/>
        <v>2.4988425924675539E-2</v>
      </c>
      <c r="N38" s="224">
        <f t="shared" si="2"/>
        <v>35.983333331532776</v>
      </c>
      <c r="O38" s="224"/>
      <c r="P38" s="224"/>
      <c r="Q38" s="227"/>
      <c r="R38" s="241"/>
      <c r="S38" s="248">
        <f t="shared" si="3"/>
        <v>1</v>
      </c>
      <c r="T38" s="241" t="str">
        <f t="shared" si="4"/>
        <v>Southbound</v>
      </c>
      <c r="U38" s="24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7" t="str">
        <f t="shared" si="5"/>
        <v>https://d0f6bd738d7f1b3e5a7ca70fe4ff75f0.us-east-1.aws.found.io/app/kibana#/discover/Steve-Slow-Train-Analysis-(2080s-and-2083s)?_g=(refreshInterval:(display:Off,pause:!f,section:0,value:0),time:(from:'2017-12-28T06:36:52-0700',mode:absolute,to:'2017-12-28T09:18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8" s="246" t="str">
        <f>IF(AA38&lt;VLOOKUP(AG38,Variables!$AC$3:$AD$8,2,FALSE),"Y","N")</f>
        <v>N</v>
      </c>
      <c r="X38" s="246">
        <f t="shared" si="6"/>
        <v>1</v>
      </c>
      <c r="Y38" s="246">
        <f t="shared" si="7"/>
        <v>23.2973</v>
      </c>
      <c r="Z38" s="246">
        <f t="shared" si="8"/>
        <v>1.49E-2</v>
      </c>
      <c r="AA38" s="246">
        <f t="shared" si="9"/>
        <v>23.282399999999999</v>
      </c>
      <c r="AB38" s="232" t="e">
        <f>VLOOKUP(A38,Enforcements!$C$7:$K$9,8,0)</f>
        <v>#N/A</v>
      </c>
      <c r="AC38" s="231" t="e">
        <f>VLOOKUP(A38,Enforcements!$C$7:$E$9,3,0)</f>
        <v>#N/A</v>
      </c>
      <c r="AD38" s="242">
        <f t="shared" si="10"/>
        <v>126</v>
      </c>
      <c r="AE38" s="234" t="str">
        <f t="shared" si="11"/>
        <v>aws s3 cp s3://rtdc.mdm.uploadarchive.raw/RTDC4061/ "%USERPROFILE%\AppData\Local\Temp\OnboardLogs"\RTDC4061\2017-12-28 --exclude "*" --recursive --include "*20171228*" &amp; "%USERPROFILE%\Documents\GitHub\mrs-test-scripts\Headless Mode &amp; Sideloading\WalkAndUnGZ.bat" "%USERPROFILE%\AppData\Local\Temp\OnboardLogs"\RTDC4061\2017-12-28 &amp; aws s3 cp s3://rtdc.mdm.uploadarchive.raw/RTDC4061/ "%USERPROFILE%\AppData\Local\Temp\OnboardLogs"\RTDC4061\2017-12-29 --exclude "*" --recursive --include "*20171229*" &amp; "%USERPROFILE%\Documents\GitHub\mrs-test-scripts\Headless Mode &amp; Sideloading\WalkAndUnGZ.bat" "%USERPROFILE%\AppData\Local\Temp\OnboardLogs"\RTDC4061\2017-12-29</v>
      </c>
      <c r="AF38" s="233" t="str">
        <f t="shared" si="12"/>
        <v>"C:\Program Files (x86)\AstroGrep\AstroGrep.exe" /e /r /s /spath="%USERPROFILE%\AppData\Local\Temp\OnboardLogs" /stypes="app*4061*201712281*" /stext=" 15:.+?(?&gt;(PRM\|1\|D)|(KPR)|(KDP)|(train st[a-z]+ moving)|(SYSTEM_STATE:s[a-z]+ state changed)|(Enforcement Action)|(\[TIMEOUT)|(parse_ebi_status: Penalty)|(\|GPPS))"</v>
      </c>
      <c r="AG38" s="243" t="str">
        <f t="shared" si="13"/>
        <v>EC</v>
      </c>
      <c r="AH38" s="235" t="str">
        <f t="shared" si="19"/>
        <v>"%USERPROFILE%\Documents\GitHub\eaglep3\Utilities\RefineRTDCRunTimes.py" --tripid 126-28 --locoid 4061 --swversion DE.1.0.9.0 --startMP 204:232973 --initTime 2017-12-28T07:36:52 --startdatetime 2017-12-28T07:42:36 --delay 53 --endMP 204:149 --enddatetime 2017-12-28T08:18:35 --enforcementcount 0 &gt;&gt;%USERPROFILE%\Documents\GitHub\eaglep3-reporting\EC\2017-12-28-refined-times.txt</v>
      </c>
      <c r="AI38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{"issue":{"subject":"","project_id":79,"tracker_id":40,"status_id":1,"priority_id":2,"assigned_to_id":338,"start_date":"2017-12-28","description":"","custom_fields":[{"id":1,"name":"Subdivision","value":"EC"},{"id":4,"name":"Milepost","value":"0.0149"},{"id":17,"name":"Train ID","value":"126-28"},{"id":16,"name":"Locomotive ID","value":"4061"},{"id":130,"name":"Impact","value":""},{"id":150,"name":"Time of Event (Mountain Time)","value":"08:18:35"},{"id":151,"name":"Denver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2"/>
      <c r="AK38" s="230"/>
      <c r="AL38" s="230"/>
      <c r="AM38" s="239" t="str">
        <f t="shared" si="21"/>
        <v>start /low /b %USERPROFILE%\Documents\GitHub\eaglep3\Utilities\DownloadLogsFromS3.py --loco 4061 --day 2017-12-28</v>
      </c>
      <c r="AN38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15:18:35"},{"id":29,"name":"Sharepoint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29" t="str">
        <f t="shared" si="23"/>
        <v>https://d0f6bd738d7f1b3e5a7ca70fe4ff75f0.us-east-1.aws.found.io/app/kibana#/discover/Steve-Slow-Train-Analysis-(2080s-and-2083s)?_g=(refreshInterval:(display:Off,pause:!f,section:0,value:0),time:(from:'2017-12-28T06:36:52-0700',mode:absolute,to:'2017-12-28T09:18:35-0700'))&amp;_a=(columns:!('Message%20ID',Summary),filters:!(),index:'emp_*',interval:auto,query:(query_string:(analyze_wildcard:!t,query:'%22rtdc.l.rtdc.4061%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8" t="s">
        <v>742</v>
      </c>
      <c r="B39" s="224">
        <v>4004</v>
      </c>
      <c r="C39" s="226" t="s">
        <v>192</v>
      </c>
      <c r="D39" s="226" t="s">
        <v>504</v>
      </c>
      <c r="E39" s="225">
        <v>43097.285243055558</v>
      </c>
      <c r="F39" s="225">
        <v>43097.291851851849</v>
      </c>
      <c r="G39" s="224">
        <v>57</v>
      </c>
      <c r="H39" s="226" t="s">
        <v>929</v>
      </c>
      <c r="I39" s="225">
        <v>43097.316180555557</v>
      </c>
      <c r="J39" s="224">
        <v>0</v>
      </c>
      <c r="K39" s="236" t="str">
        <f t="shared" si="0"/>
        <v>4003/4004</v>
      </c>
      <c r="L39" s="244" t="str">
        <f>VLOOKUP(A39,'Trips&amp;Operators'!$C$1:$G$99911,5,FALSE)</f>
        <v>YANAI IAN</v>
      </c>
      <c r="M39" s="223">
        <f t="shared" si="1"/>
        <v>2.4328703708306421E-2</v>
      </c>
      <c r="N39" s="224">
        <f t="shared" si="2"/>
        <v>35.033333339961246</v>
      </c>
      <c r="O39" s="224"/>
      <c r="P39" s="224"/>
      <c r="Q39" s="227"/>
      <c r="R39" s="241"/>
      <c r="S39" s="248">
        <f t="shared" si="3"/>
        <v>1</v>
      </c>
      <c r="T39" s="241" t="str">
        <f t="shared" si="4"/>
        <v>NorthBound</v>
      </c>
      <c r="U39" s="24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7" t="str">
        <f t="shared" si="5"/>
        <v>https://d0f6bd738d7f1b3e5a7ca70fe4ff75f0.us-east-1.aws.found.io/app/kibana#/discover/Steve-Slow-Train-Analysis-(2080s-and-2083s)?_g=(refreshInterval:(display:Off,pause:!f,section:0,value:0),time:(from:'2017-12-28T05:50:45-0700',mode:absolute,to:'2017-12-28T08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9" s="246" t="str">
        <f>IF(AA39&lt;VLOOKUP(AG39,Variables!$AC$3:$AD$8,2,FALSE),"Y","N")</f>
        <v>N</v>
      </c>
      <c r="X39" s="246">
        <f t="shared" si="6"/>
        <v>1</v>
      </c>
      <c r="Y39" s="246">
        <f t="shared" si="7"/>
        <v>5.5300000000000002E-2</v>
      </c>
      <c r="Z39" s="246">
        <f t="shared" si="8"/>
        <v>23.333100000000002</v>
      </c>
      <c r="AA39" s="246">
        <f t="shared" si="9"/>
        <v>23.277800000000003</v>
      </c>
      <c r="AB39" s="232" t="e">
        <f>VLOOKUP(A39,Enforcements!$C$7:$K$9,8,0)</f>
        <v>#N/A</v>
      </c>
      <c r="AC39" s="231" t="e">
        <f>VLOOKUP(A39,Enforcements!$C$7:$E$9,3,0)</f>
        <v>#N/A</v>
      </c>
      <c r="AD39" s="242">
        <f t="shared" si="10"/>
        <v>127</v>
      </c>
      <c r="AE39" s="234" t="str">
        <f t="shared" si="11"/>
        <v>aws s3 cp s3://rtdc.mdm.uploadarchive.raw/RTDC4004/ "%USERPROFILE%\AppData\Local\Temp\OnboardLogs"\RTDC4004\2017-12-28 --exclude "*" --recursive --include "*20171228*" &amp; "%USERPROFILE%\Documents\GitHub\mrs-test-scripts\Headless Mode &amp; Sideloading\WalkAndUnGZ.bat" "%USERPROFILE%\AppData\Local\Temp\OnboardLogs"\RTDC4004\2017-12-28 &amp; aws s3 cp s3://rtdc.mdm.uploadarchive.raw/RTDC4004/ "%USERPROFILE%\AppData\Local\Temp\OnboardLogs"\RTDC4004\2017-12-29 --exclude "*" --recursive --include "*20171229*" &amp; "%USERPROFILE%\Documents\GitHub\mrs-test-scripts\Headless Mode &amp; Sideloading\WalkAndUnGZ.bat" "%USERPROFILE%\AppData\Local\Temp\OnboardLogs"\RTDC4004\2017-12-29</v>
      </c>
      <c r="AF39" s="233" t="str">
        <f t="shared" si="12"/>
        <v>"C:\Program Files (x86)\AstroGrep\AstroGrep.exe" /e /r /s /spath="%USERPROFILE%\AppData\Local\Temp\OnboardLogs" /stypes="app*4004*201712281*" /stext=" 14:.+?(?&gt;(PRM\|1\|D)|(KPR)|(KDP)|(train st[a-z]+ moving)|(SYSTEM_STATE:s[a-z]+ state changed)|(Enforcement Action)|(\[TIMEOUT)|(parse_ebi_status: Penalty)|(\|GPPS))"</v>
      </c>
      <c r="AG39" s="243" t="str">
        <f t="shared" si="13"/>
        <v>EC</v>
      </c>
      <c r="AH39" s="235" t="str">
        <f t="shared" si="19"/>
        <v>"%USERPROFILE%\Documents\GitHub\eaglep3\Utilities\RefineRTDCRunTimes.py" --tripid 127-28 --locoid 4004 --swversion DE.1.0.9.0 --startMP 204:553 --initTime 2017-12-28T06:50:45 --startdatetime 2017-12-28T07:00:16 --delay 57 --endMP 204:233331 --enddatetime 2017-12-28T07:35:18 --enforcementcount 0 &gt;&gt;%USERPROFILE%\Documents\GitHub\eaglep3-reporting\EC\2017-12-28-refined-times.txt</v>
      </c>
      <c r="AI39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{"issue":{"subject":"","project_id":79,"tracker_id":40,"status_id":1,"priority_id":2,"assigned_to_id":338,"start_date":"2017-12-28","description":"","custom_fields":[{"id":1,"name":"Subdivision","value":"EC"},{"id":4,"name":"Milepost","value":"23.3331"},{"id":17,"name":"Train ID","value":"127-28"},{"id":16,"name":"Locomotive ID","value":"4004"},{"id":130,"name":"Impact","value":""},{"id":150,"name":"Time of Event (Mountain Time)","value":"07:35:18"},{"id":151,"name":"Denver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2"/>
      <c r="AK39" s="230"/>
      <c r="AL39" s="230"/>
      <c r="AM39" s="239" t="str">
        <f t="shared" si="21"/>
        <v>start /low /b %USERPROFILE%\Documents\GitHub\eaglep3\Utilities\DownloadLogsFromS3.py --loco 4004 --day 2017-12-28</v>
      </c>
      <c r="AN39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14:35:18"},{"id":29,"name":"Sharepoint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29" t="str">
        <f t="shared" si="23"/>
        <v>https://d0f6bd738d7f1b3e5a7ca70fe4ff75f0.us-east-1.aws.found.io/app/kibana#/discover/Steve-Slow-Train-Analysis-(2080s-and-2083s)?_g=(refreshInterval:(display:Off,pause:!f,section:0,value:0),time:(from:'2017-12-28T05:50:45-0700',mode:absolute,to:'2017-12-28T08:35:18-0700'))&amp;_a=(columns:!('Message%20ID',Summary),filters:!(),index:'emp_*',interval:auto,query:(query_string:(analyze_wildcard:!t,query:'%22rtdc.l.rtdc.4004%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8" t="s">
        <v>750</v>
      </c>
      <c r="B40" s="224">
        <v>4003</v>
      </c>
      <c r="C40" s="226" t="s">
        <v>192</v>
      </c>
      <c r="D40" s="226" t="s">
        <v>633</v>
      </c>
      <c r="E40" s="225">
        <v>43097.317361111112</v>
      </c>
      <c r="F40" s="225">
        <v>43097.331423611111</v>
      </c>
      <c r="G40" s="224">
        <v>52</v>
      </c>
      <c r="H40" s="226" t="s">
        <v>524</v>
      </c>
      <c r="I40" s="225">
        <v>43097.356921296298</v>
      </c>
      <c r="J40" s="224">
        <v>0</v>
      </c>
      <c r="K40" s="236" t="str">
        <f t="shared" si="0"/>
        <v>4003/4004</v>
      </c>
      <c r="L40" s="244" t="str">
        <f>VLOOKUP(A40,'Trips&amp;Operators'!$C$1:$G$99911,5,FALSE)</f>
        <v>YANAI IAN</v>
      </c>
      <c r="M40" s="223">
        <f t="shared" si="1"/>
        <v>2.5497685186564922E-2</v>
      </c>
      <c r="N40" s="224">
        <f t="shared" si="2"/>
        <v>36.716666668653488</v>
      </c>
      <c r="O40" s="224"/>
      <c r="P40" s="224"/>
      <c r="Q40" s="227"/>
      <c r="R40" s="241"/>
      <c r="S40" s="248">
        <f t="shared" si="3"/>
        <v>1</v>
      </c>
      <c r="T40" s="241" t="str">
        <f t="shared" si="4"/>
        <v>Southbound</v>
      </c>
      <c r="U40" s="24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7" t="str">
        <f t="shared" si="5"/>
        <v>https://d0f6bd738d7f1b3e5a7ca70fe4ff75f0.us-east-1.aws.found.io/app/kibana#/discover/Steve-Slow-Train-Analysis-(2080s-and-2083s)?_g=(refreshInterval:(display:Off,pause:!f,section:0,value:0),time:(from:'2017-12-28T06:37:00-0700',mode:absolute,to:'2017-12-28T09:33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0" s="246" t="str">
        <f>IF(AA40&lt;VLOOKUP(AG40,Variables!$AC$3:$AD$8,2,FALSE),"Y","N")</f>
        <v>N</v>
      </c>
      <c r="X40" s="246">
        <f t="shared" si="6"/>
        <v>1</v>
      </c>
      <c r="Y40" s="246">
        <f t="shared" si="7"/>
        <v>23.302499999999998</v>
      </c>
      <c r="Z40" s="246">
        <f t="shared" si="8"/>
        <v>2.0500000000000001E-2</v>
      </c>
      <c r="AA40" s="246">
        <f t="shared" si="9"/>
        <v>23.282</v>
      </c>
      <c r="AB40" s="232" t="e">
        <f>VLOOKUP(A40,Enforcements!$C$7:$K$9,8,0)</f>
        <v>#N/A</v>
      </c>
      <c r="AC40" s="231" t="e">
        <f>VLOOKUP(A40,Enforcements!$C$7:$E$9,3,0)</f>
        <v>#N/A</v>
      </c>
      <c r="AD40" s="242">
        <f t="shared" si="10"/>
        <v>128</v>
      </c>
      <c r="AE40" s="234" t="str">
        <f t="shared" si="11"/>
        <v>aws s3 cp s3://rtdc.mdm.uploadarchive.raw/RTDC4003/ "%USERPROFILE%\AppData\Local\Temp\OnboardLogs"\RTDC4003\2017-12-28 --exclude "*" --recursive --include "*20171228*" &amp; "%USERPROFILE%\Documents\GitHub\mrs-test-scripts\Headless Mode &amp; Sideloading\WalkAndUnGZ.bat" "%USERPROFILE%\AppData\Local\Temp\OnboardLogs"\RTDC4003\2017-12-28 &amp; aws s3 cp s3://rtdc.mdm.uploadarchive.raw/RTDC4003/ "%USERPROFILE%\AppData\Local\Temp\OnboardLogs"\RTDC4003\2017-12-29 --exclude "*" --recursive --include "*20171229*" &amp; "%USERPROFILE%\Documents\GitHub\mrs-test-scripts\Headless Mode &amp; Sideloading\WalkAndUnGZ.bat" "%USERPROFILE%\AppData\Local\Temp\OnboardLogs"\RTDC4003\2017-12-29</v>
      </c>
      <c r="AF40" s="233" t="str">
        <f t="shared" si="12"/>
        <v>"C:\Program Files (x86)\AstroGrep\AstroGrep.exe" /e /r /s /spath="%USERPROFILE%\AppData\Local\Temp\OnboardLogs" /stypes="app*4003*201712281*" /stext=" 15:.+?(?&gt;(PRM\|1\|D)|(KPR)|(KDP)|(train st[a-z]+ moving)|(SYSTEM_STATE:s[a-z]+ state changed)|(Enforcement Action)|(\[TIMEOUT)|(parse_ebi_status: Penalty)|(\|GPPS))"</v>
      </c>
      <c r="AG40" s="243" t="str">
        <f t="shared" si="13"/>
        <v>EC</v>
      </c>
      <c r="AH40" s="235" t="str">
        <f t="shared" si="19"/>
        <v>"%USERPROFILE%\Documents\GitHub\eaglep3\Utilities\RefineRTDCRunTimes.py" --tripid 128-28 --locoid 4003 --swversion DE.1.0.9.0 --startMP 204:233025 --initTime 2017-12-28T07:37:00 --startdatetime 2017-12-28T07:57:15 --delay 52 --endMP 204:205 --enddatetime 2017-12-28T08:33:58 --enforcementcount 0 &gt;&gt;%USERPROFILE%\Documents\GitHub\eaglep3-reporting\EC\2017-12-28-refined-times.txt</v>
      </c>
      <c r="AI40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{"issue":{"subject":"","project_id":79,"tracker_id":40,"status_id":1,"priority_id":2,"assigned_to_id":338,"start_date":"2017-12-28","description":"","custom_fields":[{"id":1,"name":"Subdivision","value":"EC"},{"id":4,"name":"Milepost","value":"0.0205"},{"id":17,"name":"Train ID","value":"128-28"},{"id":16,"name":"Locomotive ID","value":"4003"},{"id":130,"name":"Impact","value":""},{"id":150,"name":"Time of Event (Mountain Time)","value":"08:33:58"},{"id":151,"name":"Denver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2"/>
      <c r="AK40" s="230"/>
      <c r="AL40" s="230"/>
      <c r="AM40" s="239" t="str">
        <f t="shared" si="21"/>
        <v>start /low /b %USERPROFILE%\Documents\GitHub\eaglep3\Utilities\DownloadLogsFromS3.py --loco 4003 --day 2017-12-28</v>
      </c>
      <c r="AN40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15:33:58"},{"id":29,"name":"Sharepoint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29" t="str">
        <f t="shared" si="23"/>
        <v>https://d0f6bd738d7f1b3e5a7ca70fe4ff75f0.us-east-1.aws.found.io/app/kibana#/discover/Steve-Slow-Train-Analysis-(2080s-and-2083s)?_g=(refreshInterval:(display:Off,pause:!f,section:0,value:0),time:(from:'2017-12-28T06:37:00-0700',mode:absolute,to:'2017-12-28T09:33:58-0700'))&amp;_a=(columns:!('Message%20ID',Summary),filters:!(),index:'emp_*',interval:auto,query:(query_string:(analyze_wildcard:!t,query:'%22rtdc.l.rtdc.4003%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8" t="s">
        <v>745</v>
      </c>
      <c r="B41" s="224">
        <v>4042</v>
      </c>
      <c r="C41" s="226" t="s">
        <v>192</v>
      </c>
      <c r="D41" s="226" t="s">
        <v>469</v>
      </c>
      <c r="E41" s="225">
        <v>43097.29787037037</v>
      </c>
      <c r="F41" s="225">
        <v>43097.302314814813</v>
      </c>
      <c r="G41" s="224">
        <v>45</v>
      </c>
      <c r="H41" s="226" t="s">
        <v>930</v>
      </c>
      <c r="I41" s="225">
        <v>43097.327766203707</v>
      </c>
      <c r="J41" s="224">
        <v>0</v>
      </c>
      <c r="K41" s="236" t="str">
        <f t="shared" si="0"/>
        <v>4041/4042</v>
      </c>
      <c r="L41" s="244" t="str">
        <f>VLOOKUP(A41,'Trips&amp;Operators'!$C$1:$G$99911,5,FALSE)</f>
        <v>MAELZER KURT</v>
      </c>
      <c r="M41" s="223">
        <f t="shared" si="1"/>
        <v>2.5451388893998228E-2</v>
      </c>
      <c r="N41" s="224">
        <f t="shared" si="2"/>
        <v>36.650000007357448</v>
      </c>
      <c r="O41" s="224"/>
      <c r="P41" s="224"/>
      <c r="Q41" s="227"/>
      <c r="R41" s="241"/>
      <c r="S41" s="248">
        <f t="shared" si="3"/>
        <v>1</v>
      </c>
      <c r="T41" s="241" t="str">
        <f t="shared" si="4"/>
        <v>NorthBound</v>
      </c>
      <c r="U41" s="24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7" t="str">
        <f t="shared" si="5"/>
        <v>https://d0f6bd738d7f1b3e5a7ca70fe4ff75f0.us-east-1.aws.found.io/app/kibana#/discover/Steve-Slow-Train-Analysis-(2080s-and-2083s)?_g=(refreshInterval:(display:Off,pause:!f,section:0,value:0),time:(from:'2017-12-28T06:08:56-0700',mode:absolute,to:'2017-12-28T08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1" s="246" t="str">
        <f>IF(AA41&lt;VLOOKUP(AG41,Variables!$AC$3:$AD$8,2,FALSE),"Y","N")</f>
        <v>N</v>
      </c>
      <c r="X41" s="246">
        <f t="shared" si="6"/>
        <v>1</v>
      </c>
      <c r="Y41" s="246">
        <f t="shared" si="7"/>
        <v>5.0799999999999998E-2</v>
      </c>
      <c r="Z41" s="246">
        <f t="shared" si="8"/>
        <v>23.3309</v>
      </c>
      <c r="AA41" s="246">
        <f t="shared" si="9"/>
        <v>23.280100000000001</v>
      </c>
      <c r="AB41" s="232" t="e">
        <f>VLOOKUP(A41,Enforcements!$C$7:$K$9,8,0)</f>
        <v>#N/A</v>
      </c>
      <c r="AC41" s="231" t="e">
        <f>VLOOKUP(A41,Enforcements!$C$7:$E$9,3,0)</f>
        <v>#N/A</v>
      </c>
      <c r="AD41" s="242">
        <f t="shared" si="10"/>
        <v>129</v>
      </c>
      <c r="AE41" s="234" t="str">
        <f t="shared" si="11"/>
        <v>aws s3 cp s3://rtdc.mdm.uploadarchive.raw/RTDC4042/ "%USERPROFILE%\AppData\Local\Temp\OnboardLogs"\RTDC4042\2017-12-28 --exclude "*" --recursive --include "*20171228*" &amp; "%USERPROFILE%\Documents\GitHub\mrs-test-scripts\Headless Mode &amp; Sideloading\WalkAndUnGZ.bat" "%USERPROFILE%\AppData\Local\Temp\OnboardLogs"\RTDC4042\2017-12-28 &amp; aws s3 cp s3://rtdc.mdm.uploadarchive.raw/RTDC4042/ "%USERPROFILE%\AppData\Local\Temp\OnboardLogs"\RTDC4042\2017-12-29 --exclude "*" --recursive --include "*20171229*" &amp; "%USERPROFILE%\Documents\GitHub\mrs-test-scripts\Headless Mode &amp; Sideloading\WalkAndUnGZ.bat" "%USERPROFILE%\AppData\Local\Temp\OnboardLogs"\RTDC4042\2017-12-29</v>
      </c>
      <c r="AF41" s="233" t="str">
        <f t="shared" si="12"/>
        <v>"C:\Program Files (x86)\AstroGrep\AstroGrep.exe" /e /r /s /spath="%USERPROFILE%\AppData\Local\Temp\OnboardLogs" /stypes="app*4042*201712281*" /stext=" 14:.+?(?&gt;(PRM\|1\|D)|(KPR)|(KDP)|(train st[a-z]+ moving)|(SYSTEM_STATE:s[a-z]+ state changed)|(Enforcement Action)|(\[TIMEOUT)|(parse_ebi_status: Penalty)|(\|GPPS))"</v>
      </c>
      <c r="AG41" s="243" t="str">
        <f t="shared" si="13"/>
        <v>EC</v>
      </c>
      <c r="AH41" s="235" t="str">
        <f t="shared" si="19"/>
        <v>"%USERPROFILE%\Documents\GitHub\eaglep3\Utilities\RefineRTDCRunTimes.py" --tripid 129-28 --locoid 4042 --swversion DE.1.0.9.0 --startMP 204:508 --initTime 2017-12-28T07:08:56 --startdatetime 2017-12-28T07:15:20 --delay 45 --endMP 204:233309 --enddatetime 2017-12-28T07:51:59 --enforcementcount 0 &gt;&gt;%USERPROFILE%\Documents\GitHub\eaglep3-reporting\EC\2017-12-28-refined-times.txt</v>
      </c>
      <c r="AI41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{"issue":{"subject":"","project_id":79,"tracker_id":40,"status_id":1,"priority_id":2,"assigned_to_id":338,"start_date":"2017-12-28","description":"","custom_fields":[{"id":1,"name":"Subdivision","value":"EC"},{"id":4,"name":"Milepost","value":"23.3309"},{"id":17,"name":"Train ID","value":"129-28"},{"id":16,"name":"Locomotive ID","value":"4042"},{"id":130,"name":"Impact","value":""},{"id":150,"name":"Time of Event (Mountain Time)","value":"07:51:59"},{"id":151,"name":"Denver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2"/>
      <c r="AK41" s="230"/>
      <c r="AL41" s="230"/>
      <c r="AM41" s="239" t="str">
        <f t="shared" si="21"/>
        <v>start /low /b %USERPROFILE%\Documents\GitHub\eaglep3\Utilities\DownloadLogsFromS3.py --loco 4042 --day 2017-12-28</v>
      </c>
      <c r="AN41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14:51:59"},{"id":29,"name":"Sharepoint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29" t="str">
        <f t="shared" si="23"/>
        <v>https://d0f6bd738d7f1b3e5a7ca70fe4ff75f0.us-east-1.aws.found.io/app/kibana#/discover/Steve-Slow-Train-Analysis-(2080s-and-2083s)?_g=(refreshInterval:(display:Off,pause:!f,section:0,value:0),time:(from:'2017-12-28T06:08:56-0700',mode:absolute,to:'2017-12-28T08:51:59-0700'))&amp;_a=(columns:!('Message%20ID',Summary),filters:!(),index:'emp_*',interval:auto,query:(query_string:(analyze_wildcard:!t,query:'%22rtdc.l.rtdc.4042%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8" t="s">
        <v>754</v>
      </c>
      <c r="B42" s="224">
        <v>4041</v>
      </c>
      <c r="C42" s="226" t="s">
        <v>192</v>
      </c>
      <c r="D42" s="226" t="s">
        <v>931</v>
      </c>
      <c r="E42" s="225">
        <v>43097.33320601852</v>
      </c>
      <c r="F42" s="225">
        <v>43097.341874999998</v>
      </c>
      <c r="G42" s="224">
        <v>44</v>
      </c>
      <c r="H42" s="226" t="s">
        <v>590</v>
      </c>
      <c r="I42" s="225">
        <v>43097.368298611109</v>
      </c>
      <c r="J42" s="224">
        <v>0</v>
      </c>
      <c r="K42" s="236" t="str">
        <f t="shared" si="0"/>
        <v>4041/4042</v>
      </c>
      <c r="L42" s="244" t="str">
        <f>VLOOKUP(A42,'Trips&amp;Operators'!$C$1:$G$99911,5,FALSE)</f>
        <v>MAELZER KURT</v>
      </c>
      <c r="M42" s="223">
        <f t="shared" si="1"/>
        <v>2.6423611110658385E-2</v>
      </c>
      <c r="N42" s="224">
        <f t="shared" si="2"/>
        <v>38.049999999348074</v>
      </c>
      <c r="O42" s="224"/>
      <c r="P42" s="224"/>
      <c r="Q42" s="227"/>
      <c r="R42" s="241"/>
      <c r="S42" s="248">
        <f t="shared" si="3"/>
        <v>1</v>
      </c>
      <c r="T42" s="241" t="str">
        <f t="shared" si="4"/>
        <v>Southbound</v>
      </c>
      <c r="U42" s="24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7" t="str">
        <f t="shared" si="5"/>
        <v>https://d0f6bd738d7f1b3e5a7ca70fe4ff75f0.us-east-1.aws.found.io/app/kibana#/discover/Steve-Slow-Train-Analysis-(2080s-and-2083s)?_g=(refreshInterval:(display:Off,pause:!f,section:0,value:0),time:(from:'2017-12-28T06:59:49-0700',mode:absolute,to:'2017-12-28T09:50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2" s="246" t="str">
        <f>IF(AA42&lt;VLOOKUP(AG42,Variables!$AC$3:$AD$8,2,FALSE),"Y","N")</f>
        <v>N</v>
      </c>
      <c r="X42" s="246">
        <f t="shared" si="6"/>
        <v>1</v>
      </c>
      <c r="Y42" s="246">
        <f t="shared" si="7"/>
        <v>23.2988</v>
      </c>
      <c r="Z42" s="246">
        <f t="shared" si="8"/>
        <v>1.78E-2</v>
      </c>
      <c r="AA42" s="246">
        <f t="shared" si="9"/>
        <v>23.280999999999999</v>
      </c>
      <c r="AB42" s="232" t="e">
        <f>VLOOKUP(A42,Enforcements!$C$7:$K$9,8,0)</f>
        <v>#N/A</v>
      </c>
      <c r="AC42" s="231" t="e">
        <f>VLOOKUP(A42,Enforcements!$C$7:$E$9,3,0)</f>
        <v>#N/A</v>
      </c>
      <c r="AD42" s="242">
        <f t="shared" si="10"/>
        <v>130</v>
      </c>
      <c r="AE42" s="234" t="str">
        <f t="shared" si="11"/>
        <v>aws s3 cp s3://rtdc.mdm.uploadarchive.raw/RTDC4041/ "%USERPROFILE%\AppData\Local\Temp\OnboardLogs"\RTDC4041\2017-12-28 --exclude "*" --recursive --include "*20171228*" &amp; "%USERPROFILE%\Documents\GitHub\mrs-test-scripts\Headless Mode &amp; Sideloading\WalkAndUnGZ.bat" "%USERPROFILE%\AppData\Local\Temp\OnboardLogs"\RTDC4041\2017-12-28 &amp; aws s3 cp s3://rtdc.mdm.uploadarchive.raw/RTDC4041/ "%USERPROFILE%\AppData\Local\Temp\OnboardLogs"\RTDC4041\2017-12-29 --exclude "*" --recursive --include "*20171229*" &amp; "%USERPROFILE%\Documents\GitHub\mrs-test-scripts\Headless Mode &amp; Sideloading\WalkAndUnGZ.bat" "%USERPROFILE%\AppData\Local\Temp\OnboardLogs"\RTDC4041\2017-12-29</v>
      </c>
      <c r="AF42" s="233" t="str">
        <f t="shared" si="12"/>
        <v>"C:\Program Files (x86)\AstroGrep\AstroGrep.exe" /e /r /s /spath="%USERPROFILE%\AppData\Local\Temp\OnboardLogs" /stypes="app*4041*201712281*" /stext=" 15:.+?(?&gt;(PRM\|1\|D)|(KPR)|(KDP)|(train st[a-z]+ moving)|(SYSTEM_STATE:s[a-z]+ state changed)|(Enforcement Action)|(\[TIMEOUT)|(parse_ebi_status: Penalty)|(\|GPPS))"</v>
      </c>
      <c r="AG42" s="243" t="str">
        <f t="shared" si="13"/>
        <v>EC</v>
      </c>
      <c r="AH42" s="235" t="str">
        <f t="shared" si="19"/>
        <v>"%USERPROFILE%\Documents\GitHub\eaglep3\Utilities\RefineRTDCRunTimes.py" --tripid 130-28 --locoid 4041 --swversion DE.1.0.9.0 --startMP 204:232988 --initTime 2017-12-28T07:59:49 --startdatetime 2017-12-28T08:12:18 --delay 44 --endMP 204:178 --enddatetime 2017-12-28T08:50:21 --enforcementcount 0 &gt;&gt;%USERPROFILE%\Documents\GitHub\eaglep3-reporting\EC\2017-12-28-refined-times.txt</v>
      </c>
      <c r="AI42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{"issue":{"subject":"","project_id":79,"tracker_id":40,"status_id":1,"priority_id":2,"assigned_to_id":338,"start_date":"2017-12-28","description":"","custom_fields":[{"id":1,"name":"Subdivision","value":"EC"},{"id":4,"name":"Milepost","value":"0.0178"},{"id":17,"name":"Train ID","value":"130-28"},{"id":16,"name":"Locomotive ID","value":"4041"},{"id":130,"name":"Impact","value":""},{"id":150,"name":"Time of Event (Mountain Time)","value":"08:50:21"},{"id":151,"name":"Denver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2"/>
      <c r="AK42" s="230"/>
      <c r="AL42" s="230"/>
      <c r="AM42" s="239" t="str">
        <f t="shared" si="21"/>
        <v>start /low /b %USERPROFILE%\Documents\GitHub\eaglep3\Utilities\DownloadLogsFromS3.py --loco 4041 --day 2017-12-28</v>
      </c>
      <c r="AN42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15:50:21"},{"id":29,"name":"Sharepoint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29" t="str">
        <f t="shared" si="23"/>
        <v>https://d0f6bd738d7f1b3e5a7ca70fe4ff75f0.us-east-1.aws.found.io/app/kibana#/discover/Steve-Slow-Train-Analysis-(2080s-and-2083s)?_g=(refreshInterval:(display:Off,pause:!f,section:0,value:0),time:(from:'2017-12-28T06:59:49-0700',mode:absolute,to:'2017-12-28T09:50:21-0700'))&amp;_a=(columns:!('Message%20ID',Summary),filters:!(),index:'emp_*',interval:auto,query:(query_string:(analyze_wildcard:!t,query:'%22rtdc.l.rtdc.4041%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8" t="s">
        <v>747</v>
      </c>
      <c r="B43" s="224">
        <v>4064</v>
      </c>
      <c r="C43" s="226" t="s">
        <v>192</v>
      </c>
      <c r="D43" s="226" t="s">
        <v>932</v>
      </c>
      <c r="E43" s="225">
        <v>43097.30777777778</v>
      </c>
      <c r="F43" s="225">
        <v>43097.312708333331</v>
      </c>
      <c r="G43" s="224">
        <v>53</v>
      </c>
      <c r="H43" s="226" t="s">
        <v>479</v>
      </c>
      <c r="I43" s="225">
        <v>43097.337858796294</v>
      </c>
      <c r="J43" s="224">
        <v>0</v>
      </c>
      <c r="K43" s="236" t="str">
        <f t="shared" si="0"/>
        <v>4063/4064</v>
      </c>
      <c r="L43" s="244" t="str">
        <f>VLOOKUP(A43,'Trips&amp;Operators'!$C$1:$G$99911,5,FALSE)</f>
        <v>DAVIDSON DAVID</v>
      </c>
      <c r="M43" s="223">
        <f t="shared" si="1"/>
        <v>2.5150462963210884E-2</v>
      </c>
      <c r="N43" s="224">
        <f t="shared" si="2"/>
        <v>36.216666667023674</v>
      </c>
      <c r="O43" s="224"/>
      <c r="P43" s="224"/>
      <c r="Q43" s="227"/>
      <c r="R43" s="241"/>
      <c r="S43" s="248">
        <f t="shared" si="3"/>
        <v>1</v>
      </c>
      <c r="T43" s="241" t="str">
        <f t="shared" si="4"/>
        <v>NorthBound</v>
      </c>
      <c r="U43" s="24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7" t="str">
        <f t="shared" si="5"/>
        <v>https://d0f6bd738d7f1b3e5a7ca70fe4ff75f0.us-east-1.aws.found.io/app/kibana#/discover/Steve-Slow-Train-Analysis-(2080s-and-2083s)?_g=(refreshInterval:(display:Off,pause:!f,section:0,value:0),time:(from:'2017-12-28T06:23:12-0700',mode:absolute,to:'2017-12-28T09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3" s="246" t="str">
        <f>IF(AA43&lt;VLOOKUP(AG43,Variables!$AC$3:$AD$8,2,FALSE),"Y","N")</f>
        <v>N</v>
      </c>
      <c r="X43" s="246">
        <f t="shared" si="6"/>
        <v>1</v>
      </c>
      <c r="Y43" s="246">
        <f t="shared" si="7"/>
        <v>5.2200000000000003E-2</v>
      </c>
      <c r="Z43" s="246">
        <f t="shared" si="8"/>
        <v>23.3293</v>
      </c>
      <c r="AA43" s="246">
        <f t="shared" si="9"/>
        <v>23.277100000000001</v>
      </c>
      <c r="AB43" s="232" t="e">
        <f>VLOOKUP(A43,Enforcements!$C$7:$K$9,8,0)</f>
        <v>#N/A</v>
      </c>
      <c r="AC43" s="231" t="e">
        <f>VLOOKUP(A43,Enforcements!$C$7:$E$9,3,0)</f>
        <v>#N/A</v>
      </c>
      <c r="AD43" s="242">
        <f t="shared" si="10"/>
        <v>131</v>
      </c>
      <c r="AE43" s="234" t="str">
        <f t="shared" si="11"/>
        <v>aws s3 cp s3://rtdc.mdm.uploadarchive.raw/RTDC4064/ "%USERPROFILE%\AppData\Local\Temp\OnboardLogs"\RTDC4064\2017-12-28 --exclude "*" --recursive --include "*20171228*" &amp; "%USERPROFILE%\Documents\GitHub\mrs-test-scripts\Headless Mode &amp; Sideloading\WalkAndUnGZ.bat" "%USERPROFILE%\AppData\Local\Temp\OnboardLogs"\RTDC4064\2017-12-28 &amp; aws s3 cp s3://rtdc.mdm.uploadarchive.raw/RTDC4064/ "%USERPROFILE%\AppData\Local\Temp\OnboardLogs"\RTDC4064\2017-12-29 --exclude "*" --recursive --include "*20171229*" &amp; "%USERPROFILE%\Documents\GitHub\mrs-test-scripts\Headless Mode &amp; Sideloading\WalkAndUnGZ.bat" "%USERPROFILE%\AppData\Local\Temp\OnboardLogs"\RTDC4064\2017-12-29</v>
      </c>
      <c r="AF43" s="233" t="str">
        <f t="shared" si="12"/>
        <v>"C:\Program Files (x86)\AstroGrep\AstroGrep.exe" /e /r /s /spath="%USERPROFILE%\AppData\Local\Temp\OnboardLogs" /stypes="app*4064*201712281*" /stext=" 15:.+?(?&gt;(PRM\|1\|D)|(KPR)|(KDP)|(train st[a-z]+ moving)|(SYSTEM_STATE:s[a-z]+ state changed)|(Enforcement Action)|(\[TIMEOUT)|(parse_ebi_status: Penalty)|(\|GPPS))"</v>
      </c>
      <c r="AG43" s="243" t="str">
        <f t="shared" si="13"/>
        <v>EC</v>
      </c>
      <c r="AH43" s="235" t="str">
        <f t="shared" si="19"/>
        <v>"%USERPROFILE%\Documents\GitHub\eaglep3\Utilities\RefineRTDCRunTimes.py" --tripid 131-28 --locoid 4064 --swversion DE.1.0.9.0 --startMP 204:522 --initTime 2017-12-28T07:23:12 --startdatetime 2017-12-28T07:30:18 --delay 53 --endMP 204:233293 --enddatetime 2017-12-28T08:06:31 --enforcementcount 0 &gt;&gt;%USERPROFILE%\Documents\GitHub\eaglep3-reporting\EC\2017-12-28-refined-times.txt</v>
      </c>
      <c r="AI43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{"issue":{"subject":"","project_id":79,"tracker_id":40,"status_id":1,"priority_id":2,"assigned_to_id":338,"start_date":"2017-12-28","description":"","custom_fields":[{"id":1,"name":"Subdivision","value":"EC"},{"id":4,"name":"Milepost","value":"23.3293"},{"id":17,"name":"Train ID","value":"131-28"},{"id":16,"name":"Locomotive ID","value":"4064"},{"id":130,"name":"Impact","value":""},{"id":150,"name":"Time of Event (Mountain Time)","value":"08:06:31"},{"id":151,"name":"Denver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2"/>
      <c r="AK43" s="230"/>
      <c r="AL43" s="230"/>
      <c r="AM43" s="239" t="str">
        <f t="shared" si="21"/>
        <v>start /low /b %USERPROFILE%\Documents\GitHub\eaglep3\Utilities\DownloadLogsFromS3.py --loco 4064 --day 2017-12-28</v>
      </c>
      <c r="AN43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15:06:31"},{"id":29,"name":"Sharepoint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29" t="str">
        <f t="shared" si="23"/>
        <v>https://d0f6bd738d7f1b3e5a7ca70fe4ff75f0.us-east-1.aws.found.io/app/kibana#/discover/Steve-Slow-Train-Analysis-(2080s-and-2083s)?_g=(refreshInterval:(display:Off,pause:!f,section:0,value:0),time:(from:'2017-12-28T06:23:12-0700',mode:absolute,to:'2017-12-28T09:06:31-0700'))&amp;_a=(columns:!('Message%20ID',Summary),filters:!(),index:'emp_*',interval:auto,query:(query_string:(analyze_wildcard:!t,query:'%22rtdc.l.rtdc.4064%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8" t="s">
        <v>756</v>
      </c>
      <c r="B44" s="224">
        <v>4063</v>
      </c>
      <c r="C44" s="226" t="s">
        <v>192</v>
      </c>
      <c r="D44" s="226" t="s">
        <v>640</v>
      </c>
      <c r="E44" s="225">
        <v>43097.339328703703</v>
      </c>
      <c r="F44" s="225">
        <v>43097.352349537039</v>
      </c>
      <c r="G44" s="224">
        <v>51</v>
      </c>
      <c r="H44" s="226" t="s">
        <v>634</v>
      </c>
      <c r="I44" s="225">
        <v>43097.378819444442</v>
      </c>
      <c r="J44" s="224">
        <v>0</v>
      </c>
      <c r="K44" s="236" t="str">
        <f t="shared" si="0"/>
        <v>4063/4064</v>
      </c>
      <c r="L44" s="244" t="str">
        <f>VLOOKUP(A44,'Trips&amp;Operators'!$C$1:$G$99911,5,FALSE)</f>
        <v>DAVIDSON DAVID</v>
      </c>
      <c r="M44" s="223">
        <f t="shared" si="1"/>
        <v>2.6469907403225079E-2</v>
      </c>
      <c r="N44" s="224">
        <f t="shared" si="2"/>
        <v>38.116666660644114</v>
      </c>
      <c r="O44" s="224"/>
      <c r="P44" s="224"/>
      <c r="Q44" s="227"/>
      <c r="R44" s="241"/>
      <c r="S44" s="248">
        <f t="shared" si="3"/>
        <v>1</v>
      </c>
      <c r="T44" s="241" t="str">
        <f t="shared" si="4"/>
        <v>Southbound</v>
      </c>
      <c r="U44" s="24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7" t="str">
        <f t="shared" si="5"/>
        <v>https://d0f6bd738d7f1b3e5a7ca70fe4ff75f0.us-east-1.aws.found.io/app/kibana#/discover/Steve-Slow-Train-Analysis-(2080s-and-2083s)?_g=(refreshInterval:(display:Off,pause:!f,section:0,value:0),time:(from:'2017-12-28T07:08:38-0700',mode:absolute,to:'2017-12-28T10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4" s="246" t="str">
        <f>IF(AA44&lt;VLOOKUP(AG44,Variables!$AC$3:$AD$8,2,FALSE),"Y","N")</f>
        <v>N</v>
      </c>
      <c r="X44" s="246">
        <f t="shared" si="6"/>
        <v>1</v>
      </c>
      <c r="Y44" s="246">
        <f t="shared" si="7"/>
        <v>23.297899999999998</v>
      </c>
      <c r="Z44" s="246">
        <f t="shared" si="8"/>
        <v>2.23E-2</v>
      </c>
      <c r="AA44" s="246">
        <f t="shared" si="9"/>
        <v>23.275599999999997</v>
      </c>
      <c r="AB44" s="232" t="e">
        <f>VLOOKUP(A44,Enforcements!$C$7:$K$9,8,0)</f>
        <v>#N/A</v>
      </c>
      <c r="AC44" s="231" t="e">
        <f>VLOOKUP(A44,Enforcements!$C$7:$E$9,3,0)</f>
        <v>#N/A</v>
      </c>
      <c r="AD44" s="242">
        <f t="shared" si="10"/>
        <v>132</v>
      </c>
      <c r="AE44" s="234" t="str">
        <f t="shared" si="11"/>
        <v>aws s3 cp s3://rtdc.mdm.uploadarchive.raw/RTDC4063/ "%USERPROFILE%\AppData\Local\Temp\OnboardLogs"\RTDC4063\2017-12-28 --exclude "*" --recursive --include "*20171228*" &amp; "%USERPROFILE%\Documents\GitHub\mrs-test-scripts\Headless Mode &amp; Sideloading\WalkAndUnGZ.bat" "%USERPROFILE%\AppData\Local\Temp\OnboardLogs"\RTDC4063\2017-12-28 &amp; aws s3 cp s3://rtdc.mdm.uploadarchive.raw/RTDC4063/ "%USERPROFILE%\AppData\Local\Temp\OnboardLogs"\RTDC4063\2017-12-29 --exclude "*" --recursive --include "*20171229*" &amp; "%USERPROFILE%\Documents\GitHub\mrs-test-scripts\Headless Mode &amp; Sideloading\WalkAndUnGZ.bat" "%USERPROFILE%\AppData\Local\Temp\OnboardLogs"\RTDC4063\2017-12-29</v>
      </c>
      <c r="AF44" s="233" t="str">
        <f t="shared" si="12"/>
        <v>"C:\Program Files (x86)\AstroGrep\AstroGrep.exe" /e /r /s /spath="%USERPROFILE%\AppData\Local\Temp\OnboardLogs" /stypes="app*4063*201712281*" /stext=" 16:.+?(?&gt;(PRM\|1\|D)|(KPR)|(KDP)|(train st[a-z]+ moving)|(SYSTEM_STATE:s[a-z]+ state changed)|(Enforcement Action)|(\[TIMEOUT)|(parse_ebi_status: Penalty)|(\|GPPS))"</v>
      </c>
      <c r="AG44" s="243" t="str">
        <f t="shared" si="13"/>
        <v>EC</v>
      </c>
      <c r="AH44" s="235" t="str">
        <f t="shared" si="19"/>
        <v>"%USERPROFILE%\Documents\GitHub\eaglep3\Utilities\RefineRTDCRunTimes.py" --tripid 132-28 --locoid 4063 --swversion DE.1.0.9.0 --startMP 204:232979 --initTime 2017-12-28T08:08:38 --startdatetime 2017-12-28T08:27:23 --delay 51 --endMP 204:223 --enddatetime 2017-12-28T09:05:30 --enforcementcount 0 &gt;&gt;%USERPROFILE%\Documents\GitHub\eaglep3-reporting\EC\2017-12-28-refined-times.txt</v>
      </c>
      <c r="AI44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{"issue":{"subject":"","project_id":79,"tracker_id":40,"status_id":1,"priority_id":2,"assigned_to_id":338,"start_date":"2017-12-28","description":"","custom_fields":[{"id":1,"name":"Subdivision","value":"EC"},{"id":4,"name":"Milepost","value":"0.0223"},{"id":17,"name":"Train ID","value":"132-28"},{"id":16,"name":"Locomotive ID","value":"4063"},{"id":130,"name":"Impact","value":""},{"id":150,"name":"Time of Event (Mountain Time)","value":"09:05:30"},{"id":151,"name":"Denver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2"/>
      <c r="AK44" s="230"/>
      <c r="AL44" s="230"/>
      <c r="AM44" s="239" t="str">
        <f t="shared" si="21"/>
        <v>start /low /b %USERPROFILE%\Documents\GitHub\eaglep3\Utilities\DownloadLogsFromS3.py --loco 4063 --day 2017-12-28</v>
      </c>
      <c r="AN44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16:05:30"},{"id":29,"name":"Sharepoint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29" t="str">
        <f t="shared" si="23"/>
        <v>https://d0f6bd738d7f1b3e5a7ca70fe4ff75f0.us-east-1.aws.found.io/app/kibana#/discover/Steve-Slow-Train-Analysis-(2080s-and-2083s)?_g=(refreshInterval:(display:Off,pause:!f,section:0,value:0),time:(from:'2017-12-28T07:08:38-0700',mode:absolute,to:'2017-12-28T10:05:30-0700'))&amp;_a=(columns:!('Message%20ID',Summary),filters:!(),index:'emp_*',interval:auto,query:(query_string:(analyze_wildcard:!t,query:'%22rtdc.l.rtdc.4063%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8" t="s">
        <v>751</v>
      </c>
      <c r="B45" s="224">
        <v>4014</v>
      </c>
      <c r="C45" s="226" t="s">
        <v>192</v>
      </c>
      <c r="D45" s="226" t="s">
        <v>469</v>
      </c>
      <c r="E45" s="225">
        <v>43097.317800925928</v>
      </c>
      <c r="F45" s="225">
        <v>43097.323078703703</v>
      </c>
      <c r="G45" s="224">
        <v>87</v>
      </c>
      <c r="H45" s="226" t="s">
        <v>933</v>
      </c>
      <c r="I45" s="225">
        <v>43097.349791666667</v>
      </c>
      <c r="J45" s="224">
        <v>0</v>
      </c>
      <c r="K45" s="236" t="str">
        <f t="shared" si="0"/>
        <v>4013/4014</v>
      </c>
      <c r="L45" s="244" t="str">
        <f>VLOOKUP(A45,'Trips&amp;Operators'!$C$1:$G$99911,5,FALSE)</f>
        <v>LONG FULLER</v>
      </c>
      <c r="M45" s="223">
        <f t="shared" si="1"/>
        <v>2.6712962964666076E-2</v>
      </c>
      <c r="N45" s="224">
        <f t="shared" ref="N45:N76" si="24">24*60*SUM($M45:$M45)</f>
        <v>38.466666669119149</v>
      </c>
      <c r="O45" s="224"/>
      <c r="P45" s="224"/>
      <c r="Q45" s="227"/>
      <c r="R45" s="241"/>
      <c r="S45" s="248">
        <f t="shared" ref="S45:S76" si="25">1/IF(AG45="EC",12,1)*SUM(U45:U45)</f>
        <v>1</v>
      </c>
      <c r="T45" s="241" t="str">
        <f t="shared" si="4"/>
        <v>NorthBound</v>
      </c>
      <c r="U45" s="24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7" t="str">
        <f t="shared" si="5"/>
        <v>https://d0f6bd738d7f1b3e5a7ca70fe4ff75f0.us-east-1.aws.found.io/app/kibana#/discover/Steve-Slow-Train-Analysis-(2080s-and-2083s)?_g=(refreshInterval:(display:Off,pause:!f,section:0,value:0),time:(from:'2017-12-28T06:37:38-0700',mode:absolute,to:'2017-12-28T09:23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5" s="246" t="str">
        <f>IF(AA45&lt;VLOOKUP(AG45,Variables!$AC$3:$AD$8,2,FALSE),"Y","N")</f>
        <v>N</v>
      </c>
      <c r="X45" s="246">
        <f t="shared" si="6"/>
        <v>1</v>
      </c>
      <c r="Y45" s="246">
        <f t="shared" si="7"/>
        <v>5.0799999999999998E-2</v>
      </c>
      <c r="Z45" s="246">
        <f t="shared" si="8"/>
        <v>23.328600000000002</v>
      </c>
      <c r="AA45" s="246">
        <f t="shared" si="9"/>
        <v>23.277800000000003</v>
      </c>
      <c r="AB45" s="232" t="e">
        <f>VLOOKUP(A45,Enforcements!$C$7:$K$9,8,0)</f>
        <v>#N/A</v>
      </c>
      <c r="AC45" s="231" t="e">
        <f>VLOOKUP(A45,Enforcements!$C$7:$E$9,3,0)</f>
        <v>#N/A</v>
      </c>
      <c r="AD45" s="242">
        <f t="shared" si="10"/>
        <v>133</v>
      </c>
      <c r="AE45" s="234" t="str">
        <f t="shared" si="11"/>
        <v>aws s3 cp s3://rtdc.mdm.uploadarchive.raw/RTDC4014/ "%USERPROFILE%\AppData\Local\Temp\OnboardLogs"\RTDC4014\2017-12-28 --exclude "*" --recursive --include "*20171228*" &amp; "%USERPROFILE%\Documents\GitHub\mrs-test-scripts\Headless Mode &amp; Sideloading\WalkAndUnGZ.bat" "%USERPROFILE%\AppData\Local\Temp\OnboardLogs"\RTDC4014\2017-12-28 &amp; aws s3 cp s3://rtdc.mdm.uploadarchive.raw/RTDC4014/ "%USERPROFILE%\AppData\Local\Temp\OnboardLogs"\RTDC4014\2017-12-29 --exclude "*" --recursive --include "*20171229*" &amp; "%USERPROFILE%\Documents\GitHub\mrs-test-scripts\Headless Mode &amp; Sideloading\WalkAndUnGZ.bat" "%USERPROFILE%\AppData\Local\Temp\OnboardLogs"\RTDC4014\2017-12-29</v>
      </c>
      <c r="AF45" s="233" t="str">
        <f t="shared" si="12"/>
        <v>"C:\Program Files (x86)\AstroGrep\AstroGrep.exe" /e /r /s /spath="%USERPROFILE%\AppData\Local\Temp\OnboardLogs" /stypes="app*4014*201712281*" /stext=" 15:.+?(?&gt;(PRM\|1\|D)|(KPR)|(KDP)|(train st[a-z]+ moving)|(SYSTEM_STATE:s[a-z]+ state changed)|(Enforcement Action)|(\[TIMEOUT)|(parse_ebi_status: Penalty)|(\|GPPS))"</v>
      </c>
      <c r="AG45" s="243" t="str">
        <f t="shared" si="13"/>
        <v>EC</v>
      </c>
      <c r="AH45" s="235" t="str">
        <f t="shared" si="19"/>
        <v>"%USERPROFILE%\Documents\GitHub\eaglep3\Utilities\RefineRTDCRunTimes.py" --tripid 133-28 --locoid 4014 --swversion DE.1.0.9.0 --startMP 204:508 --initTime 2017-12-28T07:37:38 --startdatetime 2017-12-28T07:45:14 --delay 87 --endMP 204:233286 --enddatetime 2017-12-28T08:23:42 --enforcementcount 0 &gt;&gt;%USERPROFILE%\Documents\GitHub\eaglep3-reporting\EC\2017-12-28-refined-times.txt</v>
      </c>
      <c r="AI45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{"issue":{"subject":"","project_id":79,"tracker_id":40,"status_id":1,"priority_id":2,"assigned_to_id":338,"start_date":"2017-12-28","description":"","custom_fields":[{"id":1,"name":"Subdivision","value":"EC"},{"id":4,"name":"Milepost","value":"23.3286"},{"id":17,"name":"Train ID","value":"133-28"},{"id":16,"name":"Locomotive ID","value":"4014"},{"id":130,"name":"Impact","value":""},{"id":150,"name":"Time of Event (Mountain Time)","value":"08:23:42"},{"id":151,"name":"Denver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2"/>
      <c r="AK45" s="230"/>
      <c r="AL45" s="230"/>
      <c r="AM45" s="239" t="str">
        <f t="shared" si="21"/>
        <v>start /low /b %USERPROFILE%\Documents\GitHub\eaglep3\Utilities\DownloadLogsFromS3.py --loco 4014 --day 2017-12-28</v>
      </c>
      <c r="AN45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15:23:42"},{"id":29,"name":"Sharepoint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29" t="str">
        <f t="shared" si="23"/>
        <v>https://d0f6bd738d7f1b3e5a7ca70fe4ff75f0.us-east-1.aws.found.io/app/kibana#/discover/Steve-Slow-Train-Analysis-(2080s-and-2083s)?_g=(refreshInterval:(display:Off,pause:!f,section:0,value:0),time:(from:'2017-12-28T06:37:38-0700',mode:absolute,to:'2017-12-28T09:23:42-0700'))&amp;_a=(columns:!('Message%20ID',Summary),filters:!(),index:'emp_*',interval:auto,query:(query_string:(analyze_wildcard:!t,query:'%22rtdc.l.rtdc.4014%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8" t="s">
        <v>681</v>
      </c>
      <c r="B46" s="224">
        <v>4013</v>
      </c>
      <c r="C46" s="226" t="s">
        <v>192</v>
      </c>
      <c r="D46" s="226" t="s">
        <v>469</v>
      </c>
      <c r="E46" s="225">
        <v>43097.317800925928</v>
      </c>
      <c r="F46" s="225">
        <v>43097.362685185188</v>
      </c>
      <c r="G46" s="224">
        <v>87</v>
      </c>
      <c r="H46" s="226" t="s">
        <v>933</v>
      </c>
      <c r="I46" s="225">
        <v>43097.388645833336</v>
      </c>
      <c r="J46" s="224">
        <v>0</v>
      </c>
      <c r="K46" s="236" t="str">
        <f t="shared" si="0"/>
        <v>4013/4014</v>
      </c>
      <c r="L46" s="244" t="str">
        <f>VLOOKUP(A46,'Trips&amp;Operators'!$C$1:$G$99911,5,FALSE)</f>
        <v>LONG FULLER</v>
      </c>
      <c r="M46" s="223">
        <f t="shared" si="1"/>
        <v>2.5960648148611654E-2</v>
      </c>
      <c r="N46" s="224">
        <f t="shared" si="24"/>
        <v>37.383333334000781</v>
      </c>
      <c r="O46" s="224"/>
      <c r="P46" s="224"/>
      <c r="Q46" s="227"/>
      <c r="R46" s="241"/>
      <c r="S46" s="248">
        <f t="shared" si="25"/>
        <v>1</v>
      </c>
      <c r="T46" s="241" t="str">
        <f t="shared" si="4"/>
        <v>Southbound</v>
      </c>
      <c r="U46" s="24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7" t="str">
        <f t="shared" si="5"/>
        <v>https://d0f6bd738d7f1b3e5a7ca70fe4ff75f0.us-east-1.aws.found.io/app/kibana#/discover/Steve-Slow-Train-Analysis-(2080s-and-2083s)?_g=(refreshInterval:(display:Off,pause:!f,section:0,value:0),time:(from:'2017-12-28T06:37:38-0700',mode:absolute,to:'2017-12-28T10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6" s="246" t="str">
        <f>IF(AA46&lt;VLOOKUP(AG46,Variables!$AC$3:$AD$8,2,FALSE),"Y","N")</f>
        <v>N</v>
      </c>
      <c r="X46" s="246">
        <f t="shared" ref="X46:X49" si="26">VALUE(LEFT(AD46,4))-VALUE(LEFT(AD45,4))</f>
        <v>1</v>
      </c>
      <c r="Y46" s="246">
        <v>23.297899999999998</v>
      </c>
      <c r="Z46" s="246">
        <v>2.23E-2</v>
      </c>
      <c r="AA46" s="246">
        <f t="shared" si="9"/>
        <v>23.275599999999997</v>
      </c>
      <c r="AB46" s="232" t="e">
        <f>VLOOKUP(A46,Enforcements!$C$7:$K$9,8,0)</f>
        <v>#N/A</v>
      </c>
      <c r="AC46" s="231" t="e">
        <f>VLOOKUP(A46,Enforcements!$C$7:$E$9,3,0)</f>
        <v>#N/A</v>
      </c>
      <c r="AD46" s="242">
        <f t="shared" si="10"/>
        <v>134</v>
      </c>
      <c r="AE46" s="234" t="str">
        <f t="shared" si="11"/>
        <v>aws s3 cp s3://rtdc.mdm.uploadarchive.raw/RTDC4013/ "%USERPROFILE%\AppData\Local\Temp\OnboardLogs"\RTDC4013\2017-12-28 --exclude "*" --recursive --include "*20171228*" &amp; "%USERPROFILE%\Documents\GitHub\mrs-test-scripts\Headless Mode &amp; Sideloading\WalkAndUnGZ.bat" "%USERPROFILE%\AppData\Local\Temp\OnboardLogs"\RTDC4013\2017-12-28 &amp; aws s3 cp s3://rtdc.mdm.uploadarchive.raw/RTDC4013/ "%USERPROFILE%\AppData\Local\Temp\OnboardLogs"\RTDC4013\2017-12-29 --exclude "*" --recursive --include "*20171229*" &amp; "%USERPROFILE%\Documents\GitHub\mrs-test-scripts\Headless Mode &amp; Sideloading\WalkAndUnGZ.bat" "%USERPROFILE%\AppData\Local\Temp\OnboardLogs"\RTDC4013\2017-12-29</v>
      </c>
      <c r="AF46" s="233" t="str">
        <f t="shared" si="12"/>
        <v>"C:\Program Files (x86)\AstroGrep\AstroGrep.exe" /e /r /s /spath="%USERPROFILE%\AppData\Local\Temp\OnboardLogs" /stypes="app*4013*201712281*" /stext=" 16:.+?(?&gt;(PRM\|1\|D)|(KPR)|(KDP)|(train st[a-z]+ moving)|(SYSTEM_STATE:s[a-z]+ state changed)|(Enforcement Action)|(\[TIMEOUT)|(parse_ebi_status: Penalty)|(\|GPPS))"</v>
      </c>
      <c r="AG46" s="243" t="str">
        <f t="shared" si="13"/>
        <v>EC</v>
      </c>
      <c r="AH46" s="235" t="str">
        <f t="shared" ref="AH46" si="27">refinertdcruntimes&amp;" --tripid "&amp;A46&amp;" --locoid "&amp;B46&amp;" --swversion "&amp;C46&amp;" --startMP "&amp;D46&amp;" --initTime "&amp;TEXT(E46,"yyyy-mm-ddTHH:MM:SS")&amp;" --startdatetime "&amp;TEXT(F46,"yyyy-mm-ddTHH:MM:SS")&amp;" --delay "&amp;G46&amp;" --endMP "&amp;H46&amp;" --enddatetime "&amp;TEXT(I46,"yyyy-mm-ddTHH:MM:SS")&amp;" --enforcementcount "&amp;J46&amp;IF(outputrefinedruntimes," &gt;&gt;"&amp;RefinedRTDCRunTimesOutputFile,"")</f>
        <v>"%USERPROFILE%\Documents\GitHub\eaglep3\Utilities\RefineRTDCRunTimes.py" --tripid 134-28 --locoid 4013 --swversion DE.1.0.9.0 --startMP 204:508 --initTime 2017-12-28T07:37:38 --startdatetime 2017-12-28T08:42:16 --delay 87 --endMP 204:233286 --enddatetime 2017-12-28T09:19:39 --enforcementcount 0 &gt;&gt;%USERPROFILE%\Documents\GitHub\eaglep3-reporting\EC\2017-12-28-refined-times.txt</v>
      </c>
      <c r="AI46" s="237" t="str">
        <f t="shared" ref="AI46" si="28">"echo {""issue"":{""subject"":"""&amp;R46&amp;""",""project_id"":79,""tracker_id"":40,""status_id"":"&amp;redmine_status&amp;",""priority_id"":"&amp;redmine_priority&amp;",""assigned_to_id"":"&amp;redmine_assignee&amp;",""start_date"":"""&amp;TEXT(I46,"YYYY-mm-dd")&amp;""",""description"":"""&amp;AJ46&amp;""",""custom_fields"":[{""id"":1,""name"":""Subdivision"",""value"":"""&amp;AG46&amp;"""},{""id"":4,""name"":""Milepost"",""value"":"""&amp;Z46&amp;"""},{""id"":17,""name"":""Train ID"",""value"":"""&amp;A46&amp;"""},{""id"":16,""name"":""Locomotive ID"",""value"":"""&amp;B46&amp;"""},{""id"":130,""name"":""Impact"",""value"":"""&amp;AK46&amp;"""},{""id"":150,""name"":""Time of Event (Mountain Time)"",""value"":"""&amp;TEXT(I46,"hh:mm:ss")&amp;"""},{""id"":151,""name"":""Denver Issue ID"",""value"":"""&amp;"""},{""id"":178,""name"":""Operational Impact"",""value"":"""&amp;redmine_op_impact&amp;"""},{""id"":179,""name"":""Denver Segment Assigned"",""value"":"""&amp;AL46&amp;"""}]}}"&amp;"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{"issue":{"subject":"","project_id":79,"tracker_id":40,"status_id":1,"priority_id":2,"assigned_to_id":338,"start_date":"2017-12-28","description":"","custom_fields":[{"id":1,"name":"Subdivision","value":"EC"},{"id":4,"name":"Milepost","value":"0.0223"},{"id":17,"name":"Train ID","value":"134-28"},{"id":16,"name":"Locomotive ID","value":"4013"},{"id":130,"name":"Impact","value":""},{"id":150,"name":"Time of Event (Mountain Time)","value":"09:19:39"},{"id":151,"name":"Denver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2"/>
      <c r="AK46" s="230"/>
      <c r="AL46" s="230"/>
      <c r="AM46" s="239" t="str">
        <f t="shared" ref="AM46" si="29">"start /low /b "&amp;dls3logs&amp;" --loco "&amp;B46&amp;" --day "&amp;TEXT(F46,"YYYY-MM-DD")</f>
        <v>start /low /b %USERPROFILE%\Documents\GitHub\eaglep3\Utilities\DownloadLogsFromS3.py --loco 4013 --day 2017-12-28</v>
      </c>
      <c r="AN46" s="240" t="str">
        <f t="shared" ref="AN46" si="30">"echo {""issue"":{""subject"":"""&amp;R46&amp;""",""project_id"":30,""tracker_id"":4,""status_id"":"&amp;redmine_status_wcr&amp;",""priority_id"":"&amp;redmine_priority_wcr&amp;",""assigned_to_id"":"&amp;redmine_assignee_wcr&amp;",""start_date"":"""&amp;TEXT(I46-utc_offset/24,"YYYY-mm-dd")&amp;""",""description"":"""&amp;AJ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16:19:39"},{"id":29,"name":"Sharepoint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29" t="str">
        <f t="shared" ref="AO46" si="31"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Message%20ID',Summary),filters:!(),index:'emp_*',interval:auto,query:"&amp;"(query_string:(analyze_wildcard:!t,query:'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-12-28T06:37:38-0700',mode:absolute,to:'2017-12-28T10:19:39-0700'))&amp;_a=(columns:!('Message%20ID',Summary),filters:!(),index:'emp_*',interval:auto,query:(query_string:(analyze_wildcard:!t,query:'%22rtdc.l.rtdc.4013%22')),sort:!(Time.ISO8601,asc))</v>
      </c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  <c r="BO46" s="222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</row>
    <row r="47" spans="1:91" s="1" customFormat="1" x14ac:dyDescent="0.25">
      <c r="A47" s="228" t="s">
        <v>752</v>
      </c>
      <c r="B47" s="224">
        <v>4046</v>
      </c>
      <c r="C47" s="226" t="s">
        <v>192</v>
      </c>
      <c r="D47" s="226" t="s">
        <v>934</v>
      </c>
      <c r="E47" s="225">
        <v>43097.327835648146</v>
      </c>
      <c r="F47" s="225">
        <v>43097.33353009259</v>
      </c>
      <c r="G47" s="224">
        <v>64</v>
      </c>
      <c r="H47" s="226" t="s">
        <v>935</v>
      </c>
      <c r="I47" s="225">
        <v>43097.357592592591</v>
      </c>
      <c r="J47" s="224">
        <v>0</v>
      </c>
      <c r="K47" s="236" t="str">
        <f t="shared" si="0"/>
        <v>4045/4046</v>
      </c>
      <c r="L47" s="244" t="str">
        <f>VLOOKUP(A47,'Trips&amp;Operators'!$C$1:$G$99911,5,FALSE)</f>
        <v>GEBRETEKLE DAGNEW</v>
      </c>
      <c r="M47" s="223">
        <f t="shared" si="1"/>
        <v>2.4062500000582077E-2</v>
      </c>
      <c r="N47" s="224">
        <f t="shared" si="24"/>
        <v>34.65000000083819</v>
      </c>
      <c r="O47" s="224"/>
      <c r="P47" s="224"/>
      <c r="Q47" s="227"/>
      <c r="R47" s="241"/>
      <c r="S47" s="248">
        <f t="shared" si="25"/>
        <v>1</v>
      </c>
      <c r="T47" s="241" t="str">
        <f t="shared" si="4"/>
        <v>NorthBound</v>
      </c>
      <c r="U47" s="24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7" t="str">
        <f t="shared" si="5"/>
        <v>https://d0f6bd738d7f1b3e5a7ca70fe4ff75f0.us-east-1.aws.found.io/app/kibana#/discover/Steve-Slow-Train-Analysis-(2080s-and-2083s)?_g=(refreshInterval:(display:Off,pause:!f,section:0,value:0),time:(from:'2017-12-28T06:52:05-0700',mode:absolute,to:'2017-12-28T09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7" s="246" t="str">
        <f>IF(AA47&lt;VLOOKUP(AG47,Variables!$AC$3:$AD$8,2,FALSE),"Y","N")</f>
        <v>N</v>
      </c>
      <c r="X47" s="246">
        <f t="shared" si="26"/>
        <v>1</v>
      </c>
      <c r="Y47" s="246">
        <f t="shared" ref="Y47:Y78" si="32">RIGHT(D47,LEN(D47)-4)/10000</f>
        <v>5.1299999999999998E-2</v>
      </c>
      <c r="Z47" s="246">
        <f t="shared" ref="Z47:Z78" si="33">RIGHT(H47,LEN(H47)-4)/10000</f>
        <v>23.329799999999999</v>
      </c>
      <c r="AA47" s="246">
        <f t="shared" si="9"/>
        <v>23.278499999999998</v>
      </c>
      <c r="AB47" s="232" t="e">
        <f>VLOOKUP(A47,Enforcements!$C$7:$K$9,8,0)</f>
        <v>#N/A</v>
      </c>
      <c r="AC47" s="231" t="e">
        <f>VLOOKUP(A47,Enforcements!$C$7:$E$9,3,0)</f>
        <v>#N/A</v>
      </c>
      <c r="AD47" s="242">
        <f t="shared" si="10"/>
        <v>135</v>
      </c>
      <c r="AE47" s="234" t="str">
        <f t="shared" si="11"/>
        <v>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 &amp; aws s3 cp s3://rtdc.mdm.uploadarchive.raw/RTDC4046/ "%USERPROFILE%\AppData\Local\Temp\OnboardLogs"\RTDC4046\2017-12-29 --exclude "*" --recursive --include "*20171229*" &amp; "%USERPROFILE%\Documents\GitHub\mrs-test-scripts\Headless Mode &amp; Sideloading\WalkAndUnGZ.bat" "%USERPROFILE%\AppData\Local\Temp\OnboardLogs"\RTDC4046\2017-12-29</v>
      </c>
      <c r="AF47" s="233" t="str">
        <f t="shared" si="12"/>
        <v>"C:\Program Files (x86)\AstroGrep\AstroGrep.exe" /e /r /s /spath="%USERPROFILE%\AppData\Local\Temp\OnboardLogs" /stypes="app*4046*201712281*" /stext=" 15:.+?(?&gt;(PRM\|1\|D)|(KPR)|(KDP)|(train st[a-z]+ moving)|(SYSTEM_STATE:s[a-z]+ state changed)|(Enforcement Action)|(\[TIMEOUT)|(parse_ebi_status: Penalty)|(\|GPPS))"</v>
      </c>
      <c r="AG47" s="243" t="str">
        <f t="shared" si="13"/>
        <v>EC</v>
      </c>
      <c r="AH47" s="235" t="str">
        <f t="shared" si="19"/>
        <v>"%USERPROFILE%\Documents\GitHub\eaglep3\Utilities\RefineRTDCRunTimes.py" --tripid 135-28 --locoid 4046 --swversion DE.1.0.9.0 --startMP 204:513 --initTime 2017-12-28T07:52:05 --startdatetime 2017-12-28T08:00:17 --delay 64 --endMP 204:233298 --enddatetime 2017-12-28T08:34:56 --enforcementcount 0 &gt;&gt;%USERPROFILE%\Documents\GitHub\eaglep3-reporting\EC\2017-12-28-refined-times.txt</v>
      </c>
      <c r="AI47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{"issue":{"subject":"","project_id":79,"tracker_id":40,"status_id":1,"priority_id":2,"assigned_to_id":338,"start_date":"2017-12-28","description":"","custom_fields":[{"id":1,"name":"Subdivision","value":"EC"},{"id":4,"name":"Milepost","value":"23.3298"},{"id":17,"name":"Train ID","value":"135-28"},{"id":16,"name":"Locomotive ID","value":"4046"},{"id":130,"name":"Impact","value":""},{"id":150,"name":"Time of Event (Mountain Time)","value":"08:34:56"},{"id":151,"name":"Denver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2"/>
      <c r="AK47" s="230"/>
      <c r="AL47" s="230"/>
      <c r="AM47" s="239" t="str">
        <f t="shared" si="21"/>
        <v>start /low /b %USERPROFILE%\Documents\GitHub\eaglep3\Utilities\DownloadLogsFromS3.py --loco 4046 --day 2017-12-28</v>
      </c>
      <c r="AN47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15:34:56"},{"id":29,"name":"Sharepoint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29" t="str">
        <f t="shared" si="23"/>
        <v>https://d0f6bd738d7f1b3e5a7ca70fe4ff75f0.us-east-1.aws.found.io/app/kibana#/discover/Steve-Slow-Train-Analysis-(2080s-and-2083s)?_g=(refreshInterval:(display:Off,pause:!f,section:0,value:0),time:(from:'2017-12-28T06:52:05-0700',mode:absolute,to:'2017-12-28T09:34:56-0700'))&amp;_a=(columns:!('Message%20ID',Summary),filters:!(),index:'emp_*',interval:auto,query:(query_string:(analyze_wildcard:!t,query:'%22rtdc.l.rtdc.4046%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8" t="s">
        <v>760</v>
      </c>
      <c r="B48" s="224">
        <v>4045</v>
      </c>
      <c r="C48" s="226" t="s">
        <v>192</v>
      </c>
      <c r="D48" s="226" t="s">
        <v>936</v>
      </c>
      <c r="E48" s="225">
        <v>43097.358796296299</v>
      </c>
      <c r="F48" s="225">
        <v>43097.373124999998</v>
      </c>
      <c r="G48" s="224">
        <v>62</v>
      </c>
      <c r="H48" s="226" t="s">
        <v>915</v>
      </c>
      <c r="I48" s="225">
        <v>43097.398263888892</v>
      </c>
      <c r="J48" s="224">
        <v>0</v>
      </c>
      <c r="K48" s="236" t="str">
        <f t="shared" si="0"/>
        <v>4045/4046</v>
      </c>
      <c r="L48" s="244" t="str">
        <f>VLOOKUP(A48,'Trips&amp;Operators'!$C$1:$G$99911,5,FALSE)</f>
        <v>GEBRETEKLE DAGNEW</v>
      </c>
      <c r="M48" s="223">
        <f t="shared" si="1"/>
        <v>2.513888889370719E-2</v>
      </c>
      <c r="N48" s="224">
        <f t="shared" si="24"/>
        <v>36.200000006938353</v>
      </c>
      <c r="O48" s="224"/>
      <c r="P48" s="224"/>
      <c r="Q48" s="227"/>
      <c r="R48" s="241" t="s">
        <v>1083</v>
      </c>
      <c r="S48" s="248">
        <f t="shared" si="25"/>
        <v>1</v>
      </c>
      <c r="T48" s="241" t="str">
        <f t="shared" si="4"/>
        <v>Southbound</v>
      </c>
      <c r="U48" s="24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7" t="str">
        <f t="shared" si="5"/>
        <v>https://d0f6bd738d7f1b3e5a7ca70fe4ff75f0.us-east-1.aws.found.io/app/kibana#/discover/Steve-Slow-Train-Analysis-(2080s-and-2083s)?_g=(refreshInterval:(display:Off,pause:!f,section:0,value:0),time:(from:'2017-12-28T07:36:40-0700',mode:absolute,to:'2017-12-28T10:33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8" s="246" t="str">
        <f>IF(AA48&lt;VLOOKUP(AG48,Variables!$AC$3:$AD$8,2,FALSE),"Y","N")</f>
        <v>N</v>
      </c>
      <c r="X48" s="246">
        <f t="shared" si="26"/>
        <v>1</v>
      </c>
      <c r="Y48" s="246">
        <f t="shared" si="32"/>
        <v>23.300599999999999</v>
      </c>
      <c r="Z48" s="246">
        <f t="shared" si="33"/>
        <v>1.4500000000000001E-2</v>
      </c>
      <c r="AA48" s="246">
        <f t="shared" si="9"/>
        <v>23.286099999999998</v>
      </c>
      <c r="AB48" s="232" t="e">
        <f>VLOOKUP(A48,Enforcements!$C$7:$K$9,8,0)</f>
        <v>#N/A</v>
      </c>
      <c r="AC48" s="231" t="e">
        <f>VLOOKUP(A48,Enforcements!$C$7:$E$9,3,0)</f>
        <v>#N/A</v>
      </c>
      <c r="AD48" s="242">
        <f t="shared" si="10"/>
        <v>136</v>
      </c>
      <c r="AE48" s="234" t="str">
        <f t="shared" si="11"/>
        <v>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 &amp; aws s3 cp s3://rtdc.mdm.uploadarchive.raw/RTDC4045/ "%USERPROFILE%\AppData\Local\Temp\OnboardLogs"\RTDC4045\2017-12-29 --exclude "*" --recursive --include "*20171229*" &amp; "%USERPROFILE%\Documents\GitHub\mrs-test-scripts\Headless Mode &amp; Sideloading\WalkAndUnGZ.bat" "%USERPROFILE%\AppData\Local\Temp\OnboardLogs"\RTDC4045\2017-12-29</v>
      </c>
      <c r="AF48" s="233" t="str">
        <f t="shared" si="12"/>
        <v>"C:\Program Files (x86)\AstroGrep\AstroGrep.exe" /e /r /s /spath="%USERPROFILE%\AppData\Local\Temp\OnboardLogs" /stypes="app*4045*201712281*" /stext=" 16:.+?(?&gt;(PRM\|1\|D)|(KPR)|(KDP)|(train st[a-z]+ moving)|(SYSTEM_STATE:s[a-z]+ state changed)|(Enforcement Action)|(\[TIMEOUT)|(parse_ebi_status: Penalty)|(\|GPPS))"</v>
      </c>
      <c r="AG48" s="243" t="str">
        <f t="shared" si="13"/>
        <v>EC</v>
      </c>
      <c r="AH48" s="235" t="str">
        <f t="shared" si="19"/>
        <v>"%USERPROFILE%\Documents\GitHub\eaglep3\Utilities\RefineRTDCRunTimes.py" --tripid 136-28 --locoid 4045 --swversion DE.1.0.9.0 --startMP 204:233006 --initTime 2017-12-28T08:36:40 --startdatetime 2017-12-28T08:57:18 --delay 62 --endMP 204:145 --enddatetime 2017-12-28T09:33:30 --enforcementcount 0 &gt;&gt;%USERPROFILE%\Documents\GitHub\eaglep3-reporting\EC\2017-12-28-refined-times.txt</v>
      </c>
      <c r="AI48" s="237" t="str">
        <f t="shared" si="20"/>
        <v>echo {"issue":{"subject":"Unhealthy crossing @ Chambers due to train stop","project_id":79,"tracker_id":40,"status_id":1,"priority_id":2,"assigned_to_id":338,"start_date":"2017-12-28","description":"","custom_fields":[{"id":1,"name":"Subdivision","value":"EC"},{"id":4,"name":"Milepost","value":"0.0145"},{"id":17,"name":"Train ID","value":"136-28"},{"id":16,"name":"Locomotive ID","value":"4045"},{"id":130,"name":"Impact","value":""},{"id":150,"name":"Time of Event (Mountain Time)","value":"09:33:30"},{"id":151,"name":"Denver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2"/>
      <c r="AK48" s="230"/>
      <c r="AL48" s="230"/>
      <c r="AM48" s="239" t="str">
        <f t="shared" si="21"/>
        <v>start /low /b %USERPROFILE%\Documents\GitHub\eaglep3\Utilities\DownloadLogsFromS3.py --loco 4045 --day 2017-12-28</v>
      </c>
      <c r="AN48" s="240" t="str">
        <f t="shared" si="22"/>
        <v>echo {"issue":{"subject":"Unhealthy crossing @ Chambers due to train stop","project_id":30,"tracker_id":4,"status_id":1,"priority_id":1,"assigned_to_id":10,"start_date":"2017-12-28","description":"","custom_fields":[{"id":30,"name":"Category","value":"Issue"},{"id":3,"name":"Functional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16:33:30"},{"id":29,"name":"Sharepoint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29" t="str">
        <f t="shared" si="23"/>
        <v>https://d0f6bd738d7f1b3e5a7ca70fe4ff75f0.us-east-1.aws.found.io/app/kibana#/discover/Steve-Slow-Train-Analysis-(2080s-and-2083s)?_g=(refreshInterval:(display:Off,pause:!f,section:0,value:0),time:(from:'2017-12-28T07:36:40-0700',mode:absolute,to:'2017-12-28T10:33:30-0700'))&amp;_a=(columns:!('Message%20ID',Summary),filters:!(),index:'emp_*',interval:auto,query:(query_string:(analyze_wildcard:!t,query:'%22rtdc.l.rtdc.4045%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8" t="s">
        <v>755</v>
      </c>
      <c r="B49" s="224">
        <v>4056</v>
      </c>
      <c r="C49" s="226" t="s">
        <v>192</v>
      </c>
      <c r="D49" s="226" t="s">
        <v>627</v>
      </c>
      <c r="E49" s="225">
        <v>43097.338472222225</v>
      </c>
      <c r="F49" s="225">
        <v>43097.3440625</v>
      </c>
      <c r="G49" s="224">
        <v>68</v>
      </c>
      <c r="H49" s="226" t="s">
        <v>937</v>
      </c>
      <c r="I49" s="225">
        <v>43097.369722222225</v>
      </c>
      <c r="J49" s="224">
        <v>0</v>
      </c>
      <c r="K49" s="236" t="str">
        <f t="shared" si="0"/>
        <v>4055/4056</v>
      </c>
      <c r="L49" s="244" t="str">
        <f>VLOOKUP(A49,'Trips&amp;Operators'!$C$1:$G$99911,5,FALSE)</f>
        <v>WILLIAMS DONTE</v>
      </c>
      <c r="M49" s="223">
        <f t="shared" si="1"/>
        <v>2.5659722225100268E-2</v>
      </c>
      <c r="N49" s="224">
        <f t="shared" si="24"/>
        <v>36.950000004144385</v>
      </c>
      <c r="O49" s="224"/>
      <c r="P49" s="224"/>
      <c r="Q49" s="227"/>
      <c r="R49" s="241"/>
      <c r="S49" s="248">
        <f t="shared" si="25"/>
        <v>1</v>
      </c>
      <c r="T49" s="241" t="str">
        <f t="shared" si="4"/>
        <v>NorthBound</v>
      </c>
      <c r="U49" s="24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7" t="str">
        <f t="shared" si="5"/>
        <v>https://d0f6bd738d7f1b3e5a7ca70fe4ff75f0.us-east-1.aws.found.io/app/kibana#/discover/Steve-Slow-Train-Analysis-(2080s-and-2083s)?_g=(refreshInterval:(display:Off,pause:!f,section:0,value:0),time:(from:'2017-12-28T07:07:24-0700',mode:absolute,to:'2017-12-28T09:52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9" s="246" t="str">
        <f>IF(AA49&lt;VLOOKUP(AG49,Variables!$AC$3:$AD$8,2,FALSE),"Y","N")</f>
        <v>N</v>
      </c>
      <c r="X49" s="246">
        <f t="shared" si="26"/>
        <v>1</v>
      </c>
      <c r="Y49" s="246">
        <f t="shared" si="32"/>
        <v>5.1999999999999998E-2</v>
      </c>
      <c r="Z49" s="246">
        <f t="shared" si="33"/>
        <v>23.317799999999998</v>
      </c>
      <c r="AA49" s="246">
        <f t="shared" si="9"/>
        <v>23.265799999999999</v>
      </c>
      <c r="AB49" s="232" t="e">
        <f>VLOOKUP(A49,Enforcements!$C$7:$K$9,8,0)</f>
        <v>#N/A</v>
      </c>
      <c r="AC49" s="231" t="e">
        <f>VLOOKUP(A49,Enforcements!$C$7:$E$9,3,0)</f>
        <v>#N/A</v>
      </c>
      <c r="AD49" s="242">
        <f t="shared" si="10"/>
        <v>137</v>
      </c>
      <c r="AE49" s="234" t="str">
        <f t="shared" si="11"/>
        <v>aws s3 cp s3://rtdc.mdm.uploadarchive.raw/RTDC4056/ "%USERPROFILE%\AppData\Local\Temp\OnboardLogs"\RTDC4056\2017-12-28 --exclude "*" --recursive --include "*20171228*" &amp; "%USERPROFILE%\Documents\GitHub\mrs-test-scripts\Headless Mode &amp; Sideloading\WalkAndUnGZ.bat" "%USERPROFILE%\AppData\Local\Temp\OnboardLogs"\RTDC4056\2017-12-28 &amp; aws s3 cp s3://rtdc.mdm.uploadarchive.raw/RTDC4056/ "%USERPROFILE%\AppData\Local\Temp\OnboardLogs"\RTDC4056\2017-12-29 --exclude "*" --recursive --include "*20171229*" &amp; "%USERPROFILE%\Documents\GitHub\mrs-test-scripts\Headless Mode &amp; Sideloading\WalkAndUnGZ.bat" "%USERPROFILE%\AppData\Local\Temp\OnboardLogs"\RTDC4056\2017-12-29</v>
      </c>
      <c r="AF49" s="233" t="str">
        <f t="shared" si="12"/>
        <v>"C:\Program Files (x86)\AstroGrep\AstroGrep.exe" /e /r /s /spath="%USERPROFILE%\AppData\Local\Temp\OnboardLogs" /stypes="app*4056*201712281*" /stext=" 15:.+?(?&gt;(PRM\|1\|D)|(KPR)|(KDP)|(train st[a-z]+ moving)|(SYSTEM_STATE:s[a-z]+ state changed)|(Enforcement Action)|(\[TIMEOUT)|(parse_ebi_status: Penalty)|(\|GPPS))"</v>
      </c>
      <c r="AG49" s="243" t="str">
        <f t="shared" si="13"/>
        <v>EC</v>
      </c>
      <c r="AH49" s="235" t="str">
        <f t="shared" si="19"/>
        <v>"%USERPROFILE%\Documents\GitHub\eaglep3\Utilities\RefineRTDCRunTimes.py" --tripid 137-28 --locoid 4056 --swversion DE.1.0.9.0 --startMP 204:520 --initTime 2017-12-28T08:07:24 --startdatetime 2017-12-28T08:15:27 --delay 68 --endMP 204:233178 --enddatetime 2017-12-28T08:52:24 --enforcementcount 0 &gt;&gt;%USERPROFILE%\Documents\GitHub\eaglep3-reporting\EC\2017-12-28-refined-times.txt</v>
      </c>
      <c r="AI49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{"issue":{"subject":"","project_id":79,"tracker_id":40,"status_id":1,"priority_id":2,"assigned_to_id":338,"start_date":"2017-12-28","description":"","custom_fields":[{"id":1,"name":"Subdivision","value":"EC"},{"id":4,"name":"Milepost","value":"23.3178"},{"id":17,"name":"Train ID","value":"137-28"},{"id":16,"name":"Locomotive ID","value":"4056"},{"id":130,"name":"Impact","value":""},{"id":150,"name":"Time of Event (Mountain Time)","value":"08:52:24"},{"id":151,"name":"Denver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2"/>
      <c r="AK49" s="230"/>
      <c r="AL49" s="230"/>
      <c r="AM49" s="239" t="str">
        <f t="shared" si="21"/>
        <v>start /low /b %USERPROFILE%\Documents\GitHub\eaglep3\Utilities\DownloadLogsFromS3.py --loco 4056 --day 2017-12-28</v>
      </c>
      <c r="AN49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15:52:24"},{"id":29,"name":"Sharepoint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29" t="str">
        <f t="shared" si="23"/>
        <v>https://d0f6bd738d7f1b3e5a7ca70fe4ff75f0.us-east-1.aws.found.io/app/kibana#/discover/Steve-Slow-Train-Analysis-(2080s-and-2083s)?_g=(refreshInterval:(display:Off,pause:!f,section:0,value:0),time:(from:'2017-12-28T07:07:24-0700',mode:absolute,to:'2017-12-28T09:52:24-0700'))&amp;_a=(columns:!('Message%20ID',Summary),filters:!(),index:'emp_*',interval:auto,query:(query_string:(analyze_wildcard:!t,query:'%22rtdc.l.rtdc.4056%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8" t="s">
        <v>764</v>
      </c>
      <c r="B50" s="224">
        <v>4055</v>
      </c>
      <c r="C50" s="226" t="s">
        <v>192</v>
      </c>
      <c r="D50" s="226" t="s">
        <v>938</v>
      </c>
      <c r="E50" s="225">
        <v>43097.378981481481</v>
      </c>
      <c r="F50" s="225">
        <v>43097.383576388886</v>
      </c>
      <c r="G50" s="224">
        <v>79</v>
      </c>
      <c r="H50" s="226" t="s">
        <v>524</v>
      </c>
      <c r="I50" s="225">
        <v>43097.409583333334</v>
      </c>
      <c r="J50" s="224">
        <v>0</v>
      </c>
      <c r="K50" s="236" t="str">
        <f t="shared" si="0"/>
        <v>4055/4056</v>
      </c>
      <c r="L50" s="244" t="str">
        <f>VLOOKUP(A50,'Trips&amp;Operators'!$C$1:$G$99911,5,FALSE)</f>
        <v>WILLIAMS DONTE</v>
      </c>
      <c r="M50" s="223">
        <f t="shared" si="1"/>
        <v>2.6006944448454306E-2</v>
      </c>
      <c r="N50" s="224">
        <f t="shared" si="24"/>
        <v>37.4500000057742</v>
      </c>
      <c r="O50" s="224"/>
      <c r="P50" s="224"/>
      <c r="Q50" s="227"/>
      <c r="R50" s="241"/>
      <c r="S50" s="248">
        <f t="shared" si="25"/>
        <v>1</v>
      </c>
      <c r="T50" s="241" t="str">
        <f t="shared" si="4"/>
        <v>Southbound</v>
      </c>
      <c r="U50" s="24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7" t="str">
        <f t="shared" si="5"/>
        <v>https://d0f6bd738d7f1b3e5a7ca70fe4ff75f0.us-east-1.aws.found.io/app/kibana#/discover/Steve-Slow-Train-Analysis-(2080s-and-2083s)?_g=(refreshInterval:(display:Off,pause:!f,section:0,value:0),time:(from:'2017-12-28T08:05:44-0700',mode:absolute,to:'2017-12-28T10:49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0" s="246" t="str">
        <f>IF(AA50&lt;VLOOKUP(AG50,Variables!$AC$3:$AD$8,2,FALSE),"Y","N")</f>
        <v>N</v>
      </c>
      <c r="X50" s="246">
        <f t="shared" ref="X50:X81" si="34">VALUE(LEFT(AD50,4))-VALUE(LEFT(AD49,4))</f>
        <v>1</v>
      </c>
      <c r="Y50" s="246">
        <f t="shared" si="32"/>
        <v>23.2911</v>
      </c>
      <c r="Z50" s="246">
        <f t="shared" si="33"/>
        <v>2.0500000000000001E-2</v>
      </c>
      <c r="AA50" s="246">
        <f t="shared" si="9"/>
        <v>23.270600000000002</v>
      </c>
      <c r="AB50" s="232" t="e">
        <f>VLOOKUP(A50,Enforcements!$C$7:$K$9,8,0)</f>
        <v>#N/A</v>
      </c>
      <c r="AC50" s="231" t="e">
        <f>VLOOKUP(A50,Enforcements!$C$7:$E$9,3,0)</f>
        <v>#N/A</v>
      </c>
      <c r="AD50" s="242">
        <f t="shared" si="10"/>
        <v>138</v>
      </c>
      <c r="AE50" s="234" t="str">
        <f t="shared" si="11"/>
        <v>aws s3 cp s3://rtdc.mdm.uploadarchive.raw/RTDC4055/ "%USERPROFILE%\AppData\Local\Temp\OnboardLogs"\RTDC4055\2017-12-28 --exclude "*" --recursive --include "*20171228*" &amp; "%USERPROFILE%\Documents\GitHub\mrs-test-scripts\Headless Mode &amp; Sideloading\WalkAndUnGZ.bat" "%USERPROFILE%\AppData\Local\Temp\OnboardLogs"\RTDC4055\2017-12-28 &amp; aws s3 cp s3://rtdc.mdm.uploadarchive.raw/RTDC4055/ "%USERPROFILE%\AppData\Local\Temp\OnboardLogs"\RTDC4055\2017-12-29 --exclude "*" --recursive --include "*20171229*" &amp; "%USERPROFILE%\Documents\GitHub\mrs-test-scripts\Headless Mode &amp; Sideloading\WalkAndUnGZ.bat" "%USERPROFILE%\AppData\Local\Temp\OnboardLogs"\RTDC4055\2017-12-29</v>
      </c>
      <c r="AF50" s="233" t="str">
        <f t="shared" si="12"/>
        <v>"C:\Program Files (x86)\AstroGrep\AstroGrep.exe" /e /r /s /spath="%USERPROFILE%\AppData\Local\Temp\OnboardLogs" /stypes="app*4055*201712281*" /stext=" 16:.+?(?&gt;(PRM\|1\|D)|(KPR)|(KDP)|(train st[a-z]+ moving)|(SYSTEM_STATE:s[a-z]+ state changed)|(Enforcement Action)|(\[TIMEOUT)|(parse_ebi_status: Penalty)|(\|GPPS))"</v>
      </c>
      <c r="AG50" s="243" t="str">
        <f t="shared" si="13"/>
        <v>EC</v>
      </c>
      <c r="AH50" s="235" t="str">
        <f t="shared" si="19"/>
        <v>"%USERPROFILE%\Documents\GitHub\eaglep3\Utilities\RefineRTDCRunTimes.py" --tripid 138-28 --locoid 4055 --swversion DE.1.0.9.0 --startMP 204:232911 --initTime 2017-12-28T09:05:44 --startdatetime 2017-12-28T09:12:21 --delay 79 --endMP 204:205 --enddatetime 2017-12-28T09:49:48 --enforcementcount 0 &gt;&gt;%USERPROFILE%\Documents\GitHub\eaglep3-reporting\EC\2017-12-28-refined-times.txt</v>
      </c>
      <c r="AI50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{"issue":{"subject":"","project_id":79,"tracker_id":40,"status_id":1,"priority_id":2,"assigned_to_id":338,"start_date":"2017-12-28","description":"","custom_fields":[{"id":1,"name":"Subdivision","value":"EC"},{"id":4,"name":"Milepost","value":"0.0205"},{"id":17,"name":"Train ID","value":"138-28"},{"id":16,"name":"Locomotive ID","value":"4055"},{"id":130,"name":"Impact","value":""},{"id":150,"name":"Time of Event (Mountain Time)","value":"09:49:48"},{"id":151,"name":"Denver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2"/>
      <c r="AK50" s="230"/>
      <c r="AL50" s="230"/>
      <c r="AM50" s="239" t="str">
        <f t="shared" si="21"/>
        <v>start /low /b %USERPROFILE%\Documents\GitHub\eaglep3\Utilities\DownloadLogsFromS3.py --loco 4055 --day 2017-12-28</v>
      </c>
      <c r="AN50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16:49:48"},{"id":29,"name":"Sharepoint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29" t="str">
        <f t="shared" si="23"/>
        <v>https://d0f6bd738d7f1b3e5a7ca70fe4ff75f0.us-east-1.aws.found.io/app/kibana#/discover/Steve-Slow-Train-Analysis-(2080s-and-2083s)?_g=(refreshInterval:(display:Off,pause:!f,section:0,value:0),time:(from:'2017-12-28T08:05:44-0700',mode:absolute,to:'2017-12-28T10:49:48-0700'))&amp;_a=(columns:!('Message%20ID',Summary),filters:!(),index:'emp_*',interval:auto,query:(query_string:(analyze_wildcard:!t,query:'%22rtdc.l.rtdc.4055%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8" t="s">
        <v>757</v>
      </c>
      <c r="B51" s="224">
        <v>4062</v>
      </c>
      <c r="C51" s="226" t="s">
        <v>192</v>
      </c>
      <c r="D51" s="226" t="s">
        <v>502</v>
      </c>
      <c r="E51" s="225">
        <v>43097.348483796297</v>
      </c>
      <c r="F51" s="225">
        <v>43097.354363425926</v>
      </c>
      <c r="G51" s="224">
        <v>63</v>
      </c>
      <c r="H51" s="226" t="s">
        <v>501</v>
      </c>
      <c r="I51" s="225">
        <v>43097.378113425926</v>
      </c>
      <c r="J51" s="224">
        <v>0</v>
      </c>
      <c r="K51" s="236" t="str">
        <f t="shared" si="0"/>
        <v>4061/4062</v>
      </c>
      <c r="L51" s="244" t="str">
        <f>VLOOKUP(A51,'Trips&amp;Operators'!$C$1:$G$99911,5,FALSE)</f>
        <v>YORK EDGAR</v>
      </c>
      <c r="M51" s="223">
        <f t="shared" si="1"/>
        <v>2.3750000000291038E-2</v>
      </c>
      <c r="N51" s="224">
        <f t="shared" si="24"/>
        <v>34.200000000419095</v>
      </c>
      <c r="O51" s="224"/>
      <c r="P51" s="224"/>
      <c r="Q51" s="227"/>
      <c r="R51" s="241"/>
      <c r="S51" s="248">
        <f t="shared" si="25"/>
        <v>1</v>
      </c>
      <c r="T51" s="241" t="str">
        <f t="shared" si="4"/>
        <v>NorthBound</v>
      </c>
      <c r="U51" s="24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7" t="str">
        <f t="shared" si="5"/>
        <v>https://d0f6bd738d7f1b3e5a7ca70fe4ff75f0.us-east-1.aws.found.io/app/kibana#/discover/Steve-Slow-Train-Analysis-(2080s-and-2083s)?_g=(refreshInterval:(display:Off,pause:!f,section:0,value:0),time:(from:'2017-12-28T07:21:49-0700',mode:absolute,to:'2017-12-28T10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1" s="246" t="str">
        <f>IF(AA51&lt;VLOOKUP(AG51,Variables!$AC$3:$AD$8,2,FALSE),"Y","N")</f>
        <v>N</v>
      </c>
      <c r="X51" s="246">
        <f t="shared" si="34"/>
        <v>1</v>
      </c>
      <c r="Y51" s="246">
        <f t="shared" si="32"/>
        <v>4.4600000000000001E-2</v>
      </c>
      <c r="Z51" s="246">
        <f t="shared" si="33"/>
        <v>23.3291</v>
      </c>
      <c r="AA51" s="246">
        <f t="shared" si="9"/>
        <v>23.284500000000001</v>
      </c>
      <c r="AB51" s="232" t="e">
        <f>VLOOKUP(A51,Enforcements!$C$7:$K$9,8,0)</f>
        <v>#N/A</v>
      </c>
      <c r="AC51" s="231" t="e">
        <f>VLOOKUP(A51,Enforcements!$C$7:$E$9,3,0)</f>
        <v>#N/A</v>
      </c>
      <c r="AD51" s="242">
        <f t="shared" si="10"/>
        <v>139</v>
      </c>
      <c r="AE51" s="234" t="str">
        <f t="shared" si="11"/>
        <v>aws s3 cp s3://rtdc.mdm.uploadarchive.raw/RTDC4062/ "%USERPROFILE%\AppData\Local\Temp\OnboardLogs"\RTDC4062\2017-12-28 --exclude "*" --recursive --include "*20171228*" &amp; "%USERPROFILE%\Documents\GitHub\mrs-test-scripts\Headless Mode &amp; Sideloading\WalkAndUnGZ.bat" "%USERPROFILE%\AppData\Local\Temp\OnboardLogs"\RTDC4062\2017-12-28 &amp; aws s3 cp s3://rtdc.mdm.uploadarchive.raw/RTDC4062/ "%USERPROFILE%\AppData\Local\Temp\OnboardLogs"\RTDC4062\2017-12-29 --exclude "*" --recursive --include "*20171229*" &amp; "%USERPROFILE%\Documents\GitHub\mrs-test-scripts\Headless Mode &amp; Sideloading\WalkAndUnGZ.bat" "%USERPROFILE%\AppData\Local\Temp\OnboardLogs"\RTDC4062\2017-12-29</v>
      </c>
      <c r="AF51" s="233" t="str">
        <f t="shared" si="12"/>
        <v>"C:\Program Files (x86)\AstroGrep\AstroGrep.exe" /e /r /s /spath="%USERPROFILE%\AppData\Local\Temp\OnboardLogs" /stypes="app*4062*201712281*" /stext=" 16:.+?(?&gt;(PRM\|1\|D)|(KPR)|(KDP)|(train st[a-z]+ moving)|(SYSTEM_STATE:s[a-z]+ state changed)|(Enforcement Action)|(\[TIMEOUT)|(parse_ebi_status: Penalty)|(\|GPPS))"</v>
      </c>
      <c r="AG51" s="243" t="str">
        <f t="shared" si="13"/>
        <v>EC</v>
      </c>
      <c r="AH51" s="235" t="str">
        <f t="shared" si="19"/>
        <v>"%USERPROFILE%\Documents\GitHub\eaglep3\Utilities\RefineRTDCRunTimes.py" --tripid 139-28 --locoid 4062 --swversion DE.1.0.9.0 --startMP 204:446 --initTime 2017-12-28T08:21:49 --startdatetime 2017-12-28T08:30:17 --delay 63 --endMP 204:233291 --enddatetime 2017-12-28T09:04:29 --enforcementcount 0 &gt;&gt;%USERPROFILE%\Documents\GitHub\eaglep3-reporting\EC\2017-12-28-refined-times.txt</v>
      </c>
      <c r="AI51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{"issue":{"subject":"","project_id":79,"tracker_id":40,"status_id":1,"priority_id":2,"assigned_to_id":338,"start_date":"2017-12-28","description":"","custom_fields":[{"id":1,"name":"Subdivision","value":"EC"},{"id":4,"name":"Milepost","value":"23.3291"},{"id":17,"name":"Train ID","value":"139-28"},{"id":16,"name":"Locomotive ID","value":"4062"},{"id":130,"name":"Impact","value":""},{"id":150,"name":"Time of Event (Mountain Time)","value":"09:04:29"},{"id":151,"name":"Denver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2"/>
      <c r="AK51" s="230"/>
      <c r="AL51" s="230"/>
      <c r="AM51" s="239" t="str">
        <f t="shared" si="21"/>
        <v>start /low /b %USERPROFILE%\Documents\GitHub\eaglep3\Utilities\DownloadLogsFromS3.py --loco 4062 --day 2017-12-28</v>
      </c>
      <c r="AN51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16:04:29"},{"id":29,"name":"Sharepoint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29" t="str">
        <f t="shared" si="23"/>
        <v>https://d0f6bd738d7f1b3e5a7ca70fe4ff75f0.us-east-1.aws.found.io/app/kibana#/discover/Steve-Slow-Train-Analysis-(2080s-and-2083s)?_g=(refreshInterval:(display:Off,pause:!f,section:0,value:0),time:(from:'2017-12-28T07:21:49-0700',mode:absolute,to:'2017-12-28T10:04:29-0700'))&amp;_a=(columns:!('Message%20ID',Summary),filters:!(),index:'emp_*',interval:auto,query:(query_string:(analyze_wildcard:!t,query:'%22rtdc.l.rtdc.4062%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8" t="s">
        <v>765</v>
      </c>
      <c r="B52" s="224">
        <v>4061</v>
      </c>
      <c r="C52" s="226" t="s">
        <v>192</v>
      </c>
      <c r="D52" s="226" t="s">
        <v>939</v>
      </c>
      <c r="E52" s="225">
        <v>43097.379004629627</v>
      </c>
      <c r="F52" s="225">
        <v>43097.394178240742</v>
      </c>
      <c r="G52" s="224">
        <v>80</v>
      </c>
      <c r="H52" s="226" t="s">
        <v>635</v>
      </c>
      <c r="I52" s="225">
        <v>43097.418854166666</v>
      </c>
      <c r="J52" s="224">
        <v>0</v>
      </c>
      <c r="K52" s="236" t="str">
        <f t="shared" si="0"/>
        <v>4061/4062</v>
      </c>
      <c r="L52" s="244" t="str">
        <f>VLOOKUP(A52,'Trips&amp;Operators'!$C$1:$G$99911,5,FALSE)</f>
        <v>YORK EDGAR</v>
      </c>
      <c r="M52" s="223">
        <f t="shared" si="1"/>
        <v>2.4675925924384501E-2</v>
      </c>
      <c r="N52" s="224">
        <f t="shared" si="24"/>
        <v>35.533333331113681</v>
      </c>
      <c r="O52" s="224"/>
      <c r="P52" s="224"/>
      <c r="Q52" s="227"/>
      <c r="R52" s="241"/>
      <c r="S52" s="248">
        <f t="shared" si="25"/>
        <v>1</v>
      </c>
      <c r="T52" s="241" t="str">
        <f t="shared" si="4"/>
        <v>Southbound</v>
      </c>
      <c r="U52" s="24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7" t="str">
        <f t="shared" si="5"/>
        <v>https://d0f6bd738d7f1b3e5a7ca70fe4ff75f0.us-east-1.aws.found.io/app/kibana#/discover/Steve-Slow-Train-Analysis-(2080s-and-2083s)?_g=(refreshInterval:(display:Off,pause:!f,section:0,value:0),time:(from:'2017-12-28T08:05:46-0700',mode:absolute,to:'2017-12-28T11:03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2" s="246" t="str">
        <f>IF(AA52&lt;VLOOKUP(AG52,Variables!$AC$3:$AD$8,2,FALSE),"Y","N")</f>
        <v>N</v>
      </c>
      <c r="X52" s="246">
        <f t="shared" si="34"/>
        <v>1</v>
      </c>
      <c r="Y52" s="246">
        <f t="shared" si="32"/>
        <v>23.298300000000001</v>
      </c>
      <c r="Z52" s="246">
        <f t="shared" si="33"/>
        <v>1.6899999999999998E-2</v>
      </c>
      <c r="AA52" s="246">
        <f t="shared" si="9"/>
        <v>23.281400000000001</v>
      </c>
      <c r="AB52" s="232" t="e">
        <f>VLOOKUP(A52,Enforcements!$C$7:$K$9,8,0)</f>
        <v>#N/A</v>
      </c>
      <c r="AC52" s="231" t="e">
        <f>VLOOKUP(A52,Enforcements!$C$7:$E$9,3,0)</f>
        <v>#N/A</v>
      </c>
      <c r="AD52" s="242">
        <f t="shared" si="10"/>
        <v>140</v>
      </c>
      <c r="AE52" s="234" t="str">
        <f t="shared" si="11"/>
        <v>aws s3 cp s3://rtdc.mdm.uploadarchive.raw/RTDC4061/ "%USERPROFILE%\AppData\Local\Temp\OnboardLogs"\RTDC4061\2017-12-28 --exclude "*" --recursive --include "*20171228*" &amp; "%USERPROFILE%\Documents\GitHub\mrs-test-scripts\Headless Mode &amp; Sideloading\WalkAndUnGZ.bat" "%USERPROFILE%\AppData\Local\Temp\OnboardLogs"\RTDC4061\2017-12-28 &amp; aws s3 cp s3://rtdc.mdm.uploadarchive.raw/RTDC4061/ "%USERPROFILE%\AppData\Local\Temp\OnboardLogs"\RTDC4061\2017-12-29 --exclude "*" --recursive --include "*20171229*" &amp; "%USERPROFILE%\Documents\GitHub\mrs-test-scripts\Headless Mode &amp; Sideloading\WalkAndUnGZ.bat" "%USERPROFILE%\AppData\Local\Temp\OnboardLogs"\RTDC4061\2017-12-29</v>
      </c>
      <c r="AF52" s="233" t="str">
        <f t="shared" si="12"/>
        <v>"C:\Program Files (x86)\AstroGrep\AstroGrep.exe" /e /r /s /spath="%USERPROFILE%\AppData\Local\Temp\OnboardLogs" /stypes="app*4061*201712281*" /stext=" 17:.+?(?&gt;(PRM\|1\|D)|(KPR)|(KDP)|(train st[a-z]+ moving)|(SYSTEM_STATE:s[a-z]+ state changed)|(Enforcement Action)|(\[TIMEOUT)|(parse_ebi_status: Penalty)|(\|GPPS))"</v>
      </c>
      <c r="AG52" s="243" t="str">
        <f t="shared" si="13"/>
        <v>EC</v>
      </c>
      <c r="AH52" s="235" t="str">
        <f t="shared" si="19"/>
        <v>"%USERPROFILE%\Documents\GitHub\eaglep3\Utilities\RefineRTDCRunTimes.py" --tripid 140-28 --locoid 4061 --swversion DE.1.0.9.0 --startMP 204:232983 --initTime 2017-12-28T09:05:46 --startdatetime 2017-12-28T09:27:37 --delay 80 --endMP 204:169 --enddatetime 2017-12-28T10:03:09 --enforcementcount 0 &gt;&gt;%USERPROFILE%\Documents\GitHub\eaglep3-reporting\EC\2017-12-28-refined-times.txt</v>
      </c>
      <c r="AI52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{"issue":{"subject":"","project_id":79,"tracker_id":40,"status_id":1,"priority_id":2,"assigned_to_id":338,"start_date":"2017-12-28","description":"","custom_fields":[{"id":1,"name":"Subdivision","value":"EC"},{"id":4,"name":"Milepost","value":"0.0169"},{"id":17,"name":"Train ID","value":"140-28"},{"id":16,"name":"Locomotive ID","value":"4061"},{"id":130,"name":"Impact","value":""},{"id":150,"name":"Time of Event (Mountain Time)","value":"10:03:09"},{"id":151,"name":"Denver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2"/>
      <c r="AK52" s="230"/>
      <c r="AL52" s="230"/>
      <c r="AM52" s="239" t="str">
        <f t="shared" si="21"/>
        <v>start /low /b %USERPROFILE%\Documents\GitHub\eaglep3\Utilities\DownloadLogsFromS3.py --loco 4061 --day 2017-12-28</v>
      </c>
      <c r="AN52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17:03:09"},{"id":29,"name":"Sharepoint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29" t="str">
        <f t="shared" si="23"/>
        <v>https://d0f6bd738d7f1b3e5a7ca70fe4ff75f0.us-east-1.aws.found.io/app/kibana#/discover/Steve-Slow-Train-Analysis-(2080s-and-2083s)?_g=(refreshInterval:(display:Off,pause:!f,section:0,value:0),time:(from:'2017-12-28T08:05:46-0700',mode:absolute,to:'2017-12-28T11:03:09-0700'))&amp;_a=(columns:!('Message%20ID',Summary),filters:!(),index:'emp_*',interval:auto,query:(query_string:(analyze_wildcard:!t,query:'%22rtdc.l.rtdc.4061%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8" t="s">
        <v>761</v>
      </c>
      <c r="B53" s="224">
        <v>4004</v>
      </c>
      <c r="C53" s="226" t="s">
        <v>192</v>
      </c>
      <c r="D53" s="226" t="s">
        <v>541</v>
      </c>
      <c r="E53" s="225">
        <v>43097.360706018517</v>
      </c>
      <c r="F53" s="225">
        <v>43097.364756944444</v>
      </c>
      <c r="G53" s="224">
        <v>81</v>
      </c>
      <c r="H53" s="226" t="s">
        <v>926</v>
      </c>
      <c r="I53" s="225">
        <v>43097.389965277776</v>
      </c>
      <c r="J53" s="224">
        <v>0</v>
      </c>
      <c r="K53" s="236" t="str">
        <f t="shared" si="0"/>
        <v>4003/4004</v>
      </c>
      <c r="L53" s="244" t="str">
        <f>VLOOKUP(A53,'Trips&amp;Operators'!$C$1:$G$99911,5,FALSE)</f>
        <v>YANAI IAN</v>
      </c>
      <c r="M53" s="223">
        <f t="shared" si="1"/>
        <v>2.5208333332557231E-2</v>
      </c>
      <c r="N53" s="224">
        <f t="shared" si="24"/>
        <v>36.299999998882413</v>
      </c>
      <c r="O53" s="224"/>
      <c r="P53" s="224"/>
      <c r="Q53" s="227"/>
      <c r="R53" s="241"/>
      <c r="S53" s="248">
        <f t="shared" si="25"/>
        <v>1</v>
      </c>
      <c r="T53" s="241" t="str">
        <f t="shared" si="4"/>
        <v>NorthBound</v>
      </c>
      <c r="U53" s="24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7" t="str">
        <f t="shared" si="5"/>
        <v>https://d0f6bd738d7f1b3e5a7ca70fe4ff75f0.us-east-1.aws.found.io/app/kibana#/discover/Steve-Slow-Train-Analysis-(2080s-and-2083s)?_g=(refreshInterval:(display:Off,pause:!f,section:0,value:0),time:(from:'2017-12-28T07:39:25-0700',mode:absolute,to:'2017-12-28T10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3" s="246" t="str">
        <f>IF(AA53&lt;VLOOKUP(AG53,Variables!$AC$3:$AD$8,2,FALSE),"Y","N")</f>
        <v>N</v>
      </c>
      <c r="X53" s="246">
        <f t="shared" si="34"/>
        <v>1</v>
      </c>
      <c r="Y53" s="246">
        <f t="shared" si="32"/>
        <v>4.8899999999999999E-2</v>
      </c>
      <c r="Z53" s="246">
        <f t="shared" si="33"/>
        <v>23.330300000000001</v>
      </c>
      <c r="AA53" s="246">
        <f t="shared" si="9"/>
        <v>23.281400000000001</v>
      </c>
      <c r="AB53" s="232" t="e">
        <f>VLOOKUP(A53,Enforcements!$C$7:$K$9,8,0)</f>
        <v>#N/A</v>
      </c>
      <c r="AC53" s="231" t="e">
        <f>VLOOKUP(A53,Enforcements!$C$7:$E$9,3,0)</f>
        <v>#N/A</v>
      </c>
      <c r="AD53" s="242">
        <f t="shared" si="10"/>
        <v>141</v>
      </c>
      <c r="AE53" s="234" t="str">
        <f t="shared" si="11"/>
        <v>aws s3 cp s3://rtdc.mdm.uploadarchive.raw/RTDC4004/ "%USERPROFILE%\AppData\Local\Temp\OnboardLogs"\RTDC4004\2017-12-28 --exclude "*" --recursive --include "*20171228*" &amp; "%USERPROFILE%\Documents\GitHub\mrs-test-scripts\Headless Mode &amp; Sideloading\WalkAndUnGZ.bat" "%USERPROFILE%\AppData\Local\Temp\OnboardLogs"\RTDC4004\2017-12-28 &amp; aws s3 cp s3://rtdc.mdm.uploadarchive.raw/RTDC4004/ "%USERPROFILE%\AppData\Local\Temp\OnboardLogs"\RTDC4004\2017-12-29 --exclude "*" --recursive --include "*20171229*" &amp; "%USERPROFILE%\Documents\GitHub\mrs-test-scripts\Headless Mode &amp; Sideloading\WalkAndUnGZ.bat" "%USERPROFILE%\AppData\Local\Temp\OnboardLogs"\RTDC4004\2017-12-29</v>
      </c>
      <c r="AF53" s="233" t="str">
        <f t="shared" si="12"/>
        <v>"C:\Program Files (x86)\AstroGrep\AstroGrep.exe" /e /r /s /spath="%USERPROFILE%\AppData\Local\Temp\OnboardLogs" /stypes="app*4004*201712281*" /stext=" 16:.+?(?&gt;(PRM\|1\|D)|(KPR)|(KDP)|(train st[a-z]+ moving)|(SYSTEM_STATE:s[a-z]+ state changed)|(Enforcement Action)|(\[TIMEOUT)|(parse_ebi_status: Penalty)|(\|GPPS))"</v>
      </c>
      <c r="AG53" s="243" t="str">
        <f t="shared" si="13"/>
        <v>EC</v>
      </c>
      <c r="AH53" s="235" t="str">
        <f t="shared" si="19"/>
        <v>"%USERPROFILE%\Documents\GitHub\eaglep3\Utilities\RefineRTDCRunTimes.py" --tripid 141-28 --locoid 4004 --swversion DE.1.0.9.0 --startMP 204:489 --initTime 2017-12-28T08:39:25 --startdatetime 2017-12-28T08:45:15 --delay 81 --endMP 204:233303 --enddatetime 2017-12-28T09:21:33 --enforcementcount 0 &gt;&gt;%USERPROFILE%\Documents\GitHub\eaglep3-reporting\EC\2017-12-28-refined-times.txt</v>
      </c>
      <c r="AI53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{"issue":{"subject":"","project_id":79,"tracker_id":40,"status_id":1,"priority_id":2,"assigned_to_id":338,"start_date":"2017-12-28","description":"","custom_fields":[{"id":1,"name":"Subdivision","value":"EC"},{"id":4,"name":"Milepost","value":"23.3303"},{"id":17,"name":"Train ID","value":"141-28"},{"id":16,"name":"Locomotive ID","value":"4004"},{"id":130,"name":"Impact","value":""},{"id":150,"name":"Time of Event (Mountain Time)","value":"09:21:33"},{"id":151,"name":"Denver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2"/>
      <c r="AK53" s="230"/>
      <c r="AL53" s="230"/>
      <c r="AM53" s="239" t="str">
        <f t="shared" si="21"/>
        <v>start /low /b %USERPROFILE%\Documents\GitHub\eaglep3\Utilities\DownloadLogsFromS3.py --loco 4004 --day 2017-12-28</v>
      </c>
      <c r="AN53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16:21:33"},{"id":29,"name":"Sharepoint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29" t="str">
        <f t="shared" si="23"/>
        <v>https://d0f6bd738d7f1b3e5a7ca70fe4ff75f0.us-east-1.aws.found.io/app/kibana#/discover/Steve-Slow-Train-Analysis-(2080s-and-2083s)?_g=(refreshInterval:(display:Off,pause:!f,section:0,value:0),time:(from:'2017-12-28T07:39:25-0700',mode:absolute,to:'2017-12-28T10:21:33-0700'))&amp;_a=(columns:!('Message%20ID',Summary),filters:!(),index:'emp_*',interval:auto,query:(query_string:(analyze_wildcard:!t,query:'%22rtdc.l.rtdc.4004%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8" t="s">
        <v>768</v>
      </c>
      <c r="B54" s="224">
        <v>4003</v>
      </c>
      <c r="C54" s="226" t="s">
        <v>192</v>
      </c>
      <c r="D54" s="226" t="s">
        <v>931</v>
      </c>
      <c r="E54" s="225">
        <v>43097.391250000001</v>
      </c>
      <c r="F54" s="225">
        <v>43097.404328703706</v>
      </c>
      <c r="G54" s="224">
        <v>190</v>
      </c>
      <c r="H54" s="226" t="s">
        <v>583</v>
      </c>
      <c r="I54" s="225">
        <v>43097.429791666669</v>
      </c>
      <c r="J54" s="224">
        <v>0</v>
      </c>
      <c r="K54" s="236" t="str">
        <f t="shared" si="0"/>
        <v>4003/4004</v>
      </c>
      <c r="L54" s="244" t="str">
        <f>VLOOKUP(A54,'Trips&amp;Operators'!$C$1:$G$99911,5,FALSE)</f>
        <v>YANAI IAN</v>
      </c>
      <c r="M54" s="223">
        <f t="shared" si="1"/>
        <v>2.5462962963501923E-2</v>
      </c>
      <c r="N54" s="224">
        <f t="shared" si="24"/>
        <v>36.666666667442769</v>
      </c>
      <c r="O54" s="224"/>
      <c r="P54" s="224"/>
      <c r="Q54" s="227"/>
      <c r="R54" s="241"/>
      <c r="S54" s="248">
        <f t="shared" si="25"/>
        <v>1</v>
      </c>
      <c r="T54" s="241" t="str">
        <f t="shared" si="4"/>
        <v>Southbound</v>
      </c>
      <c r="U54" s="24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7" t="str">
        <f t="shared" si="5"/>
        <v>https://d0f6bd738d7f1b3e5a7ca70fe4ff75f0.us-east-1.aws.found.io/app/kibana#/discover/Steve-Slow-Train-Analysis-(2080s-and-2083s)?_g=(refreshInterval:(display:Off,pause:!f,section:0,value:0),time:(from:'2017-12-28T08:23:24-0700',mode:absolute,to:'2017-12-28T11:18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4" s="246" t="str">
        <f>IF(AA54&lt;VLOOKUP(AG54,Variables!$AC$3:$AD$8,2,FALSE),"Y","N")</f>
        <v>N</v>
      </c>
      <c r="X54" s="246">
        <f t="shared" si="34"/>
        <v>1</v>
      </c>
      <c r="Y54" s="246">
        <f t="shared" si="32"/>
        <v>23.2988</v>
      </c>
      <c r="Z54" s="246">
        <f t="shared" si="33"/>
        <v>2.3099999999999999E-2</v>
      </c>
      <c r="AA54" s="246">
        <f t="shared" si="9"/>
        <v>23.275700000000001</v>
      </c>
      <c r="AB54" s="232" t="e">
        <f>VLOOKUP(A54,Enforcements!$C$7:$K$9,8,0)</f>
        <v>#N/A</v>
      </c>
      <c r="AC54" s="231" t="e">
        <f>VLOOKUP(A54,Enforcements!$C$7:$E$9,3,0)</f>
        <v>#N/A</v>
      </c>
      <c r="AD54" s="242">
        <f t="shared" si="10"/>
        <v>142</v>
      </c>
      <c r="AE54" s="234" t="str">
        <f t="shared" si="11"/>
        <v>aws s3 cp s3://rtdc.mdm.uploadarchive.raw/RTDC4003/ "%USERPROFILE%\AppData\Local\Temp\OnboardLogs"\RTDC4003\2017-12-28 --exclude "*" --recursive --include "*20171228*" &amp; "%USERPROFILE%\Documents\GitHub\mrs-test-scripts\Headless Mode &amp; Sideloading\WalkAndUnGZ.bat" "%USERPROFILE%\AppData\Local\Temp\OnboardLogs"\RTDC4003\2017-12-28 &amp; aws s3 cp s3://rtdc.mdm.uploadarchive.raw/RTDC4003/ "%USERPROFILE%\AppData\Local\Temp\OnboardLogs"\RTDC4003\2017-12-29 --exclude "*" --recursive --include "*20171229*" &amp; "%USERPROFILE%\Documents\GitHub\mrs-test-scripts\Headless Mode &amp; Sideloading\WalkAndUnGZ.bat" "%USERPROFILE%\AppData\Local\Temp\OnboardLogs"\RTDC4003\2017-12-29</v>
      </c>
      <c r="AF54" s="233" t="str">
        <f t="shared" si="12"/>
        <v>"C:\Program Files (x86)\AstroGrep\AstroGrep.exe" /e /r /s /spath="%USERPROFILE%\AppData\Local\Temp\OnboardLogs" /stypes="app*4003*201712281*" /stext=" 17:.+?(?&gt;(PRM\|1\|D)|(KPR)|(KDP)|(train st[a-z]+ moving)|(SYSTEM_STATE:s[a-z]+ state changed)|(Enforcement Action)|(\[TIMEOUT)|(parse_ebi_status: Penalty)|(\|GPPS))"</v>
      </c>
      <c r="AG54" s="243" t="str">
        <f t="shared" si="13"/>
        <v>EC</v>
      </c>
      <c r="AH54" s="235" t="str">
        <f t="shared" si="19"/>
        <v>"%USERPROFILE%\Documents\GitHub\eaglep3\Utilities\RefineRTDCRunTimes.py" --tripid 142-28 --locoid 4003 --swversion DE.1.0.9.0 --startMP 204:232988 --initTime 2017-12-28T09:23:24 --startdatetime 2017-12-28T09:42:14 --delay 190 --endMP 204:231 --enddatetime 2017-12-28T10:18:54 --enforcementcount 0 &gt;&gt;%USERPROFILE%\Documents\GitHub\eaglep3-reporting\EC\2017-12-28-refined-times.txt</v>
      </c>
      <c r="AI54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{"issue":{"subject":"","project_id":79,"tracker_id":40,"status_id":1,"priority_id":2,"assigned_to_id":338,"start_date":"2017-12-28","description":"","custom_fields":[{"id":1,"name":"Subdivision","value":"EC"},{"id":4,"name":"Milepost","value":"0.0231"},{"id":17,"name":"Train ID","value":"142-28"},{"id":16,"name":"Locomotive ID","value":"4003"},{"id":130,"name":"Impact","value":""},{"id":150,"name":"Time of Event (Mountain Time)","value":"10:18:54"},{"id":151,"name":"Denver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2"/>
      <c r="AK54" s="230"/>
      <c r="AL54" s="230"/>
      <c r="AM54" s="239" t="str">
        <f t="shared" si="21"/>
        <v>start /low /b %USERPROFILE%\Documents\GitHub\eaglep3\Utilities\DownloadLogsFromS3.py --loco 4003 --day 2017-12-28</v>
      </c>
      <c r="AN54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17:18:54"},{"id":29,"name":"Sharepoint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29" t="str">
        <f t="shared" si="23"/>
        <v>https://d0f6bd738d7f1b3e5a7ca70fe4ff75f0.us-east-1.aws.found.io/app/kibana#/discover/Steve-Slow-Train-Analysis-(2080s-and-2083s)?_g=(refreshInterval:(display:Off,pause:!f,section:0,value:0),time:(from:'2017-12-28T08:23:24-0700',mode:absolute,to:'2017-12-28T11:18:54-0700'))&amp;_a=(columns:!('Message%20ID',Summary),filters:!(),index:'emp_*',interval:auto,query:(query_string:(analyze_wildcard:!t,query:'%22rtdc.l.rtdc.4003%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8" t="s">
        <v>762</v>
      </c>
      <c r="B55" s="224">
        <v>4042</v>
      </c>
      <c r="C55" s="226" t="s">
        <v>192</v>
      </c>
      <c r="D55" s="226" t="s">
        <v>648</v>
      </c>
      <c r="E55" s="225">
        <v>43097.37023148148</v>
      </c>
      <c r="F55" s="225">
        <v>43097.375208333331</v>
      </c>
      <c r="G55" s="224">
        <v>45</v>
      </c>
      <c r="H55" s="226" t="s">
        <v>629</v>
      </c>
      <c r="I55" s="225">
        <v>43097.399814814817</v>
      </c>
      <c r="J55" s="224">
        <v>0</v>
      </c>
      <c r="K55" s="236" t="str">
        <f t="shared" si="0"/>
        <v>4041/4042</v>
      </c>
      <c r="L55" s="244" t="str">
        <f>VLOOKUP(A55,'Trips&amp;Operators'!$C$1:$G$99911,5,FALSE)</f>
        <v>MAELZER KURT</v>
      </c>
      <c r="M55" s="223">
        <f t="shared" si="1"/>
        <v>2.4606481485534459E-2</v>
      </c>
      <c r="N55" s="224">
        <f t="shared" si="24"/>
        <v>35.433333339169621</v>
      </c>
      <c r="O55" s="224"/>
      <c r="P55" s="224"/>
      <c r="Q55" s="227"/>
      <c r="R55" s="241"/>
      <c r="S55" s="248">
        <f t="shared" si="25"/>
        <v>1</v>
      </c>
      <c r="T55" s="241" t="str">
        <f t="shared" si="4"/>
        <v>NorthBound</v>
      </c>
      <c r="U55" s="24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7" t="str">
        <f t="shared" si="5"/>
        <v>https://d0f6bd738d7f1b3e5a7ca70fe4ff75f0.us-east-1.aws.found.io/app/kibana#/discover/Steve-Slow-Train-Analysis-(2080s-and-2083s)?_g=(refreshInterval:(display:Off,pause:!f,section:0,value:0),time:(from:'2017-12-28T07:53:08-0700',mode:absolute,to:'2017-12-28T10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5" s="246" t="str">
        <f>IF(AA55&lt;VLOOKUP(AG55,Variables!$AC$3:$AD$8,2,FALSE),"Y","N")</f>
        <v>N</v>
      </c>
      <c r="X55" s="246">
        <f t="shared" si="34"/>
        <v>1</v>
      </c>
      <c r="Y55" s="246">
        <f t="shared" si="32"/>
        <v>4.7500000000000001E-2</v>
      </c>
      <c r="Z55" s="246">
        <f t="shared" si="33"/>
        <v>23.331199999999999</v>
      </c>
      <c r="AA55" s="246">
        <f t="shared" si="9"/>
        <v>23.2837</v>
      </c>
      <c r="AB55" s="232" t="e">
        <f>VLOOKUP(A55,Enforcements!$C$7:$K$9,8,0)</f>
        <v>#N/A</v>
      </c>
      <c r="AC55" s="231" t="e">
        <f>VLOOKUP(A55,Enforcements!$C$7:$E$9,3,0)</f>
        <v>#N/A</v>
      </c>
      <c r="AD55" s="242">
        <f t="shared" si="10"/>
        <v>143</v>
      </c>
      <c r="AE55" s="234" t="str">
        <f t="shared" si="11"/>
        <v>aws s3 cp s3://rtdc.mdm.uploadarchive.raw/RTDC4042/ "%USERPROFILE%\AppData\Local\Temp\OnboardLogs"\RTDC4042\2017-12-28 --exclude "*" --recursive --include "*20171228*" &amp; "%USERPROFILE%\Documents\GitHub\mrs-test-scripts\Headless Mode &amp; Sideloading\WalkAndUnGZ.bat" "%USERPROFILE%\AppData\Local\Temp\OnboardLogs"\RTDC4042\2017-12-28 &amp; aws s3 cp s3://rtdc.mdm.uploadarchive.raw/RTDC4042/ "%USERPROFILE%\AppData\Local\Temp\OnboardLogs"\RTDC4042\2017-12-29 --exclude "*" --recursive --include "*20171229*" &amp; "%USERPROFILE%\Documents\GitHub\mrs-test-scripts\Headless Mode &amp; Sideloading\WalkAndUnGZ.bat" "%USERPROFILE%\AppData\Local\Temp\OnboardLogs"\RTDC4042\2017-12-29</v>
      </c>
      <c r="AF55" s="233" t="str">
        <f t="shared" si="12"/>
        <v>"C:\Program Files (x86)\AstroGrep\AstroGrep.exe" /e /r /s /spath="%USERPROFILE%\AppData\Local\Temp\OnboardLogs" /stypes="app*4042*201712281*" /stext=" 16:.+?(?&gt;(PRM\|1\|D)|(KPR)|(KDP)|(train st[a-z]+ moving)|(SYSTEM_STATE:s[a-z]+ state changed)|(Enforcement Action)|(\[TIMEOUT)|(parse_ebi_status: Penalty)|(\|GPPS))"</v>
      </c>
      <c r="AG55" s="243" t="str">
        <f t="shared" si="13"/>
        <v>EC</v>
      </c>
      <c r="AH55" s="235" t="str">
        <f t="shared" si="19"/>
        <v>"%USERPROFILE%\Documents\GitHub\eaglep3\Utilities\RefineRTDCRunTimes.py" --tripid 143-28 --locoid 4042 --swversion DE.1.0.9.0 --startMP 204:475 --initTime 2017-12-28T08:53:08 --startdatetime 2017-12-28T09:00:18 --delay 45 --endMP 204:233312 --enddatetime 2017-12-28T09:35:44 --enforcementcount 0 &gt;&gt;%USERPROFILE%\Documents\GitHub\eaglep3-reporting\EC\2017-12-28-refined-times.txt</v>
      </c>
      <c r="AI55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{"issue":{"subject":"","project_id":79,"tracker_id":40,"status_id":1,"priority_id":2,"assigned_to_id":338,"start_date":"2017-12-28","description":"","custom_fields":[{"id":1,"name":"Subdivision","value":"EC"},{"id":4,"name":"Milepost","value":"23.3312"},{"id":17,"name":"Train ID","value":"143-28"},{"id":16,"name":"Locomotive ID","value":"4042"},{"id":130,"name":"Impact","value":""},{"id":150,"name":"Time of Event (Mountain Time)","value":"09:35:44"},{"id":151,"name":"Denver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2"/>
      <c r="AK55" s="230"/>
      <c r="AL55" s="230"/>
      <c r="AM55" s="239" t="str">
        <f t="shared" si="21"/>
        <v>start /low /b %USERPROFILE%\Documents\GitHub\eaglep3\Utilities\DownloadLogsFromS3.py --loco 4042 --day 2017-12-28</v>
      </c>
      <c r="AN55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16:35:44"},{"id":29,"name":"Sharepoint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29" t="str">
        <f t="shared" si="23"/>
        <v>https://d0f6bd738d7f1b3e5a7ca70fe4ff75f0.us-east-1.aws.found.io/app/kibana#/discover/Steve-Slow-Train-Analysis-(2080s-and-2083s)?_g=(refreshInterval:(display:Off,pause:!f,section:0,value:0),time:(from:'2017-12-28T07:53:08-0700',mode:absolute,to:'2017-12-28T10:35:44-0700'))&amp;_a=(columns:!('Message%20ID',Summary),filters:!(),index:'emp_*',interval:auto,query:(query_string:(analyze_wildcard:!t,query:'%22rtdc.l.rtdc.4042%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8" t="s">
        <v>770</v>
      </c>
      <c r="B56" s="224">
        <v>4041</v>
      </c>
      <c r="C56" s="226" t="s">
        <v>192</v>
      </c>
      <c r="D56" s="226" t="s">
        <v>490</v>
      </c>
      <c r="E56" s="225">
        <v>43097.408564814818</v>
      </c>
      <c r="F56" s="225">
        <v>43097.41479166667</v>
      </c>
      <c r="G56" s="224">
        <v>49</v>
      </c>
      <c r="H56" s="226" t="s">
        <v>641</v>
      </c>
      <c r="I56" s="225">
        <v>43097.440740740742</v>
      </c>
      <c r="J56" s="224">
        <v>0</v>
      </c>
      <c r="K56" s="236" t="str">
        <f t="shared" si="0"/>
        <v>4041/4042</v>
      </c>
      <c r="L56" s="244" t="str">
        <f>VLOOKUP(A56,'Trips&amp;Operators'!$C$1:$G$99911,5,FALSE)</f>
        <v>MAELZER KURT</v>
      </c>
      <c r="M56" s="223">
        <f t="shared" si="1"/>
        <v>2.5949074071832001E-2</v>
      </c>
      <c r="N56" s="224">
        <f t="shared" si="24"/>
        <v>37.366666663438082</v>
      </c>
      <c r="O56" s="224"/>
      <c r="P56" s="224"/>
      <c r="Q56" s="227"/>
      <c r="R56" s="241"/>
      <c r="S56" s="248">
        <f t="shared" si="25"/>
        <v>1</v>
      </c>
      <c r="T56" s="241" t="str">
        <f t="shared" si="4"/>
        <v>Southbound</v>
      </c>
      <c r="U56" s="24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7" t="str">
        <f t="shared" si="5"/>
        <v>https://d0f6bd738d7f1b3e5a7ca70fe4ff75f0.us-east-1.aws.found.io/app/kibana#/discover/Steve-Slow-Train-Analysis-(2080s-and-2083s)?_g=(refreshInterval:(display:Off,pause:!f,section:0,value:0),time:(from:'2017-12-28T08:48:20-0700',mode:absolute,to:'2017-12-28T11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6" s="246" t="str">
        <f>IF(AA56&lt;VLOOKUP(AG56,Variables!$AC$3:$AD$8,2,FALSE),"Y","N")</f>
        <v>N</v>
      </c>
      <c r="X56" s="246">
        <f t="shared" si="34"/>
        <v>1</v>
      </c>
      <c r="Y56" s="246">
        <f t="shared" si="32"/>
        <v>23.299800000000001</v>
      </c>
      <c r="Z56" s="246">
        <f t="shared" si="33"/>
        <v>1.9099999999999999E-2</v>
      </c>
      <c r="AA56" s="246">
        <f t="shared" si="9"/>
        <v>23.2807</v>
      </c>
      <c r="AB56" s="232" t="e">
        <f>VLOOKUP(A56,Enforcements!$C$7:$K$9,8,0)</f>
        <v>#N/A</v>
      </c>
      <c r="AC56" s="231" t="e">
        <f>VLOOKUP(A56,Enforcements!$C$7:$E$9,3,0)</f>
        <v>#N/A</v>
      </c>
      <c r="AD56" s="242">
        <f t="shared" si="10"/>
        <v>144</v>
      </c>
      <c r="AE56" s="234" t="str">
        <f t="shared" si="11"/>
        <v>aws s3 cp s3://rtdc.mdm.uploadarchive.raw/RTDC4041/ "%USERPROFILE%\AppData\Local\Temp\OnboardLogs"\RTDC4041\2017-12-28 --exclude "*" --recursive --include "*20171228*" &amp; "%USERPROFILE%\Documents\GitHub\mrs-test-scripts\Headless Mode &amp; Sideloading\WalkAndUnGZ.bat" "%USERPROFILE%\AppData\Local\Temp\OnboardLogs"\RTDC4041\2017-12-28 &amp; aws s3 cp s3://rtdc.mdm.uploadarchive.raw/RTDC4041/ "%USERPROFILE%\AppData\Local\Temp\OnboardLogs"\RTDC4041\2017-12-29 --exclude "*" --recursive --include "*20171229*" &amp; "%USERPROFILE%\Documents\GitHub\mrs-test-scripts\Headless Mode &amp; Sideloading\WalkAndUnGZ.bat" "%USERPROFILE%\AppData\Local\Temp\OnboardLogs"\RTDC4041\2017-12-29</v>
      </c>
      <c r="AF56" s="233" t="str">
        <f t="shared" si="12"/>
        <v>"C:\Program Files (x86)\AstroGrep\AstroGrep.exe" /e /r /s /spath="%USERPROFILE%\AppData\Local\Temp\OnboardLogs" /stypes="app*4041*201712281*" /stext=" 17:.+?(?&gt;(PRM\|1\|D)|(KPR)|(KDP)|(train st[a-z]+ moving)|(SYSTEM_STATE:s[a-z]+ state changed)|(Enforcement Action)|(\[TIMEOUT)|(parse_ebi_status: Penalty)|(\|GPPS))"</v>
      </c>
      <c r="AG56" s="243" t="str">
        <f t="shared" si="13"/>
        <v>EC</v>
      </c>
      <c r="AH56" s="235" t="str">
        <f t="shared" si="19"/>
        <v>"%USERPROFILE%\Documents\GitHub\eaglep3\Utilities\RefineRTDCRunTimes.py" --tripid 144-28 --locoid 4041 --swversion DE.1.0.9.0 --startMP 204:232998 --initTime 2017-12-28T09:48:20 --startdatetime 2017-12-28T09:57:18 --delay 49 --endMP 204:191 --enddatetime 2017-12-28T10:34:40 --enforcementcount 0 &gt;&gt;%USERPROFILE%\Documents\GitHub\eaglep3-reporting\EC\2017-12-28-refined-times.txt</v>
      </c>
      <c r="AI56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{"issue":{"subject":"","project_id":79,"tracker_id":40,"status_id":1,"priority_id":2,"assigned_to_id":338,"start_date":"2017-12-28","description":"","custom_fields":[{"id":1,"name":"Subdivision","value":"EC"},{"id":4,"name":"Milepost","value":"0.0191"},{"id":17,"name":"Train ID","value":"144-28"},{"id":16,"name":"Locomotive ID","value":"4041"},{"id":130,"name":"Impact","value":""},{"id":150,"name":"Time of Event (Mountain Time)","value":"10:34:40"},{"id":151,"name":"Denver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2"/>
      <c r="AK56" s="230"/>
      <c r="AL56" s="230"/>
      <c r="AM56" s="239" t="str">
        <f t="shared" si="21"/>
        <v>start /low /b %USERPROFILE%\Documents\GitHub\eaglep3\Utilities\DownloadLogsFromS3.py --loco 4041 --day 2017-12-28</v>
      </c>
      <c r="AN56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17:34:40"},{"id":29,"name":"Sharepoint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29" t="str">
        <f t="shared" si="23"/>
        <v>https://d0f6bd738d7f1b3e5a7ca70fe4ff75f0.us-east-1.aws.found.io/app/kibana#/discover/Steve-Slow-Train-Analysis-(2080s-and-2083s)?_g=(refreshInterval:(display:Off,pause:!f,section:0,value:0),time:(from:'2017-12-28T08:48:20-0700',mode:absolute,to:'2017-12-28T11:34:40-0700'))&amp;_a=(columns:!('Message%20ID',Summary),filters:!(),index:'emp_*',interval:auto,query:(query_string:(analyze_wildcard:!t,query:'%22rtdc.l.rtdc.4041%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8" t="s">
        <v>766</v>
      </c>
      <c r="B57" s="224">
        <v>4064</v>
      </c>
      <c r="C57" s="226" t="s">
        <v>192</v>
      </c>
      <c r="D57" s="226" t="s">
        <v>578</v>
      </c>
      <c r="E57" s="225">
        <v>43097.380358796298</v>
      </c>
      <c r="F57" s="225">
        <v>43097.385625000003</v>
      </c>
      <c r="G57" s="224">
        <v>55</v>
      </c>
      <c r="H57" s="226" t="s">
        <v>565</v>
      </c>
      <c r="I57" s="225">
        <v>43097.411365740743</v>
      </c>
      <c r="J57" s="224">
        <v>0</v>
      </c>
      <c r="K57" s="236" t="str">
        <f t="shared" si="0"/>
        <v>4063/4064</v>
      </c>
      <c r="L57" s="244" t="str">
        <f>VLOOKUP(A57,'Trips&amp;Operators'!$C$1:$G$99911,5,FALSE)</f>
        <v>DAVIDSON DAVID</v>
      </c>
      <c r="M57" s="223">
        <f t="shared" si="1"/>
        <v>2.5740740740729962E-2</v>
      </c>
      <c r="N57" s="224">
        <f t="shared" si="24"/>
        <v>37.066666666651145</v>
      </c>
      <c r="O57" s="224"/>
      <c r="P57" s="224"/>
      <c r="Q57" s="227"/>
      <c r="R57" s="241"/>
      <c r="S57" s="248">
        <f t="shared" si="25"/>
        <v>1</v>
      </c>
      <c r="T57" s="241" t="str">
        <f t="shared" si="4"/>
        <v>NorthBound</v>
      </c>
      <c r="U57" s="24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7" t="str">
        <f t="shared" si="5"/>
        <v>https://d0f6bd738d7f1b3e5a7ca70fe4ff75f0.us-east-1.aws.found.io/app/kibana#/discover/Steve-Slow-Train-Analysis-(2080s-and-2083s)?_g=(refreshInterval:(display:Off,pause:!f,section:0,value:0),time:(from:'2017-12-28T08:07:43-0700',mode:absolute,to:'2017-12-28T10:52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7" s="246" t="str">
        <f>IF(AA57&lt;VLOOKUP(AG57,Variables!$AC$3:$AD$8,2,FALSE),"Y","N")</f>
        <v>N</v>
      </c>
      <c r="X57" s="246">
        <f t="shared" si="34"/>
        <v>1</v>
      </c>
      <c r="Y57" s="246">
        <f t="shared" si="32"/>
        <v>5.33E-2</v>
      </c>
      <c r="Z57" s="246">
        <f t="shared" si="33"/>
        <v>23.328399999999998</v>
      </c>
      <c r="AA57" s="246">
        <f t="shared" si="9"/>
        <v>23.275099999999998</v>
      </c>
      <c r="AB57" s="232" t="e">
        <f>VLOOKUP(A57,Enforcements!$C$7:$K$9,8,0)</f>
        <v>#N/A</v>
      </c>
      <c r="AC57" s="231" t="e">
        <f>VLOOKUP(A57,Enforcements!$C$7:$E$9,3,0)</f>
        <v>#N/A</v>
      </c>
      <c r="AD57" s="242">
        <f t="shared" si="10"/>
        <v>145</v>
      </c>
      <c r="AE57" s="234" t="str">
        <f t="shared" si="11"/>
        <v>aws s3 cp s3://rtdc.mdm.uploadarchive.raw/RTDC4064/ "%USERPROFILE%\AppData\Local\Temp\OnboardLogs"\RTDC4064\2017-12-28 --exclude "*" --recursive --include "*20171228*" &amp; "%USERPROFILE%\Documents\GitHub\mrs-test-scripts\Headless Mode &amp; Sideloading\WalkAndUnGZ.bat" "%USERPROFILE%\AppData\Local\Temp\OnboardLogs"\RTDC4064\2017-12-28 &amp; aws s3 cp s3://rtdc.mdm.uploadarchive.raw/RTDC4064/ "%USERPROFILE%\AppData\Local\Temp\OnboardLogs"\RTDC4064\2017-12-29 --exclude "*" --recursive --include "*20171229*" &amp; "%USERPROFILE%\Documents\GitHub\mrs-test-scripts\Headless Mode &amp; Sideloading\WalkAndUnGZ.bat" "%USERPROFILE%\AppData\Local\Temp\OnboardLogs"\RTDC4064\2017-12-29</v>
      </c>
      <c r="AF57" s="233" t="str">
        <f t="shared" si="12"/>
        <v>"C:\Program Files (x86)\AstroGrep\AstroGrep.exe" /e /r /s /spath="%USERPROFILE%\AppData\Local\Temp\OnboardLogs" /stypes="app*4064*201712281*" /stext=" 16:.+?(?&gt;(PRM\|1\|D)|(KPR)|(KDP)|(train st[a-z]+ moving)|(SYSTEM_STATE:s[a-z]+ state changed)|(Enforcement Action)|(\[TIMEOUT)|(parse_ebi_status: Penalty)|(\|GPPS))"</v>
      </c>
      <c r="AG57" s="243" t="str">
        <f t="shared" si="13"/>
        <v>EC</v>
      </c>
      <c r="AH57" s="235" t="str">
        <f t="shared" si="19"/>
        <v>"%USERPROFILE%\Documents\GitHub\eaglep3\Utilities\RefineRTDCRunTimes.py" --tripid 145-28 --locoid 4064 --swversion DE.1.0.9.0 --startMP 204:533 --initTime 2017-12-28T09:07:43 --startdatetime 2017-12-28T09:15:18 --delay 55 --endMP 204:233284 --enddatetime 2017-12-28T09:52:22 --enforcementcount 0 &gt;&gt;%USERPROFILE%\Documents\GitHub\eaglep3-reporting\EC\2017-12-28-refined-times.txt</v>
      </c>
      <c r="AI57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{"issue":{"subject":"","project_id":79,"tracker_id":40,"status_id":1,"priority_id":2,"assigned_to_id":338,"start_date":"2017-12-28","description":"","custom_fields":[{"id":1,"name":"Subdivision","value":"EC"},{"id":4,"name":"Milepost","value":"23.3284"},{"id":17,"name":"Train ID","value":"145-28"},{"id":16,"name":"Locomotive ID","value":"4064"},{"id":130,"name":"Impact","value":""},{"id":150,"name":"Time of Event (Mountain Time)","value":"09:52:22"},{"id":151,"name":"Denver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2"/>
      <c r="AK57" s="230"/>
      <c r="AL57" s="230"/>
      <c r="AM57" s="239" t="str">
        <f t="shared" si="21"/>
        <v>start /low /b %USERPROFILE%\Documents\GitHub\eaglep3\Utilities\DownloadLogsFromS3.py --loco 4064 --day 2017-12-28</v>
      </c>
      <c r="AN57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16:52:22"},{"id":29,"name":"Sharepoint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29" t="str">
        <f t="shared" si="23"/>
        <v>https://d0f6bd738d7f1b3e5a7ca70fe4ff75f0.us-east-1.aws.found.io/app/kibana#/discover/Steve-Slow-Train-Analysis-(2080s-and-2083s)?_g=(refreshInterval:(display:Off,pause:!f,section:0,value:0),time:(from:'2017-12-28T08:07:43-0700',mode:absolute,to:'2017-12-28T10:52:22-0700'))&amp;_a=(columns:!('Message%20ID',Summary),filters:!(),index:'emp_*',interval:auto,query:(query_string:(analyze_wildcard:!t,query:'%22rtdc.l.rtdc.4064%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8" t="s">
        <v>772</v>
      </c>
      <c r="B58" s="224">
        <v>4063</v>
      </c>
      <c r="C58" s="226" t="s">
        <v>192</v>
      </c>
      <c r="D58" s="226" t="s">
        <v>940</v>
      </c>
      <c r="E58" s="225">
        <v>43097.413113425922</v>
      </c>
      <c r="F58" s="225">
        <v>43097.425196759257</v>
      </c>
      <c r="G58" s="224">
        <v>64</v>
      </c>
      <c r="H58" s="226" t="s">
        <v>583</v>
      </c>
      <c r="I58" s="225">
        <v>43097.451550925929</v>
      </c>
      <c r="J58" s="224">
        <v>0</v>
      </c>
      <c r="K58" s="236" t="str">
        <f t="shared" si="0"/>
        <v>4063/4064</v>
      </c>
      <c r="L58" s="244" t="str">
        <f>VLOOKUP(A58,'Trips&amp;Operators'!$C$1:$G$99911,5,FALSE)</f>
        <v>DAVIDSON DAVID</v>
      </c>
      <c r="M58" s="223">
        <f t="shared" si="1"/>
        <v>2.6354166671808343E-2</v>
      </c>
      <c r="N58" s="224">
        <f t="shared" si="24"/>
        <v>37.950000007404014</v>
      </c>
      <c r="O58" s="224"/>
      <c r="P58" s="224"/>
      <c r="Q58" s="227"/>
      <c r="R58" s="241"/>
      <c r="S58" s="248">
        <f t="shared" si="25"/>
        <v>1</v>
      </c>
      <c r="T58" s="241" t="str">
        <f t="shared" si="4"/>
        <v>Southbound</v>
      </c>
      <c r="U58" s="24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7" t="str">
        <f t="shared" si="5"/>
        <v>https://d0f6bd738d7f1b3e5a7ca70fe4ff75f0.us-east-1.aws.found.io/app/kibana#/discover/Steve-Slow-Train-Analysis-(2080s-and-2083s)?_g=(refreshInterval:(display:Off,pause:!f,section:0,value:0),time:(from:'2017-12-28T08:54:53-0700',mode:absolute,to:'2017-12-28T11:50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8" s="246" t="str">
        <f>IF(AA58&lt;VLOOKUP(AG58,Variables!$AC$3:$AD$8,2,FALSE),"Y","N")</f>
        <v>N</v>
      </c>
      <c r="X58" s="246">
        <f t="shared" si="34"/>
        <v>1</v>
      </c>
      <c r="Y58" s="246">
        <f t="shared" si="32"/>
        <v>23.296700000000001</v>
      </c>
      <c r="Z58" s="246">
        <f t="shared" si="33"/>
        <v>2.3099999999999999E-2</v>
      </c>
      <c r="AA58" s="246">
        <f t="shared" si="9"/>
        <v>23.273600000000002</v>
      </c>
      <c r="AB58" s="232" t="e">
        <f>VLOOKUP(A58,Enforcements!$C$7:$K$9,8,0)</f>
        <v>#N/A</v>
      </c>
      <c r="AC58" s="231" t="e">
        <f>VLOOKUP(A58,Enforcements!$C$7:$E$9,3,0)</f>
        <v>#N/A</v>
      </c>
      <c r="AD58" s="242">
        <f t="shared" si="10"/>
        <v>146</v>
      </c>
      <c r="AE58" s="234" t="str">
        <f t="shared" si="11"/>
        <v>aws s3 cp s3://rtdc.mdm.uploadarchive.raw/RTDC4063/ "%USERPROFILE%\AppData\Local\Temp\OnboardLogs"\RTDC4063\2017-12-28 --exclude "*" --recursive --include "*20171228*" &amp; "%USERPROFILE%\Documents\GitHub\mrs-test-scripts\Headless Mode &amp; Sideloading\WalkAndUnGZ.bat" "%USERPROFILE%\AppData\Local\Temp\OnboardLogs"\RTDC4063\2017-12-28 &amp; aws s3 cp s3://rtdc.mdm.uploadarchive.raw/RTDC4063/ "%USERPROFILE%\AppData\Local\Temp\OnboardLogs"\RTDC4063\2017-12-29 --exclude "*" --recursive --include "*20171229*" &amp; "%USERPROFILE%\Documents\GitHub\mrs-test-scripts\Headless Mode &amp; Sideloading\WalkAndUnGZ.bat" "%USERPROFILE%\AppData\Local\Temp\OnboardLogs"\RTDC4063\2017-12-29</v>
      </c>
      <c r="AF58" s="233" t="str">
        <f t="shared" si="12"/>
        <v>"C:\Program Files (x86)\AstroGrep\AstroGrep.exe" /e /r /s /spath="%USERPROFILE%\AppData\Local\Temp\OnboardLogs" /stypes="app*4063*201712281*" /stext=" 17:.+?(?&gt;(PRM\|1\|D)|(KPR)|(KDP)|(train st[a-z]+ moving)|(SYSTEM_STATE:s[a-z]+ state changed)|(Enforcement Action)|(\[TIMEOUT)|(parse_ebi_status: Penalty)|(\|GPPS))"</v>
      </c>
      <c r="AG58" s="243" t="str">
        <f t="shared" si="13"/>
        <v>EC</v>
      </c>
      <c r="AH58" s="235" t="str">
        <f t="shared" si="19"/>
        <v>"%USERPROFILE%\Documents\GitHub\eaglep3\Utilities\RefineRTDCRunTimes.py" --tripid 146-28 --locoid 4063 --swversion DE.1.0.9.0 --startMP 204:232967 --initTime 2017-12-28T09:54:53 --startdatetime 2017-12-28T10:12:17 --delay 64 --endMP 204:231 --enddatetime 2017-12-28T10:50:14 --enforcementcount 0 &gt;&gt;%USERPROFILE%\Documents\GitHub\eaglep3-reporting\EC\2017-12-28-refined-times.txt</v>
      </c>
      <c r="AI58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{"issue":{"subject":"","project_id":79,"tracker_id":40,"status_id":1,"priority_id":2,"assigned_to_id":338,"start_date":"2017-12-28","description":"","custom_fields":[{"id":1,"name":"Subdivision","value":"EC"},{"id":4,"name":"Milepost","value":"0.0231"},{"id":17,"name":"Train ID","value":"146-28"},{"id":16,"name":"Locomotive ID","value":"4063"},{"id":130,"name":"Impact","value":""},{"id":150,"name":"Time of Event (Mountain Time)","value":"10:50:14"},{"id":151,"name":"Denver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2"/>
      <c r="AK58" s="230"/>
      <c r="AL58" s="230"/>
      <c r="AM58" s="239" t="str">
        <f t="shared" si="21"/>
        <v>start /low /b %USERPROFILE%\Documents\GitHub\eaglep3\Utilities\DownloadLogsFromS3.py --loco 4063 --day 2017-12-28</v>
      </c>
      <c r="AN58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17:50:14"},{"id":29,"name":"Sharepoint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29" t="str">
        <f t="shared" si="23"/>
        <v>https://d0f6bd738d7f1b3e5a7ca70fe4ff75f0.us-east-1.aws.found.io/app/kibana#/discover/Steve-Slow-Train-Analysis-(2080s-and-2083s)?_g=(refreshInterval:(display:Off,pause:!f,section:0,value:0),time:(from:'2017-12-28T08:54:53-0700',mode:absolute,to:'2017-12-28T11:50:14-0700'))&amp;_a=(columns:!('Message%20ID',Summary),filters:!(),index:'emp_*',interval:auto,query:(query_string:(analyze_wildcard:!t,query:'%22rtdc.l.rtdc.4063%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8" t="s">
        <v>767</v>
      </c>
      <c r="B59" s="224">
        <v>4014</v>
      </c>
      <c r="C59" s="226" t="s">
        <v>192</v>
      </c>
      <c r="D59" s="226" t="s">
        <v>941</v>
      </c>
      <c r="E59" s="225">
        <v>43097.389826388891</v>
      </c>
      <c r="F59" s="225">
        <v>43097.396006944444</v>
      </c>
      <c r="G59" s="224">
        <v>73</v>
      </c>
      <c r="H59" s="226" t="s">
        <v>942</v>
      </c>
      <c r="I59" s="225">
        <v>43097.42114583333</v>
      </c>
      <c r="J59" s="224">
        <v>0</v>
      </c>
      <c r="K59" s="236" t="str">
        <f t="shared" si="0"/>
        <v>4013/4014</v>
      </c>
      <c r="L59" s="244" t="str">
        <f>VLOOKUP(A59,'Trips&amp;Operators'!$C$1:$G$99911,5,FALSE)</f>
        <v>LONG FULLER</v>
      </c>
      <c r="M59" s="223">
        <f t="shared" si="1"/>
        <v>2.5138888886431232E-2</v>
      </c>
      <c r="N59" s="224">
        <f t="shared" si="24"/>
        <v>36.199999996460974</v>
      </c>
      <c r="O59" s="224"/>
      <c r="P59" s="224"/>
      <c r="Q59" s="227"/>
      <c r="R59" s="241"/>
      <c r="S59" s="248">
        <f t="shared" si="25"/>
        <v>1</v>
      </c>
      <c r="T59" s="241" t="str">
        <f t="shared" si="4"/>
        <v>NorthBound</v>
      </c>
      <c r="U59" s="24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7" t="str">
        <f t="shared" si="5"/>
        <v>https://d0f6bd738d7f1b3e5a7ca70fe4ff75f0.us-east-1.aws.found.io/app/kibana#/discover/Steve-Slow-Train-Analysis-(2080s-and-2083s)?_g=(refreshInterval:(display:Off,pause:!f,section:0,value:0),time:(from:'2017-12-28T08:21:21-0700',mode:absolute,to:'2017-12-28T11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9" s="246" t="str">
        <f>IF(AA59&lt;VLOOKUP(AG59,Variables!$AC$3:$AD$8,2,FALSE),"Y","N")</f>
        <v>N</v>
      </c>
      <c r="X59" s="246">
        <f t="shared" si="34"/>
        <v>1</v>
      </c>
      <c r="Y59" s="246">
        <f t="shared" si="32"/>
        <v>4.3799999999999999E-2</v>
      </c>
      <c r="Z59" s="246">
        <f t="shared" si="33"/>
        <v>23.327200000000001</v>
      </c>
      <c r="AA59" s="246">
        <f t="shared" si="9"/>
        <v>23.2834</v>
      </c>
      <c r="AB59" s="232" t="e">
        <f>VLOOKUP(A59,Enforcements!$C$7:$K$9,8,0)</f>
        <v>#N/A</v>
      </c>
      <c r="AC59" s="231" t="e">
        <f>VLOOKUP(A59,Enforcements!$C$7:$E$9,3,0)</f>
        <v>#N/A</v>
      </c>
      <c r="AD59" s="242">
        <f t="shared" si="10"/>
        <v>147</v>
      </c>
      <c r="AE59" s="234" t="str">
        <f t="shared" si="11"/>
        <v>aws s3 cp s3://rtdc.mdm.uploadarchive.raw/RTDC4014/ "%USERPROFILE%\AppData\Local\Temp\OnboardLogs"\RTDC4014\2017-12-28 --exclude "*" --recursive --include "*20171228*" &amp; "%USERPROFILE%\Documents\GitHub\mrs-test-scripts\Headless Mode &amp; Sideloading\WalkAndUnGZ.bat" "%USERPROFILE%\AppData\Local\Temp\OnboardLogs"\RTDC4014\2017-12-28 &amp; aws s3 cp s3://rtdc.mdm.uploadarchive.raw/RTDC4014/ "%USERPROFILE%\AppData\Local\Temp\OnboardLogs"\RTDC4014\2017-12-29 --exclude "*" --recursive --include "*20171229*" &amp; "%USERPROFILE%\Documents\GitHub\mrs-test-scripts\Headless Mode &amp; Sideloading\WalkAndUnGZ.bat" "%USERPROFILE%\AppData\Local\Temp\OnboardLogs"\RTDC4014\2017-12-29</v>
      </c>
      <c r="AF59" s="233" t="str">
        <f t="shared" si="12"/>
        <v>"C:\Program Files (x86)\AstroGrep\AstroGrep.exe" /e /r /s /spath="%USERPROFILE%\AppData\Local\Temp\OnboardLogs" /stypes="app*4014*201712281*" /stext=" 17:.+?(?&gt;(PRM\|1\|D)|(KPR)|(KDP)|(train st[a-z]+ moving)|(SYSTEM_STATE:s[a-z]+ state changed)|(Enforcement Action)|(\[TIMEOUT)|(parse_ebi_status: Penalty)|(\|GPPS))"</v>
      </c>
      <c r="AG59" s="243" t="str">
        <f t="shared" si="13"/>
        <v>EC</v>
      </c>
      <c r="AH59" s="235" t="str">
        <f t="shared" si="19"/>
        <v>"%USERPROFILE%\Documents\GitHub\eaglep3\Utilities\RefineRTDCRunTimes.py" --tripid 147-28 --locoid 4014 --swversion DE.1.0.9.0 --startMP 204:438 --initTime 2017-12-28T09:21:21 --startdatetime 2017-12-28T09:30:15 --delay 73 --endMP 204:233272 --enddatetime 2017-12-28T10:06:27 --enforcementcount 0 &gt;&gt;%USERPROFILE%\Documents\GitHub\eaglep3-reporting\EC\2017-12-28-refined-times.txt</v>
      </c>
      <c r="AI59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{"issue":{"subject":"","project_id":79,"tracker_id":40,"status_id":1,"priority_id":2,"assigned_to_id":338,"start_date":"2017-12-28","description":"","custom_fields":[{"id":1,"name":"Subdivision","value":"EC"},{"id":4,"name":"Milepost","value":"23.3272"},{"id":17,"name":"Train ID","value":"147-28"},{"id":16,"name":"Locomotive ID","value":"4014"},{"id":130,"name":"Impact","value":""},{"id":150,"name":"Time of Event (Mountain Time)","value":"10:06:27"},{"id":151,"name":"Denver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2"/>
      <c r="AK59" s="230"/>
      <c r="AL59" s="230"/>
      <c r="AM59" s="239" t="str">
        <f t="shared" si="21"/>
        <v>start /low /b %USERPROFILE%\Documents\GitHub\eaglep3\Utilities\DownloadLogsFromS3.py --loco 4014 --day 2017-12-28</v>
      </c>
      <c r="AN59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17:06:27"},{"id":29,"name":"Sharepoint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29" t="str">
        <f t="shared" si="23"/>
        <v>https://d0f6bd738d7f1b3e5a7ca70fe4ff75f0.us-east-1.aws.found.io/app/kibana#/discover/Steve-Slow-Train-Analysis-(2080s-and-2083s)?_g=(refreshInterval:(display:Off,pause:!f,section:0,value:0),time:(from:'2017-12-28T08:21:21-0700',mode:absolute,to:'2017-12-28T11:06:27-0700'))&amp;_a=(columns:!('Message%20ID',Summary),filters:!(),index:'emp_*',interval:auto,query:(query_string:(analyze_wildcard:!t,query:'%22rtdc.l.rtdc.4014%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8" t="s">
        <v>774</v>
      </c>
      <c r="B60" s="224">
        <v>4013</v>
      </c>
      <c r="C60" s="226" t="s">
        <v>192</v>
      </c>
      <c r="D60" s="226" t="s">
        <v>623</v>
      </c>
      <c r="E60" s="225">
        <v>43097.425243055557</v>
      </c>
      <c r="F60" s="225">
        <v>43097.435578703706</v>
      </c>
      <c r="G60" s="224">
        <v>75</v>
      </c>
      <c r="H60" s="226" t="s">
        <v>943</v>
      </c>
      <c r="I60" s="225">
        <v>43097.461585648147</v>
      </c>
      <c r="J60" s="224">
        <v>0</v>
      </c>
      <c r="K60" s="236" t="str">
        <f t="shared" si="0"/>
        <v>4013/4014</v>
      </c>
      <c r="L60" s="244" t="str">
        <f>VLOOKUP(A60,'Trips&amp;Operators'!$C$1:$G$99911,5,FALSE)</f>
        <v>LONG FULLER</v>
      </c>
      <c r="M60" s="223">
        <f t="shared" si="1"/>
        <v>2.6006944441178348E-2</v>
      </c>
      <c r="N60" s="224">
        <f t="shared" si="24"/>
        <v>37.449999995296821</v>
      </c>
      <c r="O60" s="224"/>
      <c r="P60" s="224"/>
      <c r="Q60" s="227"/>
      <c r="R60" s="241"/>
      <c r="S60" s="248">
        <f t="shared" si="25"/>
        <v>1</v>
      </c>
      <c r="T60" s="241" t="str">
        <f t="shared" si="4"/>
        <v>Southbound</v>
      </c>
      <c r="U60" s="24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7" t="str">
        <f t="shared" si="5"/>
        <v>https://d0f6bd738d7f1b3e5a7ca70fe4ff75f0.us-east-1.aws.found.io/app/kibana#/discover/Steve-Slow-Train-Analysis-(2080s-and-2083s)?_g=(refreshInterval:(display:Off,pause:!f,section:0,value:0),time:(from:'2017-12-28T09:12:21-0700',mode:absolute,to:'2017-12-28T12:04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0" s="246" t="str">
        <f>IF(AA60&lt;VLOOKUP(AG60,Variables!$AC$3:$AD$8,2,FALSE),"Y","N")</f>
        <v>N</v>
      </c>
      <c r="X60" s="246">
        <f t="shared" si="34"/>
        <v>1</v>
      </c>
      <c r="Y60" s="246">
        <f t="shared" si="32"/>
        <v>23.295300000000001</v>
      </c>
      <c r="Z60" s="246">
        <f t="shared" si="33"/>
        <v>2.07E-2</v>
      </c>
      <c r="AA60" s="246">
        <f t="shared" si="9"/>
        <v>23.2746</v>
      </c>
      <c r="AB60" s="232" t="e">
        <f>VLOOKUP(A60,Enforcements!$C$7:$K$9,8,0)</f>
        <v>#N/A</v>
      </c>
      <c r="AC60" s="231" t="e">
        <f>VLOOKUP(A60,Enforcements!$C$7:$E$9,3,0)</f>
        <v>#N/A</v>
      </c>
      <c r="AD60" s="242">
        <f t="shared" si="10"/>
        <v>148</v>
      </c>
      <c r="AE60" s="234" t="str">
        <f t="shared" si="11"/>
        <v>aws s3 cp s3://rtdc.mdm.uploadarchive.raw/RTDC4013/ "%USERPROFILE%\AppData\Local\Temp\OnboardLogs"\RTDC4013\2017-12-28 --exclude "*" --recursive --include "*20171228*" &amp; "%USERPROFILE%\Documents\GitHub\mrs-test-scripts\Headless Mode &amp; Sideloading\WalkAndUnGZ.bat" "%USERPROFILE%\AppData\Local\Temp\OnboardLogs"\RTDC4013\2017-12-28 &amp; aws s3 cp s3://rtdc.mdm.uploadarchive.raw/RTDC4013/ "%USERPROFILE%\AppData\Local\Temp\OnboardLogs"\RTDC4013\2017-12-29 --exclude "*" --recursive --include "*20171229*" &amp; "%USERPROFILE%\Documents\GitHub\mrs-test-scripts\Headless Mode &amp; Sideloading\WalkAndUnGZ.bat" "%USERPROFILE%\AppData\Local\Temp\OnboardLogs"\RTDC4013\2017-12-29</v>
      </c>
      <c r="AF60" s="233" t="str">
        <f t="shared" si="12"/>
        <v>"C:\Program Files (x86)\AstroGrep\AstroGrep.exe" /e /r /s /spath="%USERPROFILE%\AppData\Local\Temp\OnboardLogs" /stypes="app*4013*201712281*" /stext=" 18:.+?(?&gt;(PRM\|1\|D)|(KPR)|(KDP)|(train st[a-z]+ moving)|(SYSTEM_STATE:s[a-z]+ state changed)|(Enforcement Action)|(\[TIMEOUT)|(parse_ebi_status: Penalty)|(\|GPPS))"</v>
      </c>
      <c r="AG60" s="243" t="str">
        <f t="shared" si="13"/>
        <v>EC</v>
      </c>
      <c r="AH60" s="235" t="str">
        <f t="shared" si="19"/>
        <v>"%USERPROFILE%\Documents\GitHub\eaglep3\Utilities\RefineRTDCRunTimes.py" --tripid 148-28 --locoid 4013 --swversion DE.1.0.9.0 --startMP 204:232953 --initTime 2017-12-28T10:12:21 --startdatetime 2017-12-28T10:27:14 --delay 75 --endMP 204:207 --enddatetime 2017-12-28T11:04:41 --enforcementcount 0 &gt;&gt;%USERPROFILE%\Documents\GitHub\eaglep3-reporting\EC\2017-12-28-refined-times.txt</v>
      </c>
      <c r="AI60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{"issue":{"subject":"","project_id":79,"tracker_id":40,"status_id":1,"priority_id":2,"assigned_to_id":338,"start_date":"2017-12-28","description":"","custom_fields":[{"id":1,"name":"Subdivision","value":"EC"},{"id":4,"name":"Milepost","value":"0.0207"},{"id":17,"name":"Train ID","value":"148-28"},{"id":16,"name":"Locomotive ID","value":"4013"},{"id":130,"name":"Impact","value":""},{"id":150,"name":"Time of Event (Mountain Time)","value":"11:04:41"},{"id":151,"name":"Denver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2"/>
      <c r="AK60" s="230"/>
      <c r="AL60" s="230"/>
      <c r="AM60" s="239" t="str">
        <f t="shared" si="21"/>
        <v>start /low /b %USERPROFILE%\Documents\GitHub\eaglep3\Utilities\DownloadLogsFromS3.py --loco 4013 --day 2017-12-28</v>
      </c>
      <c r="AN60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18:04:41"},{"id":29,"name":"Sharepoint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29" t="str">
        <f t="shared" si="23"/>
        <v>https://d0f6bd738d7f1b3e5a7ca70fe4ff75f0.us-east-1.aws.found.io/app/kibana#/discover/Steve-Slow-Train-Analysis-(2080s-and-2083s)?_g=(refreshInterval:(display:Off,pause:!f,section:0,value:0),time:(from:'2017-12-28T09:12:21-0700',mode:absolute,to:'2017-12-28T12:04:41-0700'))&amp;_a=(columns:!('Message%20ID',Summary),filters:!(),index:'emp_*',interval:auto,query:(query_string:(analyze_wildcard:!t,query:'%22rtdc.l.rtdc.4013%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8" t="s">
        <v>682</v>
      </c>
      <c r="B61" s="224">
        <v>4046</v>
      </c>
      <c r="C61" s="226" t="s">
        <v>192</v>
      </c>
      <c r="D61" s="226" t="s">
        <v>620</v>
      </c>
      <c r="E61" s="225">
        <v>43097.400405092594</v>
      </c>
      <c r="F61" s="225">
        <v>43097.406574074077</v>
      </c>
      <c r="G61" s="224">
        <v>48</v>
      </c>
      <c r="H61" s="226" t="s">
        <v>919</v>
      </c>
      <c r="I61" s="225">
        <v>43097.432199074072</v>
      </c>
      <c r="J61" s="224">
        <v>0</v>
      </c>
      <c r="K61" s="236" t="str">
        <f t="shared" si="0"/>
        <v>4045/4046</v>
      </c>
      <c r="L61" s="244" t="str">
        <f>VLOOKUP(A61,'Trips&amp;Operators'!$C$1:$G$99911,5,FALSE)</f>
        <v>GEBRETEKLE DAGNEW</v>
      </c>
      <c r="M61" s="223">
        <f t="shared" si="1"/>
        <v>2.5624999994761311E-2</v>
      </c>
      <c r="N61" s="224">
        <f t="shared" si="24"/>
        <v>36.899999992456287</v>
      </c>
      <c r="O61" s="224"/>
      <c r="P61" s="224"/>
      <c r="Q61" s="227"/>
      <c r="R61" s="241"/>
      <c r="S61" s="248">
        <f t="shared" si="25"/>
        <v>1</v>
      </c>
      <c r="T61" s="241" t="str">
        <f t="shared" si="4"/>
        <v>NorthBound</v>
      </c>
      <c r="U61" s="24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7" t="str">
        <f t="shared" si="5"/>
        <v>https://d0f6bd738d7f1b3e5a7ca70fe4ff75f0.us-east-1.aws.found.io/app/kibana#/discover/Steve-Slow-Train-Analysis-(2080s-and-2083s)?_g=(refreshInterval:(display:Off,pause:!f,section:0,value:0),time:(from:'2017-12-28T08:36:35-0700',mode:absolute,to:'2017-12-28T11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1" s="246" t="str">
        <f>IF(AA61&lt;VLOOKUP(AG61,Variables!$AC$3:$AD$8,2,FALSE),"Y","N")</f>
        <v>N</v>
      </c>
      <c r="X61" s="246">
        <f t="shared" si="34"/>
        <v>1</v>
      </c>
      <c r="Y61" s="246">
        <f t="shared" si="32"/>
        <v>4.6399999999999997E-2</v>
      </c>
      <c r="Z61" s="246">
        <f t="shared" si="33"/>
        <v>23.328900000000001</v>
      </c>
      <c r="AA61" s="246">
        <f t="shared" si="9"/>
        <v>23.282500000000002</v>
      </c>
      <c r="AB61" s="232" t="e">
        <f>VLOOKUP(A61,Enforcements!$C$7:$K$9,8,0)</f>
        <v>#N/A</v>
      </c>
      <c r="AC61" s="231" t="e">
        <f>VLOOKUP(A61,Enforcements!$C$7:$E$9,3,0)</f>
        <v>#N/A</v>
      </c>
      <c r="AD61" s="242">
        <f t="shared" si="10"/>
        <v>149</v>
      </c>
      <c r="AE61" s="234" t="str">
        <f t="shared" si="11"/>
        <v>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 &amp; aws s3 cp s3://rtdc.mdm.uploadarchive.raw/RTDC4046/ "%USERPROFILE%\AppData\Local\Temp\OnboardLogs"\RTDC4046\2017-12-29 --exclude "*" --recursive --include "*20171229*" &amp; "%USERPROFILE%\Documents\GitHub\mrs-test-scripts\Headless Mode &amp; Sideloading\WalkAndUnGZ.bat" "%USERPROFILE%\AppData\Local\Temp\OnboardLogs"\RTDC4046\2017-12-29</v>
      </c>
      <c r="AF61" s="233" t="str">
        <f t="shared" si="12"/>
        <v>"C:\Program Files (x86)\AstroGrep\AstroGrep.exe" /e /r /s /spath="%USERPROFILE%\AppData\Local\Temp\OnboardLogs" /stypes="app*4046*201712281*" /stext=" 17:.+?(?&gt;(PRM\|1\|D)|(KPR)|(KDP)|(train st[a-z]+ moving)|(SYSTEM_STATE:s[a-z]+ state changed)|(Enforcement Action)|(\[TIMEOUT)|(parse_ebi_status: Penalty)|(\|GPPS))"</v>
      </c>
      <c r="AG61" s="243" t="str">
        <f t="shared" si="13"/>
        <v>EC</v>
      </c>
      <c r="AH61" s="235" t="str">
        <f t="shared" si="19"/>
        <v>"%USERPROFILE%\Documents\GitHub\eaglep3\Utilities\RefineRTDCRunTimes.py" --tripid 149-28 --locoid 4046 --swversion DE.1.0.9.0 --startMP 204:464 --initTime 2017-12-28T09:36:35 --startdatetime 2017-12-28T09:45:28 --delay 48 --endMP 204:233289 --enddatetime 2017-12-28T10:22:22 --enforcementcount 0 &gt;&gt;%USERPROFILE%\Documents\GitHub\eaglep3-reporting\EC\2017-12-28-refined-times.txt</v>
      </c>
      <c r="AI61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{"issue":{"subject":"","project_id":79,"tracker_id":40,"status_id":1,"priority_id":2,"assigned_to_id":338,"start_date":"2017-12-28","description":"","custom_fields":[{"id":1,"name":"Subdivision","value":"EC"},{"id":4,"name":"Milepost","value":"23.3289"},{"id":17,"name":"Train ID","value":"149-28"},{"id":16,"name":"Locomotive ID","value":"4046"},{"id":130,"name":"Impact","value":""},{"id":150,"name":"Time of Event (Mountain Time)","value":"10:22:22"},{"id":151,"name":"Denver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2"/>
      <c r="AK61" s="230"/>
      <c r="AL61" s="230"/>
      <c r="AM61" s="239" t="str">
        <f t="shared" si="21"/>
        <v>start /low /b %USERPROFILE%\Documents\GitHub\eaglep3\Utilities\DownloadLogsFromS3.py --loco 4046 --day 2017-12-28</v>
      </c>
      <c r="AN61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17:22:22"},{"id":29,"name":"Sharepoint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29" t="str">
        <f t="shared" si="23"/>
        <v>https://d0f6bd738d7f1b3e5a7ca70fe4ff75f0.us-east-1.aws.found.io/app/kibana#/discover/Steve-Slow-Train-Analysis-(2080s-and-2083s)?_g=(refreshInterval:(display:Off,pause:!f,section:0,value:0),time:(from:'2017-12-28T08:36:35-0700',mode:absolute,to:'2017-12-28T11:22:22-0700'))&amp;_a=(columns:!('Message%20ID',Summary),filters:!(),index:'emp_*',interval:auto,query:(query_string:(analyze_wildcard:!t,query:'%22rtdc.l.rtdc.4046%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8" t="s">
        <v>776</v>
      </c>
      <c r="B62" s="224">
        <v>4045</v>
      </c>
      <c r="C62" s="226" t="s">
        <v>192</v>
      </c>
      <c r="D62" s="226" t="s">
        <v>491</v>
      </c>
      <c r="E62" s="225">
        <v>43097.433888888889</v>
      </c>
      <c r="F62" s="225">
        <v>43097.446006944447</v>
      </c>
      <c r="G62" s="224">
        <v>48</v>
      </c>
      <c r="H62" s="226" t="s">
        <v>642</v>
      </c>
      <c r="I62" s="225">
        <v>43097.471759259257</v>
      </c>
      <c r="J62" s="224">
        <v>0</v>
      </c>
      <c r="K62" s="236" t="str">
        <f t="shared" si="0"/>
        <v>4045/4046</v>
      </c>
      <c r="L62" s="244" t="str">
        <f>VLOOKUP(A62,'Trips&amp;Operators'!$C$1:$G$99911,5,FALSE)</f>
        <v>GEBRETEKLE DAGNEW</v>
      </c>
      <c r="M62" s="223">
        <f t="shared" si="1"/>
        <v>2.5752314810233656E-2</v>
      </c>
      <c r="N62" s="224">
        <f t="shared" si="24"/>
        <v>37.083333326736465</v>
      </c>
      <c r="O62" s="224"/>
      <c r="P62" s="224"/>
      <c r="Q62" s="227"/>
      <c r="R62" s="241"/>
      <c r="S62" s="248">
        <f t="shared" si="25"/>
        <v>1</v>
      </c>
      <c r="T62" s="241" t="str">
        <f t="shared" si="4"/>
        <v>Southbound</v>
      </c>
      <c r="U62" s="24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7" t="str">
        <f t="shared" si="5"/>
        <v>https://d0f6bd738d7f1b3e5a7ca70fe4ff75f0.us-east-1.aws.found.io/app/kibana#/discover/Steve-Slow-Train-Analysis-(2080s-and-2083s)?_g=(refreshInterval:(display:Off,pause:!f,section:0,value:0),time:(from:'2017-12-28T09:24:48-0700',mode:absolute,to:'2017-12-28T12:19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2" s="246" t="str">
        <f>IF(AA62&lt;VLOOKUP(AG62,Variables!$AC$3:$AD$8,2,FALSE),"Y","N")</f>
        <v>N</v>
      </c>
      <c r="X62" s="246">
        <f t="shared" si="34"/>
        <v>1</v>
      </c>
      <c r="Y62" s="246">
        <f t="shared" si="32"/>
        <v>23.297699999999999</v>
      </c>
      <c r="Z62" s="246">
        <f t="shared" si="33"/>
        <v>1.8100000000000002E-2</v>
      </c>
      <c r="AA62" s="246">
        <f t="shared" si="9"/>
        <v>23.279599999999999</v>
      </c>
      <c r="AB62" s="232" t="e">
        <f>VLOOKUP(A62,Enforcements!$C$7:$K$9,8,0)</f>
        <v>#N/A</v>
      </c>
      <c r="AC62" s="231" t="e">
        <f>VLOOKUP(A62,Enforcements!$C$7:$E$9,3,0)</f>
        <v>#N/A</v>
      </c>
      <c r="AD62" s="242">
        <f t="shared" si="10"/>
        <v>150</v>
      </c>
      <c r="AE62" s="234" t="str">
        <f t="shared" si="11"/>
        <v>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 &amp; aws s3 cp s3://rtdc.mdm.uploadarchive.raw/RTDC4045/ "%USERPROFILE%\AppData\Local\Temp\OnboardLogs"\RTDC4045\2017-12-29 --exclude "*" --recursive --include "*20171229*" &amp; "%USERPROFILE%\Documents\GitHub\mrs-test-scripts\Headless Mode &amp; Sideloading\WalkAndUnGZ.bat" "%USERPROFILE%\AppData\Local\Temp\OnboardLogs"\RTDC4045\2017-12-29</v>
      </c>
      <c r="AF62" s="233" t="str">
        <f t="shared" si="12"/>
        <v>"C:\Program Files (x86)\AstroGrep\AstroGrep.exe" /e /r /s /spath="%USERPROFILE%\AppData\Local\Temp\OnboardLogs" /stypes="app*4045*201712281*" /stext=" 18:.+?(?&gt;(PRM\|1\|D)|(KPR)|(KDP)|(train st[a-z]+ moving)|(SYSTEM_STATE:s[a-z]+ state changed)|(Enforcement Action)|(\[TIMEOUT)|(parse_ebi_status: Penalty)|(\|GPPS))"</v>
      </c>
      <c r="AG62" s="243" t="str">
        <f t="shared" si="13"/>
        <v>EC</v>
      </c>
      <c r="AH62" s="235" t="str">
        <f t="shared" si="19"/>
        <v>"%USERPROFILE%\Documents\GitHub\eaglep3\Utilities\RefineRTDCRunTimes.py" --tripid 150-28 --locoid 4045 --swversion DE.1.0.9.0 --startMP 204:232977 --initTime 2017-12-28T10:24:48 --startdatetime 2017-12-28T10:42:15 --delay 48 --endMP 204:181 --enddatetime 2017-12-28T11:19:20 --enforcementcount 0 &gt;&gt;%USERPROFILE%\Documents\GitHub\eaglep3-reporting\EC\2017-12-28-refined-times.txt</v>
      </c>
      <c r="AI62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{"issue":{"subject":"","project_id":79,"tracker_id":40,"status_id":1,"priority_id":2,"assigned_to_id":338,"start_date":"2017-12-28","description":"","custom_fields":[{"id":1,"name":"Subdivision","value":"EC"},{"id":4,"name":"Milepost","value":"0.0181"},{"id":17,"name":"Train ID","value":"150-28"},{"id":16,"name":"Locomotive ID","value":"4045"},{"id":130,"name":"Impact","value":""},{"id":150,"name":"Time of Event (Mountain Time)","value":"11:19:20"},{"id":151,"name":"Denver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2"/>
      <c r="AK62" s="230"/>
      <c r="AL62" s="230"/>
      <c r="AM62" s="239" t="str">
        <f t="shared" si="21"/>
        <v>start /low /b %USERPROFILE%\Documents\GitHub\eaglep3\Utilities\DownloadLogsFromS3.py --loco 4045 --day 2017-12-28</v>
      </c>
      <c r="AN62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18:19:20"},{"id":29,"name":"Sharepoint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29" t="str">
        <f t="shared" si="23"/>
        <v>https://d0f6bd738d7f1b3e5a7ca70fe4ff75f0.us-east-1.aws.found.io/app/kibana#/discover/Steve-Slow-Train-Analysis-(2080s-and-2083s)?_g=(refreshInterval:(display:Off,pause:!f,section:0,value:0),time:(from:'2017-12-28T09:24:48-0700',mode:absolute,to:'2017-12-28T12:19:20-0700'))&amp;_a=(columns:!('Message%20ID',Summary),filters:!(),index:'emp_*',interval:auto,query:(query_string:(analyze_wildcard:!t,query:'%22rtdc.l.rtdc.4045%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8" t="s">
        <v>771</v>
      </c>
      <c r="B63" s="224">
        <v>4056</v>
      </c>
      <c r="C63" s="226" t="s">
        <v>192</v>
      </c>
      <c r="D63" s="226" t="s">
        <v>944</v>
      </c>
      <c r="E63" s="225">
        <v>43097.411979166667</v>
      </c>
      <c r="F63" s="225">
        <v>43097.416979166665</v>
      </c>
      <c r="G63" s="224">
        <v>77</v>
      </c>
      <c r="H63" s="226" t="s">
        <v>945</v>
      </c>
      <c r="I63" s="225">
        <v>43097.441921296297</v>
      </c>
      <c r="J63" s="224">
        <v>0</v>
      </c>
      <c r="K63" s="236" t="str">
        <f t="shared" si="0"/>
        <v>4055/4056</v>
      </c>
      <c r="L63" s="244" t="str">
        <f>VLOOKUP(A63,'Trips&amp;Operators'!$C$1:$G$99911,5,FALSE)</f>
        <v>WILLIAMS DONTE</v>
      </c>
      <c r="M63" s="223">
        <f t="shared" si="1"/>
        <v>2.4942129632108845E-2</v>
      </c>
      <c r="N63" s="224">
        <f t="shared" si="24"/>
        <v>35.916666670236737</v>
      </c>
      <c r="O63" s="224"/>
      <c r="P63" s="224"/>
      <c r="Q63" s="227"/>
      <c r="R63" s="241"/>
      <c r="S63" s="248">
        <f t="shared" si="25"/>
        <v>1</v>
      </c>
      <c r="T63" s="241" t="str">
        <f t="shared" si="4"/>
        <v>NorthBound</v>
      </c>
      <c r="U63" s="24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7" t="str">
        <f t="shared" si="5"/>
        <v>https://d0f6bd738d7f1b3e5a7ca70fe4ff75f0.us-east-1.aws.found.io/app/kibana#/discover/Steve-Slow-Train-Analysis-(2080s-and-2083s)?_g=(refreshInterval:(display:Off,pause:!f,section:0,value:0),time:(from:'2017-12-28T08:53:15-0700',mode:absolute,to:'2017-12-28T11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3" s="246" t="str">
        <f>IF(AA63&lt;VLOOKUP(AG63,Variables!$AC$3:$AD$8,2,FALSE),"Y","N")</f>
        <v>N</v>
      </c>
      <c r="X63" s="246">
        <f t="shared" si="34"/>
        <v>1</v>
      </c>
      <c r="Y63" s="246">
        <f t="shared" si="32"/>
        <v>5.11E-2</v>
      </c>
      <c r="Z63" s="246">
        <f t="shared" si="33"/>
        <v>23.326799999999999</v>
      </c>
      <c r="AA63" s="246">
        <f t="shared" si="9"/>
        <v>23.275699999999997</v>
      </c>
      <c r="AB63" s="232" t="e">
        <f>VLOOKUP(A63,Enforcements!$C$7:$K$9,8,0)</f>
        <v>#N/A</v>
      </c>
      <c r="AC63" s="231" t="e">
        <f>VLOOKUP(A63,Enforcements!$C$7:$E$9,3,0)</f>
        <v>#N/A</v>
      </c>
      <c r="AD63" s="242">
        <f t="shared" si="10"/>
        <v>151</v>
      </c>
      <c r="AE63" s="234" t="str">
        <f t="shared" si="11"/>
        <v>aws s3 cp s3://rtdc.mdm.uploadarchive.raw/RTDC4056/ "%USERPROFILE%\AppData\Local\Temp\OnboardLogs"\RTDC4056\2017-12-28 --exclude "*" --recursive --include "*20171228*" &amp; "%USERPROFILE%\Documents\GitHub\mrs-test-scripts\Headless Mode &amp; Sideloading\WalkAndUnGZ.bat" "%USERPROFILE%\AppData\Local\Temp\OnboardLogs"\RTDC4056\2017-12-28 &amp; aws s3 cp s3://rtdc.mdm.uploadarchive.raw/RTDC4056/ "%USERPROFILE%\AppData\Local\Temp\OnboardLogs"\RTDC4056\2017-12-29 --exclude "*" --recursive --include "*20171229*" &amp; "%USERPROFILE%\Documents\GitHub\mrs-test-scripts\Headless Mode &amp; Sideloading\WalkAndUnGZ.bat" "%USERPROFILE%\AppData\Local\Temp\OnboardLogs"\RTDC4056\2017-12-29</v>
      </c>
      <c r="AF63" s="233" t="str">
        <f t="shared" si="12"/>
        <v>"C:\Program Files (x86)\AstroGrep\AstroGrep.exe" /e /r /s /spath="%USERPROFILE%\AppData\Local\Temp\OnboardLogs" /stypes="app*4056*201712281*" /stext=" 17:.+?(?&gt;(PRM\|1\|D)|(KPR)|(KDP)|(train st[a-z]+ moving)|(SYSTEM_STATE:s[a-z]+ state changed)|(Enforcement Action)|(\[TIMEOUT)|(parse_ebi_status: Penalty)|(\|GPPS))"</v>
      </c>
      <c r="AG63" s="243" t="str">
        <f t="shared" si="13"/>
        <v>EC</v>
      </c>
      <c r="AH63" s="235" t="str">
        <f t="shared" si="19"/>
        <v>"%USERPROFILE%\Documents\GitHub\eaglep3\Utilities\RefineRTDCRunTimes.py" --tripid 151-28 --locoid 4056 --swversion DE.1.0.9.0 --startMP 204:511 --initTime 2017-12-28T09:53:15 --startdatetime 2017-12-28T10:00:27 --delay 77 --endMP 204:233268 --enddatetime 2017-12-28T10:36:22 --enforcementcount 0 &gt;&gt;%USERPROFILE%\Documents\GitHub\eaglep3-reporting\EC\2017-12-28-refined-times.txt</v>
      </c>
      <c r="AI63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{"issue":{"subject":"","project_id":79,"tracker_id":40,"status_id":1,"priority_id":2,"assigned_to_id":338,"start_date":"2017-12-28","description":"","custom_fields":[{"id":1,"name":"Subdivision","value":"EC"},{"id":4,"name":"Milepost","value":"23.3268"},{"id":17,"name":"Train ID","value":"151-28"},{"id":16,"name":"Locomotive ID","value":"4056"},{"id":130,"name":"Impact","value":""},{"id":150,"name":"Time of Event (Mountain Time)","value":"10:36:22"},{"id":151,"name":"Denver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2"/>
      <c r="AK63" s="230"/>
      <c r="AL63" s="230"/>
      <c r="AM63" s="239" t="str">
        <f t="shared" si="21"/>
        <v>start /low /b %USERPROFILE%\Documents\GitHub\eaglep3\Utilities\DownloadLogsFromS3.py --loco 4056 --day 2017-12-28</v>
      </c>
      <c r="AN63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17:36:22"},{"id":29,"name":"Sharepoint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29" t="str">
        <f t="shared" si="23"/>
        <v>https://d0f6bd738d7f1b3e5a7ca70fe4ff75f0.us-east-1.aws.found.io/app/kibana#/discover/Steve-Slow-Train-Analysis-(2080s-and-2083s)?_g=(refreshInterval:(display:Off,pause:!f,section:0,value:0),time:(from:'2017-12-28T08:53:15-0700',mode:absolute,to:'2017-12-28T11:36:22-0700'))&amp;_a=(columns:!('Message%20ID',Summary),filters:!(),index:'emp_*',interval:auto,query:(query_string:(analyze_wildcard:!t,query:'%22rtdc.l.rtdc.4056%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8" t="s">
        <v>781</v>
      </c>
      <c r="B64" s="224">
        <v>4055</v>
      </c>
      <c r="C64" s="226" t="s">
        <v>192</v>
      </c>
      <c r="D64" s="226" t="s">
        <v>655</v>
      </c>
      <c r="E64" s="225">
        <v>43097.451111111113</v>
      </c>
      <c r="F64" s="225">
        <v>43097.456493055557</v>
      </c>
      <c r="G64" s="224">
        <v>83</v>
      </c>
      <c r="H64" s="226" t="s">
        <v>946</v>
      </c>
      <c r="I64" s="225">
        <v>43097.483819444446</v>
      </c>
      <c r="J64" s="224">
        <v>0</v>
      </c>
      <c r="K64" s="236" t="str">
        <f t="shared" si="0"/>
        <v>4055/4056</v>
      </c>
      <c r="L64" s="244" t="str">
        <f>VLOOKUP(A64,'Trips&amp;Operators'!$C$1:$G$99911,5,FALSE)</f>
        <v>WILLIAMS DONTE</v>
      </c>
      <c r="M64" s="223">
        <f t="shared" si="1"/>
        <v>2.73263888884685E-2</v>
      </c>
      <c r="N64" s="224">
        <f t="shared" si="24"/>
        <v>39.34999999939464</v>
      </c>
      <c r="O64" s="224"/>
      <c r="P64" s="224"/>
      <c r="Q64" s="227"/>
      <c r="R64" s="241"/>
      <c r="S64" s="248">
        <f t="shared" si="25"/>
        <v>1</v>
      </c>
      <c r="T64" s="241" t="str">
        <f t="shared" si="4"/>
        <v>Southbound</v>
      </c>
      <c r="U64" s="24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7" t="str">
        <f t="shared" si="5"/>
        <v>https://d0f6bd738d7f1b3e5a7ca70fe4ff75f0.us-east-1.aws.found.io/app/kibana#/discover/Steve-Slow-Train-Analysis-(2080s-and-2083s)?_g=(refreshInterval:(display:Off,pause:!f,section:0,value:0),time:(from:'2017-12-28T09:49:36-0700',mode:absolute,to:'2017-12-28T12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4" s="246" t="str">
        <f>IF(AA64&lt;VLOOKUP(AG64,Variables!$AC$3:$AD$8,2,FALSE),"Y","N")</f>
        <v>N</v>
      </c>
      <c r="X64" s="246">
        <f t="shared" si="34"/>
        <v>1</v>
      </c>
      <c r="Y64" s="246">
        <f t="shared" si="32"/>
        <v>23.294899999999998</v>
      </c>
      <c r="Z64" s="246">
        <f t="shared" si="33"/>
        <v>2.0299999999999999E-2</v>
      </c>
      <c r="AA64" s="246">
        <f t="shared" si="9"/>
        <v>23.2746</v>
      </c>
      <c r="AB64" s="232" t="e">
        <f>VLOOKUP(A64,Enforcements!$C$7:$K$9,8,0)</f>
        <v>#N/A</v>
      </c>
      <c r="AC64" s="231" t="e">
        <f>VLOOKUP(A64,Enforcements!$C$7:$E$9,3,0)</f>
        <v>#N/A</v>
      </c>
      <c r="AD64" s="242">
        <f t="shared" si="10"/>
        <v>152</v>
      </c>
      <c r="AE64" s="234" t="str">
        <f t="shared" si="11"/>
        <v>aws s3 cp s3://rtdc.mdm.uploadarchive.raw/RTDC4055/ "%USERPROFILE%\AppData\Local\Temp\OnboardLogs"\RTDC4055\2017-12-28 --exclude "*" --recursive --include "*20171228*" &amp; "%USERPROFILE%\Documents\GitHub\mrs-test-scripts\Headless Mode &amp; Sideloading\WalkAndUnGZ.bat" "%USERPROFILE%\AppData\Local\Temp\OnboardLogs"\RTDC4055\2017-12-28 &amp; aws s3 cp s3://rtdc.mdm.uploadarchive.raw/RTDC4055/ "%USERPROFILE%\AppData\Local\Temp\OnboardLogs"\RTDC4055\2017-12-29 --exclude "*" --recursive --include "*20171229*" &amp; "%USERPROFILE%\Documents\GitHub\mrs-test-scripts\Headless Mode &amp; Sideloading\WalkAndUnGZ.bat" "%USERPROFILE%\AppData\Local\Temp\OnboardLogs"\RTDC4055\2017-12-29</v>
      </c>
      <c r="AF64" s="233" t="str">
        <f t="shared" si="12"/>
        <v>"C:\Program Files (x86)\AstroGrep\AstroGrep.exe" /e /r /s /spath="%USERPROFILE%\AppData\Local\Temp\OnboardLogs" /stypes="app*4055*201712281*" /stext=" 18:.+?(?&gt;(PRM\|1\|D)|(KPR)|(KDP)|(train st[a-z]+ moving)|(SYSTEM_STATE:s[a-z]+ state changed)|(Enforcement Action)|(\[TIMEOUT)|(parse_ebi_status: Penalty)|(\|GPPS))"</v>
      </c>
      <c r="AG64" s="243" t="str">
        <f t="shared" si="13"/>
        <v>EC</v>
      </c>
      <c r="AH64" s="235" t="str">
        <f t="shared" si="19"/>
        <v>"%USERPROFILE%\Documents\GitHub\eaglep3\Utilities\RefineRTDCRunTimes.py" --tripid 152-28 --locoid 4055 --swversion DE.1.0.9.0 --startMP 204:232949 --initTime 2017-12-28T10:49:36 --startdatetime 2017-12-28T10:57:21 --delay 83 --endMP 204:203 --enddatetime 2017-12-28T11:36:42 --enforcementcount 0 &gt;&gt;%USERPROFILE%\Documents\GitHub\eaglep3-reporting\EC\2017-12-28-refined-times.txt</v>
      </c>
      <c r="AI64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{"issue":{"subject":"","project_id":79,"tracker_id":40,"status_id":1,"priority_id":2,"assigned_to_id":338,"start_date":"2017-12-28","description":"","custom_fields":[{"id":1,"name":"Subdivision","value":"EC"},{"id":4,"name":"Milepost","value":"0.0203"},{"id":17,"name":"Train ID","value":"152-28"},{"id":16,"name":"Locomotive ID","value":"4055"},{"id":130,"name":"Impact","value":""},{"id":150,"name":"Time of Event (Mountain Time)","value":"11:36:42"},{"id":151,"name":"Denver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2"/>
      <c r="AK64" s="230"/>
      <c r="AL64" s="230"/>
      <c r="AM64" s="239" t="str">
        <f t="shared" si="21"/>
        <v>start /low /b %USERPROFILE%\Documents\GitHub\eaglep3\Utilities\DownloadLogsFromS3.py --loco 4055 --day 2017-12-28</v>
      </c>
      <c r="AN64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18:36:42"},{"id":29,"name":"Sharepoint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29" t="str">
        <f t="shared" si="23"/>
        <v>https://d0f6bd738d7f1b3e5a7ca70fe4ff75f0.us-east-1.aws.found.io/app/kibana#/discover/Steve-Slow-Train-Analysis-(2080s-and-2083s)?_g=(refreshInterval:(display:Off,pause:!f,section:0,value:0),time:(from:'2017-12-28T09:49:36-0700',mode:absolute,to:'2017-12-28T12:36:42-0700'))&amp;_a=(columns:!('Message%20ID',Summary),filters:!(),index:'emp_*',interval:auto,query:(query_string:(analyze_wildcard:!t,query:'%22rtdc.l.rtdc.4055%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8" t="s">
        <v>773</v>
      </c>
      <c r="B65" s="224">
        <v>4062</v>
      </c>
      <c r="C65" s="226" t="s">
        <v>192</v>
      </c>
      <c r="D65" s="226" t="s">
        <v>573</v>
      </c>
      <c r="E65" s="225">
        <v>43097.420717592591</v>
      </c>
      <c r="F65" s="225">
        <v>43097.427256944444</v>
      </c>
      <c r="G65" s="224">
        <v>66</v>
      </c>
      <c r="H65" s="226" t="s">
        <v>631</v>
      </c>
      <c r="I65" s="225">
        <v>43097.452326388891</v>
      </c>
      <c r="J65" s="224">
        <v>0</v>
      </c>
      <c r="K65" s="236" t="str">
        <f t="shared" si="0"/>
        <v>4061/4062</v>
      </c>
      <c r="L65" s="244" t="str">
        <f>VLOOKUP(A65,'Trips&amp;Operators'!$C$1:$G$99911,5,FALSE)</f>
        <v>LOPES KIMBERLY</v>
      </c>
      <c r="M65" s="223">
        <f t="shared" si="1"/>
        <v>2.5069444447581191E-2</v>
      </c>
      <c r="N65" s="224">
        <f t="shared" si="24"/>
        <v>36.100000004516914</v>
      </c>
      <c r="O65" s="224"/>
      <c r="P65" s="224"/>
      <c r="Q65" s="227"/>
      <c r="R65" s="241"/>
      <c r="S65" s="248">
        <f t="shared" si="25"/>
        <v>1</v>
      </c>
      <c r="T65" s="241" t="str">
        <f t="shared" si="4"/>
        <v>NorthBound</v>
      </c>
      <c r="U65" s="24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7" t="str">
        <f t="shared" si="5"/>
        <v>https://d0f6bd738d7f1b3e5a7ca70fe4ff75f0.us-east-1.aws.found.io/app/kibana#/discover/Steve-Slow-Train-Analysis-(2080s-and-2083s)?_g=(refreshInterval:(display:Off,pause:!f,section:0,value:0),time:(from:'2017-12-28T09:05:50-0700',mode:absolute,to:'2017-12-28T11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5" s="246" t="str">
        <f>IF(AA65&lt;VLOOKUP(AG65,Variables!$AC$3:$AD$8,2,FALSE),"Y","N")</f>
        <v>N</v>
      </c>
      <c r="X65" s="246">
        <f t="shared" si="34"/>
        <v>1</v>
      </c>
      <c r="Y65" s="246">
        <f t="shared" si="32"/>
        <v>4.6899999999999997E-2</v>
      </c>
      <c r="Z65" s="246">
        <f t="shared" si="33"/>
        <v>23.327400000000001</v>
      </c>
      <c r="AA65" s="246">
        <f t="shared" si="9"/>
        <v>23.2805</v>
      </c>
      <c r="AB65" s="232" t="e">
        <f>VLOOKUP(A65,Enforcements!$C$7:$K$9,8,0)</f>
        <v>#N/A</v>
      </c>
      <c r="AC65" s="231" t="e">
        <f>VLOOKUP(A65,Enforcements!$C$7:$E$9,3,0)</f>
        <v>#N/A</v>
      </c>
      <c r="AD65" s="242">
        <f t="shared" si="10"/>
        <v>153</v>
      </c>
      <c r="AE65" s="234" t="str">
        <f t="shared" si="11"/>
        <v>aws s3 cp s3://rtdc.mdm.uploadarchive.raw/RTDC4062/ "%USERPROFILE%\AppData\Local\Temp\OnboardLogs"\RTDC4062\2017-12-28 --exclude "*" --recursive --include "*20171228*" &amp; "%USERPROFILE%\Documents\GitHub\mrs-test-scripts\Headless Mode &amp; Sideloading\WalkAndUnGZ.bat" "%USERPROFILE%\AppData\Local\Temp\OnboardLogs"\RTDC4062\2017-12-28 &amp; aws s3 cp s3://rtdc.mdm.uploadarchive.raw/RTDC4062/ "%USERPROFILE%\AppData\Local\Temp\OnboardLogs"\RTDC4062\2017-12-29 --exclude "*" --recursive --include "*20171229*" &amp; "%USERPROFILE%\Documents\GitHub\mrs-test-scripts\Headless Mode &amp; Sideloading\WalkAndUnGZ.bat" "%USERPROFILE%\AppData\Local\Temp\OnboardLogs"\RTDC4062\2017-12-29</v>
      </c>
      <c r="AF65" s="233" t="str">
        <f t="shared" si="12"/>
        <v>"C:\Program Files (x86)\AstroGrep\AstroGrep.exe" /e /r /s /spath="%USERPROFILE%\AppData\Local\Temp\OnboardLogs" /stypes="app*4062*201712281*" /stext=" 17:.+?(?&gt;(PRM\|1\|D)|(KPR)|(KDP)|(train st[a-z]+ moving)|(SYSTEM_STATE:s[a-z]+ state changed)|(Enforcement Action)|(\[TIMEOUT)|(parse_ebi_status: Penalty)|(\|GPPS))"</v>
      </c>
      <c r="AG65" s="243" t="str">
        <f t="shared" si="13"/>
        <v>EC</v>
      </c>
      <c r="AH65" s="235" t="str">
        <f t="shared" si="19"/>
        <v>"%USERPROFILE%\Documents\GitHub\eaglep3\Utilities\RefineRTDCRunTimes.py" --tripid 153-28 --locoid 4062 --swversion DE.1.0.9.0 --startMP 204:469 --initTime 2017-12-28T10:05:50 --startdatetime 2017-12-28T10:15:15 --delay 66 --endMP 204:233274 --enddatetime 2017-12-28T10:51:21 --enforcementcount 0 &gt;&gt;%USERPROFILE%\Documents\GitHub\eaglep3-reporting\EC\2017-12-28-refined-times.txt</v>
      </c>
      <c r="AI65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{"issue":{"subject":"","project_id":79,"tracker_id":40,"status_id":1,"priority_id":2,"assigned_to_id":338,"start_date":"2017-12-28","description":"","custom_fields":[{"id":1,"name":"Subdivision","value":"EC"},{"id":4,"name":"Milepost","value":"23.3274"},{"id":17,"name":"Train ID","value":"153-28"},{"id":16,"name":"Locomotive ID","value":"4062"},{"id":130,"name":"Impact","value":""},{"id":150,"name":"Time of Event (Mountain Time)","value":"10:51:21"},{"id":151,"name":"Denver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2"/>
      <c r="AK65" s="230"/>
      <c r="AL65" s="230"/>
      <c r="AM65" s="239" t="str">
        <f t="shared" si="21"/>
        <v>start /low /b %USERPROFILE%\Documents\GitHub\eaglep3\Utilities\DownloadLogsFromS3.py --loco 4062 --day 2017-12-28</v>
      </c>
      <c r="AN65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17:51:21"},{"id":29,"name":"Sharepoint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29" t="str">
        <f t="shared" si="23"/>
        <v>https://d0f6bd738d7f1b3e5a7ca70fe4ff75f0.us-east-1.aws.found.io/app/kibana#/discover/Steve-Slow-Train-Analysis-(2080s-and-2083s)?_g=(refreshInterval:(display:Off,pause:!f,section:0,value:0),time:(from:'2017-12-28T09:05:50-0700',mode:absolute,to:'2017-12-28T11:51:21-0700'))&amp;_a=(columns:!('Message%20ID',Summary),filters:!(),index:'emp_*',interval:auto,query:(query_string:(analyze_wildcard:!t,query:'%22rtdc.l.rtdc.4062%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8" t="s">
        <v>784</v>
      </c>
      <c r="B66" s="224">
        <v>4061</v>
      </c>
      <c r="C66" s="226" t="s">
        <v>192</v>
      </c>
      <c r="D66" s="226" t="s">
        <v>579</v>
      </c>
      <c r="E66" s="225">
        <v>43097.456805555557</v>
      </c>
      <c r="F66" s="225">
        <v>43097.466863425929</v>
      </c>
      <c r="G66" s="224">
        <v>68</v>
      </c>
      <c r="H66" s="226" t="s">
        <v>947</v>
      </c>
      <c r="I66" s="225">
        <v>43097.493171296293</v>
      </c>
      <c r="J66" s="224">
        <v>0</v>
      </c>
      <c r="K66" s="236" t="str">
        <f t="shared" si="0"/>
        <v>4061/4062</v>
      </c>
      <c r="L66" s="244" t="str">
        <f>VLOOKUP(A66,'Trips&amp;Operators'!$C$1:$G$99911,5,FALSE)</f>
        <v>LOPES KIMBERLY</v>
      </c>
      <c r="M66" s="223">
        <f t="shared" si="1"/>
        <v>2.6307870364689734E-2</v>
      </c>
      <c r="N66" s="224">
        <f t="shared" si="24"/>
        <v>37.883333325153217</v>
      </c>
      <c r="O66" s="224"/>
      <c r="P66" s="224"/>
      <c r="Q66" s="227"/>
      <c r="R66" s="241"/>
      <c r="S66" s="248">
        <f t="shared" si="25"/>
        <v>1</v>
      </c>
      <c r="T66" s="241" t="str">
        <f t="shared" si="4"/>
        <v>Southbound</v>
      </c>
      <c r="U66" s="24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7" t="str">
        <f t="shared" si="5"/>
        <v>https://d0f6bd738d7f1b3e5a7ca70fe4ff75f0.us-east-1.aws.found.io/app/kibana#/discover/Steve-Slow-Train-Analysis-(2080s-and-2083s)?_g=(refreshInterval:(display:Off,pause:!f,section:0,value:0),time:(from:'2017-12-28T09:57:48-0700',mode:absolute,to:'2017-12-28T12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6" s="246" t="str">
        <f>IF(AA66&lt;VLOOKUP(AG66,Variables!$AC$3:$AD$8,2,FALSE),"Y","N")</f>
        <v>N</v>
      </c>
      <c r="X66" s="246">
        <f t="shared" si="34"/>
        <v>1</v>
      </c>
      <c r="Y66" s="246">
        <f t="shared" si="32"/>
        <v>23.2957</v>
      </c>
      <c r="Z66" s="246">
        <f t="shared" si="33"/>
        <v>1.8499999999999999E-2</v>
      </c>
      <c r="AA66" s="246">
        <f t="shared" si="9"/>
        <v>23.277200000000001</v>
      </c>
      <c r="AB66" s="232" t="e">
        <f>VLOOKUP(A66,Enforcements!$C$7:$K$9,8,0)</f>
        <v>#N/A</v>
      </c>
      <c r="AC66" s="231" t="e">
        <f>VLOOKUP(A66,Enforcements!$C$7:$E$9,3,0)</f>
        <v>#N/A</v>
      </c>
      <c r="AD66" s="242">
        <f t="shared" si="10"/>
        <v>154</v>
      </c>
      <c r="AE66" s="234" t="str">
        <f t="shared" si="11"/>
        <v>aws s3 cp s3://rtdc.mdm.uploadarchive.raw/RTDC4061/ "%USERPROFILE%\AppData\Local\Temp\OnboardLogs"\RTDC4061\2017-12-28 --exclude "*" --recursive --include "*20171228*" &amp; "%USERPROFILE%\Documents\GitHub\mrs-test-scripts\Headless Mode &amp; Sideloading\WalkAndUnGZ.bat" "%USERPROFILE%\AppData\Local\Temp\OnboardLogs"\RTDC4061\2017-12-28 &amp; aws s3 cp s3://rtdc.mdm.uploadarchive.raw/RTDC4061/ "%USERPROFILE%\AppData\Local\Temp\OnboardLogs"\RTDC4061\2017-12-29 --exclude "*" --recursive --include "*20171229*" &amp; "%USERPROFILE%\Documents\GitHub\mrs-test-scripts\Headless Mode &amp; Sideloading\WalkAndUnGZ.bat" "%USERPROFILE%\AppData\Local\Temp\OnboardLogs"\RTDC4061\2017-12-29</v>
      </c>
      <c r="AF66" s="233" t="str">
        <f t="shared" si="12"/>
        <v>"C:\Program Files (x86)\AstroGrep\AstroGrep.exe" /e /r /s /spath="%USERPROFILE%\AppData\Local\Temp\OnboardLogs" /stypes="app*4061*201712281*" /stext=" 18:.+?(?&gt;(PRM\|1\|D)|(KPR)|(KDP)|(train st[a-z]+ moving)|(SYSTEM_STATE:s[a-z]+ state changed)|(Enforcement Action)|(\[TIMEOUT)|(parse_ebi_status: Penalty)|(\|GPPS))"</v>
      </c>
      <c r="AG66" s="243" t="str">
        <f t="shared" si="13"/>
        <v>EC</v>
      </c>
      <c r="AH66" s="235" t="str">
        <f t="shared" si="19"/>
        <v>"%USERPROFILE%\Documents\GitHub\eaglep3\Utilities\RefineRTDCRunTimes.py" --tripid 154-28 --locoid 4061 --swversion DE.1.0.9.0 --startMP 204:232957 --initTime 2017-12-28T10:57:48 --startdatetime 2017-12-28T11:12:17 --delay 68 --endMP 204:185 --enddatetime 2017-12-28T11:50:10 --enforcementcount 0 &gt;&gt;%USERPROFILE%\Documents\GitHub\eaglep3-reporting\EC\2017-12-28-refined-times.txt</v>
      </c>
      <c r="AI66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{"issue":{"subject":"","project_id":79,"tracker_id":40,"status_id":1,"priority_id":2,"assigned_to_id":338,"start_date":"2017-12-28","description":"","custom_fields":[{"id":1,"name":"Subdivision","value":"EC"},{"id":4,"name":"Milepost","value":"0.0185"},{"id":17,"name":"Train ID","value":"154-28"},{"id":16,"name":"Locomotive ID","value":"4061"},{"id":130,"name":"Impact","value":""},{"id":150,"name":"Time of Event (Mountain Time)","value":"11:50:10"},{"id":151,"name":"Denver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2"/>
      <c r="AK66" s="230"/>
      <c r="AL66" s="230"/>
      <c r="AM66" s="239" t="str">
        <f t="shared" si="21"/>
        <v>start /low /b %USERPROFILE%\Documents\GitHub\eaglep3\Utilities\DownloadLogsFromS3.py --loco 4061 --day 2017-12-28</v>
      </c>
      <c r="AN66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18:50:10"},{"id":29,"name":"Sharepoint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29" t="str">
        <f t="shared" si="23"/>
        <v>https://d0f6bd738d7f1b3e5a7ca70fe4ff75f0.us-east-1.aws.found.io/app/kibana#/discover/Steve-Slow-Train-Analysis-(2080s-and-2083s)?_g=(refreshInterval:(display:Off,pause:!f,section:0,value:0),time:(from:'2017-12-28T09:57:48-0700',mode:absolute,to:'2017-12-28T12:50:10-0700'))&amp;_a=(columns:!('Message%20ID',Summary),filters:!(),index:'emp_*',interval:auto,query:(query_string:(analyze_wildcard:!t,query:'%22rtdc.l.rtdc.4061%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8" t="s">
        <v>775</v>
      </c>
      <c r="B67" s="224">
        <v>4004</v>
      </c>
      <c r="C67" s="226" t="s">
        <v>192</v>
      </c>
      <c r="D67" s="226" t="s">
        <v>932</v>
      </c>
      <c r="E67" s="225">
        <v>43097.431944444441</v>
      </c>
      <c r="F67" s="225">
        <v>43097.437673611108</v>
      </c>
      <c r="G67" s="224">
        <v>70</v>
      </c>
      <c r="H67" s="226" t="s">
        <v>631</v>
      </c>
      <c r="I67" s="225">
        <v>43097.462013888886</v>
      </c>
      <c r="J67" s="224">
        <v>0</v>
      </c>
      <c r="K67" s="236" t="str">
        <f t="shared" si="0"/>
        <v>4003/4004</v>
      </c>
      <c r="L67" s="244" t="str">
        <f>VLOOKUP(A67,'Trips&amp;Operators'!$C$1:$G$99911,5,FALSE)</f>
        <v>YANAI IAN</v>
      </c>
      <c r="M67" s="223">
        <f t="shared" si="1"/>
        <v>2.4340277777810115E-2</v>
      </c>
      <c r="N67" s="224">
        <f t="shared" si="24"/>
        <v>35.050000000046566</v>
      </c>
      <c r="O67" s="224"/>
      <c r="P67" s="224"/>
      <c r="Q67" s="227"/>
      <c r="R67" s="241"/>
      <c r="S67" s="248">
        <f t="shared" si="25"/>
        <v>1</v>
      </c>
      <c r="T67" s="241" t="str">
        <f t="shared" si="4"/>
        <v>NorthBound</v>
      </c>
      <c r="U67" s="24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7" t="str">
        <f t="shared" si="5"/>
        <v>https://d0f6bd738d7f1b3e5a7ca70fe4ff75f0.us-east-1.aws.found.io/app/kibana#/discover/Steve-Slow-Train-Analysis-(2080s-and-2083s)?_g=(refreshInterval:(display:Off,pause:!f,section:0,value:0),time:(from:'2017-12-28T09:22:00-0700',mode:absolute,to:'2017-12-28T12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7" s="246" t="str">
        <f>IF(AA67&lt;VLOOKUP(AG67,Variables!$AC$3:$AD$8,2,FALSE),"Y","N")</f>
        <v>N</v>
      </c>
      <c r="X67" s="246">
        <f t="shared" si="34"/>
        <v>1</v>
      </c>
      <c r="Y67" s="246">
        <f t="shared" si="32"/>
        <v>5.2200000000000003E-2</v>
      </c>
      <c r="Z67" s="246">
        <f t="shared" si="33"/>
        <v>23.327400000000001</v>
      </c>
      <c r="AA67" s="246">
        <f t="shared" si="9"/>
        <v>23.275200000000002</v>
      </c>
      <c r="AB67" s="232" t="e">
        <f>VLOOKUP(A67,Enforcements!$C$7:$K$9,8,0)</f>
        <v>#N/A</v>
      </c>
      <c r="AC67" s="231" t="e">
        <f>VLOOKUP(A67,Enforcements!$C$7:$E$9,3,0)</f>
        <v>#N/A</v>
      </c>
      <c r="AD67" s="242">
        <f t="shared" si="10"/>
        <v>155</v>
      </c>
      <c r="AE67" s="234" t="str">
        <f t="shared" si="11"/>
        <v>aws s3 cp s3://rtdc.mdm.uploadarchive.raw/RTDC4004/ "%USERPROFILE%\AppData\Local\Temp\OnboardLogs"\RTDC4004\2017-12-28 --exclude "*" --recursive --include "*20171228*" &amp; "%USERPROFILE%\Documents\GitHub\mrs-test-scripts\Headless Mode &amp; Sideloading\WalkAndUnGZ.bat" "%USERPROFILE%\AppData\Local\Temp\OnboardLogs"\RTDC4004\2017-12-28 &amp; aws s3 cp s3://rtdc.mdm.uploadarchive.raw/RTDC4004/ "%USERPROFILE%\AppData\Local\Temp\OnboardLogs"\RTDC4004\2017-12-29 --exclude "*" --recursive --include "*20171229*" &amp; "%USERPROFILE%\Documents\GitHub\mrs-test-scripts\Headless Mode &amp; Sideloading\WalkAndUnGZ.bat" "%USERPROFILE%\AppData\Local\Temp\OnboardLogs"\RTDC4004\2017-12-29</v>
      </c>
      <c r="AF67" s="233" t="str">
        <f t="shared" si="12"/>
        <v>"C:\Program Files (x86)\AstroGrep\AstroGrep.exe" /e /r /s /spath="%USERPROFILE%\AppData\Local\Temp\OnboardLogs" /stypes="app*4004*201712281*" /stext=" 18:.+?(?&gt;(PRM\|1\|D)|(KPR)|(KDP)|(train st[a-z]+ moving)|(SYSTEM_STATE:s[a-z]+ state changed)|(Enforcement Action)|(\[TIMEOUT)|(parse_ebi_status: Penalty)|(\|GPPS))"</v>
      </c>
      <c r="AG67" s="243" t="str">
        <f t="shared" si="13"/>
        <v>EC</v>
      </c>
      <c r="AH67" s="235" t="str">
        <f t="shared" si="19"/>
        <v>"%USERPROFILE%\Documents\GitHub\eaglep3\Utilities\RefineRTDCRunTimes.py" --tripid 155-28 --locoid 4004 --swversion DE.1.0.9.0 --startMP 204:522 --initTime 2017-12-28T10:22:00 --startdatetime 2017-12-28T10:30:15 --delay 70 --endMP 204:233274 --enddatetime 2017-12-28T11:05:18 --enforcementcount 0 &gt;&gt;%USERPROFILE%\Documents\GitHub\eaglep3-reporting\EC\2017-12-28-refined-times.txt</v>
      </c>
      <c r="AI67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{"issue":{"subject":"","project_id":79,"tracker_id":40,"status_id":1,"priority_id":2,"assigned_to_id":338,"start_date":"2017-12-28","description":"","custom_fields":[{"id":1,"name":"Subdivision","value":"EC"},{"id":4,"name":"Milepost","value":"23.3274"},{"id":17,"name":"Train ID","value":"155-28"},{"id":16,"name":"Locomotive ID","value":"4004"},{"id":130,"name":"Impact","value":""},{"id":150,"name":"Time of Event (Mountain Time)","value":"11:05:18"},{"id":151,"name":"Denver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2"/>
      <c r="AK67" s="230"/>
      <c r="AL67" s="230"/>
      <c r="AM67" s="239" t="str">
        <f t="shared" si="21"/>
        <v>start /low /b %USERPROFILE%\Documents\GitHub\eaglep3\Utilities\DownloadLogsFromS3.py --loco 4004 --day 2017-12-28</v>
      </c>
      <c r="AN67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18:05:18"},{"id":29,"name":"Sharepoint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29" t="str">
        <f t="shared" si="23"/>
        <v>https://d0f6bd738d7f1b3e5a7ca70fe4ff75f0.us-east-1.aws.found.io/app/kibana#/discover/Steve-Slow-Train-Analysis-(2080s-and-2083s)?_g=(refreshInterval:(display:Off,pause:!f,section:0,value:0),time:(from:'2017-12-28T09:22:00-0700',mode:absolute,to:'2017-12-28T12:05:18-0700'))&amp;_a=(columns:!('Message%20ID',Summary),filters:!(),index:'emp_*',interval:auto,query:(query_string:(analyze_wildcard:!t,query:'%22rtdc.l.rtdc.4004%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8" t="s">
        <v>785</v>
      </c>
      <c r="B68" s="224">
        <v>4003</v>
      </c>
      <c r="C68" s="226" t="s">
        <v>192</v>
      </c>
      <c r="D68" s="226" t="s">
        <v>939</v>
      </c>
      <c r="E68" s="225">
        <v>43097.463923611111</v>
      </c>
      <c r="F68" s="225">
        <v>43097.477256944447</v>
      </c>
      <c r="G68" s="224">
        <v>46</v>
      </c>
      <c r="H68" s="226" t="s">
        <v>483</v>
      </c>
      <c r="I68" s="225">
        <v>43097.503101851849</v>
      </c>
      <c r="J68" s="224">
        <v>0</v>
      </c>
      <c r="K68" s="236" t="str">
        <f t="shared" si="0"/>
        <v>4003/4004</v>
      </c>
      <c r="L68" s="244" t="str">
        <f>VLOOKUP(A68,'Trips&amp;Operators'!$C$1:$G$99911,5,FALSE)</f>
        <v>YANAI IAN</v>
      </c>
      <c r="M68" s="223">
        <f t="shared" si="1"/>
        <v>2.5844907402643003E-2</v>
      </c>
      <c r="N68" s="224">
        <f t="shared" si="24"/>
        <v>37.216666659805924</v>
      </c>
      <c r="O68" s="224"/>
      <c r="P68" s="224"/>
      <c r="Q68" s="227"/>
      <c r="R68" s="241"/>
      <c r="S68" s="248">
        <f t="shared" si="25"/>
        <v>1</v>
      </c>
      <c r="T68" s="241" t="str">
        <f t="shared" si="4"/>
        <v>Southbound</v>
      </c>
      <c r="U68" s="24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7" t="str">
        <f t="shared" si="5"/>
        <v>https://d0f6bd738d7f1b3e5a7ca70fe4ff75f0.us-east-1.aws.found.io/app/kibana#/discover/Steve-Slow-Train-Analysis-(2080s-and-2083s)?_g=(refreshInterval:(display:Off,pause:!f,section:0,value:0),time:(from:'2017-12-28T10:08:03-0700',mode:absolute,to:'2017-12-28T13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8" s="246" t="str">
        <f>IF(AA68&lt;VLOOKUP(AG68,Variables!$AC$3:$AD$8,2,FALSE),"Y","N")</f>
        <v>N</v>
      </c>
      <c r="X68" s="246">
        <f t="shared" si="34"/>
        <v>1</v>
      </c>
      <c r="Y68" s="246">
        <f t="shared" si="32"/>
        <v>23.298300000000001</v>
      </c>
      <c r="Z68" s="246">
        <f t="shared" si="33"/>
        <v>0.02</v>
      </c>
      <c r="AA68" s="246">
        <f t="shared" si="9"/>
        <v>23.278300000000002</v>
      </c>
      <c r="AB68" s="232" t="e">
        <f>VLOOKUP(A68,Enforcements!$C$7:$K$9,8,0)</f>
        <v>#N/A</v>
      </c>
      <c r="AC68" s="231" t="e">
        <f>VLOOKUP(A68,Enforcements!$C$7:$E$9,3,0)</f>
        <v>#N/A</v>
      </c>
      <c r="AD68" s="242">
        <f t="shared" si="10"/>
        <v>156</v>
      </c>
      <c r="AE68" s="234" t="str">
        <f t="shared" si="11"/>
        <v>aws s3 cp s3://rtdc.mdm.uploadarchive.raw/RTDC4003/ "%USERPROFILE%\AppData\Local\Temp\OnboardLogs"\RTDC4003\2017-12-28 --exclude "*" --recursive --include "*20171228*" &amp; "%USERPROFILE%\Documents\GitHub\mrs-test-scripts\Headless Mode &amp; Sideloading\WalkAndUnGZ.bat" "%USERPROFILE%\AppData\Local\Temp\OnboardLogs"\RTDC4003\2017-12-28 &amp; aws s3 cp s3://rtdc.mdm.uploadarchive.raw/RTDC4003/ "%USERPROFILE%\AppData\Local\Temp\OnboardLogs"\RTDC4003\2017-12-29 --exclude "*" --recursive --include "*20171229*" &amp; "%USERPROFILE%\Documents\GitHub\mrs-test-scripts\Headless Mode &amp; Sideloading\WalkAndUnGZ.bat" "%USERPROFILE%\AppData\Local\Temp\OnboardLogs"\RTDC4003\2017-12-29</v>
      </c>
      <c r="AF68" s="233" t="str">
        <f t="shared" si="12"/>
        <v>"C:\Program Files (x86)\AstroGrep\AstroGrep.exe" /e /r /s /spath="%USERPROFILE%\AppData\Local\Temp\OnboardLogs" /stypes="app*4003*201712281*" /stext=" 19:.+?(?&gt;(PRM\|1\|D)|(KPR)|(KDP)|(train st[a-z]+ moving)|(SYSTEM_STATE:s[a-z]+ state changed)|(Enforcement Action)|(\[TIMEOUT)|(parse_ebi_status: Penalty)|(\|GPPS))"</v>
      </c>
      <c r="AG68" s="243" t="str">
        <f t="shared" si="13"/>
        <v>EC</v>
      </c>
      <c r="AH68" s="235" t="str">
        <f t="shared" si="19"/>
        <v>"%USERPROFILE%\Documents\GitHub\eaglep3\Utilities\RefineRTDCRunTimes.py" --tripid 156-28 --locoid 4003 --swversion DE.1.0.9.0 --startMP 204:232983 --initTime 2017-12-28T11:08:03 --startdatetime 2017-12-28T11:27:15 --delay 46 --endMP 204:200 --enddatetime 2017-12-28T12:04:28 --enforcementcount 0 &gt;&gt;%USERPROFILE%\Documents\GitHub\eaglep3-reporting\EC\2017-12-28-refined-times.txt</v>
      </c>
      <c r="AI68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{"issue":{"subject":"","project_id":79,"tracker_id":40,"status_id":1,"priority_id":2,"assigned_to_id":338,"start_date":"2017-12-28","description":"","custom_fields":[{"id":1,"name":"Subdivision","value":"EC"},{"id":4,"name":"Milepost","value":"0.02"},{"id":17,"name":"Train ID","value":"156-28"},{"id":16,"name":"Locomotive ID","value":"4003"},{"id":130,"name":"Impact","value":""},{"id":150,"name":"Time of Event (Mountain Time)","value":"12:04:28"},{"id":151,"name":"Denver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2"/>
      <c r="AK68" s="230"/>
      <c r="AL68" s="230"/>
      <c r="AM68" s="239" t="str">
        <f t="shared" si="21"/>
        <v>start /low /b %USERPROFILE%\Documents\GitHub\eaglep3\Utilities\DownloadLogsFromS3.py --loco 4003 --day 2017-12-28</v>
      </c>
      <c r="AN68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19:04:28"},{"id":29,"name":"Sharepoint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29" t="str">
        <f t="shared" si="23"/>
        <v>https://d0f6bd738d7f1b3e5a7ca70fe4ff75f0.us-east-1.aws.found.io/app/kibana#/discover/Steve-Slow-Train-Analysis-(2080s-and-2083s)?_g=(refreshInterval:(display:Off,pause:!f,section:0,value:0),time:(from:'2017-12-28T10:08:03-0700',mode:absolute,to:'2017-12-28T13:04:28-0700'))&amp;_a=(columns:!('Message%20ID',Summary),filters:!(),index:'emp_*',interval:auto,query:(query_string:(analyze_wildcard:!t,query:'%22rtdc.l.rtdc.4003%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8" t="s">
        <v>778</v>
      </c>
      <c r="B69" s="224">
        <v>4042</v>
      </c>
      <c r="C69" s="226" t="s">
        <v>192</v>
      </c>
      <c r="D69" s="226" t="s">
        <v>477</v>
      </c>
      <c r="E69" s="225">
        <v>43097.443391203706</v>
      </c>
      <c r="F69" s="225">
        <v>43097.448287037034</v>
      </c>
      <c r="G69" s="224">
        <v>78</v>
      </c>
      <c r="H69" s="226" t="s">
        <v>580</v>
      </c>
      <c r="I69" s="225">
        <v>43097.474189814813</v>
      </c>
      <c r="J69" s="224">
        <v>0</v>
      </c>
      <c r="K69" s="236" t="str">
        <f t="shared" si="0"/>
        <v>4041/4042</v>
      </c>
      <c r="L69" s="244" t="str">
        <f>VLOOKUP(A69,'Trips&amp;Operators'!$C$1:$G$99911,5,FALSE)</f>
        <v>BADERTSCHER DIANE</v>
      </c>
      <c r="M69" s="223">
        <f t="shared" si="1"/>
        <v>2.5902777779265307E-2</v>
      </c>
      <c r="N69" s="224">
        <f t="shared" si="24"/>
        <v>37.300000002142042</v>
      </c>
      <c r="O69" s="224"/>
      <c r="P69" s="224"/>
      <c r="Q69" s="227"/>
      <c r="R69" s="241"/>
      <c r="S69" s="248">
        <f t="shared" si="25"/>
        <v>1</v>
      </c>
      <c r="T69" s="241" t="str">
        <f t="shared" si="4"/>
        <v>NorthBound</v>
      </c>
      <c r="U69" s="24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7" t="str">
        <f t="shared" si="5"/>
        <v>https://d0f6bd738d7f1b3e5a7ca70fe4ff75f0.us-east-1.aws.found.io/app/kibana#/discover/Steve-Slow-Train-Analysis-(2080s-and-2083s)?_g=(refreshInterval:(display:Off,pause:!f,section:0,value:0),time:(from:'2017-12-28T09:38:29-0700',mode:absolute,to:'2017-12-28T12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9" s="246" t="str">
        <f>IF(AA69&lt;VLOOKUP(AG69,Variables!$AC$3:$AD$8,2,FALSE),"Y","N")</f>
        <v>N</v>
      </c>
      <c r="X69" s="246">
        <f t="shared" si="34"/>
        <v>1</v>
      </c>
      <c r="Y69" s="246">
        <f t="shared" si="32"/>
        <v>5.04E-2</v>
      </c>
      <c r="Z69" s="246">
        <f t="shared" si="33"/>
        <v>23.327999999999999</v>
      </c>
      <c r="AA69" s="246">
        <f t="shared" si="9"/>
        <v>23.2776</v>
      </c>
      <c r="AB69" s="232" t="e">
        <f>VLOOKUP(A69,Enforcements!$C$7:$K$9,8,0)</f>
        <v>#N/A</v>
      </c>
      <c r="AC69" s="231" t="e">
        <f>VLOOKUP(A69,Enforcements!$C$7:$E$9,3,0)</f>
        <v>#N/A</v>
      </c>
      <c r="AD69" s="242">
        <f t="shared" si="10"/>
        <v>157</v>
      </c>
      <c r="AE69" s="234" t="str">
        <f t="shared" si="11"/>
        <v>aws s3 cp s3://rtdc.mdm.uploadarchive.raw/RTDC4042/ "%USERPROFILE%\AppData\Local\Temp\OnboardLogs"\RTDC4042\2017-12-28 --exclude "*" --recursive --include "*20171228*" &amp; "%USERPROFILE%\Documents\GitHub\mrs-test-scripts\Headless Mode &amp; Sideloading\WalkAndUnGZ.bat" "%USERPROFILE%\AppData\Local\Temp\OnboardLogs"\RTDC4042\2017-12-28 &amp; aws s3 cp s3://rtdc.mdm.uploadarchive.raw/RTDC4042/ "%USERPROFILE%\AppData\Local\Temp\OnboardLogs"\RTDC4042\2017-12-29 --exclude "*" --recursive --include "*20171229*" &amp; "%USERPROFILE%\Documents\GitHub\mrs-test-scripts\Headless Mode &amp; Sideloading\WalkAndUnGZ.bat" "%USERPROFILE%\AppData\Local\Temp\OnboardLogs"\RTDC4042\2017-12-29</v>
      </c>
      <c r="AF69" s="233" t="str">
        <f t="shared" si="12"/>
        <v>"C:\Program Files (x86)\AstroGrep\AstroGrep.exe" /e /r /s /spath="%USERPROFILE%\AppData\Local\Temp\OnboardLogs" /stypes="app*4042*201712281*" /stext=" 18:.+?(?&gt;(PRM\|1\|D)|(KPR)|(KDP)|(train st[a-z]+ moving)|(SYSTEM_STATE:s[a-z]+ state changed)|(Enforcement Action)|(\[TIMEOUT)|(parse_ebi_status: Penalty)|(\|GPPS))"</v>
      </c>
      <c r="AG69" s="243" t="str">
        <f t="shared" si="13"/>
        <v>EC</v>
      </c>
      <c r="AH69" s="235" t="str">
        <f t="shared" si="19"/>
        <v>"%USERPROFILE%\Documents\GitHub\eaglep3\Utilities\RefineRTDCRunTimes.py" --tripid 157-28 --locoid 4042 --swversion DE.1.0.9.0 --startMP 204:504 --initTime 2017-12-28T10:38:29 --startdatetime 2017-12-28T10:45:32 --delay 78 --endMP 204:233280 --enddatetime 2017-12-28T11:22:50 --enforcementcount 0 &gt;&gt;%USERPROFILE%\Documents\GitHub\eaglep3-reporting\EC\2017-12-28-refined-times.txt</v>
      </c>
      <c r="AI69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{"issue":{"subject":"","project_id":79,"tracker_id":40,"status_id":1,"priority_id":2,"assigned_to_id":338,"start_date":"2017-12-28","description":"","custom_fields":[{"id":1,"name":"Subdivision","value":"EC"},{"id":4,"name":"Milepost","value":"23.328"},{"id":17,"name":"Train ID","value":"157-28"},{"id":16,"name":"Locomotive ID","value":"4042"},{"id":130,"name":"Impact","value":""},{"id":150,"name":"Time of Event (Mountain Time)","value":"11:22:50"},{"id":151,"name":"Denver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2"/>
      <c r="AK69" s="230"/>
      <c r="AL69" s="230"/>
      <c r="AM69" s="239" t="str">
        <f t="shared" si="21"/>
        <v>start /low /b %USERPROFILE%\Documents\GitHub\eaglep3\Utilities\DownloadLogsFromS3.py --loco 4042 --day 2017-12-28</v>
      </c>
      <c r="AN69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18:22:50"},{"id":29,"name":"Sharepoint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29" t="str">
        <f t="shared" si="23"/>
        <v>https://d0f6bd738d7f1b3e5a7ca70fe4ff75f0.us-east-1.aws.found.io/app/kibana#/discover/Steve-Slow-Train-Analysis-(2080s-and-2083s)?_g=(refreshInterval:(display:Off,pause:!f,section:0,value:0),time:(from:'2017-12-28T09:38:29-0700',mode:absolute,to:'2017-12-28T12:22:50-0700'))&amp;_a=(columns:!('Message%20ID',Summary),filters:!(),index:'emp_*',interval:auto,query:(query_string:(analyze_wildcard:!t,query:'%22rtdc.l.rtdc.4042%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8" t="s">
        <v>789</v>
      </c>
      <c r="B70" s="224">
        <v>4041</v>
      </c>
      <c r="C70" s="226" t="s">
        <v>192</v>
      </c>
      <c r="D70" s="226" t="s">
        <v>618</v>
      </c>
      <c r="E70" s="225">
        <v>43097.48337962963</v>
      </c>
      <c r="F70" s="225">
        <v>43097.487685185188</v>
      </c>
      <c r="G70" s="224">
        <v>85</v>
      </c>
      <c r="H70" s="226" t="s">
        <v>583</v>
      </c>
      <c r="I70" s="225">
        <v>43097.514884259261</v>
      </c>
      <c r="J70" s="224">
        <v>0</v>
      </c>
      <c r="K70" s="236" t="str">
        <f t="shared" si="0"/>
        <v>4041/4042</v>
      </c>
      <c r="L70" s="244" t="str">
        <f>VLOOKUP(A70,'Trips&amp;Operators'!$C$1:$G$99911,5,FALSE)</f>
        <v>BADERTSCHER DIANE</v>
      </c>
      <c r="M70" s="223">
        <f t="shared" si="1"/>
        <v>2.7199074072996154E-2</v>
      </c>
      <c r="N70" s="224">
        <f t="shared" si="24"/>
        <v>39.166666665114462</v>
      </c>
      <c r="O70" s="224"/>
      <c r="P70" s="224"/>
      <c r="Q70" s="227"/>
      <c r="R70" s="241"/>
      <c r="S70" s="248">
        <f t="shared" si="25"/>
        <v>1</v>
      </c>
      <c r="T70" s="241" t="str">
        <f t="shared" si="4"/>
        <v>Southbound</v>
      </c>
      <c r="U70" s="24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7" t="str">
        <f t="shared" si="5"/>
        <v>https://d0f6bd738d7f1b3e5a7ca70fe4ff75f0.us-east-1.aws.found.io/app/kibana#/discover/Steve-Slow-Train-Analysis-(2080s-and-2083s)?_g=(refreshInterval:(display:Off,pause:!f,section:0,value:0),time:(from:'2017-12-28T10:36:04-0700',mode:absolute,to:'2017-12-28T13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0" s="246" t="str">
        <f>IF(AA70&lt;VLOOKUP(AG70,Variables!$AC$3:$AD$8,2,FALSE),"Y","N")</f>
        <v>N</v>
      </c>
      <c r="X70" s="246">
        <f t="shared" si="34"/>
        <v>1</v>
      </c>
      <c r="Y70" s="246">
        <f t="shared" si="32"/>
        <v>23.295000000000002</v>
      </c>
      <c r="Z70" s="246">
        <f t="shared" si="33"/>
        <v>2.3099999999999999E-2</v>
      </c>
      <c r="AA70" s="246">
        <f t="shared" si="9"/>
        <v>23.271900000000002</v>
      </c>
      <c r="AB70" s="232" t="e">
        <f>VLOOKUP(A70,Enforcements!$C$7:$K$9,8,0)</f>
        <v>#N/A</v>
      </c>
      <c r="AC70" s="231" t="e">
        <f>VLOOKUP(A70,Enforcements!$C$7:$E$9,3,0)</f>
        <v>#N/A</v>
      </c>
      <c r="AD70" s="242">
        <f t="shared" si="10"/>
        <v>158</v>
      </c>
      <c r="AE70" s="234" t="str">
        <f t="shared" si="11"/>
        <v>aws s3 cp s3://rtdc.mdm.uploadarchive.raw/RTDC4041/ "%USERPROFILE%\AppData\Local\Temp\OnboardLogs"\RTDC4041\2017-12-28 --exclude "*" --recursive --include "*20171228*" &amp; "%USERPROFILE%\Documents\GitHub\mrs-test-scripts\Headless Mode &amp; Sideloading\WalkAndUnGZ.bat" "%USERPROFILE%\AppData\Local\Temp\OnboardLogs"\RTDC4041\2017-12-28 &amp; aws s3 cp s3://rtdc.mdm.uploadarchive.raw/RTDC4041/ "%USERPROFILE%\AppData\Local\Temp\OnboardLogs"\RTDC4041\2017-12-29 --exclude "*" --recursive --include "*20171229*" &amp; "%USERPROFILE%\Documents\GitHub\mrs-test-scripts\Headless Mode &amp; Sideloading\WalkAndUnGZ.bat" "%USERPROFILE%\AppData\Local\Temp\OnboardLogs"\RTDC4041\2017-12-29</v>
      </c>
      <c r="AF70" s="233" t="str">
        <f t="shared" si="12"/>
        <v>"C:\Program Files (x86)\AstroGrep\AstroGrep.exe" /e /r /s /spath="%USERPROFILE%\AppData\Local\Temp\OnboardLogs" /stypes="app*4041*201712281*" /stext=" 19:.+?(?&gt;(PRM\|1\|D)|(KPR)|(KDP)|(train st[a-z]+ moving)|(SYSTEM_STATE:s[a-z]+ state changed)|(Enforcement Action)|(\[TIMEOUT)|(parse_ebi_status: Penalty)|(\|GPPS))"</v>
      </c>
      <c r="AG70" s="243" t="str">
        <f t="shared" si="13"/>
        <v>EC</v>
      </c>
      <c r="AH70" s="235" t="str">
        <f t="shared" si="19"/>
        <v>"%USERPROFILE%\Documents\GitHub\eaglep3\Utilities\RefineRTDCRunTimes.py" --tripid 158-28 --locoid 4041 --swversion DE.1.0.9.0 --startMP 204:232950 --initTime 2017-12-28T11:36:04 --startdatetime 2017-12-28T11:42:16 --delay 85 --endMP 204:231 --enddatetime 2017-12-28T12:21:26 --enforcementcount 0 &gt;&gt;%USERPROFILE%\Documents\GitHub\eaglep3-reporting\EC\2017-12-28-refined-times.txt</v>
      </c>
      <c r="AI70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{"issue":{"subject":"","project_id":79,"tracker_id":40,"status_id":1,"priority_id":2,"assigned_to_id":338,"start_date":"2017-12-28","description":"","custom_fields":[{"id":1,"name":"Subdivision","value":"EC"},{"id":4,"name":"Milepost","value":"0.0231"},{"id":17,"name":"Train ID","value":"158-28"},{"id":16,"name":"Locomotive ID","value":"4041"},{"id":130,"name":"Impact","value":""},{"id":150,"name":"Time of Event (Mountain Time)","value":"12:21:26"},{"id":151,"name":"Denver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2"/>
      <c r="AK70" s="230"/>
      <c r="AL70" s="230"/>
      <c r="AM70" s="239" t="str">
        <f t="shared" si="21"/>
        <v>start /low /b %USERPROFILE%\Documents\GitHub\eaglep3\Utilities\DownloadLogsFromS3.py --loco 4041 --day 2017-12-28</v>
      </c>
      <c r="AN70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19:21:26"},{"id":29,"name":"Sharepoint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29" t="str">
        <f t="shared" si="23"/>
        <v>https://d0f6bd738d7f1b3e5a7ca70fe4ff75f0.us-east-1.aws.found.io/app/kibana#/discover/Steve-Slow-Train-Analysis-(2080s-and-2083s)?_g=(refreshInterval:(display:Off,pause:!f,section:0,value:0),time:(from:'2017-12-28T10:36:04-0700',mode:absolute,to:'2017-12-28T13:21:26-0700'))&amp;_a=(columns:!('Message%20ID',Summary),filters:!(),index:'emp_*',interval:auto,query:(query_string:(analyze_wildcard:!t,query:'%22rtdc.l.rtdc.4041%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8" t="s">
        <v>782</v>
      </c>
      <c r="B71" s="224">
        <v>4064</v>
      </c>
      <c r="C71" s="226" t="s">
        <v>192</v>
      </c>
      <c r="D71" s="226" t="s">
        <v>627</v>
      </c>
      <c r="E71" s="225">
        <v>43097.453252314815</v>
      </c>
      <c r="F71" s="225">
        <v>43097.458541666667</v>
      </c>
      <c r="G71" s="224">
        <v>58</v>
      </c>
      <c r="H71" s="226" t="s">
        <v>580</v>
      </c>
      <c r="I71" s="225">
        <v>43097.483784722222</v>
      </c>
      <c r="J71" s="224">
        <v>0</v>
      </c>
      <c r="K71" s="236" t="str">
        <f t="shared" si="0"/>
        <v>4063/4064</v>
      </c>
      <c r="L71" s="244" t="str">
        <f>VLOOKUP(A71,'Trips&amp;Operators'!$C$1:$G$99911,5,FALSE)</f>
        <v>DAVIDSON DAVID</v>
      </c>
      <c r="M71" s="223">
        <f t="shared" si="1"/>
        <v>2.5243055555620231E-2</v>
      </c>
      <c r="N71" s="224">
        <f t="shared" si="24"/>
        <v>36.350000000093132</v>
      </c>
      <c r="O71" s="224"/>
      <c r="P71" s="224"/>
      <c r="Q71" s="227"/>
      <c r="R71" s="241"/>
      <c r="S71" s="248">
        <f t="shared" si="25"/>
        <v>1</v>
      </c>
      <c r="T71" s="241" t="str">
        <f t="shared" si="4"/>
        <v>NorthBound</v>
      </c>
      <c r="U71" s="24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7" t="str">
        <f t="shared" si="5"/>
        <v>https://d0f6bd738d7f1b3e5a7ca70fe4ff75f0.us-east-1.aws.found.io/app/kibana#/discover/Steve-Slow-Train-Analysis-(2080s-and-2083s)?_g=(refreshInterval:(display:Off,pause:!f,section:0,value:0),time:(from:'2017-12-28T09:52:41-0700',mode:absolute,to:'2017-12-28T12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1" s="246" t="str">
        <f>IF(AA71&lt;VLOOKUP(AG71,Variables!$AC$3:$AD$8,2,FALSE),"Y","N")</f>
        <v>N</v>
      </c>
      <c r="X71" s="246">
        <f t="shared" si="34"/>
        <v>1</v>
      </c>
      <c r="Y71" s="246">
        <f t="shared" si="32"/>
        <v>5.1999999999999998E-2</v>
      </c>
      <c r="Z71" s="246">
        <f t="shared" si="33"/>
        <v>23.327999999999999</v>
      </c>
      <c r="AA71" s="246">
        <f t="shared" si="9"/>
        <v>23.276</v>
      </c>
      <c r="AB71" s="232" t="e">
        <f>VLOOKUP(A71,Enforcements!$C$7:$K$9,8,0)</f>
        <v>#N/A</v>
      </c>
      <c r="AC71" s="231" t="e">
        <f>VLOOKUP(A71,Enforcements!$C$7:$E$9,3,0)</f>
        <v>#N/A</v>
      </c>
      <c r="AD71" s="242">
        <f t="shared" si="10"/>
        <v>159</v>
      </c>
      <c r="AE71" s="234" t="str">
        <f t="shared" si="11"/>
        <v>aws s3 cp s3://rtdc.mdm.uploadarchive.raw/RTDC4064/ "%USERPROFILE%\AppData\Local\Temp\OnboardLogs"\RTDC4064\2017-12-28 --exclude "*" --recursive --include "*20171228*" &amp; "%USERPROFILE%\Documents\GitHub\mrs-test-scripts\Headless Mode &amp; Sideloading\WalkAndUnGZ.bat" "%USERPROFILE%\AppData\Local\Temp\OnboardLogs"\RTDC4064\2017-12-28 &amp; aws s3 cp s3://rtdc.mdm.uploadarchive.raw/RTDC4064/ "%USERPROFILE%\AppData\Local\Temp\OnboardLogs"\RTDC4064\2017-12-29 --exclude "*" --recursive --include "*20171229*" &amp; "%USERPROFILE%\Documents\GitHub\mrs-test-scripts\Headless Mode &amp; Sideloading\WalkAndUnGZ.bat" "%USERPROFILE%\AppData\Local\Temp\OnboardLogs"\RTDC4064\2017-12-29</v>
      </c>
      <c r="AF71" s="233" t="str">
        <f t="shared" si="12"/>
        <v>"C:\Program Files (x86)\AstroGrep\AstroGrep.exe" /e /r /s /spath="%USERPROFILE%\AppData\Local\Temp\OnboardLogs" /stypes="app*4064*201712281*" /stext=" 18:.+?(?&gt;(PRM\|1\|D)|(KPR)|(KDP)|(train st[a-z]+ moving)|(SYSTEM_STATE:s[a-z]+ state changed)|(Enforcement Action)|(\[TIMEOUT)|(parse_ebi_status: Penalty)|(\|GPPS))"</v>
      </c>
      <c r="AG71" s="243" t="str">
        <f t="shared" si="13"/>
        <v>EC</v>
      </c>
      <c r="AH71" s="235" t="str">
        <f t="shared" si="19"/>
        <v>"%USERPROFILE%\Documents\GitHub\eaglep3\Utilities\RefineRTDCRunTimes.py" --tripid 159-28 --locoid 4064 --swversion DE.1.0.9.0 --startMP 204:520 --initTime 2017-12-28T10:52:41 --startdatetime 2017-12-28T11:00:18 --delay 58 --endMP 204:233280 --enddatetime 2017-12-28T11:36:39 --enforcementcount 0 &gt;&gt;%USERPROFILE%\Documents\GitHub\eaglep3-reporting\EC\2017-12-28-refined-times.txt</v>
      </c>
      <c r="AI71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{"issue":{"subject":"","project_id":79,"tracker_id":40,"status_id":1,"priority_id":2,"assigned_to_id":338,"start_date":"2017-12-28","description":"","custom_fields":[{"id":1,"name":"Subdivision","value":"EC"},{"id":4,"name":"Milepost","value":"23.328"},{"id":17,"name":"Train ID","value":"159-28"},{"id":16,"name":"Locomotive ID","value":"4064"},{"id":130,"name":"Impact","value":""},{"id":150,"name":"Time of Event (Mountain Time)","value":"11:36:39"},{"id":151,"name":"Denver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2"/>
      <c r="AK71" s="230"/>
      <c r="AL71" s="230"/>
      <c r="AM71" s="239" t="str">
        <f t="shared" si="21"/>
        <v>start /low /b %USERPROFILE%\Documents\GitHub\eaglep3\Utilities\DownloadLogsFromS3.py --loco 4064 --day 2017-12-28</v>
      </c>
      <c r="AN71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18:36:39"},{"id":29,"name":"Sharepoint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29" t="str">
        <f t="shared" si="23"/>
        <v>https://d0f6bd738d7f1b3e5a7ca70fe4ff75f0.us-east-1.aws.found.io/app/kibana#/discover/Steve-Slow-Train-Analysis-(2080s-and-2083s)?_g=(refreshInterval:(display:Off,pause:!f,section:0,value:0),time:(from:'2017-12-28T09:52:41-0700',mode:absolute,to:'2017-12-28T12:36:39-0700'))&amp;_a=(columns:!('Message%20ID',Summary),filters:!(),index:'emp_*',interval:auto,query:(query_string:(analyze_wildcard:!t,query:'%22rtdc.l.rtdc.4064%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8" t="s">
        <v>790</v>
      </c>
      <c r="B72" s="224">
        <v>4063</v>
      </c>
      <c r="C72" s="226" t="s">
        <v>192</v>
      </c>
      <c r="D72" s="226" t="s">
        <v>480</v>
      </c>
      <c r="E72" s="225">
        <v>43097.485439814816</v>
      </c>
      <c r="F72" s="225">
        <v>43097.498229166667</v>
      </c>
      <c r="G72" s="224">
        <v>54</v>
      </c>
      <c r="H72" s="226" t="s">
        <v>473</v>
      </c>
      <c r="I72" s="225">
        <v>43097.524918981479</v>
      </c>
      <c r="J72" s="224">
        <v>0</v>
      </c>
      <c r="K72" s="236" t="str">
        <f t="shared" si="0"/>
        <v>4063/4064</v>
      </c>
      <c r="L72" s="244" t="str">
        <f>VLOOKUP(A72,'Trips&amp;Operators'!$C$1:$G$99911,5,FALSE)</f>
        <v>DAVIDSON DAVID</v>
      </c>
      <c r="M72" s="223">
        <f t="shared" si="1"/>
        <v>2.6689814811106771E-2</v>
      </c>
      <c r="N72" s="224">
        <f t="shared" si="24"/>
        <v>38.433333327993751</v>
      </c>
      <c r="O72" s="224"/>
      <c r="P72" s="224"/>
      <c r="Q72" s="227"/>
      <c r="R72" s="241"/>
      <c r="S72" s="248">
        <f t="shared" si="25"/>
        <v>1</v>
      </c>
      <c r="T72" s="241" t="str">
        <f t="shared" si="4"/>
        <v>Southbound</v>
      </c>
      <c r="U72" s="24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7" t="str">
        <f t="shared" si="5"/>
        <v>https://d0f6bd738d7f1b3e5a7ca70fe4ff75f0.us-east-1.aws.found.io/app/kibana#/discover/Steve-Slow-Train-Analysis-(2080s-and-2083s)?_g=(refreshInterval:(display:Off,pause:!f,section:0,value:0),time:(from:'2017-12-28T10:39:02-0700',mode:absolute,to:'2017-12-28T13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2" s="246" t="str">
        <f>IF(AA72&lt;VLOOKUP(AG72,Variables!$AC$3:$AD$8,2,FALSE),"Y","N")</f>
        <v>N</v>
      </c>
      <c r="X72" s="246">
        <f t="shared" si="34"/>
        <v>1</v>
      </c>
      <c r="Y72" s="246">
        <f t="shared" si="32"/>
        <v>23.2959</v>
      </c>
      <c r="Z72" s="246">
        <f t="shared" si="33"/>
        <v>1.9800000000000002E-2</v>
      </c>
      <c r="AA72" s="246">
        <f t="shared" si="9"/>
        <v>23.2761</v>
      </c>
      <c r="AB72" s="232" t="e">
        <f>VLOOKUP(A72,Enforcements!$C$7:$K$9,8,0)</f>
        <v>#N/A</v>
      </c>
      <c r="AC72" s="231" t="e">
        <f>VLOOKUP(A72,Enforcements!$C$7:$E$9,3,0)</f>
        <v>#N/A</v>
      </c>
      <c r="AD72" s="242">
        <f t="shared" si="10"/>
        <v>160</v>
      </c>
      <c r="AE72" s="234" t="str">
        <f t="shared" si="11"/>
        <v>aws s3 cp s3://rtdc.mdm.uploadarchive.raw/RTDC4063/ "%USERPROFILE%\AppData\Local\Temp\OnboardLogs"\RTDC4063\2017-12-28 --exclude "*" --recursive --include "*20171228*" &amp; "%USERPROFILE%\Documents\GitHub\mrs-test-scripts\Headless Mode &amp; Sideloading\WalkAndUnGZ.bat" "%USERPROFILE%\AppData\Local\Temp\OnboardLogs"\RTDC4063\2017-12-28 &amp; aws s3 cp s3://rtdc.mdm.uploadarchive.raw/RTDC4063/ "%USERPROFILE%\AppData\Local\Temp\OnboardLogs"\RTDC4063\2017-12-29 --exclude "*" --recursive --include "*20171229*" &amp; "%USERPROFILE%\Documents\GitHub\mrs-test-scripts\Headless Mode &amp; Sideloading\WalkAndUnGZ.bat" "%USERPROFILE%\AppData\Local\Temp\OnboardLogs"\RTDC4063\2017-12-29</v>
      </c>
      <c r="AF72" s="233" t="str">
        <f t="shared" si="12"/>
        <v>"C:\Program Files (x86)\AstroGrep\AstroGrep.exe" /e /r /s /spath="%USERPROFILE%\AppData\Local\Temp\OnboardLogs" /stypes="app*4063*201712281*" /stext=" 19:.+?(?&gt;(PRM\|1\|D)|(KPR)|(KDP)|(train st[a-z]+ moving)|(SYSTEM_STATE:s[a-z]+ state changed)|(Enforcement Action)|(\[TIMEOUT)|(parse_ebi_status: Penalty)|(\|GPPS))"</v>
      </c>
      <c r="AG72" s="243" t="str">
        <f t="shared" si="13"/>
        <v>EC</v>
      </c>
      <c r="AH72" s="235" t="str">
        <f t="shared" si="19"/>
        <v>"%USERPROFILE%\Documents\GitHub\eaglep3\Utilities\RefineRTDCRunTimes.py" --tripid 160-28 --locoid 4063 --swversion DE.1.0.9.0 --startMP 204:232959 --initTime 2017-12-28T11:39:02 --startdatetime 2017-12-28T11:57:27 --delay 54 --endMP 204:198 --enddatetime 2017-12-28T12:35:53 --enforcementcount 0 &gt;&gt;%USERPROFILE%\Documents\GitHub\eaglep3-reporting\EC\2017-12-28-refined-times.txt</v>
      </c>
      <c r="AI72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{"issue":{"subject":"","project_id":79,"tracker_id":40,"status_id":1,"priority_id":2,"assigned_to_id":338,"start_date":"2017-12-28","description":"","custom_fields":[{"id":1,"name":"Subdivision","value":"EC"},{"id":4,"name":"Milepost","value":"0.0198"},{"id":17,"name":"Train ID","value":"160-28"},{"id":16,"name":"Locomotive ID","value":"4063"},{"id":130,"name":"Impact","value":""},{"id":150,"name":"Time of Event (Mountain Time)","value":"12:35:53"},{"id":151,"name":"Denver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2"/>
      <c r="AK72" s="230"/>
      <c r="AL72" s="230"/>
      <c r="AM72" s="239" t="str">
        <f t="shared" si="21"/>
        <v>start /low /b %USERPROFILE%\Documents\GitHub\eaglep3\Utilities\DownloadLogsFromS3.py --loco 4063 --day 2017-12-28</v>
      </c>
      <c r="AN72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19:35:53"},{"id":29,"name":"Sharepoint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29" t="str">
        <f t="shared" si="23"/>
        <v>https://d0f6bd738d7f1b3e5a7ca70fe4ff75f0.us-east-1.aws.found.io/app/kibana#/discover/Steve-Slow-Train-Analysis-(2080s-and-2083s)?_g=(refreshInterval:(display:Off,pause:!f,section:0,value:0),time:(from:'2017-12-28T10:39:02-0700',mode:absolute,to:'2017-12-28T13:35:53-0700'))&amp;_a=(columns:!('Message%20ID',Summary),filters:!(),index:'emp_*',interval:auto,query:(query_string:(analyze_wildcard:!t,query:'%22rtdc.l.rtdc.4063%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8" t="s">
        <v>786</v>
      </c>
      <c r="B73" s="224">
        <v>4014</v>
      </c>
      <c r="C73" s="226" t="s">
        <v>192</v>
      </c>
      <c r="D73" s="226" t="s">
        <v>474</v>
      </c>
      <c r="E73" s="225">
        <v>43097.465555555558</v>
      </c>
      <c r="F73" s="225">
        <v>43097.468923611108</v>
      </c>
      <c r="G73" s="224">
        <v>161</v>
      </c>
      <c r="H73" s="226" t="s">
        <v>948</v>
      </c>
      <c r="I73" s="225">
        <v>43097.494120370371</v>
      </c>
      <c r="J73" s="224">
        <v>0</v>
      </c>
      <c r="K73" s="236" t="str">
        <f t="shared" si="0"/>
        <v>4013/4014</v>
      </c>
      <c r="L73" s="244" t="str">
        <f>VLOOKUP(A73,'Trips&amp;Operators'!$C$1:$G$99911,5,FALSE)</f>
        <v>BRUDER RICHARD</v>
      </c>
      <c r="M73" s="223">
        <f t="shared" si="1"/>
        <v>2.5196759263053536E-2</v>
      </c>
      <c r="N73" s="224">
        <f t="shared" si="24"/>
        <v>36.283333338797092</v>
      </c>
      <c r="O73" s="224"/>
      <c r="P73" s="224"/>
      <c r="Q73" s="227"/>
      <c r="R73" s="241"/>
      <c r="S73" s="248">
        <f t="shared" si="25"/>
        <v>1</v>
      </c>
      <c r="T73" s="241" t="str">
        <f t="shared" si="4"/>
        <v>NorthBound</v>
      </c>
      <c r="U73" s="24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7" t="str">
        <f t="shared" si="5"/>
        <v>https://d0f6bd738d7f1b3e5a7ca70fe4ff75f0.us-east-1.aws.found.io/app/kibana#/discover/Steve-Slow-Train-Analysis-(2080s-and-2083s)?_g=(refreshInterval:(display:Off,pause:!f,section:0,value:0),time:(from:'2017-12-28T10:10:24-0700',mode:absolute,to:'2017-12-28T12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3" s="246" t="str">
        <f>IF(AA73&lt;VLOOKUP(AG73,Variables!$AC$3:$AD$8,2,FALSE),"Y","N")</f>
        <v>N</v>
      </c>
      <c r="X73" s="246">
        <f t="shared" si="34"/>
        <v>1</v>
      </c>
      <c r="Y73" s="246">
        <f t="shared" si="32"/>
        <v>5.1700000000000003E-2</v>
      </c>
      <c r="Z73" s="246">
        <f t="shared" si="33"/>
        <v>23.320499999999999</v>
      </c>
      <c r="AA73" s="246">
        <f t="shared" si="9"/>
        <v>23.268799999999999</v>
      </c>
      <c r="AB73" s="232" t="e">
        <f>VLOOKUP(A73,Enforcements!$C$7:$K$9,8,0)</f>
        <v>#N/A</v>
      </c>
      <c r="AC73" s="231" t="e">
        <f>VLOOKUP(A73,Enforcements!$C$7:$E$9,3,0)</f>
        <v>#N/A</v>
      </c>
      <c r="AD73" s="242">
        <f t="shared" si="10"/>
        <v>161</v>
      </c>
      <c r="AE73" s="234" t="str">
        <f t="shared" si="11"/>
        <v>aws s3 cp s3://rtdc.mdm.uploadarchive.raw/RTDC4014/ "%USERPROFILE%\AppData\Local\Temp\OnboardLogs"\RTDC4014\2017-12-28 --exclude "*" --recursive --include "*20171228*" &amp; "%USERPROFILE%\Documents\GitHub\mrs-test-scripts\Headless Mode &amp; Sideloading\WalkAndUnGZ.bat" "%USERPROFILE%\AppData\Local\Temp\OnboardLogs"\RTDC4014\2017-12-28 &amp; aws s3 cp s3://rtdc.mdm.uploadarchive.raw/RTDC4014/ "%USERPROFILE%\AppData\Local\Temp\OnboardLogs"\RTDC4014\2017-12-29 --exclude "*" --recursive --include "*20171229*" &amp; "%USERPROFILE%\Documents\GitHub\mrs-test-scripts\Headless Mode &amp; Sideloading\WalkAndUnGZ.bat" "%USERPROFILE%\AppData\Local\Temp\OnboardLogs"\RTDC4014\2017-12-29</v>
      </c>
      <c r="AF73" s="233" t="str">
        <f t="shared" si="12"/>
        <v>"C:\Program Files (x86)\AstroGrep\AstroGrep.exe" /e /r /s /spath="%USERPROFILE%\AppData\Local\Temp\OnboardLogs" /stypes="app*4014*201712281*" /stext=" 18:.+?(?&gt;(PRM\|1\|D)|(KPR)|(KDP)|(train st[a-z]+ moving)|(SYSTEM_STATE:s[a-z]+ state changed)|(Enforcement Action)|(\[TIMEOUT)|(parse_ebi_status: Penalty)|(\|GPPS))"</v>
      </c>
      <c r="AG73" s="243" t="str">
        <f t="shared" si="13"/>
        <v>EC</v>
      </c>
      <c r="AH73" s="235" t="str">
        <f t="shared" si="19"/>
        <v>"%USERPROFILE%\Documents\GitHub\eaglep3\Utilities\RefineRTDCRunTimes.py" --tripid 161-28 --locoid 4014 --swversion DE.1.0.9.0 --startMP 204:517 --initTime 2017-12-28T11:10:24 --startdatetime 2017-12-28T11:15:15 --delay 161 --endMP 204:233205 --enddatetime 2017-12-28T11:51:32 --enforcementcount 0 &gt;&gt;%USERPROFILE%\Documents\GitHub\eaglep3-reporting\EC\2017-12-28-refined-times.txt</v>
      </c>
      <c r="AI73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{"issue":{"subject":"","project_id":79,"tracker_id":40,"status_id":1,"priority_id":2,"assigned_to_id":338,"start_date":"2017-12-28","description":"","custom_fields":[{"id":1,"name":"Subdivision","value":"EC"},{"id":4,"name":"Milepost","value":"23.3205"},{"id":17,"name":"Train ID","value":"161-28"},{"id":16,"name":"Locomotive ID","value":"4014"},{"id":130,"name":"Impact","value":""},{"id":150,"name":"Time of Event (Mountain Time)","value":"11:51:32"},{"id":151,"name":"Denver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2"/>
      <c r="AK73" s="230"/>
      <c r="AL73" s="230"/>
      <c r="AM73" s="239" t="str">
        <f t="shared" si="21"/>
        <v>start /low /b %USERPROFILE%\Documents\GitHub\eaglep3\Utilities\DownloadLogsFromS3.py --loco 4014 --day 2017-12-28</v>
      </c>
      <c r="AN73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18:51:32"},{"id":29,"name":"Sharepoint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29" t="str">
        <f t="shared" si="23"/>
        <v>https://d0f6bd738d7f1b3e5a7ca70fe4ff75f0.us-east-1.aws.found.io/app/kibana#/discover/Steve-Slow-Train-Analysis-(2080s-and-2083s)?_g=(refreshInterval:(display:Off,pause:!f,section:0,value:0),time:(from:'2017-12-28T10:10:24-0700',mode:absolute,to:'2017-12-28T12:51:32-0700'))&amp;_a=(columns:!('Message%20ID',Summary),filters:!(),index:'emp_*',interval:auto,query:(query_string:(analyze_wildcard:!t,query:'%22rtdc.l.rtdc.4014%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8" t="s">
        <v>794</v>
      </c>
      <c r="B74" s="224">
        <v>4013</v>
      </c>
      <c r="C74" s="226" t="s">
        <v>192</v>
      </c>
      <c r="D74" s="226" t="s">
        <v>582</v>
      </c>
      <c r="E74" s="225">
        <v>43097.505439814813</v>
      </c>
      <c r="F74" s="225">
        <v>43097.508518518516</v>
      </c>
      <c r="G74" s="224">
        <v>97</v>
      </c>
      <c r="H74" s="226" t="s">
        <v>584</v>
      </c>
      <c r="I74" s="225">
        <v>43097.534016203703</v>
      </c>
      <c r="J74" s="224">
        <v>0</v>
      </c>
      <c r="K74" s="236" t="str">
        <f t="shared" si="0"/>
        <v>4013/4014</v>
      </c>
      <c r="L74" s="244" t="str">
        <f>VLOOKUP(A74,'Trips&amp;Operators'!$C$1:$G$99911,5,FALSE)</f>
        <v>BRUDER RICHARD</v>
      </c>
      <c r="M74" s="223">
        <f t="shared" si="1"/>
        <v>2.5497685186564922E-2</v>
      </c>
      <c r="N74" s="224">
        <f t="shared" si="24"/>
        <v>36.716666668653488</v>
      </c>
      <c r="O74" s="224"/>
      <c r="P74" s="224"/>
      <c r="Q74" s="227"/>
      <c r="R74" s="241"/>
      <c r="S74" s="248">
        <f t="shared" si="25"/>
        <v>1</v>
      </c>
      <c r="T74" s="241" t="str">
        <f t="shared" si="4"/>
        <v>Southbound</v>
      </c>
      <c r="U74" s="24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7" t="str">
        <f t="shared" si="5"/>
        <v>https://d0f6bd738d7f1b3e5a7ca70fe4ff75f0.us-east-1.aws.found.io/app/kibana#/discover/Steve-Slow-Train-Analysis-(2080s-and-2083s)?_g=(refreshInterval:(display:Off,pause:!f,section:0,value:0),time:(from:'2017-12-28T11:07:50-0700',mode:absolute,to:'2017-12-28T13:48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4" s="246" t="str">
        <f>IF(AA74&lt;VLOOKUP(AG74,Variables!$AC$3:$AD$8,2,FALSE),"Y","N")</f>
        <v>N</v>
      </c>
      <c r="X74" s="246">
        <f t="shared" si="34"/>
        <v>1</v>
      </c>
      <c r="Y74" s="246">
        <f t="shared" si="32"/>
        <v>23.289200000000001</v>
      </c>
      <c r="Z74" s="246">
        <f t="shared" si="33"/>
        <v>2.1399999999999999E-2</v>
      </c>
      <c r="AA74" s="246">
        <f t="shared" si="9"/>
        <v>23.267800000000001</v>
      </c>
      <c r="AB74" s="232" t="e">
        <f>VLOOKUP(A74,Enforcements!$C$7:$K$9,8,0)</f>
        <v>#N/A</v>
      </c>
      <c r="AC74" s="231" t="e">
        <f>VLOOKUP(A74,Enforcements!$C$7:$E$9,3,0)</f>
        <v>#N/A</v>
      </c>
      <c r="AD74" s="242">
        <f t="shared" si="10"/>
        <v>162</v>
      </c>
      <c r="AE74" s="234" t="str">
        <f t="shared" si="11"/>
        <v>aws s3 cp s3://rtdc.mdm.uploadarchive.raw/RTDC4013/ "%USERPROFILE%\AppData\Local\Temp\OnboardLogs"\RTDC4013\2017-12-28 --exclude "*" --recursive --include "*20171228*" &amp; "%USERPROFILE%\Documents\GitHub\mrs-test-scripts\Headless Mode &amp; Sideloading\WalkAndUnGZ.bat" "%USERPROFILE%\AppData\Local\Temp\OnboardLogs"\RTDC4013\2017-12-28 &amp; aws s3 cp s3://rtdc.mdm.uploadarchive.raw/RTDC4013/ "%USERPROFILE%\AppData\Local\Temp\OnboardLogs"\RTDC4013\2017-12-29 --exclude "*" --recursive --include "*20171229*" &amp; "%USERPROFILE%\Documents\GitHub\mrs-test-scripts\Headless Mode &amp; Sideloading\WalkAndUnGZ.bat" "%USERPROFILE%\AppData\Local\Temp\OnboardLogs"\RTDC4013\2017-12-29</v>
      </c>
      <c r="AF74" s="233" t="str">
        <f t="shared" si="12"/>
        <v>"C:\Program Files (x86)\AstroGrep\AstroGrep.exe" /e /r /s /spath="%USERPROFILE%\AppData\Local\Temp\OnboardLogs" /stypes="app*4013*201712281*" /stext=" 19:.+?(?&gt;(PRM\|1\|D)|(KPR)|(KDP)|(train st[a-z]+ moving)|(SYSTEM_STATE:s[a-z]+ state changed)|(Enforcement Action)|(\[TIMEOUT)|(parse_ebi_status: Penalty)|(\|GPPS))"</v>
      </c>
      <c r="AG74" s="243" t="str">
        <f t="shared" si="13"/>
        <v>EC</v>
      </c>
      <c r="AH74" s="235" t="str">
        <f t="shared" si="19"/>
        <v>"%USERPROFILE%\Documents\GitHub\eaglep3\Utilities\RefineRTDCRunTimes.py" --tripid 162-28 --locoid 4013 --swversion DE.1.0.9.0 --startMP 204:232892 --initTime 2017-12-28T12:07:50 --startdatetime 2017-12-28T12:12:16 --delay 97 --endMP 204:214 --enddatetime 2017-12-28T12:48:59 --enforcementcount 0 &gt;&gt;%USERPROFILE%\Documents\GitHub\eaglep3-reporting\EC\2017-12-28-refined-times.txt</v>
      </c>
      <c r="AI74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{"issue":{"subject":"","project_id":79,"tracker_id":40,"status_id":1,"priority_id":2,"assigned_to_id":338,"start_date":"2017-12-28","description":"","custom_fields":[{"id":1,"name":"Subdivision","value":"EC"},{"id":4,"name":"Milepost","value":"0.0214"},{"id":17,"name":"Train ID","value":"162-28"},{"id":16,"name":"Locomotive ID","value":"4013"},{"id":130,"name":"Impact","value":""},{"id":150,"name":"Time of Event (Mountain Time)","value":"12:48:59"},{"id":151,"name":"Denver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2"/>
      <c r="AK74" s="230"/>
      <c r="AL74" s="230"/>
      <c r="AM74" s="239" t="str">
        <f t="shared" si="21"/>
        <v>start /low /b %USERPROFILE%\Documents\GitHub\eaglep3\Utilities\DownloadLogsFromS3.py --loco 4013 --day 2017-12-28</v>
      </c>
      <c r="AN74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19:48:59"},{"id":29,"name":"Sharepoint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29" t="str">
        <f t="shared" si="23"/>
        <v>https://d0f6bd738d7f1b3e5a7ca70fe4ff75f0.us-east-1.aws.found.io/app/kibana#/discover/Steve-Slow-Train-Analysis-(2080s-and-2083s)?_g=(refreshInterval:(display:Off,pause:!f,section:0,value:0),time:(from:'2017-12-28T11:07:50-0700',mode:absolute,to:'2017-12-28T13:48:59-0700'))&amp;_a=(columns:!('Message%20ID',Summary),filters:!(),index:'emp_*',interval:auto,query:(query_string:(analyze_wildcard:!t,query:'%22rtdc.l.rtdc.4013%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8" t="s">
        <v>787</v>
      </c>
      <c r="B75" s="224">
        <v>4046</v>
      </c>
      <c r="C75" s="226" t="s">
        <v>192</v>
      </c>
      <c r="D75" s="226" t="s">
        <v>529</v>
      </c>
      <c r="E75" s="225">
        <v>43097.473773148151</v>
      </c>
      <c r="F75" s="225">
        <v>43097.479432870372</v>
      </c>
      <c r="G75" s="224">
        <v>88</v>
      </c>
      <c r="H75" s="226" t="s">
        <v>949</v>
      </c>
      <c r="I75" s="225">
        <v>43097.503912037035</v>
      </c>
      <c r="J75" s="224">
        <v>0</v>
      </c>
      <c r="K75" s="236" t="str">
        <f t="shared" si="0"/>
        <v>4045/4046</v>
      </c>
      <c r="L75" s="244" t="str">
        <f>VLOOKUP(A75,'Trips&amp;Operators'!$C$1:$G$99911,5,FALSE)</f>
        <v>STEWART MICHAEL</v>
      </c>
      <c r="M75" s="223">
        <f t="shared" si="1"/>
        <v>2.4479166662786156E-2</v>
      </c>
      <c r="N75" s="224">
        <f t="shared" si="24"/>
        <v>35.249999994412065</v>
      </c>
      <c r="O75" s="224"/>
      <c r="P75" s="224"/>
      <c r="Q75" s="227"/>
      <c r="R75" s="241"/>
      <c r="S75" s="248">
        <f t="shared" si="25"/>
        <v>1</v>
      </c>
      <c r="T75" s="241" t="str">
        <f t="shared" si="4"/>
        <v>NorthBound</v>
      </c>
      <c r="U75" s="24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7" t="str">
        <f t="shared" si="5"/>
        <v>https://d0f6bd738d7f1b3e5a7ca70fe4ff75f0.us-east-1.aws.found.io/app/kibana#/discover/Steve-Slow-Train-Analysis-(2080s-and-2083s)?_g=(refreshInterval:(display:Off,pause:!f,section:0,value:0),time:(from:'2017-12-28T10:22:14-0700',mode:absolute,to:'2017-12-28T13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5" s="246" t="str">
        <f>IF(AA75&lt;VLOOKUP(AG75,Variables!$AC$3:$AD$8,2,FALSE),"Y","N")</f>
        <v>N</v>
      </c>
      <c r="X75" s="246">
        <f t="shared" si="34"/>
        <v>1</v>
      </c>
      <c r="Y75" s="246">
        <f t="shared" si="32"/>
        <v>4.9299999999999997E-2</v>
      </c>
      <c r="Z75" s="246">
        <f t="shared" si="33"/>
        <v>23.325500000000002</v>
      </c>
      <c r="AA75" s="246">
        <f t="shared" si="9"/>
        <v>23.276200000000003</v>
      </c>
      <c r="AB75" s="232" t="e">
        <f>VLOOKUP(A75,Enforcements!$C$7:$K$9,8,0)</f>
        <v>#N/A</v>
      </c>
      <c r="AC75" s="231" t="e">
        <f>VLOOKUP(A75,Enforcements!$C$7:$E$9,3,0)</f>
        <v>#N/A</v>
      </c>
      <c r="AD75" s="242">
        <f t="shared" si="10"/>
        <v>163</v>
      </c>
      <c r="AE75" s="234" t="str">
        <f t="shared" si="11"/>
        <v>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 &amp; aws s3 cp s3://rtdc.mdm.uploadarchive.raw/RTDC4046/ "%USERPROFILE%\AppData\Local\Temp\OnboardLogs"\RTDC4046\2017-12-29 --exclude "*" --recursive --include "*20171229*" &amp; "%USERPROFILE%\Documents\GitHub\mrs-test-scripts\Headless Mode &amp; Sideloading\WalkAndUnGZ.bat" "%USERPROFILE%\AppData\Local\Temp\OnboardLogs"\RTDC4046\2017-12-29</v>
      </c>
      <c r="AF75" s="233" t="str">
        <f t="shared" si="12"/>
        <v>"C:\Program Files (x86)\AstroGrep\AstroGrep.exe" /e /r /s /spath="%USERPROFILE%\AppData\Local\Temp\OnboardLogs" /stypes="app*4046*201712281*" /stext=" 19:.+?(?&gt;(PRM\|1\|D)|(KPR)|(KDP)|(train st[a-z]+ moving)|(SYSTEM_STATE:s[a-z]+ state changed)|(Enforcement Action)|(\[TIMEOUT)|(parse_ebi_status: Penalty)|(\|GPPS))"</v>
      </c>
      <c r="AG75" s="243" t="str">
        <f t="shared" si="13"/>
        <v>EC</v>
      </c>
      <c r="AH75" s="235" t="str">
        <f t="shared" si="19"/>
        <v>"%USERPROFILE%\Documents\GitHub\eaglep3\Utilities\RefineRTDCRunTimes.py" --tripid 163-28 --locoid 4046 --swversion DE.1.0.9.0 --startMP 204:493 --initTime 2017-12-28T11:22:14 --startdatetime 2017-12-28T11:30:23 --delay 88 --endMP 204:233255 --enddatetime 2017-12-28T12:05:38 --enforcementcount 0 &gt;&gt;%USERPROFILE%\Documents\GitHub\eaglep3-reporting\EC\2017-12-28-refined-times.txt</v>
      </c>
      <c r="AI75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{"issue":{"subject":"","project_id":79,"tracker_id":40,"status_id":1,"priority_id":2,"assigned_to_id":338,"start_date":"2017-12-28","description":"","custom_fields":[{"id":1,"name":"Subdivision","value":"EC"},{"id":4,"name":"Milepost","value":"23.3255"},{"id":17,"name":"Train ID","value":"163-28"},{"id":16,"name":"Locomotive ID","value":"4046"},{"id":130,"name":"Impact","value":""},{"id":150,"name":"Time of Event (Mountain Time)","value":"12:05:38"},{"id":151,"name":"Denver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2"/>
      <c r="AK75" s="230"/>
      <c r="AL75" s="230"/>
      <c r="AM75" s="239" t="str">
        <f t="shared" si="21"/>
        <v>start /low /b %USERPROFILE%\Documents\GitHub\eaglep3\Utilities\DownloadLogsFromS3.py --loco 4046 --day 2017-12-28</v>
      </c>
      <c r="AN75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19:05:38"},{"id":29,"name":"Sharepoint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29" t="str">
        <f t="shared" si="23"/>
        <v>https://d0f6bd738d7f1b3e5a7ca70fe4ff75f0.us-east-1.aws.found.io/app/kibana#/discover/Steve-Slow-Train-Analysis-(2080s-and-2083s)?_g=(refreshInterval:(display:Off,pause:!f,section:0,value:0),time:(from:'2017-12-28T10:22:14-0700',mode:absolute,to:'2017-12-28T13:05:38-0700'))&amp;_a=(columns:!('Message%20ID',Summary),filters:!(),index:'emp_*',interval:auto,query:(query_string:(analyze_wildcard:!t,query:'%22rtdc.l.rtdc.4046%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8" t="s">
        <v>796</v>
      </c>
      <c r="B76" s="224">
        <v>4045</v>
      </c>
      <c r="C76" s="226" t="s">
        <v>192</v>
      </c>
      <c r="D76" s="226" t="s">
        <v>950</v>
      </c>
      <c r="E76" s="225">
        <v>43097.515289351853</v>
      </c>
      <c r="F76" s="225">
        <v>43097.519016203703</v>
      </c>
      <c r="G76" s="224">
        <v>107</v>
      </c>
      <c r="H76" s="226" t="s">
        <v>642</v>
      </c>
      <c r="I76" s="225">
        <v>43097.545613425929</v>
      </c>
      <c r="J76" s="224">
        <v>0</v>
      </c>
      <c r="K76" s="236" t="str">
        <f t="shared" si="0"/>
        <v>4045/4046</v>
      </c>
      <c r="L76" s="244" t="str">
        <f>VLOOKUP(A76,'Trips&amp;Operators'!$C$1:$G$99911,5,FALSE)</f>
        <v>STEWART MICHAEL</v>
      </c>
      <c r="M76" s="223">
        <f t="shared" si="1"/>
        <v>2.6597222225973383E-2</v>
      </c>
      <c r="N76" s="224">
        <f t="shared" si="24"/>
        <v>38.300000005401671</v>
      </c>
      <c r="O76" s="224"/>
      <c r="P76" s="224"/>
      <c r="Q76" s="227"/>
      <c r="R76" s="241"/>
      <c r="S76" s="248">
        <f t="shared" si="25"/>
        <v>1</v>
      </c>
      <c r="T76" s="241" t="str">
        <f t="shared" si="4"/>
        <v>Southbound</v>
      </c>
      <c r="U76" s="24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7" t="str">
        <f t="shared" si="5"/>
        <v>https://d0f6bd738d7f1b3e5a7ca70fe4ff75f0.us-east-1.aws.found.io/app/kibana#/discover/Steve-Slow-Train-Analysis-(2080s-and-2083s)?_g=(refreshInterval:(display:Off,pause:!f,section:0,value:0),time:(from:'2017-12-28T11:22:01-0700',mode:absolute,to:'2017-12-28T14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6" s="246" t="str">
        <f>IF(AA76&lt;VLOOKUP(AG76,Variables!$AC$3:$AD$8,2,FALSE),"Y","N")</f>
        <v>N</v>
      </c>
      <c r="X76" s="246">
        <f t="shared" si="34"/>
        <v>1</v>
      </c>
      <c r="Y76" s="246">
        <f t="shared" si="32"/>
        <v>23.2926</v>
      </c>
      <c r="Z76" s="246">
        <f t="shared" si="33"/>
        <v>1.8100000000000002E-2</v>
      </c>
      <c r="AA76" s="246">
        <f t="shared" si="9"/>
        <v>23.2745</v>
      </c>
      <c r="AB76" s="232" t="e">
        <f>VLOOKUP(A76,Enforcements!$C$7:$K$9,8,0)</f>
        <v>#N/A</v>
      </c>
      <c r="AC76" s="231" t="e">
        <f>VLOOKUP(A76,Enforcements!$C$7:$E$9,3,0)</f>
        <v>#N/A</v>
      </c>
      <c r="AD76" s="242">
        <f t="shared" si="10"/>
        <v>164</v>
      </c>
      <c r="AE76" s="234" t="str">
        <f t="shared" si="11"/>
        <v>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 &amp; aws s3 cp s3://rtdc.mdm.uploadarchive.raw/RTDC4045/ "%USERPROFILE%\AppData\Local\Temp\OnboardLogs"\RTDC4045\2017-12-29 --exclude "*" --recursive --include "*20171229*" &amp; "%USERPROFILE%\Documents\GitHub\mrs-test-scripts\Headless Mode &amp; Sideloading\WalkAndUnGZ.bat" "%USERPROFILE%\AppData\Local\Temp\OnboardLogs"\RTDC4045\2017-12-29</v>
      </c>
      <c r="AF76" s="233" t="str">
        <f t="shared" si="12"/>
        <v>"C:\Program Files (x86)\AstroGrep\AstroGrep.exe" /e /r /s /spath="%USERPROFILE%\AppData\Local\Temp\OnboardLogs" /stypes="app*4045*201712282*" /stext=" 20:.+?(?&gt;(PRM\|1\|D)|(KPR)|(KDP)|(train st[a-z]+ moving)|(SYSTEM_STATE:s[a-z]+ state changed)|(Enforcement Action)|(\[TIMEOUT)|(parse_ebi_status: Penalty)|(\|GPPS))"</v>
      </c>
      <c r="AG76" s="243" t="str">
        <f t="shared" si="13"/>
        <v>EC</v>
      </c>
      <c r="AH76" s="235" t="str">
        <f t="shared" si="19"/>
        <v>"%USERPROFILE%\Documents\GitHub\eaglep3\Utilities\RefineRTDCRunTimes.py" --tripid 164-28 --locoid 4045 --swversion DE.1.0.9.0 --startMP 204:232926 --initTime 2017-12-28T12:22:01 --startdatetime 2017-12-28T12:27:23 --delay 107 --endMP 204:181 --enddatetime 2017-12-28T13:05:41 --enforcementcount 0 &gt;&gt;%USERPROFILE%\Documents\GitHub\eaglep3-reporting\EC\2017-12-28-refined-times.txt</v>
      </c>
      <c r="AI76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{"issue":{"subject":"","project_id":79,"tracker_id":40,"status_id":1,"priority_id":2,"assigned_to_id":338,"start_date":"2017-12-28","description":"","custom_fields":[{"id":1,"name":"Subdivision","value":"EC"},{"id":4,"name":"Milepost","value":"0.0181"},{"id":17,"name":"Train ID","value":"164-28"},{"id":16,"name":"Locomotive ID","value":"4045"},{"id":130,"name":"Impact","value":""},{"id":150,"name":"Time of Event (Mountain Time)","value":"13:05:41"},{"id":151,"name":"Denver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2"/>
      <c r="AK76" s="230"/>
      <c r="AL76" s="230"/>
      <c r="AM76" s="239" t="str">
        <f t="shared" si="21"/>
        <v>start /low /b %USERPROFILE%\Documents\GitHub\eaglep3\Utilities\DownloadLogsFromS3.py --loco 4045 --day 2017-12-28</v>
      </c>
      <c r="AN76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20:05:41"},{"id":29,"name":"Sharepoint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29" t="str">
        <f t="shared" si="23"/>
        <v>https://d0f6bd738d7f1b3e5a7ca70fe4ff75f0.us-east-1.aws.found.io/app/kibana#/discover/Steve-Slow-Train-Analysis-(2080s-and-2083s)?_g=(refreshInterval:(display:Off,pause:!f,section:0,value:0),time:(from:'2017-12-28T11:22:01-0700',mode:absolute,to:'2017-12-28T14:05:41-0700'))&amp;_a=(columns:!('Message%20ID',Summary),filters:!(),index:'emp_*',interval:auto,query:(query_string:(analyze_wildcard:!t,query:'%22rtdc.l.rtdc.4045%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8" t="s">
        <v>791</v>
      </c>
      <c r="B77" s="224">
        <v>4056</v>
      </c>
      <c r="C77" s="226" t="s">
        <v>192</v>
      </c>
      <c r="D77" s="226" t="s">
        <v>523</v>
      </c>
      <c r="E77" s="225">
        <v>43097.485775462963</v>
      </c>
      <c r="F77" s="225">
        <v>43097.489814814813</v>
      </c>
      <c r="G77" s="224">
        <v>114</v>
      </c>
      <c r="H77" s="226" t="s">
        <v>951</v>
      </c>
      <c r="I77" s="225">
        <v>43097.514872685184</v>
      </c>
      <c r="J77" s="224">
        <v>0</v>
      </c>
      <c r="K77" s="236" t="str">
        <f t="shared" ref="K77:K140" si="35">IF(ISEVEN(B77),(B77-1)&amp;"/"&amp;B77,B77&amp;"/"&amp;(B77+1))</f>
        <v>4055/4056</v>
      </c>
      <c r="L77" s="244" t="str">
        <f>VLOOKUP(A77,'Trips&amp;Operators'!$C$1:$G$99911,5,FALSE)</f>
        <v>LEVIN SCOTT</v>
      </c>
      <c r="M77" s="223">
        <f t="shared" ref="M77:M140" si="36">I77-F77</f>
        <v>2.5057870370801538E-2</v>
      </c>
      <c r="N77" s="224">
        <f t="shared" ref="N77:N85" si="37">24*60*SUM($M77:$M77)</f>
        <v>36.083333333954215</v>
      </c>
      <c r="O77" s="224"/>
      <c r="P77" s="224"/>
      <c r="Q77" s="227"/>
      <c r="R77" s="241"/>
      <c r="S77" s="248">
        <f t="shared" ref="S77:S85" si="38">1/IF(AG77="EC",12,1)*SUM(U77:U77)</f>
        <v>1</v>
      </c>
      <c r="T77" s="241" t="str">
        <f t="shared" ref="T77:T140" si="39">IF(ISEVEN(LEFT(AD77,4)),"Southbound","NorthBound")</f>
        <v>NorthBound</v>
      </c>
      <c r="U77" s="24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7" t="str">
        <f t="shared" ref="V77:V140" si="4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-28T10:39:31-0700',mode:absolute,to:'2017-12-28T13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7" s="246" t="str">
        <f>IF(AA77&lt;VLOOKUP(AG77,Variables!$AC$3:$AD$8,2,FALSE),"Y","N")</f>
        <v>N</v>
      </c>
      <c r="X77" s="246">
        <f t="shared" si="34"/>
        <v>1</v>
      </c>
      <c r="Y77" s="246">
        <f t="shared" si="32"/>
        <v>5.0599999999999999E-2</v>
      </c>
      <c r="Z77" s="246">
        <f t="shared" si="33"/>
        <v>23.328800000000001</v>
      </c>
      <c r="AA77" s="246">
        <f t="shared" ref="AA77:AA140" si="41">ABS(Z77-Y77)</f>
        <v>23.278200000000002</v>
      </c>
      <c r="AB77" s="232" t="e">
        <f>VLOOKUP(A77,Enforcements!$C$7:$K$9,8,0)</f>
        <v>#N/A</v>
      </c>
      <c r="AC77" s="231" t="e">
        <f>VLOOKUP(A77,Enforcements!$C$7:$E$9,3,0)</f>
        <v>#N/A</v>
      </c>
      <c r="AD77" s="242">
        <f t="shared" ref="AD77:AD140" si="42">VALUE(LEFT(A77,LEN(A77)-3))</f>
        <v>165</v>
      </c>
      <c r="AE77" s="234" t="str">
        <f t="shared" ref="AE77:AE140" si="4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s3://rtdc.mdm.uploadarchive.raw/RTDC4056/ "%USERPROFILE%\AppData\Local\Temp\OnboardLogs"\RTDC4056\2017-12-28 --exclude "*" --recursive --include "*20171228*" &amp; "%USERPROFILE%\Documents\GitHub\mrs-test-scripts\Headless Mode &amp; Sideloading\WalkAndUnGZ.bat" "%USERPROFILE%\AppData\Local\Temp\OnboardLogs"\RTDC4056\2017-12-28 &amp; aws s3 cp s3://rtdc.mdm.uploadarchive.raw/RTDC4056/ "%USERPROFILE%\AppData\Local\Temp\OnboardLogs"\RTDC4056\2017-12-29 --exclude "*" --recursive --include "*20171229*" &amp; "%USERPROFILE%\Documents\GitHub\mrs-test-scripts\Headless Mode &amp; Sideloading\WalkAndUnGZ.bat" "%USERPROFILE%\AppData\Local\Temp\OnboardLogs"\RTDC4056\2017-12-29</v>
      </c>
      <c r="AF77" s="233" t="str">
        <f t="shared" ref="AF77:AF140" si="44">astrogrep_path&amp;" /e /r /s /spath="&amp;search_path&amp;" /stypes=""app*"&amp;B77&amp;"*"&amp;TEXT(I77-utc_offset/24,"YYYYMMDD")&amp;LEFT(TEXT(I77-utc_offset/24,"HH"),1)&amp;"*"" /stext="" "&amp;TEXT(I77-utc_offset/24,"HH")&amp;search_regexp&amp;""""</f>
        <v>"C:\Program Files (x86)\AstroGrep\AstroGrep.exe" /e /r /s /spath="%USERPROFILE%\AppData\Local\Temp\OnboardLogs" /stypes="app*4056*201712281*" /stext=" 19:.+?(?&gt;(PRM\|1\|D)|(KPR)|(KDP)|(train st[a-z]+ moving)|(SYSTEM_STATE:s[a-z]+ state changed)|(Enforcement Action)|(\[TIMEOUT)|(parse_ebi_status: Penalty)|(\|GPPS))"</v>
      </c>
      <c r="AG77" s="243" t="str">
        <f t="shared" ref="AG77:AG140" si="45">DetSubdiv(A77)</f>
        <v>EC</v>
      </c>
      <c r="AH77" s="235" t="str">
        <f t="shared" si="19"/>
        <v>"%USERPROFILE%\Documents\GitHub\eaglep3\Utilities\RefineRTDCRunTimes.py" --tripid 165-28 --locoid 4056 --swversion DE.1.0.9.0 --startMP 204:506 --initTime 2017-12-28T11:39:31 --startdatetime 2017-12-28T11:45:20 --delay 114 --endMP 204:233288 --enddatetime 2017-12-28T12:21:25 --enforcementcount 0 &gt;&gt;%USERPROFILE%\Documents\GitHub\eaglep3-reporting\EC\2017-12-28-refined-times.txt</v>
      </c>
      <c r="AI77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{"issue":{"subject":"","project_id":79,"tracker_id":40,"status_id":1,"priority_id":2,"assigned_to_id":338,"start_date":"2017-12-28","description":"","custom_fields":[{"id":1,"name":"Subdivision","value":"EC"},{"id":4,"name":"Milepost","value":"23.3288"},{"id":17,"name":"Train ID","value":"165-28"},{"id":16,"name":"Locomotive ID","value":"4056"},{"id":130,"name":"Impact","value":""},{"id":150,"name":"Time of Event (Mountain Time)","value":"12:21:25"},{"id":151,"name":"Denver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2"/>
      <c r="AK77" s="230"/>
      <c r="AL77" s="230"/>
      <c r="AM77" s="239" t="str">
        <f t="shared" si="21"/>
        <v>start /low /b %USERPROFILE%\Documents\GitHub\eaglep3\Utilities\DownloadLogsFromS3.py --loco 4056 --day 2017-12-28</v>
      </c>
      <c r="AN77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19:21:25"},{"id":29,"name":"Sharepoint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29" t="str">
        <f t="shared" si="23"/>
        <v>https://d0f6bd738d7f1b3e5a7ca70fe4ff75f0.us-east-1.aws.found.io/app/kibana#/discover/Steve-Slow-Train-Analysis-(2080s-and-2083s)?_g=(refreshInterval:(display:Off,pause:!f,section:0,value:0),time:(from:'2017-12-28T10:39:31-0700',mode:absolute,to:'2017-12-28T13:21:25-0700'))&amp;_a=(columns:!('Message%20ID',Summary),filters:!(),index:'emp_*',interval:auto,query:(query_string:(analyze_wildcard:!t,query:'%22rtdc.l.rtdc.4056%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8" t="s">
        <v>684</v>
      </c>
      <c r="B78" s="224">
        <v>4055</v>
      </c>
      <c r="C78" s="226" t="s">
        <v>192</v>
      </c>
      <c r="D78" s="226" t="s">
        <v>952</v>
      </c>
      <c r="E78" s="225">
        <v>43097.521585648145</v>
      </c>
      <c r="F78" s="225">
        <v>43097.529351851852</v>
      </c>
      <c r="G78" s="224">
        <v>75</v>
      </c>
      <c r="H78" s="226" t="s">
        <v>920</v>
      </c>
      <c r="I78" s="225">
        <v>43097.555428240739</v>
      </c>
      <c r="J78" s="224">
        <v>0</v>
      </c>
      <c r="K78" s="236" t="str">
        <f t="shared" si="35"/>
        <v>4055/4056</v>
      </c>
      <c r="L78" s="244" t="str">
        <f>VLOOKUP(A78,'Trips&amp;Operators'!$C$1:$G$99911,5,FALSE)</f>
        <v>LEVIN SCOTT</v>
      </c>
      <c r="M78" s="223">
        <f t="shared" si="36"/>
        <v>2.6076388887304347E-2</v>
      </c>
      <c r="N78" s="224">
        <f t="shared" si="37"/>
        <v>37.54999999771826</v>
      </c>
      <c r="O78" s="224"/>
      <c r="P78" s="224"/>
      <c r="Q78" s="227"/>
      <c r="R78" s="241"/>
      <c r="S78" s="248">
        <f t="shared" si="38"/>
        <v>1</v>
      </c>
      <c r="T78" s="241" t="str">
        <f t="shared" si="39"/>
        <v>Southbound</v>
      </c>
      <c r="U78" s="24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7" t="str">
        <f t="shared" si="40"/>
        <v>https://d0f6bd738d7f1b3e5a7ca70fe4ff75f0.us-east-1.aws.found.io/app/kibana#/discover/Steve-Slow-Train-Analysis-(2080s-and-2083s)?_g=(refreshInterval:(display:Off,pause:!f,section:0,value:0),time:(from:'2017-12-28T11:31:05-0700',mode:absolute,to:'2017-12-28T14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8" s="246" t="str">
        <f>IF(AA78&lt;VLOOKUP(AG78,Variables!$AC$3:$AD$8,2,FALSE),"Y","N")</f>
        <v>N</v>
      </c>
      <c r="X78" s="246">
        <f t="shared" si="34"/>
        <v>1</v>
      </c>
      <c r="Y78" s="246">
        <f t="shared" si="32"/>
        <v>23.299399999999999</v>
      </c>
      <c r="Z78" s="246">
        <f t="shared" si="33"/>
        <v>1.54E-2</v>
      </c>
      <c r="AA78" s="246">
        <f t="shared" si="41"/>
        <v>23.283999999999999</v>
      </c>
      <c r="AB78" s="232" t="str">
        <f>VLOOKUP(A78,Enforcements!$C$7:$K$9,8,0)</f>
        <v>Bulletin (2)</v>
      </c>
      <c r="AC78" s="231" t="str">
        <f>VLOOKUP(A78,Enforcements!$C$7:$E$9,3,0)</f>
        <v>GRADE CROSSING</v>
      </c>
      <c r="AD78" s="242">
        <f t="shared" si="42"/>
        <v>166</v>
      </c>
      <c r="AE78" s="234" t="str">
        <f t="shared" si="43"/>
        <v>aws s3 cp s3://rtdc.mdm.uploadarchive.raw/RTDC4055/ "%USERPROFILE%\AppData\Local\Temp\OnboardLogs"\RTDC4055\2017-12-28 --exclude "*" --recursive --include "*20171228*" &amp; "%USERPROFILE%\Documents\GitHub\mrs-test-scripts\Headless Mode &amp; Sideloading\WalkAndUnGZ.bat" "%USERPROFILE%\AppData\Local\Temp\OnboardLogs"\RTDC4055\2017-12-28 &amp; aws s3 cp s3://rtdc.mdm.uploadarchive.raw/RTDC4055/ "%USERPROFILE%\AppData\Local\Temp\OnboardLogs"\RTDC4055\2017-12-29 --exclude "*" --recursive --include "*20171229*" &amp; "%USERPROFILE%\Documents\GitHub\mrs-test-scripts\Headless Mode &amp; Sideloading\WalkAndUnGZ.bat" "%USERPROFILE%\AppData\Local\Temp\OnboardLogs"\RTDC4055\2017-12-29</v>
      </c>
      <c r="AF78" s="233" t="str">
        <f t="shared" si="44"/>
        <v>"C:\Program Files (x86)\AstroGrep\AstroGrep.exe" /e /r /s /spath="%USERPROFILE%\AppData\Local\Temp\OnboardLogs" /stypes="app*4055*201712282*" /stext=" 20:.+?(?&gt;(PRM\|1\|D)|(KPR)|(KDP)|(train st[a-z]+ moving)|(SYSTEM_STATE:s[a-z]+ state changed)|(Enforcement Action)|(\[TIMEOUT)|(parse_ebi_status: Penalty)|(\|GPPS))"</v>
      </c>
      <c r="AG78" s="243" t="str">
        <f t="shared" si="45"/>
        <v>EC</v>
      </c>
      <c r="AH78" s="235" t="str">
        <f t="shared" si="19"/>
        <v>"%USERPROFILE%\Documents\GitHub\eaglep3\Utilities\RefineRTDCRunTimes.py" --tripid 166-28 --locoid 4055 --swversion DE.1.0.9.0 --startMP 204:232994 --initTime 2017-12-28T12:31:05 --startdatetime 2017-12-28T12:42:16 --delay 75 --endMP 204:154 --enddatetime 2017-12-28T13:19:49 --enforcementcount 0 &gt;&gt;%USERPROFILE%\Documents\GitHub\eaglep3-reporting\EC\2017-12-28-refined-times.txt</v>
      </c>
      <c r="AI78" s="237" t="str">
        <f t="shared" si="20"/>
        <v>echo {"issue":{"subject":"","project_id":79,"tracker_id":40,"status_id":1,"priority_id":2,"assigned_to_id":338,"start_date":"2017-12-28","description":"","custom_fields":[{"id":1,"name":"Subdivision","value":"EC"},{"id":4,"name":"Milepost","value":"0.0154"},{"id":17,"name":"Train ID","value":"166-28"},{"id":16,"name":"Locomotive ID","value":"4055"},{"id":130,"name":"Impact","value":""},{"id":150,"name":"Time of Event (Mountain Time)","value":"13:19:49"},{"id":151,"name":"Denver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2"/>
      <c r="AK78" s="230"/>
      <c r="AL78" s="230"/>
      <c r="AM78" s="239" t="str">
        <f t="shared" si="21"/>
        <v>start /low /b %USERPROFILE%\Documents\GitHub\eaglep3\Utilities\DownloadLogsFromS3.py --loco 4055 --day 2017-12-28</v>
      </c>
      <c r="AN78" s="240" t="str">
        <f t="shared" si="2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20:19:49"},{"id":29,"name":"Sharepoint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29" t="str">
        <f t="shared" si="23"/>
        <v>https://d0f6bd738d7f1b3e5a7ca70fe4ff75f0.us-east-1.aws.found.io/app/kibana#/discover/Steve-Slow-Train-Analysis-(2080s-and-2083s)?_g=(refreshInterval:(display:Off,pause:!f,section:0,value:0),time:(from:'2017-12-28T11:31:05-0700',mode:absolute,to:'2017-12-28T14:19:49-0700'))&amp;_a=(columns:!('Message%20ID',Summary),filters:!(),index:'emp_*',interval:auto,query:(query_string:(analyze_wildcard:!t,query:'%22rtdc.l.rtdc.4055%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8" t="s">
        <v>792</v>
      </c>
      <c r="B79" s="224">
        <v>4062</v>
      </c>
      <c r="C79" s="226" t="s">
        <v>192</v>
      </c>
      <c r="D79" s="226" t="s">
        <v>522</v>
      </c>
      <c r="E79" s="225">
        <v>43097.496539351851</v>
      </c>
      <c r="F79" s="225">
        <v>43097.500347222223</v>
      </c>
      <c r="G79" s="224">
        <v>128</v>
      </c>
      <c r="H79" s="226" t="s">
        <v>478</v>
      </c>
      <c r="I79" s="225">
        <v>43097.525405092594</v>
      </c>
      <c r="J79" s="224">
        <v>0</v>
      </c>
      <c r="K79" s="236" t="str">
        <f t="shared" si="35"/>
        <v>4061/4062</v>
      </c>
      <c r="L79" s="244" t="str">
        <f>VLOOKUP(A79,'Trips&amp;Operators'!$C$1:$G$99911,5,FALSE)</f>
        <v>LORI SANTOS</v>
      </c>
      <c r="M79" s="223">
        <f t="shared" si="36"/>
        <v>2.5057870370801538E-2</v>
      </c>
      <c r="N79" s="224">
        <f t="shared" si="37"/>
        <v>36.083333333954215</v>
      </c>
      <c r="O79" s="224"/>
      <c r="P79" s="224"/>
      <c r="Q79" s="227"/>
      <c r="R79" s="241"/>
      <c r="S79" s="248">
        <f t="shared" si="38"/>
        <v>1</v>
      </c>
      <c r="T79" s="241" t="str">
        <f t="shared" si="39"/>
        <v>NorthBound</v>
      </c>
      <c r="U79" s="24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7" t="str">
        <f t="shared" si="40"/>
        <v>https://d0f6bd738d7f1b3e5a7ca70fe4ff75f0.us-east-1.aws.found.io/app/kibana#/discover/Steve-Slow-Train-Analysis-(2080s-and-2083s)?_g=(refreshInterval:(display:Off,pause:!f,section:0,value:0),time:(from:'2017-12-28T10:55:01-0700',mode:absolute,to:'2017-12-28T13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9" s="246" t="str">
        <f>IF(AA79&lt;VLOOKUP(AG79,Variables!$AC$3:$AD$8,2,FALSE),"Y","N")</f>
        <v>N</v>
      </c>
      <c r="X79" s="246">
        <f t="shared" si="34"/>
        <v>1</v>
      </c>
      <c r="Y79" s="246">
        <f t="shared" ref="Y79:Y110" si="46">RIGHT(D79,LEN(D79)-4)/10000</f>
        <v>5.2600000000000001E-2</v>
      </c>
      <c r="Z79" s="246">
        <f t="shared" ref="Z79:Z110" si="47">RIGHT(H79,LEN(H79)-4)/10000</f>
        <v>23.329499999999999</v>
      </c>
      <c r="AA79" s="246">
        <f t="shared" si="41"/>
        <v>23.276899999999998</v>
      </c>
      <c r="AB79" s="232" t="e">
        <f>VLOOKUP(A79,Enforcements!$C$7:$K$9,8,0)</f>
        <v>#N/A</v>
      </c>
      <c r="AC79" s="231" t="e">
        <f>VLOOKUP(A79,Enforcements!$C$7:$E$9,3,0)</f>
        <v>#N/A</v>
      </c>
      <c r="AD79" s="242">
        <f t="shared" si="42"/>
        <v>167</v>
      </c>
      <c r="AE79" s="234" t="str">
        <f t="shared" si="43"/>
        <v>aws s3 cp s3://rtdc.mdm.uploadarchive.raw/RTDC4062/ "%USERPROFILE%\AppData\Local\Temp\OnboardLogs"\RTDC4062\2017-12-28 --exclude "*" --recursive --include "*20171228*" &amp; "%USERPROFILE%\Documents\GitHub\mrs-test-scripts\Headless Mode &amp; Sideloading\WalkAndUnGZ.bat" "%USERPROFILE%\AppData\Local\Temp\OnboardLogs"\RTDC4062\2017-12-28 &amp; aws s3 cp s3://rtdc.mdm.uploadarchive.raw/RTDC4062/ "%USERPROFILE%\AppData\Local\Temp\OnboardLogs"\RTDC4062\2017-12-29 --exclude "*" --recursive --include "*20171229*" &amp; "%USERPROFILE%\Documents\GitHub\mrs-test-scripts\Headless Mode &amp; Sideloading\WalkAndUnGZ.bat" "%USERPROFILE%\AppData\Local\Temp\OnboardLogs"\RTDC4062\2017-12-29</v>
      </c>
      <c r="AF79" s="233" t="str">
        <f t="shared" si="44"/>
        <v>"C:\Program Files (x86)\AstroGrep\AstroGrep.exe" /e /r /s /spath="%USERPROFILE%\AppData\Local\Temp\OnboardLogs" /stypes="app*4062*201712281*" /stext=" 19:.+?(?&gt;(PRM\|1\|D)|(KPR)|(KDP)|(train st[a-z]+ moving)|(SYSTEM_STATE:s[a-z]+ state changed)|(Enforcement Action)|(\[TIMEOUT)|(parse_ebi_status: Penalty)|(\|GPPS))"</v>
      </c>
      <c r="AG79" s="243" t="str">
        <f t="shared" si="45"/>
        <v>EC</v>
      </c>
      <c r="AH79" s="235" t="str">
        <f t="shared" ref="AH79:AH142" si="48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167-28 --locoid 4062 --swversion DE.1.0.9.0 --startMP 204:526 --initTime 2017-12-28T11:55:01 --startdatetime 2017-12-28T12:00:30 --delay 128 --endMP 204:233295 --enddatetime 2017-12-28T12:36:35 --enforcementcount 0 &gt;&gt;%USERPROFILE%\Documents\GitHub\eaglep3-reporting\EC\2017-12-28-refined-times.txt</v>
      </c>
      <c r="AI79" s="237" t="str">
        <f t="shared" ref="AI79:AI142" si="49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{"issue":{"subject":"","project_id":79,"tracker_id":40,"status_id":1,"priority_id":2,"assigned_to_id":338,"start_date":"2017-12-28","description":"","custom_fields":[{"id":1,"name":"Subdivision","value":"EC"},{"id":4,"name":"Milepost","value":"23.3295"},{"id":17,"name":"Train ID","value":"167-28"},{"id":16,"name":"Locomotive ID","value":"4062"},{"id":130,"name":"Impact","value":""},{"id":150,"name":"Time of Event (Mountain Time)","value":"12:36:35"},{"id":151,"name":"Denver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2"/>
      <c r="AK79" s="230"/>
      <c r="AL79" s="230"/>
      <c r="AM79" s="239" t="str">
        <f t="shared" ref="AM79:AM142" si="50">"start /low /b "&amp;dls3logs&amp;" --loco "&amp;B79&amp;" --day "&amp;TEXT(F79,"YYYY-MM-DD")</f>
        <v>start /low /b %USERPROFILE%\Documents\GitHub\eaglep3\Utilities\DownloadLogsFromS3.py --loco 4062 --day 2017-12-28</v>
      </c>
      <c r="AN79" s="240" t="str">
        <f t="shared" ref="AN79:AN142" si="51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19:36:35"},{"id":29,"name":"Sharepoint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29" t="str">
        <f t="shared" ref="AO79:AO142" si="52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-28T10:55:01-0700',mode:absolute,to:'2017-12-28T13:36:35-0700'))&amp;_a=(columns:!('Message%20ID',Summary),filters:!(),index:'emp_*',interval:auto,query:(query_string:(analyze_wildcard:!t,query:'%22rtdc.l.rtdc.4062%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8" t="s">
        <v>800</v>
      </c>
      <c r="B80" s="224">
        <v>4061</v>
      </c>
      <c r="C80" s="226" t="s">
        <v>192</v>
      </c>
      <c r="D80" s="226" t="s">
        <v>939</v>
      </c>
      <c r="E80" s="225">
        <v>43097.537372685183</v>
      </c>
      <c r="F80" s="225">
        <v>43097.539837962962</v>
      </c>
      <c r="G80" s="224">
        <v>84</v>
      </c>
      <c r="H80" s="226" t="s">
        <v>539</v>
      </c>
      <c r="I80" s="225">
        <v>43097.566562499997</v>
      </c>
      <c r="J80" s="224">
        <v>0</v>
      </c>
      <c r="K80" s="236" t="str">
        <f t="shared" si="35"/>
        <v>4061/4062</v>
      </c>
      <c r="L80" s="244" t="str">
        <f>VLOOKUP(A80,'Trips&amp;Operators'!$C$1:$G$99911,5,FALSE)</f>
        <v>LORI SANTOS</v>
      </c>
      <c r="M80" s="223">
        <f t="shared" si="36"/>
        <v>2.6724537034169771E-2</v>
      </c>
      <c r="N80" s="224">
        <f t="shared" si="37"/>
        <v>38.48333332920447</v>
      </c>
      <c r="O80" s="224"/>
      <c r="P80" s="224"/>
      <c r="Q80" s="227"/>
      <c r="R80" s="241"/>
      <c r="S80" s="248">
        <f t="shared" si="38"/>
        <v>1</v>
      </c>
      <c r="T80" s="241" t="str">
        <f t="shared" si="39"/>
        <v>Southbound</v>
      </c>
      <c r="U80" s="24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7" t="str">
        <f t="shared" si="40"/>
        <v>https://d0f6bd738d7f1b3e5a7ca70fe4ff75f0.us-east-1.aws.found.io/app/kibana#/discover/Steve-Slow-Train-Analysis-(2080s-and-2083s)?_g=(refreshInterval:(display:Off,pause:!f,section:0,value:0),time:(from:'2017-12-28T11:53:49-0700',mode:absolute,to:'2017-12-28T14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0" s="246" t="str">
        <f>IF(AA80&lt;VLOOKUP(AG80,Variables!$AC$3:$AD$8,2,FALSE),"Y","N")</f>
        <v>N</v>
      </c>
      <c r="X80" s="246">
        <f t="shared" si="34"/>
        <v>1</v>
      </c>
      <c r="Y80" s="246">
        <f t="shared" si="46"/>
        <v>23.298300000000001</v>
      </c>
      <c r="Z80" s="246">
        <f t="shared" si="47"/>
        <v>2.1999999999999999E-2</v>
      </c>
      <c r="AA80" s="246">
        <f t="shared" si="41"/>
        <v>23.276300000000003</v>
      </c>
      <c r="AB80" s="232" t="e">
        <f>VLOOKUP(A80,Enforcements!$C$7:$K$9,8,0)</f>
        <v>#N/A</v>
      </c>
      <c r="AC80" s="231" t="e">
        <f>VLOOKUP(A80,Enforcements!$C$7:$E$9,3,0)</f>
        <v>#N/A</v>
      </c>
      <c r="AD80" s="242">
        <f t="shared" si="42"/>
        <v>168</v>
      </c>
      <c r="AE80" s="234" t="str">
        <f t="shared" si="43"/>
        <v>aws s3 cp s3://rtdc.mdm.uploadarchive.raw/RTDC4061/ "%USERPROFILE%\AppData\Local\Temp\OnboardLogs"\RTDC4061\2017-12-28 --exclude "*" --recursive --include "*20171228*" &amp; "%USERPROFILE%\Documents\GitHub\mrs-test-scripts\Headless Mode &amp; Sideloading\WalkAndUnGZ.bat" "%USERPROFILE%\AppData\Local\Temp\OnboardLogs"\RTDC4061\2017-12-28 &amp; aws s3 cp s3://rtdc.mdm.uploadarchive.raw/RTDC4061/ "%USERPROFILE%\AppData\Local\Temp\OnboardLogs"\RTDC4061\2017-12-29 --exclude "*" --recursive --include "*20171229*" &amp; "%USERPROFILE%\Documents\GitHub\mrs-test-scripts\Headless Mode &amp; Sideloading\WalkAndUnGZ.bat" "%USERPROFILE%\AppData\Local\Temp\OnboardLogs"\RTDC4061\2017-12-29</v>
      </c>
      <c r="AF80" s="233" t="str">
        <f t="shared" si="44"/>
        <v>"C:\Program Files (x86)\AstroGrep\AstroGrep.exe" /e /r /s /spath="%USERPROFILE%\AppData\Local\Temp\OnboardLogs" /stypes="app*4061*201712282*" /stext=" 20:.+?(?&gt;(PRM\|1\|D)|(KPR)|(KDP)|(train st[a-z]+ moving)|(SYSTEM_STATE:s[a-z]+ state changed)|(Enforcement Action)|(\[TIMEOUT)|(parse_ebi_status: Penalty)|(\|GPPS))"</v>
      </c>
      <c r="AG80" s="243" t="str">
        <f t="shared" si="45"/>
        <v>EC</v>
      </c>
      <c r="AH80" s="235" t="str">
        <f t="shared" si="48"/>
        <v>"%USERPROFILE%\Documents\GitHub\eaglep3\Utilities\RefineRTDCRunTimes.py" --tripid 168-28 --locoid 4061 --swversion DE.1.0.9.0 --startMP 204:232983 --initTime 2017-12-28T12:53:49 --startdatetime 2017-12-28T12:57:22 --delay 84 --endMP 204:220 --enddatetime 2017-12-28T13:35:51 --enforcementcount 0 &gt;&gt;%USERPROFILE%\Documents\GitHub\eaglep3-reporting\EC\2017-12-28-refined-times.txt</v>
      </c>
      <c r="AI80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{"issue":{"subject":"","project_id":79,"tracker_id":40,"status_id":1,"priority_id":2,"assigned_to_id":338,"start_date":"2017-12-28","description":"","custom_fields":[{"id":1,"name":"Subdivision","value":"EC"},{"id":4,"name":"Milepost","value":"0.022"},{"id":17,"name":"Train ID","value":"168-28"},{"id":16,"name":"Locomotive ID","value":"4061"},{"id":130,"name":"Impact","value":""},{"id":150,"name":"Time of Event (Mountain Time)","value":"13:35:51"},{"id":151,"name":"Denver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2"/>
      <c r="AK80" s="230"/>
      <c r="AL80" s="230"/>
      <c r="AM80" s="239" t="str">
        <f t="shared" si="50"/>
        <v>start /low /b %USERPROFILE%\Documents\GitHub\eaglep3\Utilities\DownloadLogsFromS3.py --loco 4061 --day 2017-12-28</v>
      </c>
      <c r="AN80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20:35:51"},{"id":29,"name":"Sharepoint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29" t="str">
        <f t="shared" si="52"/>
        <v>https://d0f6bd738d7f1b3e5a7ca70fe4ff75f0.us-east-1.aws.found.io/app/kibana#/discover/Steve-Slow-Train-Analysis-(2080s-and-2083s)?_g=(refreshInterval:(display:Off,pause:!f,section:0,value:0),time:(from:'2017-12-28T11:53:49-0700',mode:absolute,to:'2017-12-28T14:35:51-0700'))&amp;_a=(columns:!('Message%20ID',Summary),filters:!(),index:'emp_*',interval:auto,query:(query_string:(analyze_wildcard:!t,query:'%22rtdc.l.rtdc.4061%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8" t="s">
        <v>795</v>
      </c>
      <c r="B81" s="224">
        <v>4004</v>
      </c>
      <c r="C81" s="226" t="s">
        <v>192</v>
      </c>
      <c r="D81" s="226" t="s">
        <v>944</v>
      </c>
      <c r="E81" s="225">
        <v>43097.50608796296</v>
      </c>
      <c r="F81" s="225">
        <v>43097.510613425926</v>
      </c>
      <c r="G81" s="224">
        <v>73</v>
      </c>
      <c r="H81" s="226" t="s">
        <v>953</v>
      </c>
      <c r="I81" s="225">
        <v>43097.53634259259</v>
      </c>
      <c r="J81" s="224">
        <v>0</v>
      </c>
      <c r="K81" s="236" t="str">
        <f t="shared" si="35"/>
        <v>4003/4004</v>
      </c>
      <c r="L81" s="244" t="str">
        <f>VLOOKUP(A81,'Trips&amp;Operators'!$C$1:$G$99911,5,FALSE)</f>
        <v>KILLION DAVID</v>
      </c>
      <c r="M81" s="223">
        <f t="shared" si="36"/>
        <v>2.5729166663950309E-2</v>
      </c>
      <c r="N81" s="224">
        <f t="shared" si="37"/>
        <v>37.049999996088445</v>
      </c>
      <c r="O81" s="224"/>
      <c r="P81" s="224"/>
      <c r="Q81" s="227"/>
      <c r="R81" s="241"/>
      <c r="S81" s="248">
        <f t="shared" si="38"/>
        <v>1</v>
      </c>
      <c r="T81" s="241" t="str">
        <f t="shared" si="39"/>
        <v>NorthBound</v>
      </c>
      <c r="U81" s="24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7" t="str">
        <f t="shared" si="40"/>
        <v>https://d0f6bd738d7f1b3e5a7ca70fe4ff75f0.us-east-1.aws.found.io/app/kibana#/discover/Steve-Slow-Train-Analysis-(2080s-and-2083s)?_g=(refreshInterval:(display:Off,pause:!f,section:0,value:0),time:(from:'2017-12-28T11:08:46-0700',mode:absolute,to:'2017-12-28T13:52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1" s="246" t="str">
        <f>IF(AA81&lt;VLOOKUP(AG81,Variables!$AC$3:$AD$8,2,FALSE),"Y","N")</f>
        <v>N</v>
      </c>
      <c r="X81" s="246">
        <f t="shared" si="34"/>
        <v>1</v>
      </c>
      <c r="Y81" s="246">
        <f t="shared" si="46"/>
        <v>5.11E-2</v>
      </c>
      <c r="Z81" s="246">
        <f t="shared" si="47"/>
        <v>23.331600000000002</v>
      </c>
      <c r="AA81" s="246">
        <f t="shared" si="41"/>
        <v>23.2805</v>
      </c>
      <c r="AB81" s="232" t="e">
        <f>VLOOKUP(A81,Enforcements!$C$7:$K$9,8,0)</f>
        <v>#N/A</v>
      </c>
      <c r="AC81" s="231" t="e">
        <f>VLOOKUP(A81,Enforcements!$C$7:$E$9,3,0)</f>
        <v>#N/A</v>
      </c>
      <c r="AD81" s="242">
        <f t="shared" si="42"/>
        <v>169</v>
      </c>
      <c r="AE81" s="234" t="str">
        <f t="shared" si="43"/>
        <v>aws s3 cp s3://rtdc.mdm.uploadarchive.raw/RTDC4004/ "%USERPROFILE%\AppData\Local\Temp\OnboardLogs"\RTDC4004\2017-12-28 --exclude "*" --recursive --include "*20171228*" &amp; "%USERPROFILE%\Documents\GitHub\mrs-test-scripts\Headless Mode &amp; Sideloading\WalkAndUnGZ.bat" "%USERPROFILE%\AppData\Local\Temp\OnboardLogs"\RTDC4004\2017-12-28 &amp; aws s3 cp s3://rtdc.mdm.uploadarchive.raw/RTDC4004/ "%USERPROFILE%\AppData\Local\Temp\OnboardLogs"\RTDC4004\2017-12-29 --exclude "*" --recursive --include "*20171229*" &amp; "%USERPROFILE%\Documents\GitHub\mrs-test-scripts\Headless Mode &amp; Sideloading\WalkAndUnGZ.bat" "%USERPROFILE%\AppData\Local\Temp\OnboardLogs"\RTDC4004\2017-12-29</v>
      </c>
      <c r="AF81" s="233" t="str">
        <f t="shared" si="44"/>
        <v>"C:\Program Files (x86)\AstroGrep\AstroGrep.exe" /e /r /s /spath="%USERPROFILE%\AppData\Local\Temp\OnboardLogs" /stypes="app*4004*201712281*" /stext=" 19:.+?(?&gt;(PRM\|1\|D)|(KPR)|(KDP)|(train st[a-z]+ moving)|(SYSTEM_STATE:s[a-z]+ state changed)|(Enforcement Action)|(\[TIMEOUT)|(parse_ebi_status: Penalty)|(\|GPPS))"</v>
      </c>
      <c r="AG81" s="243" t="str">
        <f t="shared" si="45"/>
        <v>EC</v>
      </c>
      <c r="AH81" s="235" t="str">
        <f t="shared" si="48"/>
        <v>"%USERPROFILE%\Documents\GitHub\eaglep3\Utilities\RefineRTDCRunTimes.py" --tripid 169-28 --locoid 4004 --swversion DE.1.0.9.0 --startMP 204:511 --initTime 2017-12-28T12:08:46 --startdatetime 2017-12-28T12:15:17 --delay 73 --endMP 204:233316 --enddatetime 2017-12-28T12:52:20 --enforcementcount 0 &gt;&gt;%USERPROFILE%\Documents\GitHub\eaglep3-reporting\EC\2017-12-28-refined-times.txt</v>
      </c>
      <c r="AI81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{"issue":{"subject":"","project_id":79,"tracker_id":40,"status_id":1,"priority_id":2,"assigned_to_id":338,"start_date":"2017-12-28","description":"","custom_fields":[{"id":1,"name":"Subdivision","value":"EC"},{"id":4,"name":"Milepost","value":"23.3316"},{"id":17,"name":"Train ID","value":"169-28"},{"id":16,"name":"Locomotive ID","value":"4004"},{"id":130,"name":"Impact","value":""},{"id":150,"name":"Time of Event (Mountain Time)","value":"12:52:20"},{"id":151,"name":"Denver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2"/>
      <c r="AK81" s="230"/>
      <c r="AL81" s="230"/>
      <c r="AM81" s="239" t="str">
        <f t="shared" si="50"/>
        <v>start /low /b %USERPROFILE%\Documents\GitHub\eaglep3\Utilities\DownloadLogsFromS3.py --loco 4004 --day 2017-12-28</v>
      </c>
      <c r="AN81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19:52:20"},{"id":29,"name":"Sharepoint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29" t="str">
        <f t="shared" si="52"/>
        <v>https://d0f6bd738d7f1b3e5a7ca70fe4ff75f0.us-east-1.aws.found.io/app/kibana#/discover/Steve-Slow-Train-Analysis-(2080s-and-2083s)?_g=(refreshInterval:(display:Off,pause:!f,section:0,value:0),time:(from:'2017-12-28T11:08:46-0700',mode:absolute,to:'2017-12-28T13:52:20-0700'))&amp;_a=(columns:!('Message%20ID',Summary),filters:!(),index:'emp_*',interval:auto,query:(query_string:(analyze_wildcard:!t,query:'%22rtdc.l.rtdc.4004%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8" t="s">
        <v>802</v>
      </c>
      <c r="B82" s="224">
        <v>4003</v>
      </c>
      <c r="C82" s="226" t="s">
        <v>192</v>
      </c>
      <c r="D82" s="226" t="s">
        <v>952</v>
      </c>
      <c r="E82" s="225">
        <v>43097.536909722221</v>
      </c>
      <c r="F82" s="225">
        <v>43097.550393518519</v>
      </c>
      <c r="G82" s="224">
        <v>524</v>
      </c>
      <c r="H82" s="226" t="s">
        <v>659</v>
      </c>
      <c r="I82" s="225">
        <v>43097.576620370368</v>
      </c>
      <c r="J82" s="224">
        <v>0</v>
      </c>
      <c r="K82" s="236" t="str">
        <f t="shared" si="35"/>
        <v>4003/4004</v>
      </c>
      <c r="L82" s="244" t="str">
        <f>VLOOKUP(A82,'Trips&amp;Operators'!$C$1:$G$99911,5,FALSE)</f>
        <v>KILLION DAVID</v>
      </c>
      <c r="M82" s="223">
        <f t="shared" si="36"/>
        <v>2.622685184906004E-2</v>
      </c>
      <c r="N82" s="224">
        <f t="shared" si="37"/>
        <v>37.766666662646458</v>
      </c>
      <c r="O82" s="224"/>
      <c r="P82" s="224"/>
      <c r="Q82" s="227"/>
      <c r="R82" s="241"/>
      <c r="S82" s="248">
        <f t="shared" si="38"/>
        <v>1</v>
      </c>
      <c r="T82" s="241" t="str">
        <f t="shared" si="39"/>
        <v>Southbound</v>
      </c>
      <c r="U82" s="24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7" t="str">
        <f t="shared" si="40"/>
        <v>https://d0f6bd738d7f1b3e5a7ca70fe4ff75f0.us-east-1.aws.found.io/app/kibana#/discover/Steve-Slow-Train-Analysis-(2080s-and-2083s)?_g=(refreshInterval:(display:Off,pause:!f,section:0,value:0),time:(from:'2017-12-28T11:53:09-0700',mode:absolute,to:'2017-12-28T14:50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2" s="246" t="str">
        <f>IF(AA82&lt;VLOOKUP(AG82,Variables!$AC$3:$AD$8,2,FALSE),"Y","N")</f>
        <v>N</v>
      </c>
      <c r="X82" s="246">
        <f t="shared" ref="X82:X113" si="53">VALUE(LEFT(AD82,4))-VALUE(LEFT(AD81,4))</f>
        <v>1</v>
      </c>
      <c r="Y82" s="246">
        <f t="shared" si="46"/>
        <v>23.299399999999999</v>
      </c>
      <c r="Z82" s="246">
        <f t="shared" si="47"/>
        <v>1.61E-2</v>
      </c>
      <c r="AA82" s="246">
        <f t="shared" si="41"/>
        <v>23.283299999999997</v>
      </c>
      <c r="AB82" s="232" t="e">
        <f>VLOOKUP(A82,Enforcements!$C$7:$K$9,8,0)</f>
        <v>#N/A</v>
      </c>
      <c r="AC82" s="231" t="e">
        <f>VLOOKUP(A82,Enforcements!$C$7:$E$9,3,0)</f>
        <v>#N/A</v>
      </c>
      <c r="AD82" s="242">
        <f t="shared" si="42"/>
        <v>170</v>
      </c>
      <c r="AE82" s="234" t="str">
        <f t="shared" si="43"/>
        <v>aws s3 cp s3://rtdc.mdm.uploadarchive.raw/RTDC4003/ "%USERPROFILE%\AppData\Local\Temp\OnboardLogs"\RTDC4003\2017-12-28 --exclude "*" --recursive --include "*20171228*" &amp; "%USERPROFILE%\Documents\GitHub\mrs-test-scripts\Headless Mode &amp; Sideloading\WalkAndUnGZ.bat" "%USERPROFILE%\AppData\Local\Temp\OnboardLogs"\RTDC4003\2017-12-28 &amp; aws s3 cp s3://rtdc.mdm.uploadarchive.raw/RTDC4003/ "%USERPROFILE%\AppData\Local\Temp\OnboardLogs"\RTDC4003\2017-12-29 --exclude "*" --recursive --include "*20171229*" &amp; "%USERPROFILE%\Documents\GitHub\mrs-test-scripts\Headless Mode &amp; Sideloading\WalkAndUnGZ.bat" "%USERPROFILE%\AppData\Local\Temp\OnboardLogs"\RTDC4003\2017-12-29</v>
      </c>
      <c r="AF82" s="233" t="str">
        <f t="shared" si="44"/>
        <v>"C:\Program Files (x86)\AstroGrep\AstroGrep.exe" /e /r /s /spath="%USERPROFILE%\AppData\Local\Temp\OnboardLogs" /stypes="app*4003*201712282*" /stext=" 20:.+?(?&gt;(PRM\|1\|D)|(KPR)|(KDP)|(train st[a-z]+ moving)|(SYSTEM_STATE:s[a-z]+ state changed)|(Enforcement Action)|(\[TIMEOUT)|(parse_ebi_status: Penalty)|(\|GPPS))"</v>
      </c>
      <c r="AG82" s="243" t="str">
        <f t="shared" si="45"/>
        <v>EC</v>
      </c>
      <c r="AH82" s="235" t="str">
        <f t="shared" si="48"/>
        <v>"%USERPROFILE%\Documents\GitHub\eaglep3\Utilities\RefineRTDCRunTimes.py" --tripid 170-28 --locoid 4003 --swversion DE.1.0.9.0 --startMP 204:232994 --initTime 2017-12-28T12:53:09 --startdatetime 2017-12-28T13:12:34 --delay 524 --endMP 204:161 --enddatetime 2017-12-28T13:50:20 --enforcementcount 0 &gt;&gt;%USERPROFILE%\Documents\GitHub\eaglep3-reporting\EC\2017-12-28-refined-times.txt</v>
      </c>
      <c r="AI82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{"issue":{"subject":"","project_id":79,"tracker_id":40,"status_id":1,"priority_id":2,"assigned_to_id":338,"start_date":"2017-12-28","description":"","custom_fields":[{"id":1,"name":"Subdivision","value":"EC"},{"id":4,"name":"Milepost","value":"0.0161"},{"id":17,"name":"Train ID","value":"170-28"},{"id":16,"name":"Locomotive ID","value":"4003"},{"id":130,"name":"Impact","value":""},{"id":150,"name":"Time of Event (Mountain Time)","value":"13:50:20"},{"id":151,"name":"Denver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2"/>
      <c r="AK82" s="230"/>
      <c r="AL82" s="230"/>
      <c r="AM82" s="239" t="str">
        <f t="shared" si="50"/>
        <v>start /low /b %USERPROFILE%\Documents\GitHub\eaglep3\Utilities\DownloadLogsFromS3.py --loco 4003 --day 2017-12-28</v>
      </c>
      <c r="AN82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20:50:20"},{"id":29,"name":"Sharepoint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29" t="str">
        <f t="shared" si="52"/>
        <v>https://d0f6bd738d7f1b3e5a7ca70fe4ff75f0.us-east-1.aws.found.io/app/kibana#/discover/Steve-Slow-Train-Analysis-(2080s-and-2083s)?_g=(refreshInterval:(display:Off,pause:!f,section:0,value:0),time:(from:'2017-12-28T11:53:09-0700',mode:absolute,to:'2017-12-28T14:50:20-0700'))&amp;_a=(columns:!('Message%20ID',Summary),filters:!(),index:'emp_*',interval:auto,query:(query_string:(analyze_wildcard:!t,query:'%22rtdc.l.rtdc.4003%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8" t="s">
        <v>797</v>
      </c>
      <c r="B83" s="224">
        <v>4042</v>
      </c>
      <c r="C83" s="226" t="s">
        <v>192</v>
      </c>
      <c r="D83" s="226" t="s">
        <v>469</v>
      </c>
      <c r="E83" s="225">
        <v>43097.516886574071</v>
      </c>
      <c r="F83" s="225">
        <v>43097.521006944444</v>
      </c>
      <c r="G83" s="224">
        <v>64</v>
      </c>
      <c r="H83" s="226" t="s">
        <v>954</v>
      </c>
      <c r="I83" s="225">
        <v>43097.546273148146</v>
      </c>
      <c r="J83" s="224">
        <v>0</v>
      </c>
      <c r="K83" s="236" t="str">
        <f t="shared" si="35"/>
        <v>4041/4042</v>
      </c>
      <c r="L83" s="244" t="str">
        <f>VLOOKUP(A83,'Trips&amp;Operators'!$C$1:$G$99911,5,FALSE)</f>
        <v>BADERTSCHER DIANE</v>
      </c>
      <c r="M83" s="223">
        <f t="shared" si="36"/>
        <v>2.5266203701903578E-2</v>
      </c>
      <c r="N83" s="224">
        <f t="shared" si="37"/>
        <v>36.383333330741152</v>
      </c>
      <c r="O83" s="224"/>
      <c r="P83" s="224"/>
      <c r="Q83" s="227"/>
      <c r="R83" s="241"/>
      <c r="S83" s="248">
        <f t="shared" si="38"/>
        <v>1</v>
      </c>
      <c r="T83" s="241" t="str">
        <f t="shared" si="39"/>
        <v>NorthBound</v>
      </c>
      <c r="U83" s="24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7" t="str">
        <f t="shared" si="40"/>
        <v>https://d0f6bd738d7f1b3e5a7ca70fe4ff75f0.us-east-1.aws.found.io/app/kibana#/discover/Steve-Slow-Train-Analysis-(2080s-and-2083s)?_g=(refreshInterval:(display:Off,pause:!f,section:0,value:0),time:(from:'2017-12-28T11:24:19-0700',mode:absolute,to:'2017-12-28T14:06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3" s="246" t="str">
        <f>IF(AA83&lt;VLOOKUP(AG83,Variables!$AC$3:$AD$8,2,FALSE),"Y","N")</f>
        <v>N</v>
      </c>
      <c r="X83" s="246">
        <f t="shared" si="53"/>
        <v>1</v>
      </c>
      <c r="Y83" s="246">
        <f t="shared" si="46"/>
        <v>5.0799999999999998E-2</v>
      </c>
      <c r="Z83" s="246">
        <f t="shared" si="47"/>
        <v>23.324000000000002</v>
      </c>
      <c r="AA83" s="246">
        <f t="shared" si="41"/>
        <v>23.273200000000003</v>
      </c>
      <c r="AB83" s="232" t="e">
        <f>VLOOKUP(A83,Enforcements!$C$7:$K$9,8,0)</f>
        <v>#N/A</v>
      </c>
      <c r="AC83" s="231" t="e">
        <f>VLOOKUP(A83,Enforcements!$C$7:$E$9,3,0)</f>
        <v>#N/A</v>
      </c>
      <c r="AD83" s="242">
        <f t="shared" si="42"/>
        <v>171</v>
      </c>
      <c r="AE83" s="234" t="str">
        <f t="shared" si="43"/>
        <v>aws s3 cp s3://rtdc.mdm.uploadarchive.raw/RTDC4042/ "%USERPROFILE%\AppData\Local\Temp\OnboardLogs"\RTDC4042\2017-12-28 --exclude "*" --recursive --include "*20171228*" &amp; "%USERPROFILE%\Documents\GitHub\mrs-test-scripts\Headless Mode &amp; Sideloading\WalkAndUnGZ.bat" "%USERPROFILE%\AppData\Local\Temp\OnboardLogs"\RTDC4042\2017-12-28 &amp; aws s3 cp s3://rtdc.mdm.uploadarchive.raw/RTDC4042/ "%USERPROFILE%\AppData\Local\Temp\OnboardLogs"\RTDC4042\2017-12-29 --exclude "*" --recursive --include "*20171229*" &amp; "%USERPROFILE%\Documents\GitHub\mrs-test-scripts\Headless Mode &amp; Sideloading\WalkAndUnGZ.bat" "%USERPROFILE%\AppData\Local\Temp\OnboardLogs"\RTDC4042\2017-12-29</v>
      </c>
      <c r="AF83" s="233" t="str">
        <f t="shared" si="44"/>
        <v>"C:\Program Files (x86)\AstroGrep\AstroGrep.exe" /e /r /s /spath="%USERPROFILE%\AppData\Local\Temp\OnboardLogs" /stypes="app*4042*201712282*" /stext=" 20:.+?(?&gt;(PRM\|1\|D)|(KPR)|(KDP)|(train st[a-z]+ moving)|(SYSTEM_STATE:s[a-z]+ state changed)|(Enforcement Action)|(\[TIMEOUT)|(parse_ebi_status: Penalty)|(\|GPPS))"</v>
      </c>
      <c r="AG83" s="243" t="str">
        <f t="shared" si="45"/>
        <v>EC</v>
      </c>
      <c r="AH83" s="235" t="str">
        <f t="shared" si="48"/>
        <v>"%USERPROFILE%\Documents\GitHub\eaglep3\Utilities\RefineRTDCRunTimes.py" --tripid 171-28 --locoid 4042 --swversion DE.1.0.9.0 --startMP 204:508 --initTime 2017-12-28T12:24:19 --startdatetime 2017-12-28T12:30:15 --delay 64 --endMP 204:233240 --enddatetime 2017-12-28T13:06:38 --enforcementcount 0 &gt;&gt;%USERPROFILE%\Documents\GitHub\eaglep3-reporting\EC\2017-12-28-refined-times.txt</v>
      </c>
      <c r="AI83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{"issue":{"subject":"","project_id":79,"tracker_id":40,"status_id":1,"priority_id":2,"assigned_to_id":338,"start_date":"2017-12-28","description":"","custom_fields":[{"id":1,"name":"Subdivision","value":"EC"},{"id":4,"name":"Milepost","value":"23.324"},{"id":17,"name":"Train ID","value":"171-28"},{"id":16,"name":"Locomotive ID","value":"4042"},{"id":130,"name":"Impact","value":""},{"id":150,"name":"Time of Event (Mountain Time)","value":"13:06:38"},{"id":151,"name":"Denver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2"/>
      <c r="AK83" s="230"/>
      <c r="AL83" s="230"/>
      <c r="AM83" s="239" t="str">
        <f t="shared" si="50"/>
        <v>start /low /b %USERPROFILE%\Documents\GitHub\eaglep3\Utilities\DownloadLogsFromS3.py --loco 4042 --day 2017-12-28</v>
      </c>
      <c r="AN83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20:06:38"},{"id":29,"name":"Sharepoint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29" t="str">
        <f t="shared" si="52"/>
        <v>https://d0f6bd738d7f1b3e5a7ca70fe4ff75f0.us-east-1.aws.found.io/app/kibana#/discover/Steve-Slow-Train-Analysis-(2080s-and-2083s)?_g=(refreshInterval:(display:Off,pause:!f,section:0,value:0),time:(from:'2017-12-28T11:24:19-0700',mode:absolute,to:'2017-12-28T14:06:38-0700'))&amp;_a=(columns:!('Message%20ID',Summary),filters:!(),index:'emp_*',interval:auto,query:(query_string:(analyze_wildcard:!t,query:'%22rtdc.l.rtdc.4042%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8" t="s">
        <v>805</v>
      </c>
      <c r="B84" s="224">
        <v>4041</v>
      </c>
      <c r="C84" s="226" t="s">
        <v>192</v>
      </c>
      <c r="D84" s="226" t="s">
        <v>918</v>
      </c>
      <c r="E84" s="225">
        <v>43097.554490740738</v>
      </c>
      <c r="F84" s="225">
        <v>43097.560590277775</v>
      </c>
      <c r="G84" s="224">
        <v>65</v>
      </c>
      <c r="H84" s="226" t="s">
        <v>955</v>
      </c>
      <c r="I84" s="225">
        <v>43097.588599537034</v>
      </c>
      <c r="J84" s="224">
        <v>0</v>
      </c>
      <c r="K84" s="236" t="str">
        <f t="shared" si="35"/>
        <v>4041/4042</v>
      </c>
      <c r="L84" s="244" t="str">
        <f>VLOOKUP(A84,'Trips&amp;Operators'!$C$1:$G$99911,5,FALSE)</f>
        <v>BADERTSCHER DIANE</v>
      </c>
      <c r="M84" s="223">
        <f t="shared" si="36"/>
        <v>2.8009259258396924E-2</v>
      </c>
      <c r="N84" s="224">
        <f t="shared" si="37"/>
        <v>40.33333333209157</v>
      </c>
      <c r="O84" s="224"/>
      <c r="P84" s="224"/>
      <c r="Q84" s="227"/>
      <c r="R84" s="241"/>
      <c r="S84" s="248">
        <f t="shared" si="38"/>
        <v>1</v>
      </c>
      <c r="T84" s="241" t="str">
        <f t="shared" si="39"/>
        <v>Southbound</v>
      </c>
      <c r="U84" s="24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7" t="str">
        <f t="shared" si="40"/>
        <v>https://d0f6bd738d7f1b3e5a7ca70fe4ff75f0.us-east-1.aws.found.io/app/kibana#/discover/Steve-Slow-Train-Analysis-(2080s-and-2083s)?_g=(refreshInterval:(display:Off,pause:!f,section:0,value:0),time:(from:'2017-12-28T12:18:28-0700',mode:absolute,to:'2017-12-28T15:07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4" s="246" t="str">
        <f>IF(AA84&lt;VLOOKUP(AG84,Variables!$AC$3:$AD$8,2,FALSE),"Y","N")</f>
        <v>N</v>
      </c>
      <c r="X84" s="246">
        <f t="shared" si="53"/>
        <v>1</v>
      </c>
      <c r="Y84" s="246">
        <f t="shared" si="46"/>
        <v>23.292999999999999</v>
      </c>
      <c r="Z84" s="246">
        <f t="shared" si="47"/>
        <v>2.5600000000000001E-2</v>
      </c>
      <c r="AA84" s="246">
        <f t="shared" si="41"/>
        <v>23.267399999999999</v>
      </c>
      <c r="AB84" s="232" t="e">
        <f>VLOOKUP(A84,Enforcements!$C$7:$K$9,8,0)</f>
        <v>#N/A</v>
      </c>
      <c r="AC84" s="231" t="e">
        <f>VLOOKUP(A84,Enforcements!$C$7:$E$9,3,0)</f>
        <v>#N/A</v>
      </c>
      <c r="AD84" s="242">
        <f t="shared" si="42"/>
        <v>172</v>
      </c>
      <c r="AE84" s="234" t="str">
        <f t="shared" si="43"/>
        <v>aws s3 cp s3://rtdc.mdm.uploadarchive.raw/RTDC4041/ "%USERPROFILE%\AppData\Local\Temp\OnboardLogs"\RTDC4041\2017-12-28 --exclude "*" --recursive --include "*20171228*" &amp; "%USERPROFILE%\Documents\GitHub\mrs-test-scripts\Headless Mode &amp; Sideloading\WalkAndUnGZ.bat" "%USERPROFILE%\AppData\Local\Temp\OnboardLogs"\RTDC4041\2017-12-28 &amp; aws s3 cp s3://rtdc.mdm.uploadarchive.raw/RTDC4041/ "%USERPROFILE%\AppData\Local\Temp\OnboardLogs"\RTDC4041\2017-12-29 --exclude "*" --recursive --include "*20171229*" &amp; "%USERPROFILE%\Documents\GitHub\mrs-test-scripts\Headless Mode &amp; Sideloading\WalkAndUnGZ.bat" "%USERPROFILE%\AppData\Local\Temp\OnboardLogs"\RTDC4041\2017-12-29</v>
      </c>
      <c r="AF84" s="233" t="str">
        <f t="shared" si="44"/>
        <v>"C:\Program Files (x86)\AstroGrep\AstroGrep.exe" /e /r /s /spath="%USERPROFILE%\AppData\Local\Temp\OnboardLogs" /stypes="app*4041*201712282*" /stext=" 21:.+?(?&gt;(PRM\|1\|D)|(KPR)|(KDP)|(train st[a-z]+ moving)|(SYSTEM_STATE:s[a-z]+ state changed)|(Enforcement Action)|(\[TIMEOUT)|(parse_ebi_status: Penalty)|(\|GPPS))"</v>
      </c>
      <c r="AG84" s="243" t="str">
        <f t="shared" si="45"/>
        <v>EC</v>
      </c>
      <c r="AH84" s="235" t="str">
        <f t="shared" si="48"/>
        <v>"%USERPROFILE%\Documents\GitHub\eaglep3\Utilities\RefineRTDCRunTimes.py" --tripid 172-28 --locoid 4041 --swversion DE.1.0.9.0 --startMP 204:232930 --initTime 2017-12-28T13:18:28 --startdatetime 2017-12-28T13:27:15 --delay 65 --endMP 204:256 --enddatetime 2017-12-28T14:07:35 --enforcementcount 0 &gt;&gt;%USERPROFILE%\Documents\GitHub\eaglep3-reporting\EC\2017-12-28-refined-times.txt</v>
      </c>
      <c r="AI84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{"issue":{"subject":"","project_id":79,"tracker_id":40,"status_id":1,"priority_id":2,"assigned_to_id":338,"start_date":"2017-12-28","description":"","custom_fields":[{"id":1,"name":"Subdivision","value":"EC"},{"id":4,"name":"Milepost","value":"0.0256"},{"id":17,"name":"Train ID","value":"172-28"},{"id":16,"name":"Locomotive ID","value":"4041"},{"id":130,"name":"Impact","value":""},{"id":150,"name":"Time of Event (Mountain Time)","value":"14:07:35"},{"id":151,"name":"Denver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2"/>
      <c r="AK84" s="230"/>
      <c r="AL84" s="230"/>
      <c r="AM84" s="239" t="str">
        <f t="shared" si="50"/>
        <v>start /low /b %USERPROFILE%\Documents\GitHub\eaglep3\Utilities\DownloadLogsFromS3.py --loco 4041 --day 2017-12-28</v>
      </c>
      <c r="AN84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21:07:35"},{"id":29,"name":"Sharepoint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29" t="str">
        <f t="shared" si="52"/>
        <v>https://d0f6bd738d7f1b3e5a7ca70fe4ff75f0.us-east-1.aws.found.io/app/kibana#/discover/Steve-Slow-Train-Analysis-(2080s-and-2083s)?_g=(refreshInterval:(display:Off,pause:!f,section:0,value:0),time:(from:'2017-12-28T12:18:28-0700',mode:absolute,to:'2017-12-28T15:07:35-0700'))&amp;_a=(columns:!('Message%20ID',Summary),filters:!(),index:'emp_*',interval:auto,query:(query_string:(analyze_wildcard:!t,query:'%22rtdc.l.rtdc.4041%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8" t="s">
        <v>799</v>
      </c>
      <c r="B85" s="224">
        <v>4064</v>
      </c>
      <c r="C85" s="226" t="s">
        <v>192</v>
      </c>
      <c r="D85" s="226" t="s">
        <v>956</v>
      </c>
      <c r="E85" s="225">
        <v>43097.527314814812</v>
      </c>
      <c r="F85" s="225">
        <v>43097.531527777777</v>
      </c>
      <c r="G85" s="224">
        <v>52</v>
      </c>
      <c r="H85" s="226" t="s">
        <v>957</v>
      </c>
      <c r="I85" s="225">
        <v>43097.556226851855</v>
      </c>
      <c r="J85" s="224">
        <v>0</v>
      </c>
      <c r="K85" s="236" t="str">
        <f t="shared" si="35"/>
        <v>4063/4064</v>
      </c>
      <c r="L85" s="244" t="str">
        <f>VLOOKUP(A85,'Trips&amp;Operators'!$C$1:$G$99911,5,FALSE)</f>
        <v>HOLCOMB KAMDEN</v>
      </c>
      <c r="M85" s="223">
        <f t="shared" si="36"/>
        <v>2.4699074077943806E-2</v>
      </c>
      <c r="N85" s="224">
        <f t="shared" si="37"/>
        <v>35.56666667223908</v>
      </c>
      <c r="O85" s="224"/>
      <c r="P85" s="224"/>
      <c r="Q85" s="227"/>
      <c r="R85" s="241"/>
      <c r="S85" s="248">
        <f t="shared" si="38"/>
        <v>1</v>
      </c>
      <c r="T85" s="241" t="str">
        <f t="shared" si="39"/>
        <v>NorthBound</v>
      </c>
      <c r="U85" s="24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7" t="str">
        <f t="shared" si="40"/>
        <v>https://d0f6bd738d7f1b3e5a7ca70fe4ff75f0.us-east-1.aws.found.io/app/kibana#/discover/Steve-Slow-Train-Analysis-(2080s-and-2083s)?_g=(refreshInterval:(display:Off,pause:!f,section:0,value:0),time:(from:'2017-12-28T11:39:20-0700',mode:absolute,to:'2017-12-28T14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5" s="246" t="str">
        <f>IF(AA85&lt;VLOOKUP(AG85,Variables!$AC$3:$AD$8,2,FALSE),"Y","N")</f>
        <v>N</v>
      </c>
      <c r="X85" s="246">
        <f t="shared" si="53"/>
        <v>1</v>
      </c>
      <c r="Y85" s="246">
        <f t="shared" si="46"/>
        <v>4.8599999999999997E-2</v>
      </c>
      <c r="Z85" s="246">
        <f t="shared" si="47"/>
        <v>23.322800000000001</v>
      </c>
      <c r="AA85" s="246">
        <f t="shared" si="41"/>
        <v>23.2742</v>
      </c>
      <c r="AB85" s="232" t="e">
        <f>VLOOKUP(A85,Enforcements!$C$7:$K$9,8,0)</f>
        <v>#N/A</v>
      </c>
      <c r="AC85" s="231" t="e">
        <f>VLOOKUP(A85,Enforcements!$C$7:$E$9,3,0)</f>
        <v>#N/A</v>
      </c>
      <c r="AD85" s="242">
        <f t="shared" si="42"/>
        <v>173</v>
      </c>
      <c r="AE85" s="234" t="str">
        <f t="shared" si="43"/>
        <v>aws s3 cp s3://rtdc.mdm.uploadarchive.raw/RTDC4064/ "%USERPROFILE%\AppData\Local\Temp\OnboardLogs"\RTDC4064\2017-12-28 --exclude "*" --recursive --include "*20171228*" &amp; "%USERPROFILE%\Documents\GitHub\mrs-test-scripts\Headless Mode &amp; Sideloading\WalkAndUnGZ.bat" "%USERPROFILE%\AppData\Local\Temp\OnboardLogs"\RTDC4064\2017-12-28 &amp; aws s3 cp s3://rtdc.mdm.uploadarchive.raw/RTDC4064/ "%USERPROFILE%\AppData\Local\Temp\OnboardLogs"\RTDC4064\2017-12-29 --exclude "*" --recursive --include "*20171229*" &amp; "%USERPROFILE%\Documents\GitHub\mrs-test-scripts\Headless Mode &amp; Sideloading\WalkAndUnGZ.bat" "%USERPROFILE%\AppData\Local\Temp\OnboardLogs"\RTDC4064\2017-12-29</v>
      </c>
      <c r="AF85" s="233" t="str">
        <f t="shared" si="44"/>
        <v>"C:\Program Files (x86)\AstroGrep\AstroGrep.exe" /e /r /s /spath="%USERPROFILE%\AppData\Local\Temp\OnboardLogs" /stypes="app*4064*201712282*" /stext=" 20:.+?(?&gt;(PRM\|1\|D)|(KPR)|(KDP)|(train st[a-z]+ moving)|(SYSTEM_STATE:s[a-z]+ state changed)|(Enforcement Action)|(\[TIMEOUT)|(parse_ebi_status: Penalty)|(\|GPPS))"</v>
      </c>
      <c r="AG85" s="243" t="str">
        <f t="shared" si="45"/>
        <v>EC</v>
      </c>
      <c r="AH85" s="235" t="str">
        <f t="shared" si="48"/>
        <v>"%USERPROFILE%\Documents\GitHub\eaglep3\Utilities\RefineRTDCRunTimes.py" --tripid 173-28 --locoid 4064 --swversion DE.1.0.9.0 --startMP 204:486 --initTime 2017-12-28T12:39:20 --startdatetime 2017-12-28T12:45:24 --delay 52 --endMP 204:233228 --enddatetime 2017-12-28T13:20:58 --enforcementcount 0 &gt;&gt;%USERPROFILE%\Documents\GitHub\eaglep3-reporting\EC\2017-12-28-refined-times.txt</v>
      </c>
      <c r="AI85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{"issue":{"subject":"","project_id":79,"tracker_id":40,"status_id":1,"priority_id":2,"assigned_to_id":338,"start_date":"2017-12-28","description":"","custom_fields":[{"id":1,"name":"Subdivision","value":"EC"},{"id":4,"name":"Milepost","value":"23.3228"},{"id":17,"name":"Train ID","value":"173-28"},{"id":16,"name":"Locomotive ID","value":"4064"},{"id":130,"name":"Impact","value":""},{"id":150,"name":"Time of Event (Mountain Time)","value":"13:20:58"},{"id":151,"name":"Denver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2"/>
      <c r="AK85" s="230"/>
      <c r="AL85" s="230"/>
      <c r="AM85" s="239" t="str">
        <f t="shared" si="50"/>
        <v>start /low /b %USERPROFILE%\Documents\GitHub\eaglep3\Utilities\DownloadLogsFromS3.py --loco 4064 --day 2017-12-28</v>
      </c>
      <c r="AN85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20:20:58"},{"id":29,"name":"Sharepoint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29" t="str">
        <f t="shared" si="52"/>
        <v>https://d0f6bd738d7f1b3e5a7ca70fe4ff75f0.us-east-1.aws.found.io/app/kibana#/discover/Steve-Slow-Train-Analysis-(2080s-and-2083s)?_g=(refreshInterval:(display:Off,pause:!f,section:0,value:0),time:(from:'2017-12-28T11:39:20-0700',mode:absolute,to:'2017-12-28T14:20:58-0700'))&amp;_a=(columns:!('Message%20ID',Summary),filters:!(),index:'emp_*',interval:auto,query:(query_string:(analyze_wildcard:!t,query:'%22rtdc.l.rtdc.4064%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8" t="s">
        <v>686</v>
      </c>
      <c r="B86" s="224">
        <v>4063</v>
      </c>
      <c r="C86" s="226" t="s">
        <v>192</v>
      </c>
      <c r="D86" s="226" t="s">
        <v>958</v>
      </c>
      <c r="E86" s="225">
        <v>43097.567986111113</v>
      </c>
      <c r="F86" s="225">
        <v>43097.591793981483</v>
      </c>
      <c r="G86" s="224">
        <v>71</v>
      </c>
      <c r="H86" s="226" t="s">
        <v>959</v>
      </c>
      <c r="I86" s="225">
        <v>43097.598217592589</v>
      </c>
      <c r="J86" s="224">
        <v>0</v>
      </c>
      <c r="K86" s="236" t="str">
        <f t="shared" si="35"/>
        <v>4063/4064</v>
      </c>
      <c r="L86" s="244" t="str">
        <f>VLOOKUP(A86,'Trips&amp;Operators'!$C$1:$G$99911,5,FALSE)</f>
        <v>HOLCOMB KAMDEN</v>
      </c>
      <c r="M86" s="223">
        <f t="shared" si="36"/>
        <v>6.4236111065838486E-3</v>
      </c>
      <c r="N86" s="224"/>
      <c r="O86" s="224"/>
      <c r="P86" s="224">
        <f>24*60*SUM($M86:$M86)</f>
        <v>9.249999993480742</v>
      </c>
      <c r="Q86" s="227"/>
      <c r="R86" s="241" t="s">
        <v>463</v>
      </c>
      <c r="S86" s="248">
        <f>1/IF(AG86="EC",12,1)*SUM(U86:U87)</f>
        <v>0.5</v>
      </c>
      <c r="T86" s="241" t="str">
        <f t="shared" si="39"/>
        <v>Southbound</v>
      </c>
      <c r="U86" s="24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3</v>
      </c>
      <c r="V86" s="247" t="str">
        <f t="shared" si="40"/>
        <v>https://d0f6bd738d7f1b3e5a7ca70fe4ff75f0.us-east-1.aws.found.io/app/kibana#/discover/Steve-Slow-Train-Analysis-(2080s-and-2083s)?_g=(refreshInterval:(display:Off,pause:!f,section:0,value:0),time:(from:'2017-12-28T12:37:54-0700',mode:absolute,to:'2017-12-28T15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6" s="246" t="str">
        <f>IF(AA86&lt;VLOOKUP(AG86,Variables!$AC$3:$AD$8,2,FALSE),"Y","N")</f>
        <v>Y</v>
      </c>
      <c r="X86" s="246">
        <f t="shared" si="53"/>
        <v>1</v>
      </c>
      <c r="Y86" s="246">
        <f t="shared" si="46"/>
        <v>23.292300000000001</v>
      </c>
      <c r="Z86" s="246">
        <f t="shared" si="47"/>
        <v>6.3933</v>
      </c>
      <c r="AA86" s="246">
        <f t="shared" si="41"/>
        <v>16.899000000000001</v>
      </c>
      <c r="AB86" s="232" t="e">
        <f>VLOOKUP(A86,Enforcements!$C$7:$K$9,8,0)</f>
        <v>#N/A</v>
      </c>
      <c r="AC86" s="231" t="e">
        <f>VLOOKUP(A86,Enforcements!$C$7:$E$9,3,0)</f>
        <v>#N/A</v>
      </c>
      <c r="AD86" s="242">
        <f t="shared" si="42"/>
        <v>174</v>
      </c>
      <c r="AE86" s="234" t="str">
        <f t="shared" si="43"/>
        <v>aws s3 cp s3://rtdc.mdm.uploadarchive.raw/RTDC4063/ "%USERPROFILE%\AppData\Local\Temp\OnboardLogs"\RTDC4063\2017-12-28 --exclude "*" --recursive --include "*20171228*" &amp; "%USERPROFILE%\Documents\GitHub\mrs-test-scripts\Headless Mode &amp; Sideloading\WalkAndUnGZ.bat" "%USERPROFILE%\AppData\Local\Temp\OnboardLogs"\RTDC4063\2017-12-28 &amp; aws s3 cp s3://rtdc.mdm.uploadarchive.raw/RTDC4063/ "%USERPROFILE%\AppData\Local\Temp\OnboardLogs"\RTDC4063\2017-12-29 --exclude "*" --recursive --include "*20171229*" &amp; "%USERPROFILE%\Documents\GitHub\mrs-test-scripts\Headless Mode &amp; Sideloading\WalkAndUnGZ.bat" "%USERPROFILE%\AppData\Local\Temp\OnboardLogs"\RTDC4063\2017-12-29</v>
      </c>
      <c r="AF86" s="233" t="str">
        <f t="shared" si="44"/>
        <v>"C:\Program Files (x86)\AstroGrep\AstroGrep.exe" /e /r /s /spath="%USERPROFILE%\AppData\Local\Temp\OnboardLogs" /stypes="app*4063*201712282*" /stext=" 21:.+?(?&gt;(PRM\|1\|D)|(KPR)|(KDP)|(train st[a-z]+ moving)|(SYSTEM_STATE:s[a-z]+ state changed)|(Enforcement Action)|(\[TIMEOUT)|(parse_ebi_status: Penalty)|(\|GPPS))"</v>
      </c>
      <c r="AG86" s="243" t="str">
        <f t="shared" si="45"/>
        <v>EC</v>
      </c>
      <c r="AH86" s="235" t="str">
        <f t="shared" si="48"/>
        <v>"%USERPROFILE%\Documents\GitHub\eaglep3\Utilities\RefineRTDCRunTimes.py" --tripid 174-28 --locoid 4063 --swversion DE.1.0.9.0 --startMP 204:232923 --initTime 2017-12-28T13:37:54 --startdatetime 2017-12-28T14:12:11 --delay 71 --endMP 204:63933 --enddatetime 2017-12-28T14:21:26 --enforcementcount 0 &gt;&gt;%USERPROFILE%\Documents\GitHub\eaglep3-reporting\EC\2017-12-28-refined-times.txt</v>
      </c>
      <c r="AI86" s="237" t="str">
        <f t="shared" si="49"/>
        <v>echo {"issue":{"subject":"Wi-MAX data drop","project_id":79,"tracker_id":40,"status_id":1,"priority_id":2,"assigned_to_id":338,"start_date":"2017-12-28","description":"","custom_fields":[{"id":1,"name":"Subdivision","value":"EC"},{"id":4,"name":"Milepost","value":"6.3933"},{"id":17,"name":"Train ID","value":"174-28"},{"id":16,"name":"Locomotive ID","value":"4063"},{"id":130,"name":"Impact","value":""},{"id":150,"name":"Time of Event (Mountain Time)","value":"14:21:26"},{"id":151,"name":"Denver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2"/>
      <c r="AK86" s="230"/>
      <c r="AL86" s="230"/>
      <c r="AM86" s="239" t="str">
        <f t="shared" si="50"/>
        <v>start /low /b %USERPROFILE%\Documents\GitHub\eaglep3\Utilities\DownloadLogsFromS3.py --loco 4063 --day 2017-12-28</v>
      </c>
      <c r="AN86" s="240" t="str">
        <f t="shared" si="51"/>
        <v>echo {"issue":{"subject":"Wi-MAX data drop","project_id":30,"tracker_id":4,"status_id":1,"priority_id":1,"assigned_to_id":10,"start_date":"2017-12-28","description":"","custom_fields":[{"id":30,"name":"Category","value":"Issue"},{"id":3,"name":"Functional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21:21:26"},{"id":29,"name":"Sharepoint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29" t="str">
        <f t="shared" si="52"/>
        <v>https://d0f6bd738d7f1b3e5a7ca70fe4ff75f0.us-east-1.aws.found.io/app/kibana#/discover/Steve-Slow-Train-Analysis-(2080s-and-2083s)?_g=(refreshInterval:(display:Off,pause:!f,section:0,value:0),time:(from:'2017-12-28T12:37:54-0700',mode:absolute,to:'2017-12-28T15:21:26-0700'))&amp;_a=(columns:!('Message%20ID',Summary),filters:!(),index:'emp_*',interval:auto,query:(query_string:(analyze_wildcard:!t,query:'%22rtdc.l.rtdc.4063%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8" t="s">
        <v>686</v>
      </c>
      <c r="B87" s="224">
        <v>4063</v>
      </c>
      <c r="C87" s="226" t="s">
        <v>192</v>
      </c>
      <c r="D87" s="226" t="s">
        <v>960</v>
      </c>
      <c r="E87" s="225">
        <v>43097.590879629628</v>
      </c>
      <c r="F87" s="225">
        <v>43097.591793981483</v>
      </c>
      <c r="G87" s="224">
        <v>41</v>
      </c>
      <c r="H87" s="226" t="s">
        <v>591</v>
      </c>
      <c r="I87" s="225">
        <v>43097.598217592589</v>
      </c>
      <c r="J87" s="224">
        <v>0</v>
      </c>
      <c r="K87" s="236" t="str">
        <f t="shared" si="35"/>
        <v>4063/4064</v>
      </c>
      <c r="L87" s="244" t="str">
        <f>VLOOKUP(A87,'Trips&amp;Operators'!$C$1:$G$99911,5,FALSE)</f>
        <v>HOLCOMB KAMDEN</v>
      </c>
      <c r="M87" s="223">
        <f t="shared" si="36"/>
        <v>6.4236111065838486E-3</v>
      </c>
      <c r="N87" s="224"/>
      <c r="O87" s="224"/>
      <c r="P87" s="224"/>
      <c r="Q87" s="227"/>
      <c r="R87" s="241"/>
      <c r="S87" s="248"/>
      <c r="T87" s="241" t="str">
        <f t="shared" si="39"/>
        <v>Southbound</v>
      </c>
      <c r="U87" s="24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3</v>
      </c>
      <c r="V87" s="247" t="str">
        <f t="shared" si="40"/>
        <v>https://d0f6bd738d7f1b3e5a7ca70fe4ff75f0.us-east-1.aws.found.io/app/kibana#/discover/Steve-Slow-Train-Analysis-(2080s-and-2083s)?_g=(refreshInterval:(display:Off,pause:!f,section:0,value:0),time:(from:'2017-12-28T13:10:52-0700',mode:absolute,to:'2017-12-28T15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7" s="246" t="str">
        <f>IF(AA87&lt;VLOOKUP(AG87,Variables!$AC$3:$AD$8,2,FALSE),"Y","N")</f>
        <v>Y</v>
      </c>
      <c r="X87" s="246">
        <f t="shared" si="53"/>
        <v>0</v>
      </c>
      <c r="Y87" s="246">
        <f t="shared" si="46"/>
        <v>3.6779000000000002</v>
      </c>
      <c r="Z87" s="246">
        <f t="shared" si="47"/>
        <v>1.43E-2</v>
      </c>
      <c r="AA87" s="246">
        <f t="shared" si="41"/>
        <v>3.6636000000000002</v>
      </c>
      <c r="AB87" s="232" t="e">
        <f>VLOOKUP(A87,Enforcements!$C$7:$K$9,8,0)</f>
        <v>#N/A</v>
      </c>
      <c r="AC87" s="231" t="e">
        <f>VLOOKUP(A87,Enforcements!$C$7:$E$9,3,0)</f>
        <v>#N/A</v>
      </c>
      <c r="AD87" s="242">
        <f t="shared" si="42"/>
        <v>174</v>
      </c>
      <c r="AE87" s="234" t="str">
        <f t="shared" si="43"/>
        <v>aws s3 cp s3://rtdc.mdm.uploadarchive.raw/RTDC4063/ "%USERPROFILE%\AppData\Local\Temp\OnboardLogs"\RTDC4063\2017-12-28 --exclude "*" --recursive --include "*20171228*" &amp; "%USERPROFILE%\Documents\GitHub\mrs-test-scripts\Headless Mode &amp; Sideloading\WalkAndUnGZ.bat" "%USERPROFILE%\AppData\Local\Temp\OnboardLogs"\RTDC4063\2017-12-28 &amp; aws s3 cp s3://rtdc.mdm.uploadarchive.raw/RTDC4063/ "%USERPROFILE%\AppData\Local\Temp\OnboardLogs"\RTDC4063\2017-12-29 --exclude "*" --recursive --include "*20171229*" &amp; "%USERPROFILE%\Documents\GitHub\mrs-test-scripts\Headless Mode &amp; Sideloading\WalkAndUnGZ.bat" "%USERPROFILE%\AppData\Local\Temp\OnboardLogs"\RTDC4063\2017-12-29</v>
      </c>
      <c r="AF87" s="233" t="str">
        <f t="shared" si="44"/>
        <v>"C:\Program Files (x86)\AstroGrep\AstroGrep.exe" /e /r /s /spath="%USERPROFILE%\AppData\Local\Temp\OnboardLogs" /stypes="app*4063*201712282*" /stext=" 21:.+?(?&gt;(PRM\|1\|D)|(KPR)|(KDP)|(train st[a-z]+ moving)|(SYSTEM_STATE:s[a-z]+ state changed)|(Enforcement Action)|(\[TIMEOUT)|(parse_ebi_status: Penalty)|(\|GPPS))"</v>
      </c>
      <c r="AG87" s="243" t="str">
        <f t="shared" si="45"/>
        <v>EC</v>
      </c>
      <c r="AH87" s="235" t="str">
        <f t="shared" si="48"/>
        <v>"%USERPROFILE%\Documents\GitHub\eaglep3\Utilities\RefineRTDCRunTimes.py" --tripid 174-28 --locoid 4063 --swversion DE.1.0.9.0 --startMP 204:36779 --initTime 2017-12-28T14:10:52 --startdatetime 2017-12-28T14:12:11 --delay 41 --endMP 204:143 --enddatetime 2017-12-28T14:21:26 --enforcementcount 0 &gt;&gt;%USERPROFILE%\Documents\GitHub\eaglep3-reporting\EC\2017-12-28-refined-times.txt</v>
      </c>
      <c r="AI87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{"issue":{"subject":"","project_id":79,"tracker_id":40,"status_id":1,"priority_id":2,"assigned_to_id":338,"start_date":"2017-12-28","description":"","custom_fields":[{"id":1,"name":"Subdivision","value":"EC"},{"id":4,"name":"Milepost","value":"0.0143"},{"id":17,"name":"Train ID","value":"174-28"},{"id":16,"name":"Locomotive ID","value":"4063"},{"id":130,"name":"Impact","value":""},{"id":150,"name":"Time of Event (Mountain Time)","value":"14:21:26"},{"id":151,"name":"Denver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2"/>
      <c r="AK87" s="230"/>
      <c r="AL87" s="230"/>
      <c r="AM87" s="239" t="str">
        <f t="shared" si="50"/>
        <v>start /low /b %USERPROFILE%\Documents\GitHub\eaglep3\Utilities\DownloadLogsFromS3.py --loco 4063 --day 2017-12-28</v>
      </c>
      <c r="AN87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21:21:26"},{"id":29,"name":"Sharepoint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29" t="str">
        <f t="shared" si="52"/>
        <v>https://d0f6bd738d7f1b3e5a7ca70fe4ff75f0.us-east-1.aws.found.io/app/kibana#/discover/Steve-Slow-Train-Analysis-(2080s-and-2083s)?_g=(refreshInterval:(display:Off,pause:!f,section:0,value:0),time:(from:'2017-12-28T13:10:52-0700',mode:absolute,to:'2017-12-28T15:21:26-0700'))&amp;_a=(columns:!('Message%20ID',Summary),filters:!(),index:'emp_*',interval:auto,query:(query_string:(analyze_wildcard:!t,query:'%22rtdc.l.rtdc.4063%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8" t="s">
        <v>801</v>
      </c>
      <c r="B88" s="224">
        <v>4014</v>
      </c>
      <c r="C88" s="226" t="s">
        <v>192</v>
      </c>
      <c r="D88" s="226" t="s">
        <v>574</v>
      </c>
      <c r="E88" s="225">
        <v>43097.538275462961</v>
      </c>
      <c r="F88" s="225">
        <v>43097.541828703703</v>
      </c>
      <c r="G88" s="224">
        <v>60</v>
      </c>
      <c r="H88" s="226" t="s">
        <v>643</v>
      </c>
      <c r="I88" s="225">
        <v>43097.565972222219</v>
      </c>
      <c r="J88" s="224">
        <v>0</v>
      </c>
      <c r="K88" s="236" t="str">
        <f t="shared" si="35"/>
        <v>4013/4014</v>
      </c>
      <c r="L88" s="244" t="str">
        <f>VLOOKUP(A88,'Trips&amp;Operators'!$C$1:$G$99911,5,FALSE)</f>
        <v>BRUDER RICHARD</v>
      </c>
      <c r="M88" s="223">
        <f t="shared" si="36"/>
        <v>2.414351851621177E-2</v>
      </c>
      <c r="N88" s="224">
        <f t="shared" ref="N88:N100" si="54">24*60*SUM($M88:$M88)</f>
        <v>34.766666663344949</v>
      </c>
      <c r="O88" s="224"/>
      <c r="P88" s="224"/>
      <c r="Q88" s="227"/>
      <c r="R88" s="241"/>
      <c r="S88" s="248">
        <f t="shared" ref="S88:S101" si="55">1/IF(AG88="EC",12,1)*SUM(U88:U88)</f>
        <v>1</v>
      </c>
      <c r="T88" s="241" t="str">
        <f t="shared" si="39"/>
        <v>NorthBound</v>
      </c>
      <c r="U88" s="24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7" t="str">
        <f t="shared" si="40"/>
        <v>https://d0f6bd738d7f1b3e5a7ca70fe4ff75f0.us-east-1.aws.found.io/app/kibana#/discover/Steve-Slow-Train-Analysis-(2080s-and-2083s)?_g=(refreshInterval:(display:Off,pause:!f,section:0,value:0),time:(from:'2017-12-28T11:55:07-0700',mode:absolute,to:'2017-12-28T14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8" s="246" t="str">
        <f>IF(AA88&lt;VLOOKUP(AG88,Variables!$AC$3:$AD$8,2,FALSE),"Y","N")</f>
        <v>N</v>
      </c>
      <c r="X88" s="246">
        <f t="shared" si="53"/>
        <v>1</v>
      </c>
      <c r="Y88" s="246">
        <f t="shared" si="46"/>
        <v>5.1499999999999997E-2</v>
      </c>
      <c r="Z88" s="246">
        <f t="shared" si="47"/>
        <v>23.3215</v>
      </c>
      <c r="AA88" s="246">
        <f t="shared" si="41"/>
        <v>23.27</v>
      </c>
      <c r="AB88" s="232" t="e">
        <f>VLOOKUP(A88,Enforcements!$C$7:$K$9,8,0)</f>
        <v>#N/A</v>
      </c>
      <c r="AC88" s="231" t="e">
        <f>VLOOKUP(A88,Enforcements!$C$7:$E$9,3,0)</f>
        <v>#N/A</v>
      </c>
      <c r="AD88" s="242">
        <f t="shared" si="42"/>
        <v>175</v>
      </c>
      <c r="AE88" s="234" t="str">
        <f t="shared" si="43"/>
        <v>aws s3 cp s3://rtdc.mdm.uploadarchive.raw/RTDC4014/ "%USERPROFILE%\AppData\Local\Temp\OnboardLogs"\RTDC4014\2017-12-28 --exclude "*" --recursive --include "*20171228*" &amp; "%USERPROFILE%\Documents\GitHub\mrs-test-scripts\Headless Mode &amp; Sideloading\WalkAndUnGZ.bat" "%USERPROFILE%\AppData\Local\Temp\OnboardLogs"\RTDC4014\2017-12-28 &amp; aws s3 cp s3://rtdc.mdm.uploadarchive.raw/RTDC4014/ "%USERPROFILE%\AppData\Local\Temp\OnboardLogs"\RTDC4014\2017-12-29 --exclude "*" --recursive --include "*20171229*" &amp; "%USERPROFILE%\Documents\GitHub\mrs-test-scripts\Headless Mode &amp; Sideloading\WalkAndUnGZ.bat" "%USERPROFILE%\AppData\Local\Temp\OnboardLogs"\RTDC4014\2017-12-29</v>
      </c>
      <c r="AF88" s="233" t="str">
        <f t="shared" si="44"/>
        <v>"C:\Program Files (x86)\AstroGrep\AstroGrep.exe" /e /r /s /spath="%USERPROFILE%\AppData\Local\Temp\OnboardLogs" /stypes="app*4014*201712282*" /stext=" 20:.+?(?&gt;(PRM\|1\|D)|(KPR)|(KDP)|(train st[a-z]+ moving)|(SYSTEM_STATE:s[a-z]+ state changed)|(Enforcement Action)|(\[TIMEOUT)|(parse_ebi_status: Penalty)|(\|GPPS))"</v>
      </c>
      <c r="AG88" s="243" t="str">
        <f t="shared" si="45"/>
        <v>EC</v>
      </c>
      <c r="AH88" s="235" t="str">
        <f t="shared" si="48"/>
        <v>"%USERPROFILE%\Documents\GitHub\eaglep3\Utilities\RefineRTDCRunTimes.py" --tripid 175-28 --locoid 4014 --swversion DE.1.0.9.0 --startMP 204:515 --initTime 2017-12-28T12:55:07 --startdatetime 2017-12-28T13:00:14 --delay 60 --endMP 204:233215 --enddatetime 2017-12-28T13:35:00 --enforcementcount 0 &gt;&gt;%USERPROFILE%\Documents\GitHub\eaglep3-reporting\EC\2017-12-28-refined-times.txt</v>
      </c>
      <c r="AI88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{"issue":{"subject":"","project_id":79,"tracker_id":40,"status_id":1,"priority_id":2,"assigned_to_id":338,"start_date":"2017-12-28","description":"","custom_fields":[{"id":1,"name":"Subdivision","value":"EC"},{"id":4,"name":"Milepost","value":"23.3215"},{"id":17,"name":"Train ID","value":"175-28"},{"id":16,"name":"Locomotive ID","value":"4014"},{"id":130,"name":"Impact","value":""},{"id":150,"name":"Time of Event (Mountain Time)","value":"13:35:00"},{"id":151,"name":"Denver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2"/>
      <c r="AK88" s="230"/>
      <c r="AL88" s="230"/>
      <c r="AM88" s="239" t="str">
        <f t="shared" si="50"/>
        <v>start /low /b %USERPROFILE%\Documents\GitHub\eaglep3\Utilities\DownloadLogsFromS3.py --loco 4014 --day 2017-12-28</v>
      </c>
      <c r="AN88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20:35:00"},{"id":29,"name":"Sharepoint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29" t="str">
        <f t="shared" si="52"/>
        <v>https://d0f6bd738d7f1b3e5a7ca70fe4ff75f0.us-east-1.aws.found.io/app/kibana#/discover/Steve-Slow-Train-Analysis-(2080s-and-2083s)?_g=(refreshInterval:(display:Off,pause:!f,section:0,value:0),time:(from:'2017-12-28T11:55:07-0700',mode:absolute,to:'2017-12-28T14:35:00-0700'))&amp;_a=(columns:!('Message%20ID',Summary),filters:!(),index:'emp_*',interval:auto,query:(query_string:(analyze_wildcard:!t,query:'%22rtdc.l.rtdc.4014%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8" t="s">
        <v>810</v>
      </c>
      <c r="B89" s="224">
        <v>4013</v>
      </c>
      <c r="C89" s="226" t="s">
        <v>192</v>
      </c>
      <c r="D89" s="226" t="s">
        <v>577</v>
      </c>
      <c r="E89" s="225">
        <v>43097.577905092592</v>
      </c>
      <c r="F89" s="225">
        <v>43097.581423611111</v>
      </c>
      <c r="G89" s="224">
        <v>64</v>
      </c>
      <c r="H89" s="226" t="s">
        <v>583</v>
      </c>
      <c r="I89" s="225">
        <v>43097.60665509259</v>
      </c>
      <c r="J89" s="224">
        <v>0</v>
      </c>
      <c r="K89" s="236" t="str">
        <f t="shared" si="35"/>
        <v>4013/4014</v>
      </c>
      <c r="L89" s="244" t="str">
        <f>VLOOKUP(A89,'Trips&amp;Operators'!$C$1:$G$99911,5,FALSE)</f>
        <v>BRUDER RICHARD</v>
      </c>
      <c r="M89" s="223">
        <f t="shared" si="36"/>
        <v>2.5231481478840578E-2</v>
      </c>
      <c r="N89" s="224">
        <f t="shared" si="54"/>
        <v>36.333333329530433</v>
      </c>
      <c r="O89" s="224"/>
      <c r="P89" s="224"/>
      <c r="Q89" s="227"/>
      <c r="R89" s="241"/>
      <c r="S89" s="248">
        <f t="shared" si="55"/>
        <v>1</v>
      </c>
      <c r="T89" s="241" t="str">
        <f t="shared" si="39"/>
        <v>Southbound</v>
      </c>
      <c r="U89" s="24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7" t="str">
        <f t="shared" si="40"/>
        <v>https://d0f6bd738d7f1b3e5a7ca70fe4ff75f0.us-east-1.aws.found.io/app/kibana#/discover/Steve-Slow-Train-Analysis-(2080s-and-2083s)?_g=(refreshInterval:(display:Off,pause:!f,section:0,value:0),time:(from:'2017-12-28T12:52:11-0700',mode:absolute,to:'2017-12-28T15:33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9" s="246" t="str">
        <f>IF(AA89&lt;VLOOKUP(AG89,Variables!$AC$3:$AD$8,2,FALSE),"Y","N")</f>
        <v>N</v>
      </c>
      <c r="X89" s="246">
        <f t="shared" si="53"/>
        <v>1</v>
      </c>
      <c r="Y89" s="246">
        <f t="shared" si="46"/>
        <v>23.2896</v>
      </c>
      <c r="Z89" s="246">
        <f t="shared" si="47"/>
        <v>2.3099999999999999E-2</v>
      </c>
      <c r="AA89" s="246">
        <f t="shared" si="41"/>
        <v>23.266500000000001</v>
      </c>
      <c r="AB89" s="232" t="e">
        <f>VLOOKUP(A89,Enforcements!$C$7:$K$9,8,0)</f>
        <v>#N/A</v>
      </c>
      <c r="AC89" s="231" t="e">
        <f>VLOOKUP(A89,Enforcements!$C$7:$E$9,3,0)</f>
        <v>#N/A</v>
      </c>
      <c r="AD89" s="242">
        <f t="shared" si="42"/>
        <v>176</v>
      </c>
      <c r="AE89" s="234" t="str">
        <f t="shared" si="43"/>
        <v>aws s3 cp s3://rtdc.mdm.uploadarchive.raw/RTDC4013/ "%USERPROFILE%\AppData\Local\Temp\OnboardLogs"\RTDC4013\2017-12-28 --exclude "*" --recursive --include "*20171228*" &amp; "%USERPROFILE%\Documents\GitHub\mrs-test-scripts\Headless Mode &amp; Sideloading\WalkAndUnGZ.bat" "%USERPROFILE%\AppData\Local\Temp\OnboardLogs"\RTDC4013\2017-12-28 &amp; aws s3 cp s3://rtdc.mdm.uploadarchive.raw/RTDC4013/ "%USERPROFILE%\AppData\Local\Temp\OnboardLogs"\RTDC4013\2017-12-29 --exclude "*" --recursive --include "*20171229*" &amp; "%USERPROFILE%\Documents\GitHub\mrs-test-scripts\Headless Mode &amp; Sideloading\WalkAndUnGZ.bat" "%USERPROFILE%\AppData\Local\Temp\OnboardLogs"\RTDC4013\2017-12-29</v>
      </c>
      <c r="AF89" s="233" t="str">
        <f t="shared" si="44"/>
        <v>"C:\Program Files (x86)\AstroGrep\AstroGrep.exe" /e /r /s /spath="%USERPROFILE%\AppData\Local\Temp\OnboardLogs" /stypes="app*4013*201712282*" /stext=" 21:.+?(?&gt;(PRM\|1\|D)|(KPR)|(KDP)|(train st[a-z]+ moving)|(SYSTEM_STATE:s[a-z]+ state changed)|(Enforcement Action)|(\[TIMEOUT)|(parse_ebi_status: Penalty)|(\|GPPS))"</v>
      </c>
      <c r="AG89" s="243" t="str">
        <f t="shared" si="45"/>
        <v>EC</v>
      </c>
      <c r="AH89" s="235" t="str">
        <f t="shared" si="48"/>
        <v>"%USERPROFILE%\Documents\GitHub\eaglep3\Utilities\RefineRTDCRunTimes.py" --tripid 176-28 --locoid 4013 --swversion DE.1.0.9.0 --startMP 204:232896 --initTime 2017-12-28T13:52:11 --startdatetime 2017-12-28T13:57:15 --delay 64 --endMP 204:231 --enddatetime 2017-12-28T14:33:35 --enforcementcount 0 &gt;&gt;%USERPROFILE%\Documents\GitHub\eaglep3-reporting\EC\2017-12-28-refined-times.txt</v>
      </c>
      <c r="AI89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{"issue":{"subject":"","project_id":79,"tracker_id":40,"status_id":1,"priority_id":2,"assigned_to_id":338,"start_date":"2017-12-28","description":"","custom_fields":[{"id":1,"name":"Subdivision","value":"EC"},{"id":4,"name":"Milepost","value":"0.0231"},{"id":17,"name":"Train ID","value":"176-28"},{"id":16,"name":"Locomotive ID","value":"4013"},{"id":130,"name":"Impact","value":""},{"id":150,"name":"Time of Event (Mountain Time)","value":"14:33:35"},{"id":151,"name":"Denver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2"/>
      <c r="AK89" s="230"/>
      <c r="AL89" s="230"/>
      <c r="AM89" s="239" t="str">
        <f t="shared" si="50"/>
        <v>start /low /b %USERPROFILE%\Documents\GitHub\eaglep3\Utilities\DownloadLogsFromS3.py --loco 4013 --day 2017-12-28</v>
      </c>
      <c r="AN89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21:33:35"},{"id":29,"name":"Sharepoint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29" t="str">
        <f t="shared" si="52"/>
        <v>https://d0f6bd738d7f1b3e5a7ca70fe4ff75f0.us-east-1.aws.found.io/app/kibana#/discover/Steve-Slow-Train-Analysis-(2080s-and-2083s)?_g=(refreshInterval:(display:Off,pause:!f,section:0,value:0),time:(from:'2017-12-28T12:52:11-0700',mode:absolute,to:'2017-12-28T15:33:35-0700'))&amp;_a=(columns:!('Message%20ID',Summary),filters:!(),index:'emp_*',interval:auto,query:(query_string:(analyze_wildcard:!t,query:'%22rtdc.l.rtdc.4013%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8" t="s">
        <v>804</v>
      </c>
      <c r="B90" s="224">
        <v>4046</v>
      </c>
      <c r="C90" s="226" t="s">
        <v>192</v>
      </c>
      <c r="D90" s="226" t="s">
        <v>923</v>
      </c>
      <c r="E90" s="225">
        <v>43097.548680555556</v>
      </c>
      <c r="F90" s="225">
        <v>43097.552314814813</v>
      </c>
      <c r="G90" s="224">
        <v>63</v>
      </c>
      <c r="H90" s="226" t="s">
        <v>961</v>
      </c>
      <c r="I90" s="225">
        <v>43097.577361111114</v>
      </c>
      <c r="J90" s="224">
        <v>0</v>
      </c>
      <c r="K90" s="236" t="str">
        <f t="shared" si="35"/>
        <v>4045/4046</v>
      </c>
      <c r="L90" s="244" t="str">
        <f>VLOOKUP(A90,'Trips&amp;Operators'!$C$1:$G$99911,5,FALSE)</f>
        <v>STEWART MICHAEL</v>
      </c>
      <c r="M90" s="223">
        <f t="shared" si="36"/>
        <v>2.5046296301297843E-2</v>
      </c>
      <c r="N90" s="224">
        <f t="shared" si="54"/>
        <v>36.066666673868895</v>
      </c>
      <c r="O90" s="224"/>
      <c r="P90" s="224"/>
      <c r="Q90" s="227"/>
      <c r="R90" s="241"/>
      <c r="S90" s="248">
        <f t="shared" si="55"/>
        <v>1</v>
      </c>
      <c r="T90" s="241" t="str">
        <f t="shared" si="39"/>
        <v>NorthBound</v>
      </c>
      <c r="U90" s="24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7" t="str">
        <f t="shared" si="40"/>
        <v>https://d0f6bd738d7f1b3e5a7ca70fe4ff75f0.us-east-1.aws.found.io/app/kibana#/discover/Steve-Slow-Train-Analysis-(2080s-and-2083s)?_g=(refreshInterval:(display:Off,pause:!f,section:0,value:0),time:(from:'2017-12-28T12:10:06-0700',mode:absolute,to:'2017-12-28T14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0" s="246" t="str">
        <f>IF(AA90&lt;VLOOKUP(AG90,Variables!$AC$3:$AD$8,2,FALSE),"Y","N")</f>
        <v>N</v>
      </c>
      <c r="X90" s="246">
        <f t="shared" si="53"/>
        <v>1</v>
      </c>
      <c r="Y90" s="246">
        <f t="shared" si="46"/>
        <v>4.9799999999999997E-2</v>
      </c>
      <c r="Z90" s="246">
        <f t="shared" si="47"/>
        <v>23.3245</v>
      </c>
      <c r="AA90" s="246">
        <f t="shared" si="41"/>
        <v>23.274699999999999</v>
      </c>
      <c r="AB90" s="232" t="e">
        <f>VLOOKUP(A90,Enforcements!$C$7:$K$9,8,0)</f>
        <v>#N/A</v>
      </c>
      <c r="AC90" s="231" t="e">
        <f>VLOOKUP(A90,Enforcements!$C$7:$E$9,3,0)</f>
        <v>#N/A</v>
      </c>
      <c r="AD90" s="242">
        <f t="shared" si="42"/>
        <v>177</v>
      </c>
      <c r="AE90" s="234" t="str">
        <f t="shared" si="43"/>
        <v>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 &amp; aws s3 cp s3://rtdc.mdm.uploadarchive.raw/RTDC4046/ "%USERPROFILE%\AppData\Local\Temp\OnboardLogs"\RTDC4046\2017-12-29 --exclude "*" --recursive --include "*20171229*" &amp; "%USERPROFILE%\Documents\GitHub\mrs-test-scripts\Headless Mode &amp; Sideloading\WalkAndUnGZ.bat" "%USERPROFILE%\AppData\Local\Temp\OnboardLogs"\RTDC4046\2017-12-29</v>
      </c>
      <c r="AF90" s="233" t="str">
        <f t="shared" si="44"/>
        <v>"C:\Program Files (x86)\AstroGrep\AstroGrep.exe" /e /r /s /spath="%USERPROFILE%\AppData\Local\Temp\OnboardLogs" /stypes="app*4046*201712282*" /stext=" 20:.+?(?&gt;(PRM\|1\|D)|(KPR)|(KDP)|(train st[a-z]+ moving)|(SYSTEM_STATE:s[a-z]+ state changed)|(Enforcement Action)|(\[TIMEOUT)|(parse_ebi_status: Penalty)|(\|GPPS))"</v>
      </c>
      <c r="AG90" s="243" t="str">
        <f t="shared" si="45"/>
        <v>EC</v>
      </c>
      <c r="AH90" s="235" t="str">
        <f t="shared" si="48"/>
        <v>"%USERPROFILE%\Documents\GitHub\eaglep3\Utilities\RefineRTDCRunTimes.py" --tripid 177-28 --locoid 4046 --swversion DE.1.0.9.0 --startMP 204:498 --initTime 2017-12-28T13:10:06 --startdatetime 2017-12-28T13:15:20 --delay 63 --endMP 204:233245 --enddatetime 2017-12-28T13:51:24 --enforcementcount 0 &gt;&gt;%USERPROFILE%\Documents\GitHub\eaglep3-reporting\EC\2017-12-28-refined-times.txt</v>
      </c>
      <c r="AI90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{"issue":{"subject":"","project_id":79,"tracker_id":40,"status_id":1,"priority_id":2,"assigned_to_id":338,"start_date":"2017-12-28","description":"","custom_fields":[{"id":1,"name":"Subdivision","value":"EC"},{"id":4,"name":"Milepost","value":"23.3245"},{"id":17,"name":"Train ID","value":"177-28"},{"id":16,"name":"Locomotive ID","value":"4046"},{"id":130,"name":"Impact","value":""},{"id":150,"name":"Time of Event (Mountain Time)","value":"13:51:24"},{"id":151,"name":"Denver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2"/>
      <c r="AK90" s="230"/>
      <c r="AL90" s="230"/>
      <c r="AM90" s="239" t="str">
        <f t="shared" si="50"/>
        <v>start /low /b %USERPROFILE%\Documents\GitHub\eaglep3\Utilities\DownloadLogsFromS3.py --loco 4046 --day 2017-12-28</v>
      </c>
      <c r="AN90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20:51:24"},{"id":29,"name":"Sharepoint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29" t="str">
        <f t="shared" si="52"/>
        <v>https://d0f6bd738d7f1b3e5a7ca70fe4ff75f0.us-east-1.aws.found.io/app/kibana#/discover/Steve-Slow-Train-Analysis-(2080s-and-2083s)?_g=(refreshInterval:(display:Off,pause:!f,section:0,value:0),time:(from:'2017-12-28T12:10:06-0700',mode:absolute,to:'2017-12-28T14:51:24-0700'))&amp;_a=(columns:!('Message%20ID',Summary),filters:!(),index:'emp_*',interval:auto,query:(query_string:(analyze_wildcard:!t,query:'%22rtdc.l.rtdc.4046%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8" t="s">
        <v>811</v>
      </c>
      <c r="B91" s="224">
        <v>4045</v>
      </c>
      <c r="C91" s="226" t="s">
        <v>192</v>
      </c>
      <c r="D91" s="226" t="s">
        <v>958</v>
      </c>
      <c r="E91" s="225">
        <v>43097.586655092593</v>
      </c>
      <c r="F91" s="225">
        <v>43097.592002314814</v>
      </c>
      <c r="G91" s="224">
        <v>75</v>
      </c>
      <c r="H91" s="226" t="s">
        <v>927</v>
      </c>
      <c r="I91" s="225">
        <v>43097.618101851855</v>
      </c>
      <c r="J91" s="224">
        <v>0</v>
      </c>
      <c r="K91" s="236" t="str">
        <f t="shared" si="35"/>
        <v>4045/4046</v>
      </c>
      <c r="L91" s="244" t="str">
        <f>VLOOKUP(A91,'Trips&amp;Operators'!$C$1:$G$99911,5,FALSE)</f>
        <v>STEWART MICHAEL</v>
      </c>
      <c r="M91" s="223">
        <f t="shared" si="36"/>
        <v>2.6099537040863652E-2</v>
      </c>
      <c r="N91" s="224">
        <f t="shared" si="54"/>
        <v>37.583333338843659</v>
      </c>
      <c r="O91" s="224"/>
      <c r="P91" s="224"/>
      <c r="Q91" s="227"/>
      <c r="R91" s="241"/>
      <c r="S91" s="248">
        <f t="shared" si="55"/>
        <v>1</v>
      </c>
      <c r="T91" s="241" t="str">
        <f t="shared" si="39"/>
        <v>Southbound</v>
      </c>
      <c r="U91" s="24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7" t="str">
        <f t="shared" si="40"/>
        <v>https://d0f6bd738d7f1b3e5a7ca70fe4ff75f0.us-east-1.aws.found.io/app/kibana#/discover/Steve-Slow-Train-Analysis-(2080s-and-2083s)?_g=(refreshInterval:(display:Off,pause:!f,section:0,value:0),time:(from:'2017-12-28T13:04:47-0700',mode:absolute,to:'2017-12-28T15:50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1" s="246" t="str">
        <f>IF(AA91&lt;VLOOKUP(AG91,Variables!$AC$3:$AD$8,2,FALSE),"Y","N")</f>
        <v>N</v>
      </c>
      <c r="X91" s="246">
        <f t="shared" si="53"/>
        <v>1</v>
      </c>
      <c r="Y91" s="246">
        <f t="shared" si="46"/>
        <v>23.292300000000001</v>
      </c>
      <c r="Z91" s="246">
        <f t="shared" si="47"/>
        <v>1.7999999999999999E-2</v>
      </c>
      <c r="AA91" s="246">
        <f t="shared" si="41"/>
        <v>23.2743</v>
      </c>
      <c r="AB91" s="232" t="e">
        <f>VLOOKUP(A91,Enforcements!$C$7:$K$9,8,0)</f>
        <v>#N/A</v>
      </c>
      <c r="AC91" s="231" t="e">
        <f>VLOOKUP(A91,Enforcements!$C$7:$E$9,3,0)</f>
        <v>#N/A</v>
      </c>
      <c r="AD91" s="242">
        <f t="shared" si="42"/>
        <v>178</v>
      </c>
      <c r="AE91" s="234" t="str">
        <f t="shared" si="43"/>
        <v>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 &amp; aws s3 cp s3://rtdc.mdm.uploadarchive.raw/RTDC4045/ "%USERPROFILE%\AppData\Local\Temp\OnboardLogs"\RTDC4045\2017-12-29 --exclude "*" --recursive --include "*20171229*" &amp; "%USERPROFILE%\Documents\GitHub\mrs-test-scripts\Headless Mode &amp; Sideloading\WalkAndUnGZ.bat" "%USERPROFILE%\AppData\Local\Temp\OnboardLogs"\RTDC4045\2017-12-29</v>
      </c>
      <c r="AF91" s="233" t="str">
        <f t="shared" si="44"/>
        <v>"C:\Program Files (x86)\AstroGrep\AstroGrep.exe" /e /r /s /spath="%USERPROFILE%\AppData\Local\Temp\OnboardLogs" /stypes="app*4045*201712282*" /stext=" 21:.+?(?&gt;(PRM\|1\|D)|(KPR)|(KDP)|(train st[a-z]+ moving)|(SYSTEM_STATE:s[a-z]+ state changed)|(Enforcement Action)|(\[TIMEOUT)|(parse_ebi_status: Penalty)|(\|GPPS))"</v>
      </c>
      <c r="AG91" s="243" t="str">
        <f t="shared" si="45"/>
        <v>EC</v>
      </c>
      <c r="AH91" s="235" t="str">
        <f t="shared" si="48"/>
        <v>"%USERPROFILE%\Documents\GitHub\eaglep3\Utilities\RefineRTDCRunTimes.py" --tripid 178-28 --locoid 4045 --swversion DE.1.0.9.0 --startMP 204:232923 --initTime 2017-12-28T14:04:47 --startdatetime 2017-12-28T14:12:29 --delay 75 --endMP 204:180 --enddatetime 2017-12-28T14:50:04 --enforcementcount 0 &gt;&gt;%USERPROFILE%\Documents\GitHub\eaglep3-reporting\EC\2017-12-28-refined-times.txt</v>
      </c>
      <c r="AI91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{"issue":{"subject":"","project_id":79,"tracker_id":40,"status_id":1,"priority_id":2,"assigned_to_id":338,"start_date":"2017-12-28","description":"","custom_fields":[{"id":1,"name":"Subdivision","value":"EC"},{"id":4,"name":"Milepost","value":"0.018"},{"id":17,"name":"Train ID","value":"178-28"},{"id":16,"name":"Locomotive ID","value":"4045"},{"id":130,"name":"Impact","value":""},{"id":150,"name":"Time of Event (Mountain Time)","value":"14:50:04"},{"id":151,"name":"Denver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2"/>
      <c r="AK91" s="230"/>
      <c r="AL91" s="230"/>
      <c r="AM91" s="239" t="str">
        <f t="shared" si="50"/>
        <v>start /low /b %USERPROFILE%\Documents\GitHub\eaglep3\Utilities\DownloadLogsFromS3.py --loco 4045 --day 2017-12-28</v>
      </c>
      <c r="AN91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21:50:04"},{"id":29,"name":"Sharepoint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29" t="str">
        <f t="shared" si="52"/>
        <v>https://d0f6bd738d7f1b3e5a7ca70fe4ff75f0.us-east-1.aws.found.io/app/kibana#/discover/Steve-Slow-Train-Analysis-(2080s-and-2083s)?_g=(refreshInterval:(display:Off,pause:!f,section:0,value:0),time:(from:'2017-12-28T13:04:47-0700',mode:absolute,to:'2017-12-28T15:50:04-0700'))&amp;_a=(columns:!('Message%20ID',Summary),filters:!(),index:'emp_*',interval:auto,query:(query_string:(analyze_wildcard:!t,query:'%22rtdc.l.rtdc.4045%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8" t="s">
        <v>807</v>
      </c>
      <c r="B92" s="224">
        <v>4056</v>
      </c>
      <c r="C92" s="226" t="s">
        <v>192</v>
      </c>
      <c r="D92" s="226" t="s">
        <v>648</v>
      </c>
      <c r="E92" s="225">
        <v>43097.559930555559</v>
      </c>
      <c r="F92" s="225">
        <v>43097.562708333331</v>
      </c>
      <c r="G92" s="224">
        <v>100</v>
      </c>
      <c r="H92" s="226" t="s">
        <v>924</v>
      </c>
      <c r="I92" s="225">
        <v>43097.586736111109</v>
      </c>
      <c r="J92" s="224">
        <v>0</v>
      </c>
      <c r="K92" s="236" t="str">
        <f t="shared" si="35"/>
        <v>4055/4056</v>
      </c>
      <c r="L92" s="244" t="str">
        <f>VLOOKUP(A92,'Trips&amp;Operators'!$C$1:$G$99911,5,FALSE)</f>
        <v>LEVIN SCOTT</v>
      </c>
      <c r="M92" s="223">
        <f t="shared" si="36"/>
        <v>2.4027777777519077E-2</v>
      </c>
      <c r="N92" s="224">
        <f t="shared" si="54"/>
        <v>34.599999999627471</v>
      </c>
      <c r="O92" s="224"/>
      <c r="P92" s="224"/>
      <c r="Q92" s="227"/>
      <c r="R92" s="241"/>
      <c r="S92" s="248">
        <f t="shared" si="55"/>
        <v>1</v>
      </c>
      <c r="T92" s="241" t="str">
        <f t="shared" si="39"/>
        <v>NorthBound</v>
      </c>
      <c r="U92" s="24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7" t="str">
        <f t="shared" si="40"/>
        <v>https://d0f6bd738d7f1b3e5a7ca70fe4ff75f0.us-east-1.aws.found.io/app/kibana#/discover/Steve-Slow-Train-Analysis-(2080s-and-2083s)?_g=(refreshInterval:(display:Off,pause:!f,section:0,value:0),time:(from:'2017-12-28T12:26:18-0700',mode:absolute,to:'2017-12-28T15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2" s="246" t="str">
        <f>IF(AA92&lt;VLOOKUP(AG92,Variables!$AC$3:$AD$8,2,FALSE),"Y","N")</f>
        <v>N</v>
      </c>
      <c r="X92" s="246">
        <f t="shared" si="53"/>
        <v>1</v>
      </c>
      <c r="Y92" s="246">
        <f t="shared" si="46"/>
        <v>4.7500000000000001E-2</v>
      </c>
      <c r="Z92" s="246">
        <f t="shared" si="47"/>
        <v>23.332100000000001</v>
      </c>
      <c r="AA92" s="246">
        <f t="shared" si="41"/>
        <v>23.284600000000001</v>
      </c>
      <c r="AB92" s="232" t="e">
        <f>VLOOKUP(A92,Enforcements!$C$7:$K$9,8,0)</f>
        <v>#N/A</v>
      </c>
      <c r="AC92" s="231" t="e">
        <f>VLOOKUP(A92,Enforcements!$C$7:$E$9,3,0)</f>
        <v>#N/A</v>
      </c>
      <c r="AD92" s="242">
        <f t="shared" si="42"/>
        <v>179</v>
      </c>
      <c r="AE92" s="234" t="str">
        <f t="shared" si="43"/>
        <v>aws s3 cp s3://rtdc.mdm.uploadarchive.raw/RTDC4056/ "%USERPROFILE%\AppData\Local\Temp\OnboardLogs"\RTDC4056\2017-12-28 --exclude "*" --recursive --include "*20171228*" &amp; "%USERPROFILE%\Documents\GitHub\mrs-test-scripts\Headless Mode &amp; Sideloading\WalkAndUnGZ.bat" "%USERPROFILE%\AppData\Local\Temp\OnboardLogs"\RTDC4056\2017-12-28 &amp; aws s3 cp s3://rtdc.mdm.uploadarchive.raw/RTDC4056/ "%USERPROFILE%\AppData\Local\Temp\OnboardLogs"\RTDC4056\2017-12-29 --exclude "*" --recursive --include "*20171229*" &amp; "%USERPROFILE%\Documents\GitHub\mrs-test-scripts\Headless Mode &amp; Sideloading\WalkAndUnGZ.bat" "%USERPROFILE%\AppData\Local\Temp\OnboardLogs"\RTDC4056\2017-12-29</v>
      </c>
      <c r="AF92" s="233" t="str">
        <f t="shared" si="44"/>
        <v>"C:\Program Files (x86)\AstroGrep\AstroGrep.exe" /e /r /s /spath="%USERPROFILE%\AppData\Local\Temp\OnboardLogs" /stypes="app*4056*201712282*" /stext=" 21:.+?(?&gt;(PRM\|1\|D)|(KPR)|(KDP)|(train st[a-z]+ moving)|(SYSTEM_STATE:s[a-z]+ state changed)|(Enforcement Action)|(\[TIMEOUT)|(parse_ebi_status: Penalty)|(\|GPPS))"</v>
      </c>
      <c r="AG92" s="243" t="str">
        <f t="shared" si="45"/>
        <v>EC</v>
      </c>
      <c r="AH92" s="235" t="str">
        <f t="shared" si="48"/>
        <v>"%USERPROFILE%\Documents\GitHub\eaglep3\Utilities\RefineRTDCRunTimes.py" --tripid 179-28 --locoid 4056 --swversion DE.1.0.9.0 --startMP 204:475 --initTime 2017-12-28T13:26:18 --startdatetime 2017-12-28T13:30:18 --delay 100 --endMP 204:233321 --enddatetime 2017-12-28T14:04:54 --enforcementcount 0 &gt;&gt;%USERPROFILE%\Documents\GitHub\eaglep3-reporting\EC\2017-12-28-refined-times.txt</v>
      </c>
      <c r="AI92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{"issue":{"subject":"","project_id":79,"tracker_id":40,"status_id":1,"priority_id":2,"assigned_to_id":338,"start_date":"2017-12-28","description":"","custom_fields":[{"id":1,"name":"Subdivision","value":"EC"},{"id":4,"name":"Milepost","value":"23.3321"},{"id":17,"name":"Train ID","value":"179-28"},{"id":16,"name":"Locomotive ID","value":"4056"},{"id":130,"name":"Impact","value":""},{"id":150,"name":"Time of Event (Mountain Time)","value":"14:04:54"},{"id":151,"name":"Denver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2"/>
      <c r="AK92" s="230"/>
      <c r="AL92" s="230"/>
      <c r="AM92" s="239" t="str">
        <f t="shared" si="50"/>
        <v>start /low /b %USERPROFILE%\Documents\GitHub\eaglep3\Utilities\DownloadLogsFromS3.py --loco 4056 --day 2017-12-28</v>
      </c>
      <c r="AN92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21:04:54"},{"id":29,"name":"Sharepoint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29" t="str">
        <f t="shared" si="52"/>
        <v>https://d0f6bd738d7f1b3e5a7ca70fe4ff75f0.us-east-1.aws.found.io/app/kibana#/discover/Steve-Slow-Train-Analysis-(2080s-and-2083s)?_g=(refreshInterval:(display:Off,pause:!f,section:0,value:0),time:(from:'2017-12-28T12:26:18-0700',mode:absolute,to:'2017-12-28T15:04:54-0700'))&amp;_a=(columns:!('Message%20ID',Summary),filters:!(),index:'emp_*',interval:auto,query:(query_string:(analyze_wildcard:!t,query:'%22rtdc.l.rtdc.4056%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8" t="s">
        <v>813</v>
      </c>
      <c r="B93" s="224">
        <v>4055</v>
      </c>
      <c r="C93" s="226" t="s">
        <v>192</v>
      </c>
      <c r="D93" s="226" t="s">
        <v>625</v>
      </c>
      <c r="E93" s="225">
        <v>43097.591041666667</v>
      </c>
      <c r="F93" s="225">
        <v>43097.602280092593</v>
      </c>
      <c r="G93" s="224">
        <v>49</v>
      </c>
      <c r="H93" s="226" t="s">
        <v>962</v>
      </c>
      <c r="I93" s="225">
        <v>43097.628668981481</v>
      </c>
      <c r="J93" s="224">
        <v>0</v>
      </c>
      <c r="K93" s="236" t="str">
        <f t="shared" si="35"/>
        <v>4055/4056</v>
      </c>
      <c r="L93" s="244" t="str">
        <f>VLOOKUP(A93,'Trips&amp;Operators'!$C$1:$G$99911,5,FALSE)</f>
        <v>LEVIN SCOTT</v>
      </c>
      <c r="M93" s="223">
        <f t="shared" si="36"/>
        <v>2.6388888887595385E-2</v>
      </c>
      <c r="N93" s="224">
        <f t="shared" si="54"/>
        <v>37.999999998137355</v>
      </c>
      <c r="O93" s="224"/>
      <c r="P93" s="224"/>
      <c r="Q93" s="227"/>
      <c r="R93" s="241"/>
      <c r="S93" s="248">
        <f t="shared" si="55"/>
        <v>1</v>
      </c>
      <c r="T93" s="241" t="str">
        <f t="shared" si="39"/>
        <v>Southbound</v>
      </c>
      <c r="U93" s="24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7" t="str">
        <f t="shared" si="40"/>
        <v>https://d0f6bd738d7f1b3e5a7ca70fe4ff75f0.us-east-1.aws.found.io/app/kibana#/discover/Steve-Slow-Train-Analysis-(2080s-and-2083s)?_g=(refreshInterval:(display:Off,pause:!f,section:0,value:0),time:(from:'2017-12-28T13:11:06-0700',mode:absolute,to:'2017-12-28T16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3" s="246" t="str">
        <f>IF(AA93&lt;VLOOKUP(AG93,Variables!$AC$3:$AD$8,2,FALSE),"Y","N")</f>
        <v>N</v>
      </c>
      <c r="X93" s="246">
        <f t="shared" si="53"/>
        <v>1</v>
      </c>
      <c r="Y93" s="246">
        <f t="shared" si="46"/>
        <v>23.301100000000002</v>
      </c>
      <c r="Z93" s="246">
        <f t="shared" si="47"/>
        <v>1.0999999999999999E-2</v>
      </c>
      <c r="AA93" s="246">
        <f t="shared" si="41"/>
        <v>23.290100000000002</v>
      </c>
      <c r="AB93" s="232" t="e">
        <f>VLOOKUP(A93,Enforcements!$C$7:$K$9,8,0)</f>
        <v>#N/A</v>
      </c>
      <c r="AC93" s="231" t="e">
        <f>VLOOKUP(A93,Enforcements!$C$7:$E$9,3,0)</f>
        <v>#N/A</v>
      </c>
      <c r="AD93" s="242">
        <f t="shared" si="42"/>
        <v>180</v>
      </c>
      <c r="AE93" s="234" t="str">
        <f t="shared" si="43"/>
        <v>aws s3 cp s3://rtdc.mdm.uploadarchive.raw/RTDC4055/ "%USERPROFILE%\AppData\Local\Temp\OnboardLogs"\RTDC4055\2017-12-28 --exclude "*" --recursive --include "*20171228*" &amp; "%USERPROFILE%\Documents\GitHub\mrs-test-scripts\Headless Mode &amp; Sideloading\WalkAndUnGZ.bat" "%USERPROFILE%\AppData\Local\Temp\OnboardLogs"\RTDC4055\2017-12-28 &amp; aws s3 cp s3://rtdc.mdm.uploadarchive.raw/RTDC4055/ "%USERPROFILE%\AppData\Local\Temp\OnboardLogs"\RTDC4055\2017-12-29 --exclude "*" --recursive --include "*20171229*" &amp; "%USERPROFILE%\Documents\GitHub\mrs-test-scripts\Headless Mode &amp; Sideloading\WalkAndUnGZ.bat" "%USERPROFILE%\AppData\Local\Temp\OnboardLogs"\RTDC4055\2017-12-29</v>
      </c>
      <c r="AF93" s="233" t="str">
        <f t="shared" si="44"/>
        <v>"C:\Program Files (x86)\AstroGrep\AstroGrep.exe" /e /r /s /spath="%USERPROFILE%\AppData\Local\Temp\OnboardLogs" /stypes="app*4055*201712282*" /stext=" 22:.+?(?&gt;(PRM\|1\|D)|(KPR)|(KDP)|(train st[a-z]+ moving)|(SYSTEM_STATE:s[a-z]+ state changed)|(Enforcement Action)|(\[TIMEOUT)|(parse_ebi_status: Penalty)|(\|GPPS))"</v>
      </c>
      <c r="AG93" s="243" t="str">
        <f t="shared" si="45"/>
        <v>EC</v>
      </c>
      <c r="AH93" s="235" t="str">
        <f t="shared" si="48"/>
        <v>"%USERPROFILE%\Documents\GitHub\eaglep3\Utilities\RefineRTDCRunTimes.py" --tripid 180-28 --locoid 4055 --swversion DE.1.0.9.0 --startMP 204:233011 --initTime 2017-12-28T14:11:06 --startdatetime 2017-12-28T14:27:17 --delay 49 --endMP 204:110 --enddatetime 2017-12-28T15:05:17 --enforcementcount 0 &gt;&gt;%USERPROFILE%\Documents\GitHub\eaglep3-reporting\EC\2017-12-28-refined-times.txt</v>
      </c>
      <c r="AI93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{"issue":{"subject":"","project_id":79,"tracker_id":40,"status_id":1,"priority_id":2,"assigned_to_id":338,"start_date":"2017-12-28","description":"","custom_fields":[{"id":1,"name":"Subdivision","value":"EC"},{"id":4,"name":"Milepost","value":"0.011"},{"id":17,"name":"Train ID","value":"180-28"},{"id":16,"name":"Locomotive ID","value":"4055"},{"id":130,"name":"Impact","value":""},{"id":150,"name":"Time of Event (Mountain Time)","value":"15:05:17"},{"id":151,"name":"Denver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2"/>
      <c r="AK93" s="230"/>
      <c r="AL93" s="230"/>
      <c r="AM93" s="239" t="str">
        <f t="shared" si="50"/>
        <v>start /low /b %USERPROFILE%\Documents\GitHub\eaglep3\Utilities\DownloadLogsFromS3.py --loco 4055 --day 2017-12-28</v>
      </c>
      <c r="AN93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22:05:17"},{"id":29,"name":"Sharepoint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29" t="str">
        <f t="shared" si="52"/>
        <v>https://d0f6bd738d7f1b3e5a7ca70fe4ff75f0.us-east-1.aws.found.io/app/kibana#/discover/Steve-Slow-Train-Analysis-(2080s-and-2083s)?_g=(refreshInterval:(display:Off,pause:!f,section:0,value:0),time:(from:'2017-12-28T13:11:06-0700',mode:absolute,to:'2017-12-28T16:05:17-0700'))&amp;_a=(columns:!('Message%20ID',Summary),filters:!(),index:'emp_*',interval:auto,query:(query_string:(analyze_wildcard:!t,query:'%22rtdc.l.rtdc.4055%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8" t="s">
        <v>808</v>
      </c>
      <c r="B94" s="224">
        <v>4062</v>
      </c>
      <c r="C94" s="226" t="s">
        <v>192</v>
      </c>
      <c r="D94" s="226" t="s">
        <v>574</v>
      </c>
      <c r="E94" s="225">
        <v>43097.568935185183</v>
      </c>
      <c r="F94" s="225">
        <v>43097.573194444441</v>
      </c>
      <c r="G94" s="224">
        <v>60</v>
      </c>
      <c r="H94" s="226" t="s">
        <v>926</v>
      </c>
      <c r="I94" s="225">
        <v>43097.59878472222</v>
      </c>
      <c r="J94" s="224">
        <v>0</v>
      </c>
      <c r="K94" s="236" t="str">
        <f t="shared" si="35"/>
        <v>4061/4062</v>
      </c>
      <c r="L94" s="244" t="str">
        <f>VLOOKUP(A94,'Trips&amp;Operators'!$C$1:$G$99911,5,FALSE)</f>
        <v>LORI SANTOS</v>
      </c>
      <c r="M94" s="223">
        <f t="shared" si="36"/>
        <v>2.5590277778974269E-2</v>
      </c>
      <c r="N94" s="224">
        <f t="shared" si="54"/>
        <v>36.850000001722947</v>
      </c>
      <c r="O94" s="224"/>
      <c r="P94" s="224"/>
      <c r="Q94" s="227"/>
      <c r="R94" s="241"/>
      <c r="S94" s="248">
        <f t="shared" si="55"/>
        <v>1</v>
      </c>
      <c r="T94" s="241" t="str">
        <f t="shared" si="39"/>
        <v>NorthBound</v>
      </c>
      <c r="U94" s="24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7" t="str">
        <f t="shared" si="40"/>
        <v>https://d0f6bd738d7f1b3e5a7ca70fe4ff75f0.us-east-1.aws.found.io/app/kibana#/discover/Steve-Slow-Train-Analysis-(2080s-and-2083s)?_g=(refreshInterval:(display:Off,pause:!f,section:0,value:0),time:(from:'2017-12-28T12:39:16-0700',mode:absolute,to:'2017-12-28T15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4" s="246" t="str">
        <f>IF(AA94&lt;VLOOKUP(AG94,Variables!$AC$3:$AD$8,2,FALSE),"Y","N")</f>
        <v>N</v>
      </c>
      <c r="X94" s="246">
        <f t="shared" si="53"/>
        <v>1</v>
      </c>
      <c r="Y94" s="246">
        <f t="shared" si="46"/>
        <v>5.1499999999999997E-2</v>
      </c>
      <c r="Z94" s="246">
        <f t="shared" si="47"/>
        <v>23.330300000000001</v>
      </c>
      <c r="AA94" s="246">
        <f t="shared" si="41"/>
        <v>23.2788</v>
      </c>
      <c r="AB94" s="232" t="e">
        <f>VLOOKUP(A94,Enforcements!$C$7:$K$9,8,0)</f>
        <v>#N/A</v>
      </c>
      <c r="AC94" s="231" t="e">
        <f>VLOOKUP(A94,Enforcements!$C$7:$E$9,3,0)</f>
        <v>#N/A</v>
      </c>
      <c r="AD94" s="242">
        <f t="shared" si="42"/>
        <v>181</v>
      </c>
      <c r="AE94" s="234" t="str">
        <f t="shared" si="43"/>
        <v>aws s3 cp s3://rtdc.mdm.uploadarchive.raw/RTDC4062/ "%USERPROFILE%\AppData\Local\Temp\OnboardLogs"\RTDC4062\2017-12-28 --exclude "*" --recursive --include "*20171228*" &amp; "%USERPROFILE%\Documents\GitHub\mrs-test-scripts\Headless Mode &amp; Sideloading\WalkAndUnGZ.bat" "%USERPROFILE%\AppData\Local\Temp\OnboardLogs"\RTDC4062\2017-12-28 &amp; aws s3 cp s3://rtdc.mdm.uploadarchive.raw/RTDC4062/ "%USERPROFILE%\AppData\Local\Temp\OnboardLogs"\RTDC4062\2017-12-29 --exclude "*" --recursive --include "*20171229*" &amp; "%USERPROFILE%\Documents\GitHub\mrs-test-scripts\Headless Mode &amp; Sideloading\WalkAndUnGZ.bat" "%USERPROFILE%\AppData\Local\Temp\OnboardLogs"\RTDC4062\2017-12-29</v>
      </c>
      <c r="AF94" s="233" t="str">
        <f t="shared" si="44"/>
        <v>"C:\Program Files (x86)\AstroGrep\AstroGrep.exe" /e /r /s /spath="%USERPROFILE%\AppData\Local\Temp\OnboardLogs" /stypes="app*4062*201712282*" /stext=" 21:.+?(?&gt;(PRM\|1\|D)|(KPR)|(KDP)|(train st[a-z]+ moving)|(SYSTEM_STATE:s[a-z]+ state changed)|(Enforcement Action)|(\[TIMEOUT)|(parse_ebi_status: Penalty)|(\|GPPS))"</v>
      </c>
      <c r="AG94" s="243" t="str">
        <f t="shared" si="45"/>
        <v>EC</v>
      </c>
      <c r="AH94" s="235" t="str">
        <f t="shared" si="48"/>
        <v>"%USERPROFILE%\Documents\GitHub\eaglep3\Utilities\RefineRTDCRunTimes.py" --tripid 181-28 --locoid 4062 --swversion DE.1.0.9.0 --startMP 204:515 --initTime 2017-12-28T13:39:16 --startdatetime 2017-12-28T13:45:24 --delay 60 --endMP 204:233303 --enddatetime 2017-12-28T14:22:15 --enforcementcount 0 &gt;&gt;%USERPROFILE%\Documents\GitHub\eaglep3-reporting\EC\2017-12-28-refined-times.txt</v>
      </c>
      <c r="AI94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{"issue":{"subject":"","project_id":79,"tracker_id":40,"status_id":1,"priority_id":2,"assigned_to_id":338,"start_date":"2017-12-28","description":"","custom_fields":[{"id":1,"name":"Subdivision","value":"EC"},{"id":4,"name":"Milepost","value":"23.3303"},{"id":17,"name":"Train ID","value":"181-28"},{"id":16,"name":"Locomotive ID","value":"4062"},{"id":130,"name":"Impact","value":""},{"id":150,"name":"Time of Event (Mountain Time)","value":"14:22:15"},{"id":151,"name":"Denver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2"/>
      <c r="AK94" s="230"/>
      <c r="AL94" s="230"/>
      <c r="AM94" s="239" t="str">
        <f t="shared" si="50"/>
        <v>start /low /b %USERPROFILE%\Documents\GitHub\eaglep3\Utilities\DownloadLogsFromS3.py --loco 4062 --day 2017-12-28</v>
      </c>
      <c r="AN94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21:22:15"},{"id":29,"name":"Sharepoint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29" t="str">
        <f t="shared" si="52"/>
        <v>https://d0f6bd738d7f1b3e5a7ca70fe4ff75f0.us-east-1.aws.found.io/app/kibana#/discover/Steve-Slow-Train-Analysis-(2080s-and-2083s)?_g=(refreshInterval:(display:Off,pause:!f,section:0,value:0),time:(from:'2017-12-28T12:39:16-0700',mode:absolute,to:'2017-12-28T15:22:15-0700'))&amp;_a=(columns:!('Message%20ID',Summary),filters:!(),index:'emp_*',interval:auto,query:(query_string:(analyze_wildcard:!t,query:'%22rtdc.l.rtdc.4062%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8" t="s">
        <v>817</v>
      </c>
      <c r="B95" s="224">
        <v>4061</v>
      </c>
      <c r="C95" s="226" t="s">
        <v>192</v>
      </c>
      <c r="D95" s="226" t="s">
        <v>566</v>
      </c>
      <c r="E95" s="225">
        <v>43097.609803240739</v>
      </c>
      <c r="F95" s="225">
        <v>43097.612905092596</v>
      </c>
      <c r="G95" s="224">
        <v>63</v>
      </c>
      <c r="H95" s="226" t="s">
        <v>583</v>
      </c>
      <c r="I95" s="225">
        <v>43097.6406712963</v>
      </c>
      <c r="J95" s="224">
        <v>0</v>
      </c>
      <c r="K95" s="236" t="str">
        <f t="shared" si="35"/>
        <v>4061/4062</v>
      </c>
      <c r="L95" s="244" t="str">
        <f>VLOOKUP(A95,'Trips&amp;Operators'!$C$1:$G$99911,5,FALSE)</f>
        <v>LORI SANTOS</v>
      </c>
      <c r="M95" s="223">
        <f t="shared" si="36"/>
        <v>2.7766203704231884E-2</v>
      </c>
      <c r="N95" s="224">
        <f t="shared" si="54"/>
        <v>39.983333334093913</v>
      </c>
      <c r="O95" s="224"/>
      <c r="P95" s="224"/>
      <c r="Q95" s="227"/>
      <c r="R95" s="241"/>
      <c r="S95" s="248">
        <f t="shared" si="55"/>
        <v>1</v>
      </c>
      <c r="T95" s="241" t="str">
        <f t="shared" si="39"/>
        <v>Southbound</v>
      </c>
      <c r="U95" s="24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7" t="str">
        <f t="shared" si="40"/>
        <v>https://d0f6bd738d7f1b3e5a7ca70fe4ff75f0.us-east-1.aws.found.io/app/kibana#/discover/Steve-Slow-Train-Analysis-(2080s-and-2083s)?_g=(refreshInterval:(display:Off,pause:!f,section:0,value:0),time:(from:'2017-12-28T13:38:07-0700',mode:absolute,to:'2017-12-28T16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5" s="246" t="str">
        <f>IF(AA95&lt;VLOOKUP(AG95,Variables!$AC$3:$AD$8,2,FALSE),"Y","N")</f>
        <v>N</v>
      </c>
      <c r="X95" s="246">
        <f t="shared" si="53"/>
        <v>1</v>
      </c>
      <c r="Y95" s="246">
        <f t="shared" si="46"/>
        <v>23.298400000000001</v>
      </c>
      <c r="Z95" s="246">
        <f t="shared" si="47"/>
        <v>2.3099999999999999E-2</v>
      </c>
      <c r="AA95" s="246">
        <f t="shared" si="41"/>
        <v>23.275300000000001</v>
      </c>
      <c r="AB95" s="232" t="e">
        <f>VLOOKUP(A95,Enforcements!$C$7:$K$9,8,0)</f>
        <v>#N/A</v>
      </c>
      <c r="AC95" s="231" t="e">
        <f>VLOOKUP(A95,Enforcements!$C$7:$E$9,3,0)</f>
        <v>#N/A</v>
      </c>
      <c r="AD95" s="242">
        <f t="shared" si="42"/>
        <v>182</v>
      </c>
      <c r="AE95" s="234" t="str">
        <f t="shared" si="43"/>
        <v>aws s3 cp s3://rtdc.mdm.uploadarchive.raw/RTDC4061/ "%USERPROFILE%\AppData\Local\Temp\OnboardLogs"\RTDC4061\2017-12-28 --exclude "*" --recursive --include "*20171228*" &amp; "%USERPROFILE%\Documents\GitHub\mrs-test-scripts\Headless Mode &amp; Sideloading\WalkAndUnGZ.bat" "%USERPROFILE%\AppData\Local\Temp\OnboardLogs"\RTDC4061\2017-12-28 &amp; aws s3 cp s3://rtdc.mdm.uploadarchive.raw/RTDC4061/ "%USERPROFILE%\AppData\Local\Temp\OnboardLogs"\RTDC4061\2017-12-29 --exclude "*" --recursive --include "*20171229*" &amp; "%USERPROFILE%\Documents\GitHub\mrs-test-scripts\Headless Mode &amp; Sideloading\WalkAndUnGZ.bat" "%USERPROFILE%\AppData\Local\Temp\OnboardLogs"\RTDC4061\2017-12-29</v>
      </c>
      <c r="AF95" s="233" t="str">
        <f t="shared" si="44"/>
        <v>"C:\Program Files (x86)\AstroGrep\AstroGrep.exe" /e /r /s /spath="%USERPROFILE%\AppData\Local\Temp\OnboardLogs" /stypes="app*4061*201712282*" /stext=" 22:.+?(?&gt;(PRM\|1\|D)|(KPR)|(KDP)|(train st[a-z]+ moving)|(SYSTEM_STATE:s[a-z]+ state changed)|(Enforcement Action)|(\[TIMEOUT)|(parse_ebi_status: Penalty)|(\|GPPS))"</v>
      </c>
      <c r="AG95" s="243" t="str">
        <f t="shared" si="45"/>
        <v>EC</v>
      </c>
      <c r="AH95" s="235" t="str">
        <f t="shared" si="48"/>
        <v>"%USERPROFILE%\Documents\GitHub\eaglep3\Utilities\RefineRTDCRunTimes.py" --tripid 182-28 --locoid 4061 --swversion DE.1.0.9.0 --startMP 204:232984 --initTime 2017-12-28T14:38:07 --startdatetime 2017-12-28T14:42:35 --delay 63 --endMP 204:231 --enddatetime 2017-12-28T15:22:34 --enforcementcount 0 &gt;&gt;%USERPROFILE%\Documents\GitHub\eaglep3-reporting\EC\2017-12-28-refined-times.txt</v>
      </c>
      <c r="AI95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{"issue":{"subject":"","project_id":79,"tracker_id":40,"status_id":1,"priority_id":2,"assigned_to_id":338,"start_date":"2017-12-28","description":"","custom_fields":[{"id":1,"name":"Subdivision","value":"EC"},{"id":4,"name":"Milepost","value":"0.0231"},{"id":17,"name":"Train ID","value":"182-28"},{"id":16,"name":"Locomotive ID","value":"4061"},{"id":130,"name":"Impact","value":""},{"id":150,"name":"Time of Event (Mountain Time)","value":"15:22:34"},{"id":151,"name":"Denver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2"/>
      <c r="AK95" s="230"/>
      <c r="AL95" s="230"/>
      <c r="AM95" s="239" t="str">
        <f t="shared" si="50"/>
        <v>start /low /b %USERPROFILE%\Documents\GitHub\eaglep3\Utilities\DownloadLogsFromS3.py --loco 4061 --day 2017-12-28</v>
      </c>
      <c r="AN95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22:22:34"},{"id":29,"name":"Sharepoint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29" t="str">
        <f t="shared" si="52"/>
        <v>https://d0f6bd738d7f1b3e5a7ca70fe4ff75f0.us-east-1.aws.found.io/app/kibana#/discover/Steve-Slow-Train-Analysis-(2080s-and-2083s)?_g=(refreshInterval:(display:Off,pause:!f,section:0,value:0),time:(from:'2017-12-28T13:38:07-0700',mode:absolute,to:'2017-12-28T16:22:34-0700'))&amp;_a=(columns:!('Message%20ID',Summary),filters:!(),index:'emp_*',interval:auto,query:(query_string:(analyze_wildcard:!t,query:'%22rtdc.l.rtdc.4061%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8" t="s">
        <v>809</v>
      </c>
      <c r="B96" s="224">
        <v>4004</v>
      </c>
      <c r="C96" s="226" t="s">
        <v>192</v>
      </c>
      <c r="D96" s="226" t="s">
        <v>620</v>
      </c>
      <c r="E96" s="225">
        <v>43097.576932870368</v>
      </c>
      <c r="F96" s="225">
        <v>43097.58353009259</v>
      </c>
      <c r="G96" s="224">
        <v>79</v>
      </c>
      <c r="H96" s="226" t="s">
        <v>646</v>
      </c>
      <c r="I96" s="225">
        <v>43097.607997685183</v>
      </c>
      <c r="J96" s="224">
        <v>0</v>
      </c>
      <c r="K96" s="236" t="str">
        <f t="shared" si="35"/>
        <v>4003/4004</v>
      </c>
      <c r="L96" s="244" t="str">
        <f>VLOOKUP(A96,'Trips&amp;Operators'!$C$1:$G$99911,5,FALSE)</f>
        <v>ROBINSON KADDIBA</v>
      </c>
      <c r="M96" s="223">
        <f t="shared" si="36"/>
        <v>2.4467592593282461E-2</v>
      </c>
      <c r="N96" s="224">
        <f t="shared" si="54"/>
        <v>35.233333334326744</v>
      </c>
      <c r="O96" s="224"/>
      <c r="P96" s="224"/>
      <c r="Q96" s="227"/>
      <c r="R96" s="241"/>
      <c r="S96" s="248">
        <f t="shared" si="55"/>
        <v>1</v>
      </c>
      <c r="T96" s="241" t="str">
        <f t="shared" si="39"/>
        <v>NorthBound</v>
      </c>
      <c r="U96" s="24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7" t="str">
        <f t="shared" si="40"/>
        <v>https://d0f6bd738d7f1b3e5a7ca70fe4ff75f0.us-east-1.aws.found.io/app/kibana#/discover/Steve-Slow-Train-Analysis-(2080s-and-2083s)?_g=(refreshInterval:(display:Off,pause:!f,section:0,value:0),time:(from:'2017-12-28T12:50:47-0700',mode:absolute,to:'2017-12-28T15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6" s="246" t="str">
        <f>IF(AA96&lt;VLOOKUP(AG96,Variables!$AC$3:$AD$8,2,FALSE),"Y","N")</f>
        <v>N</v>
      </c>
      <c r="X96" s="246">
        <f t="shared" si="53"/>
        <v>1</v>
      </c>
      <c r="Y96" s="246">
        <f t="shared" si="46"/>
        <v>4.6399999999999997E-2</v>
      </c>
      <c r="Z96" s="246">
        <f t="shared" si="47"/>
        <v>23.3306</v>
      </c>
      <c r="AA96" s="246">
        <f t="shared" si="41"/>
        <v>23.284200000000002</v>
      </c>
      <c r="AB96" s="232" t="e">
        <f>VLOOKUP(A96,Enforcements!$C$7:$K$9,8,0)</f>
        <v>#N/A</v>
      </c>
      <c r="AC96" s="231" t="e">
        <f>VLOOKUP(A96,Enforcements!$C$7:$E$9,3,0)</f>
        <v>#N/A</v>
      </c>
      <c r="AD96" s="242">
        <f t="shared" si="42"/>
        <v>183</v>
      </c>
      <c r="AE96" s="234" t="str">
        <f t="shared" si="43"/>
        <v>aws s3 cp s3://rtdc.mdm.uploadarchive.raw/RTDC4004/ "%USERPROFILE%\AppData\Local\Temp\OnboardLogs"\RTDC4004\2017-12-28 --exclude "*" --recursive --include "*20171228*" &amp; "%USERPROFILE%\Documents\GitHub\mrs-test-scripts\Headless Mode &amp; Sideloading\WalkAndUnGZ.bat" "%USERPROFILE%\AppData\Local\Temp\OnboardLogs"\RTDC4004\2017-12-28 &amp; aws s3 cp s3://rtdc.mdm.uploadarchive.raw/RTDC4004/ "%USERPROFILE%\AppData\Local\Temp\OnboardLogs"\RTDC4004\2017-12-29 --exclude "*" --recursive --include "*20171229*" &amp; "%USERPROFILE%\Documents\GitHub\mrs-test-scripts\Headless Mode &amp; Sideloading\WalkAndUnGZ.bat" "%USERPROFILE%\AppData\Local\Temp\OnboardLogs"\RTDC4004\2017-12-29</v>
      </c>
      <c r="AF96" s="233" t="str">
        <f t="shared" si="44"/>
        <v>"C:\Program Files (x86)\AstroGrep\AstroGrep.exe" /e /r /s /spath="%USERPROFILE%\AppData\Local\Temp\OnboardLogs" /stypes="app*4004*201712282*" /stext=" 21:.+?(?&gt;(PRM\|1\|D)|(KPR)|(KDP)|(train st[a-z]+ moving)|(SYSTEM_STATE:s[a-z]+ state changed)|(Enforcement Action)|(\[TIMEOUT)|(parse_ebi_status: Penalty)|(\|GPPS))"</v>
      </c>
      <c r="AG96" s="243" t="str">
        <f t="shared" si="45"/>
        <v>EC</v>
      </c>
      <c r="AH96" s="235" t="str">
        <f t="shared" si="48"/>
        <v>"%USERPROFILE%\Documents\GitHub\eaglep3\Utilities\RefineRTDCRunTimes.py" --tripid 183-28 --locoid 4004 --swversion DE.1.0.9.0 --startMP 204:464 --initTime 2017-12-28T13:50:47 --startdatetime 2017-12-28T14:00:17 --delay 79 --endMP 204:233306 --enddatetime 2017-12-28T14:35:31 --enforcementcount 0 &gt;&gt;%USERPROFILE%\Documents\GitHub\eaglep3-reporting\EC\2017-12-28-refined-times.txt</v>
      </c>
      <c r="AI96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{"issue":{"subject":"","project_id":79,"tracker_id":40,"status_id":1,"priority_id":2,"assigned_to_id":338,"start_date":"2017-12-28","description":"","custom_fields":[{"id":1,"name":"Subdivision","value":"EC"},{"id":4,"name":"Milepost","value":"23.3306"},{"id":17,"name":"Train ID","value":"183-28"},{"id":16,"name":"Locomotive ID","value":"4004"},{"id":130,"name":"Impact","value":""},{"id":150,"name":"Time of Event (Mountain Time)","value":"14:35:31"},{"id":151,"name":"Denver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2"/>
      <c r="AK96" s="230"/>
      <c r="AL96" s="230"/>
      <c r="AM96" s="239" t="str">
        <f t="shared" si="50"/>
        <v>start /low /b %USERPROFILE%\Documents\GitHub\eaglep3\Utilities\DownloadLogsFromS3.py --loco 4004 --day 2017-12-28</v>
      </c>
      <c r="AN96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21:35:31"},{"id":29,"name":"Sharepoint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29" t="str">
        <f t="shared" si="52"/>
        <v>https://d0f6bd738d7f1b3e5a7ca70fe4ff75f0.us-east-1.aws.found.io/app/kibana#/discover/Steve-Slow-Train-Analysis-(2080s-and-2083s)?_g=(refreshInterval:(display:Off,pause:!f,section:0,value:0),time:(from:'2017-12-28T12:50:47-0700',mode:absolute,to:'2017-12-28T15:35:31-0700'))&amp;_a=(columns:!('Message%20ID',Summary),filters:!(),index:'emp_*',interval:auto,query:(query_string:(analyze_wildcard:!t,query:'%22rtdc.l.rtdc.4004%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8" t="s">
        <v>687</v>
      </c>
      <c r="B97" s="224">
        <v>4003</v>
      </c>
      <c r="C97" s="226" t="s">
        <v>192</v>
      </c>
      <c r="D97" s="226" t="s">
        <v>952</v>
      </c>
      <c r="E97" s="225">
        <v>43097.619120370371</v>
      </c>
      <c r="F97" s="225">
        <v>43097.623101851852</v>
      </c>
      <c r="G97" s="224">
        <v>75</v>
      </c>
      <c r="H97" s="226" t="s">
        <v>963</v>
      </c>
      <c r="I97" s="225">
        <v>43097.649548611109</v>
      </c>
      <c r="J97" s="224">
        <v>0</v>
      </c>
      <c r="K97" s="236" t="str">
        <f t="shared" si="35"/>
        <v>4003/4004</v>
      </c>
      <c r="L97" s="244" t="str">
        <f>VLOOKUP(A97,'Trips&amp;Operators'!$C$1:$G$99911,5,FALSE)</f>
        <v>ROBINSON KADDIBA</v>
      </c>
      <c r="M97" s="223">
        <f t="shared" si="36"/>
        <v>2.6446759256941732E-2</v>
      </c>
      <c r="N97" s="224">
        <f t="shared" si="54"/>
        <v>38.083333329996094</v>
      </c>
      <c r="O97" s="224"/>
      <c r="P97" s="224"/>
      <c r="Q97" s="227"/>
      <c r="R97" s="241"/>
      <c r="S97" s="248">
        <f t="shared" si="55"/>
        <v>1</v>
      </c>
      <c r="T97" s="241" t="str">
        <f t="shared" si="39"/>
        <v>Southbound</v>
      </c>
      <c r="U97" s="24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7" t="str">
        <f t="shared" si="40"/>
        <v>https://d0f6bd738d7f1b3e5a7ca70fe4ff75f0.us-east-1.aws.found.io/app/kibana#/discover/Steve-Slow-Train-Analysis-(2080s-and-2083s)?_g=(refreshInterval:(display:Off,pause:!f,section:0,value:0),time:(from:'2017-12-28T13:51:32-0700',mode:absolute,to:'2017-12-28T16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7" s="246" t="str">
        <f>IF(AA97&lt;VLOOKUP(AG97,Variables!$AC$3:$AD$8,2,FALSE),"Y","N")</f>
        <v>N</v>
      </c>
      <c r="X97" s="246">
        <f t="shared" si="53"/>
        <v>1</v>
      </c>
      <c r="Y97" s="246">
        <f t="shared" si="46"/>
        <v>23.299399999999999</v>
      </c>
      <c r="Z97" s="246">
        <f t="shared" si="47"/>
        <v>2.8899999999999999E-2</v>
      </c>
      <c r="AA97" s="246">
        <f t="shared" si="41"/>
        <v>23.270499999999998</v>
      </c>
      <c r="AB97" s="232" t="e">
        <f>VLOOKUP(A97,Enforcements!$C$7:$K$9,8,0)</f>
        <v>#N/A</v>
      </c>
      <c r="AC97" s="231" t="e">
        <f>VLOOKUP(A97,Enforcements!$C$7:$E$9,3,0)</f>
        <v>#N/A</v>
      </c>
      <c r="AD97" s="242">
        <f t="shared" si="42"/>
        <v>184</v>
      </c>
      <c r="AE97" s="234" t="str">
        <f t="shared" si="43"/>
        <v>aws s3 cp s3://rtdc.mdm.uploadarchive.raw/RTDC4003/ "%USERPROFILE%\AppData\Local\Temp\OnboardLogs"\RTDC4003\2017-12-28 --exclude "*" --recursive --include "*20171228*" &amp; "%USERPROFILE%\Documents\GitHub\mrs-test-scripts\Headless Mode &amp; Sideloading\WalkAndUnGZ.bat" "%USERPROFILE%\AppData\Local\Temp\OnboardLogs"\RTDC4003\2017-12-28 &amp; aws s3 cp s3://rtdc.mdm.uploadarchive.raw/RTDC4003/ "%USERPROFILE%\AppData\Local\Temp\OnboardLogs"\RTDC4003\2017-12-29 --exclude "*" --recursive --include "*20171229*" &amp; "%USERPROFILE%\Documents\GitHub\mrs-test-scripts\Headless Mode &amp; Sideloading\WalkAndUnGZ.bat" "%USERPROFILE%\AppData\Local\Temp\OnboardLogs"\RTDC4003\2017-12-29</v>
      </c>
      <c r="AF97" s="233" t="str">
        <f t="shared" si="44"/>
        <v>"C:\Program Files (x86)\AstroGrep\AstroGrep.exe" /e /r /s /spath="%USERPROFILE%\AppData\Local\Temp\OnboardLogs" /stypes="app*4003*201712282*" /stext=" 22:.+?(?&gt;(PRM\|1\|D)|(KPR)|(KDP)|(train st[a-z]+ moving)|(SYSTEM_STATE:s[a-z]+ state changed)|(Enforcement Action)|(\[TIMEOUT)|(parse_ebi_status: Penalty)|(\|GPPS))"</v>
      </c>
      <c r="AG97" s="243" t="str">
        <f t="shared" si="45"/>
        <v>EC</v>
      </c>
      <c r="AH97" s="235" t="str">
        <f t="shared" si="48"/>
        <v>"%USERPROFILE%\Documents\GitHub\eaglep3\Utilities\RefineRTDCRunTimes.py" --tripid 184-28 --locoid 4003 --swversion DE.1.0.9.0 --startMP 204:232994 --initTime 2017-12-28T14:51:32 --startdatetime 2017-12-28T14:57:16 --delay 75 --endMP 204:289 --enddatetime 2017-12-28T15:35:21 --enforcementcount 0 &gt;&gt;%USERPROFILE%\Documents\GitHub\eaglep3-reporting\EC\2017-12-28-refined-times.txt</v>
      </c>
      <c r="AI97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{"issue":{"subject":"","project_id":79,"tracker_id":40,"status_id":1,"priority_id":2,"assigned_to_id":338,"start_date":"2017-12-28","description":"","custom_fields":[{"id":1,"name":"Subdivision","value":"EC"},{"id":4,"name":"Milepost","value":"0.0289"},{"id":17,"name":"Train ID","value":"184-28"},{"id":16,"name":"Locomotive ID","value":"4003"},{"id":130,"name":"Impact","value":""},{"id":150,"name":"Time of Event (Mountain Time)","value":"15:35:21"},{"id":151,"name":"Denver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2"/>
      <c r="AK97" s="230"/>
      <c r="AL97" s="230"/>
      <c r="AM97" s="239" t="str">
        <f t="shared" si="50"/>
        <v>start /low /b %USERPROFILE%\Documents\GitHub\eaglep3\Utilities\DownloadLogsFromS3.py --loco 4003 --day 2017-12-28</v>
      </c>
      <c r="AN97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22:35:21"},{"id":29,"name":"Sharepoint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29" t="str">
        <f t="shared" si="52"/>
        <v>https://d0f6bd738d7f1b3e5a7ca70fe4ff75f0.us-east-1.aws.found.io/app/kibana#/discover/Steve-Slow-Train-Analysis-(2080s-and-2083s)?_g=(refreshInterval:(display:Off,pause:!f,section:0,value:0),time:(from:'2017-12-28T13:51:32-0700',mode:absolute,to:'2017-12-28T16:35:21-0700'))&amp;_a=(columns:!('Message%20ID',Summary),filters:!(),index:'emp_*',interval:auto,query:(query_string:(analyze_wildcard:!t,query:'%22rtdc.l.rtdc.4003%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8" t="s">
        <v>814</v>
      </c>
      <c r="B98" s="224">
        <v>4042</v>
      </c>
      <c r="C98" s="226" t="s">
        <v>192</v>
      </c>
      <c r="D98" s="226" t="s">
        <v>964</v>
      </c>
      <c r="E98" s="225">
        <v>43097.592037037037</v>
      </c>
      <c r="F98" s="225">
        <v>43097.594097222223</v>
      </c>
      <c r="G98" s="224">
        <v>71</v>
      </c>
      <c r="H98" s="226" t="s">
        <v>965</v>
      </c>
      <c r="I98" s="225">
        <v>43097.621331018519</v>
      </c>
      <c r="J98" s="224">
        <v>0</v>
      </c>
      <c r="K98" s="236" t="str">
        <f t="shared" si="35"/>
        <v>4041/4042</v>
      </c>
      <c r="L98" s="244" t="str">
        <f>VLOOKUP(A98,'Trips&amp;Operators'!$C$1:$G$99911,5,FALSE)</f>
        <v>KILLION DAVID</v>
      </c>
      <c r="M98" s="223">
        <f t="shared" si="36"/>
        <v>2.7233796296059154E-2</v>
      </c>
      <c r="N98" s="224">
        <f t="shared" si="54"/>
        <v>39.216666666325182</v>
      </c>
      <c r="O98" s="224"/>
      <c r="P98" s="224"/>
      <c r="Q98" s="227"/>
      <c r="R98" s="241"/>
      <c r="S98" s="248">
        <f t="shared" si="55"/>
        <v>1</v>
      </c>
      <c r="T98" s="241" t="str">
        <f t="shared" si="39"/>
        <v>NorthBound</v>
      </c>
      <c r="U98" s="24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7" t="str">
        <f t="shared" si="40"/>
        <v>https://d0f6bd738d7f1b3e5a7ca70fe4ff75f0.us-east-1.aws.found.io/app/kibana#/discover/Steve-Slow-Train-Analysis-(2080s-and-2083s)?_g=(refreshInterval:(display:Off,pause:!f,section:0,value:0),time:(from:'2017-12-28T13:12:32-0700',mode:absolute,to:'2017-12-28T15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8" s="246" t="str">
        <f>IF(AA98&lt;VLOOKUP(AG98,Variables!$AC$3:$AD$8,2,FALSE),"Y","N")</f>
        <v>N</v>
      </c>
      <c r="X98" s="246">
        <f t="shared" si="53"/>
        <v>1</v>
      </c>
      <c r="Y98" s="246">
        <f t="shared" si="46"/>
        <v>5.6800000000000003E-2</v>
      </c>
      <c r="Z98" s="246">
        <f t="shared" si="47"/>
        <v>23.331800000000001</v>
      </c>
      <c r="AA98" s="246">
        <f t="shared" si="41"/>
        <v>23.275000000000002</v>
      </c>
      <c r="AB98" s="232" t="e">
        <f>VLOOKUP(A98,Enforcements!$C$7:$K$9,8,0)</f>
        <v>#N/A</v>
      </c>
      <c r="AC98" s="231" t="e">
        <f>VLOOKUP(A98,Enforcements!$C$7:$E$9,3,0)</f>
        <v>#N/A</v>
      </c>
      <c r="AD98" s="242">
        <f t="shared" si="42"/>
        <v>185</v>
      </c>
      <c r="AE98" s="234" t="str">
        <f t="shared" si="43"/>
        <v>aws s3 cp s3://rtdc.mdm.uploadarchive.raw/RTDC4042/ "%USERPROFILE%\AppData\Local\Temp\OnboardLogs"\RTDC4042\2017-12-28 --exclude "*" --recursive --include "*20171228*" &amp; "%USERPROFILE%\Documents\GitHub\mrs-test-scripts\Headless Mode &amp; Sideloading\WalkAndUnGZ.bat" "%USERPROFILE%\AppData\Local\Temp\OnboardLogs"\RTDC4042\2017-12-28 &amp; aws s3 cp s3://rtdc.mdm.uploadarchive.raw/RTDC4042/ "%USERPROFILE%\AppData\Local\Temp\OnboardLogs"\RTDC4042\2017-12-29 --exclude "*" --recursive --include "*20171229*" &amp; "%USERPROFILE%\Documents\GitHub\mrs-test-scripts\Headless Mode &amp; Sideloading\WalkAndUnGZ.bat" "%USERPROFILE%\AppData\Local\Temp\OnboardLogs"\RTDC4042\2017-12-29</v>
      </c>
      <c r="AF98" s="233" t="str">
        <f t="shared" si="44"/>
        <v>"C:\Program Files (x86)\AstroGrep\AstroGrep.exe" /e /r /s /spath="%USERPROFILE%\AppData\Local\Temp\OnboardLogs" /stypes="app*4042*201712282*" /stext=" 21:.+?(?&gt;(PRM\|1\|D)|(KPR)|(KDP)|(train st[a-z]+ moving)|(SYSTEM_STATE:s[a-z]+ state changed)|(Enforcement Action)|(\[TIMEOUT)|(parse_ebi_status: Penalty)|(\|GPPS))"</v>
      </c>
      <c r="AG98" s="243" t="str">
        <f t="shared" si="45"/>
        <v>EC</v>
      </c>
      <c r="AH98" s="235" t="str">
        <f t="shared" si="48"/>
        <v>"%USERPROFILE%\Documents\GitHub\eaglep3\Utilities\RefineRTDCRunTimes.py" --tripid 185-28 --locoid 4042 --swversion DE.1.0.9.0 --startMP 204:568 --initTime 2017-12-28T14:12:32 --startdatetime 2017-12-28T14:15:30 --delay 71 --endMP 204:233318 --enddatetime 2017-12-28T14:54:43 --enforcementcount 0 &gt;&gt;%USERPROFILE%\Documents\GitHub\eaglep3-reporting\EC\2017-12-28-refined-times.txt</v>
      </c>
      <c r="AI98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{"issue":{"subject":"","project_id":79,"tracker_id":40,"status_id":1,"priority_id":2,"assigned_to_id":338,"start_date":"2017-12-28","description":"","custom_fields":[{"id":1,"name":"Subdivision","value":"EC"},{"id":4,"name":"Milepost","value":"23.3318"},{"id":17,"name":"Train ID","value":"185-28"},{"id":16,"name":"Locomotive ID","value":"4042"},{"id":130,"name":"Impact","value":""},{"id":150,"name":"Time of Event (Mountain Time)","value":"14:54:43"},{"id":151,"name":"Denver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2"/>
      <c r="AK98" s="230"/>
      <c r="AL98" s="230"/>
      <c r="AM98" s="239" t="str">
        <f t="shared" si="50"/>
        <v>start /low /b %USERPROFILE%\Documents\GitHub\eaglep3\Utilities\DownloadLogsFromS3.py --loco 4042 --day 2017-12-28</v>
      </c>
      <c r="AN98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21:54:43"},{"id":29,"name":"Sharepoint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29" t="str">
        <f t="shared" si="52"/>
        <v>https://d0f6bd738d7f1b3e5a7ca70fe4ff75f0.us-east-1.aws.found.io/app/kibana#/discover/Steve-Slow-Train-Analysis-(2080s-and-2083s)?_g=(refreshInterval:(display:Off,pause:!f,section:0,value:0),time:(from:'2017-12-28T13:12:32-0700',mode:absolute,to:'2017-12-28T15:54:43-0700'))&amp;_a=(columns:!('Message%20ID',Summary),filters:!(),index:'emp_*',interval:auto,query:(query_string:(analyze_wildcard:!t,query:'%22rtdc.l.rtdc.4042%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8" t="s">
        <v>820</v>
      </c>
      <c r="B99" s="224">
        <v>4041</v>
      </c>
      <c r="C99" s="226" t="s">
        <v>192</v>
      </c>
      <c r="D99" s="226" t="s">
        <v>966</v>
      </c>
      <c r="E99" s="225">
        <v>43097.626435185186</v>
      </c>
      <c r="F99" s="225">
        <v>43097.633518518516</v>
      </c>
      <c r="G99" s="224">
        <v>85</v>
      </c>
      <c r="H99" s="226" t="s">
        <v>967</v>
      </c>
      <c r="I99" s="225">
        <v>43097.659456018519</v>
      </c>
      <c r="J99" s="224">
        <v>0</v>
      </c>
      <c r="K99" s="236" t="str">
        <f t="shared" si="35"/>
        <v>4041/4042</v>
      </c>
      <c r="L99" s="244" t="str">
        <f>VLOOKUP(A99,'Trips&amp;Operators'!$C$1:$G$99911,5,FALSE)</f>
        <v>KILLION DAVID</v>
      </c>
      <c r="M99" s="223">
        <f t="shared" si="36"/>
        <v>2.5937500002328306E-2</v>
      </c>
      <c r="N99" s="224">
        <f t="shared" si="54"/>
        <v>37.350000003352761</v>
      </c>
      <c r="O99" s="224"/>
      <c r="P99" s="224"/>
      <c r="Q99" s="227"/>
      <c r="R99" s="241"/>
      <c r="S99" s="248">
        <f t="shared" si="55"/>
        <v>1</v>
      </c>
      <c r="T99" s="241" t="str">
        <f t="shared" si="39"/>
        <v>Southbound</v>
      </c>
      <c r="U99" s="24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7" t="str">
        <f t="shared" si="40"/>
        <v>https://d0f6bd738d7f1b3e5a7ca70fe4ff75f0.us-east-1.aws.found.io/app/kibana#/discover/Steve-Slow-Train-Analysis-(2080s-and-2083s)?_g=(refreshInterval:(display:Off,pause:!f,section:0,value:0),time:(from:'2017-12-28T14:02:04-0700',mode:absolute,to:'2017-12-28T16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9" s="246" t="str">
        <f>IF(AA99&lt;VLOOKUP(AG99,Variables!$AC$3:$AD$8,2,FALSE),"Y","N")</f>
        <v>N</v>
      </c>
      <c r="X99" s="246">
        <f t="shared" si="53"/>
        <v>1</v>
      </c>
      <c r="Y99" s="246">
        <f t="shared" si="46"/>
        <v>23.3019</v>
      </c>
      <c r="Z99" s="246">
        <f t="shared" si="47"/>
        <v>1.72E-2</v>
      </c>
      <c r="AA99" s="246">
        <f t="shared" si="41"/>
        <v>23.284700000000001</v>
      </c>
      <c r="AB99" s="232" t="e">
        <f>VLOOKUP(A99,Enforcements!$C$7:$K$9,8,0)</f>
        <v>#N/A</v>
      </c>
      <c r="AC99" s="231" t="e">
        <f>VLOOKUP(A99,Enforcements!$C$7:$E$9,3,0)</f>
        <v>#N/A</v>
      </c>
      <c r="AD99" s="242">
        <f t="shared" si="42"/>
        <v>186</v>
      </c>
      <c r="AE99" s="234" t="str">
        <f t="shared" si="43"/>
        <v>aws s3 cp s3://rtdc.mdm.uploadarchive.raw/RTDC4041/ "%USERPROFILE%\AppData\Local\Temp\OnboardLogs"\RTDC4041\2017-12-28 --exclude "*" --recursive --include "*20171228*" &amp; "%USERPROFILE%\Documents\GitHub\mrs-test-scripts\Headless Mode &amp; Sideloading\WalkAndUnGZ.bat" "%USERPROFILE%\AppData\Local\Temp\OnboardLogs"\RTDC4041\2017-12-28 &amp; aws s3 cp s3://rtdc.mdm.uploadarchive.raw/RTDC4041/ "%USERPROFILE%\AppData\Local\Temp\OnboardLogs"\RTDC4041\2017-12-29 --exclude "*" --recursive --include "*20171229*" &amp; "%USERPROFILE%\Documents\GitHub\mrs-test-scripts\Headless Mode &amp; Sideloading\WalkAndUnGZ.bat" "%USERPROFILE%\AppData\Local\Temp\OnboardLogs"\RTDC4041\2017-12-29</v>
      </c>
      <c r="AF99" s="233" t="str">
        <f t="shared" si="44"/>
        <v>"C:\Program Files (x86)\AstroGrep\AstroGrep.exe" /e /r /s /spath="%USERPROFILE%\AppData\Local\Temp\OnboardLogs" /stypes="app*4041*201712282*" /stext=" 22:.+?(?&gt;(PRM\|1\|D)|(KPR)|(KDP)|(train st[a-z]+ moving)|(SYSTEM_STATE:s[a-z]+ state changed)|(Enforcement Action)|(\[TIMEOUT)|(parse_ebi_status: Penalty)|(\|GPPS))"</v>
      </c>
      <c r="AG99" s="243" t="str">
        <f t="shared" si="45"/>
        <v>EC</v>
      </c>
      <c r="AH99" s="235" t="str">
        <f t="shared" si="48"/>
        <v>"%USERPROFILE%\Documents\GitHub\eaglep3\Utilities\RefineRTDCRunTimes.py" --tripid 186-28 --locoid 4041 --swversion DE.1.0.9.0 --startMP 204:233019 --initTime 2017-12-28T15:02:04 --startdatetime 2017-12-28T15:12:16 --delay 85 --endMP 204:172 --enddatetime 2017-12-28T15:49:37 --enforcementcount 0 &gt;&gt;%USERPROFILE%\Documents\GitHub\eaglep3-reporting\EC\2017-12-28-refined-times.txt</v>
      </c>
      <c r="AI99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{"issue":{"subject":"","project_id":79,"tracker_id":40,"status_id":1,"priority_id":2,"assigned_to_id":338,"start_date":"2017-12-28","description":"","custom_fields":[{"id":1,"name":"Subdivision","value":"EC"},{"id":4,"name":"Milepost","value":"0.0172"},{"id":17,"name":"Train ID","value":"186-28"},{"id":16,"name":"Locomotive ID","value":"4041"},{"id":130,"name":"Impact","value":""},{"id":150,"name":"Time of Event (Mountain Time)","value":"15:49:37"},{"id":151,"name":"Denver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2"/>
      <c r="AK99" s="230"/>
      <c r="AL99" s="230"/>
      <c r="AM99" s="239" t="str">
        <f t="shared" si="50"/>
        <v>start /low /b %USERPROFILE%\Documents\GitHub\eaglep3\Utilities\DownloadLogsFromS3.py --loco 4041 --day 2017-12-28</v>
      </c>
      <c r="AN99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22:49:37"},{"id":29,"name":"Sharepoint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29" t="str">
        <f t="shared" si="52"/>
        <v>https://d0f6bd738d7f1b3e5a7ca70fe4ff75f0.us-east-1.aws.found.io/app/kibana#/discover/Steve-Slow-Train-Analysis-(2080s-and-2083s)?_g=(refreshInterval:(display:Off,pause:!f,section:0,value:0),time:(from:'2017-12-28T14:02:04-0700',mode:absolute,to:'2017-12-28T16:49:37-0700'))&amp;_a=(columns:!('Message%20ID',Summary),filters:!(),index:'emp_*',interval:auto,query:(query_string:(analyze_wildcard:!t,query:'%22rtdc.l.rtdc.4041%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8" t="s">
        <v>815</v>
      </c>
      <c r="B100" s="224">
        <v>4064</v>
      </c>
      <c r="C100" s="226" t="s">
        <v>192</v>
      </c>
      <c r="D100" s="226" t="s">
        <v>968</v>
      </c>
      <c r="E100" s="225">
        <v>43097.599444444444</v>
      </c>
      <c r="F100" s="225">
        <v>43097.604687500003</v>
      </c>
      <c r="G100" s="224">
        <v>55</v>
      </c>
      <c r="H100" s="226" t="s">
        <v>949</v>
      </c>
      <c r="I100" s="225">
        <v>43097.628530092596</v>
      </c>
      <c r="J100" s="224">
        <v>0</v>
      </c>
      <c r="K100" s="236" t="str">
        <f t="shared" si="35"/>
        <v>4063/4064</v>
      </c>
      <c r="L100" s="244" t="str">
        <f>VLOOKUP(A100,'Trips&amp;Operators'!$C$1:$G$99911,5,FALSE)</f>
        <v>HOLCOMB KAMDEN</v>
      </c>
      <c r="M100" s="223">
        <f t="shared" si="36"/>
        <v>2.3842592592700385E-2</v>
      </c>
      <c r="N100" s="224">
        <f t="shared" si="54"/>
        <v>34.333333333488554</v>
      </c>
      <c r="O100" s="224"/>
      <c r="P100" s="224"/>
      <c r="Q100" s="227"/>
      <c r="R100" s="241"/>
      <c r="S100" s="248">
        <f t="shared" si="55"/>
        <v>1</v>
      </c>
      <c r="T100" s="241" t="str">
        <f t="shared" si="39"/>
        <v>NorthBound</v>
      </c>
      <c r="U100" s="24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7" t="str">
        <f t="shared" si="40"/>
        <v>https://d0f6bd738d7f1b3e5a7ca70fe4ff75f0.us-east-1.aws.found.io/app/kibana#/discover/Steve-Slow-Train-Analysis-(2080s-and-2083s)?_g=(refreshInterval:(display:Off,pause:!f,section:0,value:0),time:(from:'2017-12-28T13:23:12-0700',mode:absolute,to:'2017-12-28T16:05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0" s="246" t="str">
        <f>IF(AA100&lt;VLOOKUP(AG100,Variables!$AC$3:$AD$8,2,FALSE),"Y","N")</f>
        <v>N</v>
      </c>
      <c r="X100" s="246">
        <f t="shared" si="53"/>
        <v>1</v>
      </c>
      <c r="Y100" s="246">
        <f t="shared" si="46"/>
        <v>4.3299999999999998E-2</v>
      </c>
      <c r="Z100" s="246">
        <f t="shared" si="47"/>
        <v>23.325500000000002</v>
      </c>
      <c r="AA100" s="246">
        <f t="shared" si="41"/>
        <v>23.282200000000003</v>
      </c>
      <c r="AB100" s="232" t="e">
        <f>VLOOKUP(A100,Enforcements!$C$7:$K$9,8,0)</f>
        <v>#N/A</v>
      </c>
      <c r="AC100" s="231" t="e">
        <f>VLOOKUP(A100,Enforcements!$C$7:$E$9,3,0)</f>
        <v>#N/A</v>
      </c>
      <c r="AD100" s="242">
        <f t="shared" si="42"/>
        <v>187</v>
      </c>
      <c r="AE100" s="234" t="str">
        <f t="shared" si="43"/>
        <v>aws s3 cp s3://rtdc.mdm.uploadarchive.raw/RTDC4064/ "%USERPROFILE%\AppData\Local\Temp\OnboardLogs"\RTDC4064\2017-12-28 --exclude "*" --recursive --include "*20171228*" &amp; "%USERPROFILE%\Documents\GitHub\mrs-test-scripts\Headless Mode &amp; Sideloading\WalkAndUnGZ.bat" "%USERPROFILE%\AppData\Local\Temp\OnboardLogs"\RTDC4064\2017-12-28 &amp; aws s3 cp s3://rtdc.mdm.uploadarchive.raw/RTDC4064/ "%USERPROFILE%\AppData\Local\Temp\OnboardLogs"\RTDC4064\2017-12-29 --exclude "*" --recursive --include "*20171229*" &amp; "%USERPROFILE%\Documents\GitHub\mrs-test-scripts\Headless Mode &amp; Sideloading\WalkAndUnGZ.bat" "%USERPROFILE%\AppData\Local\Temp\OnboardLogs"\RTDC4064\2017-12-29</v>
      </c>
      <c r="AF100" s="233" t="str">
        <f t="shared" si="44"/>
        <v>"C:\Program Files (x86)\AstroGrep\AstroGrep.exe" /e /r /s /spath="%USERPROFILE%\AppData\Local\Temp\OnboardLogs" /stypes="app*4064*201712282*" /stext=" 22:.+?(?&gt;(PRM\|1\|D)|(KPR)|(KDP)|(train st[a-z]+ moving)|(SYSTEM_STATE:s[a-z]+ state changed)|(Enforcement Action)|(\[TIMEOUT)|(parse_ebi_status: Penalty)|(\|GPPS))"</v>
      </c>
      <c r="AG100" s="243" t="str">
        <f t="shared" si="45"/>
        <v>EC</v>
      </c>
      <c r="AH100" s="235" t="str">
        <f t="shared" si="48"/>
        <v>"%USERPROFILE%\Documents\GitHub\eaglep3\Utilities\RefineRTDCRunTimes.py" --tripid 187-28 --locoid 4064 --swversion DE.1.0.9.0 --startMP 204:433 --initTime 2017-12-28T14:23:12 --startdatetime 2017-12-28T14:30:45 --delay 55 --endMP 204:233255 --enddatetime 2017-12-28T15:05:05 --enforcementcount 0 &gt;&gt;%USERPROFILE%\Documents\GitHub\eaglep3-reporting\EC\2017-12-28-refined-times.txt</v>
      </c>
      <c r="AI100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{"issue":{"subject":"","project_id":79,"tracker_id":40,"status_id":1,"priority_id":2,"assigned_to_id":338,"start_date":"2017-12-28","description":"","custom_fields":[{"id":1,"name":"Subdivision","value":"EC"},{"id":4,"name":"Milepost","value":"23.3255"},{"id":17,"name":"Train ID","value":"187-28"},{"id":16,"name":"Locomotive ID","value":"4064"},{"id":130,"name":"Impact","value":""},{"id":150,"name":"Time of Event (Mountain Time)","value":"15:05:05"},{"id":151,"name":"Denver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2"/>
      <c r="AK100" s="230"/>
      <c r="AL100" s="230"/>
      <c r="AM100" s="239" t="str">
        <f t="shared" si="50"/>
        <v>start /low /b %USERPROFILE%\Documents\GitHub\eaglep3\Utilities\DownloadLogsFromS3.py --loco 4064 --day 2017-12-28</v>
      </c>
      <c r="AN100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22:05:05"},{"id":29,"name":"Sharepoint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29" t="str">
        <f t="shared" si="52"/>
        <v>https://d0f6bd738d7f1b3e5a7ca70fe4ff75f0.us-east-1.aws.found.io/app/kibana#/discover/Steve-Slow-Train-Analysis-(2080s-and-2083s)?_g=(refreshInterval:(display:Off,pause:!f,section:0,value:0),time:(from:'2017-12-28T13:23:12-0700',mode:absolute,to:'2017-12-28T16:05:05-0700'))&amp;_a=(columns:!('Message%20ID',Summary),filters:!(),index:'emp_*',interval:auto,query:(query_string:(analyze_wildcard:!t,query:'%22rtdc.l.rtdc.4064%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8" t="s">
        <v>688</v>
      </c>
      <c r="B101" s="224">
        <v>4063</v>
      </c>
      <c r="C101" s="226" t="s">
        <v>192</v>
      </c>
      <c r="D101" s="226" t="s">
        <v>623</v>
      </c>
      <c r="E101" s="225">
        <v>43097.642013888886</v>
      </c>
      <c r="F101" s="225">
        <v>43097.667627314811</v>
      </c>
      <c r="G101" s="224">
        <v>62</v>
      </c>
      <c r="H101" s="226" t="s">
        <v>969</v>
      </c>
      <c r="I101" s="225">
        <v>43097.671249999999</v>
      </c>
      <c r="J101" s="224">
        <v>0</v>
      </c>
      <c r="K101" s="236" t="str">
        <f t="shared" si="35"/>
        <v>4063/4064</v>
      </c>
      <c r="L101" s="244" t="str">
        <f>VLOOKUP(A101,'Trips&amp;Operators'!$C$1:$G$99911,5,FALSE)</f>
        <v>HOLCOMB KAMDEN</v>
      </c>
      <c r="M101" s="223">
        <f t="shared" si="36"/>
        <v>3.6226851880201139E-3</v>
      </c>
      <c r="N101" s="224"/>
      <c r="O101" s="224"/>
      <c r="P101" s="224">
        <f>24*60*SUM($M101:$M101)</f>
        <v>5.216666670748964</v>
      </c>
      <c r="Q101" s="227"/>
      <c r="R101" s="241" t="s">
        <v>463</v>
      </c>
      <c r="S101" s="248">
        <f t="shared" si="55"/>
        <v>0.16666666666666666</v>
      </c>
      <c r="T101" s="241" t="str">
        <f t="shared" si="39"/>
        <v>Southbound</v>
      </c>
      <c r="U101" s="24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2</v>
      </c>
      <c r="V101" s="247" t="str">
        <f t="shared" si="40"/>
        <v>https://d0f6bd738d7f1b3e5a7ca70fe4ff75f0.us-east-1.aws.found.io/app/kibana#/discover/Steve-Slow-Train-Analysis-(2080s-and-2083s)?_g=(refreshInterval:(display:Off,pause:!f,section:0,value:0),time:(from:'2017-12-28T14:24:30-0700',mode:absolute,to:'2017-12-28T17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1" s="246" t="str">
        <f>IF(AA101&lt;VLOOKUP(AG101,Variables!$AC$3:$AD$8,2,FALSE),"Y","N")</f>
        <v>Y</v>
      </c>
      <c r="X101" s="246">
        <f t="shared" si="53"/>
        <v>1</v>
      </c>
      <c r="Y101" s="246">
        <f t="shared" si="46"/>
        <v>23.295300000000001</v>
      </c>
      <c r="Z101" s="246">
        <f t="shared" si="47"/>
        <v>8.6760999999999999</v>
      </c>
      <c r="AA101" s="246">
        <f t="shared" si="41"/>
        <v>14.619200000000001</v>
      </c>
      <c r="AB101" s="232" t="e">
        <f>VLOOKUP(A101,Enforcements!$C$7:$K$9,8,0)</f>
        <v>#N/A</v>
      </c>
      <c r="AC101" s="231" t="e">
        <f>VLOOKUP(A101,Enforcements!$C$7:$E$9,3,0)</f>
        <v>#N/A</v>
      </c>
      <c r="AD101" s="242">
        <f t="shared" si="42"/>
        <v>188</v>
      </c>
      <c r="AE101" s="234" t="str">
        <f t="shared" si="43"/>
        <v>aws s3 cp s3://rtdc.mdm.uploadarchive.raw/RTDC4063/ "%USERPROFILE%\AppData\Local\Temp\OnboardLogs"\RTDC4063\2017-12-28 --exclude "*" --recursive --include "*20171228*" &amp; "%USERPROFILE%\Documents\GitHub\mrs-test-scripts\Headless Mode &amp; Sideloading\WalkAndUnGZ.bat" "%USERPROFILE%\AppData\Local\Temp\OnboardLogs"\RTDC4063\2017-12-28 &amp; aws s3 cp s3://rtdc.mdm.uploadarchive.raw/RTDC4063/ "%USERPROFILE%\AppData\Local\Temp\OnboardLogs"\RTDC4063\2017-12-29 --exclude "*" --recursive --include "*20171229*" &amp; "%USERPROFILE%\Documents\GitHub\mrs-test-scripts\Headless Mode &amp; Sideloading\WalkAndUnGZ.bat" "%USERPROFILE%\AppData\Local\Temp\OnboardLogs"\RTDC4063\2017-12-29</v>
      </c>
      <c r="AF101" s="233" t="str">
        <f t="shared" si="44"/>
        <v>"C:\Program Files (x86)\AstroGrep\AstroGrep.exe" /e /r /s /spath="%USERPROFILE%\AppData\Local\Temp\OnboardLogs" /stypes="app*4063*201712282*" /stext=" 23:.+?(?&gt;(PRM\|1\|D)|(KPR)|(KDP)|(train st[a-z]+ moving)|(SYSTEM_STATE:s[a-z]+ state changed)|(Enforcement Action)|(\[TIMEOUT)|(parse_ebi_status: Penalty)|(\|GPPS))"</v>
      </c>
      <c r="AG101" s="243" t="str">
        <f t="shared" si="45"/>
        <v>EC</v>
      </c>
      <c r="AH101" s="235" t="str">
        <f t="shared" si="48"/>
        <v>"%USERPROFILE%\Documents\GitHub\eaglep3\Utilities\RefineRTDCRunTimes.py" --tripid 188-28 --locoid 4063 --swversion DE.1.0.9.0 --startMP 204:232953 --initTime 2017-12-28T15:24:30 --startdatetime 2017-12-28T16:01:23 --delay 62 --endMP 204:86761 --enddatetime 2017-12-28T16:06:36 --enforcementcount 0 &gt;&gt;%USERPROFILE%\Documents\GitHub\eaglep3-reporting\EC\2017-12-28-refined-times.txt</v>
      </c>
      <c r="AI101" s="237" t="str">
        <f t="shared" si="49"/>
        <v>echo {"issue":{"subject":"Wi-MAX data drop","project_id":79,"tracker_id":40,"status_id":1,"priority_id":2,"assigned_to_id":338,"start_date":"2017-12-28","description":"","custom_fields":[{"id":1,"name":"Subdivision","value":"EC"},{"id":4,"name":"Milepost","value":"8.6761"},{"id":17,"name":"Train ID","value":"188-28"},{"id":16,"name":"Locomotive ID","value":"4063"},{"id":130,"name":"Impact","value":""},{"id":150,"name":"Time of Event (Mountain Time)","value":"16:06:36"},{"id":151,"name":"Denver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2"/>
      <c r="AK101" s="230"/>
      <c r="AL101" s="230"/>
      <c r="AM101" s="239" t="str">
        <f t="shared" si="50"/>
        <v>start /low /b %USERPROFILE%\Documents\GitHub\eaglep3\Utilities\DownloadLogsFromS3.py --loco 4063 --day 2017-12-28</v>
      </c>
      <c r="AN101" s="240" t="str">
        <f t="shared" si="51"/>
        <v>echo {"issue":{"subject":"Wi-MAX data drop","project_id":30,"tracker_id":4,"status_id":1,"priority_id":1,"assigned_to_id":10,"start_date":"2017-12-28","description":"","custom_fields":[{"id":30,"name":"Category","value":"Issue"},{"id":3,"name":"Functional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23:06:36"},{"id":29,"name":"Sharepoint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29" t="str">
        <f t="shared" si="52"/>
        <v>https://d0f6bd738d7f1b3e5a7ca70fe4ff75f0.us-east-1.aws.found.io/app/kibana#/discover/Steve-Slow-Train-Analysis-(2080s-and-2083s)?_g=(refreshInterval:(display:Off,pause:!f,section:0,value:0),time:(from:'2017-12-28T14:24:30-0700',mode:absolute,to:'2017-12-28T17:06:36-0700'))&amp;_a=(columns:!('Message%20ID',Summary),filters:!(),index:'emp_*',interval:auto,query:(query_string:(analyze_wildcard:!t,query:'%22rtdc.l.rtdc.4063%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8" t="s">
        <v>688</v>
      </c>
      <c r="B102" s="224">
        <v>4063</v>
      </c>
      <c r="C102" s="226" t="s">
        <v>192</v>
      </c>
      <c r="D102" s="226" t="s">
        <v>970</v>
      </c>
      <c r="E102" s="225">
        <v>43097.666643518518</v>
      </c>
      <c r="F102" s="225">
        <v>43097.667627314811</v>
      </c>
      <c r="G102" s="224">
        <v>40</v>
      </c>
      <c r="H102" s="226" t="s">
        <v>569</v>
      </c>
      <c r="I102" s="225">
        <v>43097.671249999999</v>
      </c>
      <c r="J102" s="224">
        <v>0</v>
      </c>
      <c r="K102" s="236" t="str">
        <f t="shared" si="35"/>
        <v>4063/4064</v>
      </c>
      <c r="L102" s="244" t="str">
        <f>VLOOKUP(A102,'Trips&amp;Operators'!$C$1:$G$99911,5,FALSE)</f>
        <v>HOLCOMB KAMDEN</v>
      </c>
      <c r="M102" s="223">
        <f t="shared" si="36"/>
        <v>3.6226851880201139E-3</v>
      </c>
      <c r="N102" s="224"/>
      <c r="O102" s="224"/>
      <c r="P102" s="224"/>
      <c r="Q102" s="227"/>
      <c r="R102" s="241"/>
      <c r="S102" s="248"/>
      <c r="T102" s="241" t="str">
        <f t="shared" si="39"/>
        <v>Southbound</v>
      </c>
      <c r="U102" s="24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0</v>
      </c>
      <c r="V102" s="247" t="str">
        <f t="shared" si="40"/>
        <v>https://d0f6bd738d7f1b3e5a7ca70fe4ff75f0.us-east-1.aws.found.io/app/kibana#/discover/Steve-Slow-Train-Analysis-(2080s-and-2083s)?_g=(refreshInterval:(display:Off,pause:!f,section:0,value:0),time:(from:'2017-12-28T14:59:58-0700',mode:absolute,to:'2017-12-28T17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2" s="246" t="str">
        <f>IF(AA102&lt;VLOOKUP(AG102,Variables!$AC$3:$AD$8,2,FALSE),"Y","N")</f>
        <v>Y</v>
      </c>
      <c r="X102" s="246">
        <f t="shared" si="53"/>
        <v>0</v>
      </c>
      <c r="Y102" s="246">
        <f t="shared" si="46"/>
        <v>1.8762000000000001</v>
      </c>
      <c r="Z102" s="246">
        <f t="shared" si="47"/>
        <v>1.41E-2</v>
      </c>
      <c r="AA102" s="246">
        <f t="shared" si="41"/>
        <v>1.8621000000000001</v>
      </c>
      <c r="AB102" s="232" t="e">
        <f>VLOOKUP(A102,Enforcements!$C$7:$K$9,8,0)</f>
        <v>#N/A</v>
      </c>
      <c r="AC102" s="231" t="e">
        <f>VLOOKUP(A102,Enforcements!$C$7:$E$9,3,0)</f>
        <v>#N/A</v>
      </c>
      <c r="AD102" s="242">
        <f t="shared" si="42"/>
        <v>188</v>
      </c>
      <c r="AE102" s="234" t="str">
        <f t="shared" si="43"/>
        <v>aws s3 cp s3://rtdc.mdm.uploadarchive.raw/RTDC4063/ "%USERPROFILE%\AppData\Local\Temp\OnboardLogs"\RTDC4063\2017-12-28 --exclude "*" --recursive --include "*20171228*" &amp; "%USERPROFILE%\Documents\GitHub\mrs-test-scripts\Headless Mode &amp; Sideloading\WalkAndUnGZ.bat" "%USERPROFILE%\AppData\Local\Temp\OnboardLogs"\RTDC4063\2017-12-28 &amp; aws s3 cp s3://rtdc.mdm.uploadarchive.raw/RTDC4063/ "%USERPROFILE%\AppData\Local\Temp\OnboardLogs"\RTDC4063\2017-12-29 --exclude "*" --recursive --include "*20171229*" &amp; "%USERPROFILE%\Documents\GitHub\mrs-test-scripts\Headless Mode &amp; Sideloading\WalkAndUnGZ.bat" "%USERPROFILE%\AppData\Local\Temp\OnboardLogs"\RTDC4063\2017-12-29</v>
      </c>
      <c r="AF102" s="233" t="str">
        <f t="shared" si="44"/>
        <v>"C:\Program Files (x86)\AstroGrep\AstroGrep.exe" /e /r /s /spath="%USERPROFILE%\AppData\Local\Temp\OnboardLogs" /stypes="app*4063*201712282*" /stext=" 23:.+?(?&gt;(PRM\|1\|D)|(KPR)|(KDP)|(train st[a-z]+ moving)|(SYSTEM_STATE:s[a-z]+ state changed)|(Enforcement Action)|(\[TIMEOUT)|(parse_ebi_status: Penalty)|(\|GPPS))"</v>
      </c>
      <c r="AG102" s="243" t="str">
        <f t="shared" si="45"/>
        <v>EC</v>
      </c>
      <c r="AH102" s="235" t="str">
        <f t="shared" si="48"/>
        <v>"%USERPROFILE%\Documents\GitHub\eaglep3\Utilities\RefineRTDCRunTimes.py" --tripid 188-28 --locoid 4063 --swversion DE.1.0.9.0 --startMP 204:18762 --initTime 2017-12-28T15:59:58 --startdatetime 2017-12-28T16:01:23 --delay 40 --endMP 204:141 --enddatetime 2017-12-28T16:06:36 --enforcementcount 0 &gt;&gt;%USERPROFILE%\Documents\GitHub\eaglep3-reporting\EC\2017-12-28-refined-times.txt</v>
      </c>
      <c r="AI102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{"issue":{"subject":"","project_id":79,"tracker_id":40,"status_id":1,"priority_id":2,"assigned_to_id":338,"start_date":"2017-12-28","description":"","custom_fields":[{"id":1,"name":"Subdivision","value":"EC"},{"id":4,"name":"Milepost","value":"0.0141"},{"id":17,"name":"Train ID","value":"188-28"},{"id":16,"name":"Locomotive ID","value":"4063"},{"id":130,"name":"Impact","value":""},{"id":150,"name":"Time of Event (Mountain Time)","value":"16:06:36"},{"id":151,"name":"Denver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2"/>
      <c r="AK102" s="230"/>
      <c r="AL102" s="230"/>
      <c r="AM102" s="239" t="str">
        <f t="shared" si="50"/>
        <v>start /low /b %USERPROFILE%\Documents\GitHub\eaglep3\Utilities\DownloadLogsFromS3.py --loco 4063 --day 2017-12-28</v>
      </c>
      <c r="AN102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23:06:36"},{"id":29,"name":"Sharepoint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29" t="str">
        <f t="shared" si="52"/>
        <v>https://d0f6bd738d7f1b3e5a7ca70fe4ff75f0.us-east-1.aws.found.io/app/kibana#/discover/Steve-Slow-Train-Analysis-(2080s-and-2083s)?_g=(refreshInterval:(display:Off,pause:!f,section:0,value:0),time:(from:'2017-12-28T14:59:58-0700',mode:absolute,to:'2017-12-28T17:06:36-0700'))&amp;_a=(columns:!('Message%20ID',Summary),filters:!(),index:'emp_*',interval:auto,query:(query_string:(analyze_wildcard:!t,query:'%22rtdc.l.rtdc.4063%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28" t="s">
        <v>818</v>
      </c>
      <c r="B103" s="224">
        <v>4014</v>
      </c>
      <c r="C103" s="226" t="s">
        <v>192</v>
      </c>
      <c r="D103" s="226" t="s">
        <v>544</v>
      </c>
      <c r="E103" s="225">
        <v>43097.611284722225</v>
      </c>
      <c r="F103" s="225">
        <v>43097.614814814813</v>
      </c>
      <c r="G103" s="224">
        <v>59</v>
      </c>
      <c r="H103" s="226" t="s">
        <v>971</v>
      </c>
      <c r="I103" s="225">
        <v>43097.639467592591</v>
      </c>
      <c r="J103" s="224">
        <v>0</v>
      </c>
      <c r="K103" s="236" t="str">
        <f t="shared" si="35"/>
        <v>4013/4014</v>
      </c>
      <c r="L103" s="244" t="str">
        <f>VLOOKUP(A103,'Trips&amp;Operators'!$C$1:$G$99911,5,FALSE)</f>
        <v>BRUDER RICHARD</v>
      </c>
      <c r="M103" s="223">
        <f t="shared" si="36"/>
        <v>2.4652777778101154E-2</v>
      </c>
      <c r="N103" s="224">
        <f t="shared" ref="N103:N150" si="56">24*60*SUM($M103:$M103)</f>
        <v>35.500000000465661</v>
      </c>
      <c r="O103" s="224"/>
      <c r="P103" s="224"/>
      <c r="Q103" s="227"/>
      <c r="R103" s="241"/>
      <c r="S103" s="248">
        <f t="shared" ref="S103:S134" si="57">1/IF(AG103="EC",12,1)*SUM(U103:U103)</f>
        <v>1</v>
      </c>
      <c r="T103" s="241" t="str">
        <f t="shared" si="39"/>
        <v>NorthBound</v>
      </c>
      <c r="U103" s="24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7" t="str">
        <f t="shared" si="40"/>
        <v>https://d0f6bd738d7f1b3e5a7ca70fe4ff75f0.us-east-1.aws.found.io/app/kibana#/discover/Steve-Slow-Train-Analysis-(2080s-and-2083s)?_g=(refreshInterval:(display:Off,pause:!f,section:0,value:0),time:(from:'2017-12-28T13:40:15-0700',mode:absolute,to:'2017-12-28T16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3" s="246" t="str">
        <f>IF(AA103&lt;VLOOKUP(AG103,Variables!$AC$3:$AD$8,2,FALSE),"Y","N")</f>
        <v>N</v>
      </c>
      <c r="X103" s="246">
        <f t="shared" si="53"/>
        <v>1</v>
      </c>
      <c r="Y103" s="246">
        <f t="shared" si="46"/>
        <v>5.28E-2</v>
      </c>
      <c r="Z103" s="246">
        <f t="shared" si="47"/>
        <v>23.320900000000002</v>
      </c>
      <c r="AA103" s="246">
        <f t="shared" si="41"/>
        <v>23.2681</v>
      </c>
      <c r="AB103" s="232" t="e">
        <f>VLOOKUP(A103,Enforcements!$C$7:$K$9,8,0)</f>
        <v>#N/A</v>
      </c>
      <c r="AC103" s="231" t="e">
        <f>VLOOKUP(A103,Enforcements!$C$7:$E$9,3,0)</f>
        <v>#N/A</v>
      </c>
      <c r="AD103" s="242">
        <f t="shared" si="42"/>
        <v>189</v>
      </c>
      <c r="AE103" s="234" t="str">
        <f t="shared" si="43"/>
        <v>aws s3 cp s3://rtdc.mdm.uploadarchive.raw/RTDC4014/ "%USERPROFILE%\AppData\Local\Temp\OnboardLogs"\RTDC4014\2017-12-28 --exclude "*" --recursive --include "*20171228*" &amp; "%USERPROFILE%\Documents\GitHub\mrs-test-scripts\Headless Mode &amp; Sideloading\WalkAndUnGZ.bat" "%USERPROFILE%\AppData\Local\Temp\OnboardLogs"\RTDC4014\2017-12-28 &amp; aws s3 cp s3://rtdc.mdm.uploadarchive.raw/RTDC4014/ "%USERPROFILE%\AppData\Local\Temp\OnboardLogs"\RTDC4014\2017-12-29 --exclude "*" --recursive --include "*20171229*" &amp; "%USERPROFILE%\Documents\GitHub\mrs-test-scripts\Headless Mode &amp; Sideloading\WalkAndUnGZ.bat" "%USERPROFILE%\AppData\Local\Temp\OnboardLogs"\RTDC4014\2017-12-29</v>
      </c>
      <c r="AF103" s="233" t="str">
        <f t="shared" si="44"/>
        <v>"C:\Program Files (x86)\AstroGrep\AstroGrep.exe" /e /r /s /spath="%USERPROFILE%\AppData\Local\Temp\OnboardLogs" /stypes="app*4014*201712282*" /stext=" 22:.+?(?&gt;(PRM\|1\|D)|(KPR)|(KDP)|(train st[a-z]+ moving)|(SYSTEM_STATE:s[a-z]+ state changed)|(Enforcement Action)|(\[TIMEOUT)|(parse_ebi_status: Penalty)|(\|GPPS))"</v>
      </c>
      <c r="AG103" s="243" t="str">
        <f t="shared" si="45"/>
        <v>EC</v>
      </c>
      <c r="AH103" s="235" t="str">
        <f t="shared" si="48"/>
        <v>"%USERPROFILE%\Documents\GitHub\eaglep3\Utilities\RefineRTDCRunTimes.py" --tripid 189-28 --locoid 4014 --swversion DE.1.0.9.0 --startMP 204:528 --initTime 2017-12-28T14:40:15 --startdatetime 2017-12-28T14:45:20 --delay 59 --endMP 204:233209 --enddatetime 2017-12-28T15:20:50 --enforcementcount 0 &gt;&gt;%USERPROFILE%\Documents\GitHub\eaglep3-reporting\EC\2017-12-28-refined-times.txt</v>
      </c>
      <c r="AI103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{"issue":{"subject":"","project_id":79,"tracker_id":40,"status_id":1,"priority_id":2,"assigned_to_id":338,"start_date":"2017-12-28","description":"","custom_fields":[{"id":1,"name":"Subdivision","value":"EC"},{"id":4,"name":"Milepost","value":"23.3209"},{"id":17,"name":"Train ID","value":"189-28"},{"id":16,"name":"Locomotive ID","value":"4014"},{"id":130,"name":"Impact","value":""},{"id":150,"name":"Time of Event (Mountain Time)","value":"15:20:50"},{"id":151,"name":"Denver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2"/>
      <c r="AK103" s="230"/>
      <c r="AL103" s="230"/>
      <c r="AM103" s="239" t="str">
        <f t="shared" si="50"/>
        <v>start /low /b %USERPROFILE%\Documents\GitHub\eaglep3\Utilities\DownloadLogsFromS3.py --loco 4014 --day 2017-12-28</v>
      </c>
      <c r="AN103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22:20:50"},{"id":29,"name":"Sharepoint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29" t="str">
        <f t="shared" si="52"/>
        <v>https://d0f6bd738d7f1b3e5a7ca70fe4ff75f0.us-east-1.aws.found.io/app/kibana#/discover/Steve-Slow-Train-Analysis-(2080s-and-2083s)?_g=(refreshInterval:(display:Off,pause:!f,section:0,value:0),time:(from:'2017-12-28T13:40:15-0700',mode:absolute,to:'2017-12-28T16:20:50-0700'))&amp;_a=(columns:!('Message%20ID',Summary),filters:!(),index:'emp_*',interval:auto,query:(query_string:(analyze_wildcard:!t,query:'%22rtdc.l.rtdc.4014%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228" t="s">
        <v>827</v>
      </c>
      <c r="B104" s="224">
        <v>4013</v>
      </c>
      <c r="C104" s="226" t="s">
        <v>192</v>
      </c>
      <c r="D104" s="226" t="s">
        <v>972</v>
      </c>
      <c r="E104" s="225">
        <v>43097.650787037041</v>
      </c>
      <c r="F104" s="225">
        <v>43097.654351851852</v>
      </c>
      <c r="G104" s="224">
        <v>52</v>
      </c>
      <c r="H104" s="226" t="s">
        <v>632</v>
      </c>
      <c r="I104" s="225">
        <v>43097.680347222224</v>
      </c>
      <c r="J104" s="224">
        <v>0</v>
      </c>
      <c r="K104" s="236" t="str">
        <f t="shared" si="35"/>
        <v>4013/4014</v>
      </c>
      <c r="L104" s="244" t="str">
        <f>VLOOKUP(A104,'Trips&amp;Operators'!$C$1:$G$99911,5,FALSE)</f>
        <v>BRUDER RICHARD</v>
      </c>
      <c r="M104" s="223">
        <f t="shared" si="36"/>
        <v>2.5995370371674653E-2</v>
      </c>
      <c r="N104" s="224">
        <f t="shared" si="56"/>
        <v>37.433333335211501</v>
      </c>
      <c r="O104" s="224"/>
      <c r="P104" s="224"/>
      <c r="Q104" s="227"/>
      <c r="R104" s="241"/>
      <c r="S104" s="248">
        <f t="shared" si="57"/>
        <v>1</v>
      </c>
      <c r="T104" s="241" t="str">
        <f t="shared" si="39"/>
        <v>Southbound</v>
      </c>
      <c r="U104" s="24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7" t="str">
        <f t="shared" si="40"/>
        <v>https://d0f6bd738d7f1b3e5a7ca70fe4ff75f0.us-east-1.aws.found.io/app/kibana#/discover/Steve-Slow-Train-Analysis-(2080s-and-2083s)?_g=(refreshInterval:(display:Off,pause:!f,section:0,value:0),time:(from:'2017-12-28T14:37:08-0700',mode:absolute,to:'2017-12-28T17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4" s="246" t="str">
        <f>IF(AA104&lt;VLOOKUP(AG104,Variables!$AC$3:$AD$8,2,FALSE),"Y","N")</f>
        <v>N</v>
      </c>
      <c r="X104" s="246">
        <f t="shared" si="53"/>
        <v>1</v>
      </c>
      <c r="Y104" s="246">
        <f t="shared" si="46"/>
        <v>23.287299999999998</v>
      </c>
      <c r="Z104" s="246">
        <f t="shared" si="47"/>
        <v>2.12E-2</v>
      </c>
      <c r="AA104" s="246">
        <f t="shared" si="41"/>
        <v>23.266099999999998</v>
      </c>
      <c r="AB104" s="232" t="e">
        <f>VLOOKUP(A104,Enforcements!$C$7:$K$9,8,0)</f>
        <v>#N/A</v>
      </c>
      <c r="AC104" s="231" t="e">
        <f>VLOOKUP(A104,Enforcements!$C$7:$E$9,3,0)</f>
        <v>#N/A</v>
      </c>
      <c r="AD104" s="242">
        <f t="shared" si="42"/>
        <v>190</v>
      </c>
      <c r="AE104" s="234" t="str">
        <f t="shared" si="43"/>
        <v>aws s3 cp s3://rtdc.mdm.uploadarchive.raw/RTDC4013/ "%USERPROFILE%\AppData\Local\Temp\OnboardLogs"\RTDC4013\2017-12-28 --exclude "*" --recursive --include "*20171228*" &amp; "%USERPROFILE%\Documents\GitHub\mrs-test-scripts\Headless Mode &amp; Sideloading\WalkAndUnGZ.bat" "%USERPROFILE%\AppData\Local\Temp\OnboardLogs"\RTDC4013\2017-12-28 &amp; aws s3 cp s3://rtdc.mdm.uploadarchive.raw/RTDC4013/ "%USERPROFILE%\AppData\Local\Temp\OnboardLogs"\RTDC4013\2017-12-29 --exclude "*" --recursive --include "*20171229*" &amp; "%USERPROFILE%\Documents\GitHub\mrs-test-scripts\Headless Mode &amp; Sideloading\WalkAndUnGZ.bat" "%USERPROFILE%\AppData\Local\Temp\OnboardLogs"\RTDC4013\2017-12-29</v>
      </c>
      <c r="AF104" s="233" t="str">
        <f t="shared" si="44"/>
        <v>"C:\Program Files (x86)\AstroGrep\AstroGrep.exe" /e /r /s /spath="%USERPROFILE%\AppData\Local\Temp\OnboardLogs" /stypes="app*4013*201712282*" /stext=" 23:.+?(?&gt;(PRM\|1\|D)|(KPR)|(KDP)|(train st[a-z]+ moving)|(SYSTEM_STATE:s[a-z]+ state changed)|(Enforcement Action)|(\[TIMEOUT)|(parse_ebi_status: Penalty)|(\|GPPS))"</v>
      </c>
      <c r="AG104" s="243" t="str">
        <f t="shared" si="45"/>
        <v>EC</v>
      </c>
      <c r="AH104" s="235" t="str">
        <f t="shared" si="48"/>
        <v>"%USERPROFILE%\Documents\GitHub\eaglep3\Utilities\RefineRTDCRunTimes.py" --tripid 190-28 --locoid 4013 --swversion DE.1.0.9.0 --startMP 204:232873 --initTime 2017-12-28T15:37:08 --startdatetime 2017-12-28T15:42:16 --delay 52 --endMP 204:212 --enddatetime 2017-12-28T16:19:42 --enforcementcount 0 &gt;&gt;%USERPROFILE%\Documents\GitHub\eaglep3-reporting\EC\2017-12-28-refined-times.txt</v>
      </c>
      <c r="AI104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{"issue":{"subject":"","project_id":79,"tracker_id":40,"status_id":1,"priority_id":2,"assigned_to_id":338,"start_date":"2017-12-28","description":"","custom_fields":[{"id":1,"name":"Subdivision","value":"EC"},{"id":4,"name":"Milepost","value":"0.0212"},{"id":17,"name":"Train ID","value":"190-28"},{"id":16,"name":"Locomotive ID","value":"4013"},{"id":130,"name":"Impact","value":""},{"id":150,"name":"Time of Event (Mountain Time)","value":"16:19:42"},{"id":151,"name":"Denver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2"/>
      <c r="AK104" s="230"/>
      <c r="AL104" s="230"/>
      <c r="AM104" s="239" t="str">
        <f t="shared" si="50"/>
        <v>start /low /b %USERPROFILE%\Documents\GitHub\eaglep3\Utilities\DownloadLogsFromS3.py --loco 4013 --day 2017-12-28</v>
      </c>
      <c r="AN104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23:19:42"},{"id":29,"name":"Sharepoint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29" t="str">
        <f t="shared" si="52"/>
        <v>https://d0f6bd738d7f1b3e5a7ca70fe4ff75f0.us-east-1.aws.found.io/app/kibana#/discover/Steve-Slow-Train-Analysis-(2080s-and-2083s)?_g=(refreshInterval:(display:Off,pause:!f,section:0,value:0),time:(from:'2017-12-28T14:37:08-0700',mode:absolute,to:'2017-12-28T17:19:42-0700'))&amp;_a=(columns:!('Message%20ID',Summary),filters:!(),index:'emp_*',interval:auto,query:(query_string:(analyze_wildcard:!t,query:'%22rtdc.l.rtdc.4013%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228" t="s">
        <v>819</v>
      </c>
      <c r="B105" s="224">
        <v>4046</v>
      </c>
      <c r="C105" s="226" t="s">
        <v>192</v>
      </c>
      <c r="D105" s="226" t="s">
        <v>469</v>
      </c>
      <c r="E105" s="225">
        <v>43097.621030092596</v>
      </c>
      <c r="F105" s="225">
        <v>43097.625277777777</v>
      </c>
      <c r="G105" s="224">
        <v>77</v>
      </c>
      <c r="H105" s="226" t="s">
        <v>942</v>
      </c>
      <c r="I105" s="225">
        <v>43097.649652777778</v>
      </c>
      <c r="J105" s="224">
        <v>0</v>
      </c>
      <c r="K105" s="236" t="str">
        <f t="shared" si="35"/>
        <v>4045/4046</v>
      </c>
      <c r="L105" s="244" t="str">
        <f>VLOOKUP(A105,'Trips&amp;Operators'!$C$1:$G$99911,5,FALSE)</f>
        <v>STEWART MICHAEL</v>
      </c>
      <c r="M105" s="223">
        <f t="shared" si="36"/>
        <v>2.4375000000873115E-2</v>
      </c>
      <c r="N105" s="224">
        <f t="shared" si="56"/>
        <v>35.100000001257285</v>
      </c>
      <c r="O105" s="224"/>
      <c r="P105" s="224"/>
      <c r="Q105" s="227"/>
      <c r="R105" s="241"/>
      <c r="S105" s="248">
        <f t="shared" si="57"/>
        <v>1</v>
      </c>
      <c r="T105" s="241" t="str">
        <f t="shared" si="39"/>
        <v>NorthBound</v>
      </c>
      <c r="U105" s="24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7" t="str">
        <f t="shared" si="40"/>
        <v>https://d0f6bd738d7f1b3e5a7ca70fe4ff75f0.us-east-1.aws.found.io/app/kibana#/discover/Steve-Slow-Train-Analysis-(2080s-and-2083s)?_g=(refreshInterval:(display:Off,pause:!f,section:0,value:0),time:(from:'2017-12-28T13:54:17-0700',mode:absolute,to:'2017-12-28T16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5" s="246" t="str">
        <f>IF(AA105&lt;VLOOKUP(AG105,Variables!$AC$3:$AD$8,2,FALSE),"Y","N")</f>
        <v>N</v>
      </c>
      <c r="X105" s="246">
        <f t="shared" si="53"/>
        <v>1</v>
      </c>
      <c r="Y105" s="246">
        <f t="shared" si="46"/>
        <v>5.0799999999999998E-2</v>
      </c>
      <c r="Z105" s="246">
        <f t="shared" si="47"/>
        <v>23.327200000000001</v>
      </c>
      <c r="AA105" s="246">
        <f t="shared" si="41"/>
        <v>23.276400000000002</v>
      </c>
      <c r="AB105" s="232" t="e">
        <f>VLOOKUP(A105,Enforcements!$C$7:$K$9,8,0)</f>
        <v>#N/A</v>
      </c>
      <c r="AC105" s="231" t="e">
        <f>VLOOKUP(A105,Enforcements!$C$7:$E$9,3,0)</f>
        <v>#N/A</v>
      </c>
      <c r="AD105" s="242">
        <f t="shared" si="42"/>
        <v>191</v>
      </c>
      <c r="AE105" s="234" t="str">
        <f t="shared" si="43"/>
        <v>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 &amp; aws s3 cp s3://rtdc.mdm.uploadarchive.raw/RTDC4046/ "%USERPROFILE%\AppData\Local\Temp\OnboardLogs"\RTDC4046\2017-12-29 --exclude "*" --recursive --include "*20171229*" &amp; "%USERPROFILE%\Documents\GitHub\mrs-test-scripts\Headless Mode &amp; Sideloading\WalkAndUnGZ.bat" "%USERPROFILE%\AppData\Local\Temp\OnboardLogs"\RTDC4046\2017-12-29</v>
      </c>
      <c r="AF105" s="233" t="str">
        <f t="shared" si="44"/>
        <v>"C:\Program Files (x86)\AstroGrep\AstroGrep.exe" /e /r /s /spath="%USERPROFILE%\AppData\Local\Temp\OnboardLogs" /stypes="app*4046*201712282*" /stext=" 22:.+?(?&gt;(PRM\|1\|D)|(KPR)|(KDP)|(train st[a-z]+ moving)|(SYSTEM_STATE:s[a-z]+ state changed)|(Enforcement Action)|(\[TIMEOUT)|(parse_ebi_status: Penalty)|(\|GPPS))"</v>
      </c>
      <c r="AG105" s="243" t="str">
        <f t="shared" si="45"/>
        <v>EC</v>
      </c>
      <c r="AH105" s="235" t="str">
        <f t="shared" si="48"/>
        <v>"%USERPROFILE%\Documents\GitHub\eaglep3\Utilities\RefineRTDCRunTimes.py" --tripid 191-28 --locoid 4046 --swversion DE.1.0.9.0 --startMP 204:508 --initTime 2017-12-28T14:54:17 --startdatetime 2017-12-28T15:00:24 --delay 77 --endMP 204:233272 --enddatetime 2017-12-28T15:35:30 --enforcementcount 0 &gt;&gt;%USERPROFILE%\Documents\GitHub\eaglep3-reporting\EC\2017-12-28-refined-times.txt</v>
      </c>
      <c r="AI105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{"issue":{"subject":"","project_id":79,"tracker_id":40,"status_id":1,"priority_id":2,"assigned_to_id":338,"start_date":"2017-12-28","description":"","custom_fields":[{"id":1,"name":"Subdivision","value":"EC"},{"id":4,"name":"Milepost","value":"23.3272"},{"id":17,"name":"Train ID","value":"191-28"},{"id":16,"name":"Locomotive ID","value":"4046"},{"id":130,"name":"Impact","value":""},{"id":150,"name":"Time of Event (Mountain Time)","value":"15:35:30"},{"id":151,"name":"Denver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2"/>
      <c r="AK105" s="230"/>
      <c r="AL105" s="230"/>
      <c r="AM105" s="239" t="str">
        <f t="shared" si="50"/>
        <v>start /low /b %USERPROFILE%\Documents\GitHub\eaglep3\Utilities\DownloadLogsFromS3.py --loco 4046 --day 2017-12-28</v>
      </c>
      <c r="AN105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22:35:30"},{"id":29,"name":"Sharepoint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29" t="str">
        <f t="shared" si="52"/>
        <v>https://d0f6bd738d7f1b3e5a7ca70fe4ff75f0.us-east-1.aws.found.io/app/kibana#/discover/Steve-Slow-Train-Analysis-(2080s-and-2083s)?_g=(refreshInterval:(display:Off,pause:!f,section:0,value:0),time:(from:'2017-12-28T13:54:17-0700',mode:absolute,to:'2017-12-28T16:35:30-0700'))&amp;_a=(columns:!('Message%20ID',Summary),filters:!(),index:'emp_*',interval:auto,query:(query_string:(analyze_wildcard:!t,query:'%22rtdc.l.rtdc.4046%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1" customFormat="1" x14ac:dyDescent="0.25">
      <c r="A106" s="228" t="s">
        <v>829</v>
      </c>
      <c r="B106" s="224">
        <v>4045</v>
      </c>
      <c r="C106" s="226" t="s">
        <v>192</v>
      </c>
      <c r="D106" s="226" t="s">
        <v>655</v>
      </c>
      <c r="E106" s="225">
        <v>43097.660995370374</v>
      </c>
      <c r="F106" s="225">
        <v>43097.66479166667</v>
      </c>
      <c r="G106" s="224">
        <v>53</v>
      </c>
      <c r="H106" s="226" t="s">
        <v>472</v>
      </c>
      <c r="I106" s="225">
        <v>43097.690995370373</v>
      </c>
      <c r="J106" s="224">
        <v>0</v>
      </c>
      <c r="K106" s="236" t="str">
        <f t="shared" si="35"/>
        <v>4045/4046</v>
      </c>
      <c r="L106" s="244" t="str">
        <f>VLOOKUP(A106,'Trips&amp;Operators'!$C$1:$G$99911,5,FALSE)</f>
        <v>STEWART MICHAEL</v>
      </c>
      <c r="M106" s="223">
        <f t="shared" si="36"/>
        <v>2.6203703702776693E-2</v>
      </c>
      <c r="N106" s="224">
        <f t="shared" si="56"/>
        <v>37.733333331998438</v>
      </c>
      <c r="O106" s="224"/>
      <c r="P106" s="224"/>
      <c r="Q106" s="227"/>
      <c r="R106" s="241"/>
      <c r="S106" s="248">
        <f t="shared" si="57"/>
        <v>1</v>
      </c>
      <c r="T106" s="241" t="str">
        <f t="shared" si="39"/>
        <v>Southbound</v>
      </c>
      <c r="U106" s="24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7" t="str">
        <f t="shared" si="40"/>
        <v>https://d0f6bd738d7f1b3e5a7ca70fe4ff75f0.us-east-1.aws.found.io/app/kibana#/discover/Steve-Slow-Train-Analysis-(2080s-and-2083s)?_g=(refreshInterval:(display:Off,pause:!f,section:0,value:0),time:(from:'2017-12-28T14:51:50-0700',mode:absolute,to:'2017-12-28T17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6" s="246" t="str">
        <f>IF(AA106&lt;VLOOKUP(AG106,Variables!$AC$3:$AD$8,2,FALSE),"Y","N")</f>
        <v>N</v>
      </c>
      <c r="X106" s="246">
        <f t="shared" si="53"/>
        <v>1</v>
      </c>
      <c r="Y106" s="246">
        <f t="shared" si="46"/>
        <v>23.294899999999998</v>
      </c>
      <c r="Z106" s="246">
        <f t="shared" si="47"/>
        <v>1.9400000000000001E-2</v>
      </c>
      <c r="AA106" s="246">
        <f t="shared" si="41"/>
        <v>23.275499999999997</v>
      </c>
      <c r="AB106" s="232" t="e">
        <f>VLOOKUP(A106,Enforcements!$C$7:$K$9,8,0)</f>
        <v>#N/A</v>
      </c>
      <c r="AC106" s="231" t="e">
        <f>VLOOKUP(A106,Enforcements!$C$7:$E$9,3,0)</f>
        <v>#N/A</v>
      </c>
      <c r="AD106" s="242">
        <f t="shared" si="42"/>
        <v>192</v>
      </c>
      <c r="AE106" s="234" t="str">
        <f t="shared" si="43"/>
        <v>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 &amp; aws s3 cp s3://rtdc.mdm.uploadarchive.raw/RTDC4045/ "%USERPROFILE%\AppData\Local\Temp\OnboardLogs"\RTDC4045\2017-12-29 --exclude "*" --recursive --include "*20171229*" &amp; "%USERPROFILE%\Documents\GitHub\mrs-test-scripts\Headless Mode &amp; Sideloading\WalkAndUnGZ.bat" "%USERPROFILE%\AppData\Local\Temp\OnboardLogs"\RTDC4045\2017-12-29</v>
      </c>
      <c r="AF106" s="233" t="str">
        <f t="shared" si="44"/>
        <v>"C:\Program Files (x86)\AstroGrep\AstroGrep.exe" /e /r /s /spath="%USERPROFILE%\AppData\Local\Temp\OnboardLogs" /stypes="app*4045*201712282*" /stext=" 23:.+?(?&gt;(PRM\|1\|D)|(KPR)|(KDP)|(train st[a-z]+ moving)|(SYSTEM_STATE:s[a-z]+ state changed)|(Enforcement Action)|(\[TIMEOUT)|(parse_ebi_status: Penalty)|(\|GPPS))"</v>
      </c>
      <c r="AG106" s="243" t="str">
        <f t="shared" si="45"/>
        <v>EC</v>
      </c>
      <c r="AH106" s="235" t="str">
        <f t="shared" si="48"/>
        <v>"%USERPROFILE%\Documents\GitHub\eaglep3\Utilities\RefineRTDCRunTimes.py" --tripid 192-28 --locoid 4045 --swversion DE.1.0.9.0 --startMP 204:232949 --initTime 2017-12-28T15:51:50 --startdatetime 2017-12-28T15:57:18 --delay 53 --endMP 204:194 --enddatetime 2017-12-28T16:35:02 --enforcementcount 0 &gt;&gt;%USERPROFILE%\Documents\GitHub\eaglep3-reporting\EC\2017-12-28-refined-times.txt</v>
      </c>
      <c r="AI106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{"issue":{"subject":"","project_id":79,"tracker_id":40,"status_id":1,"priority_id":2,"assigned_to_id":338,"start_date":"2017-12-28","description":"","custom_fields":[{"id":1,"name":"Subdivision","value":"EC"},{"id":4,"name":"Milepost","value":"0.0194"},{"id":17,"name":"Train ID","value":"192-28"},{"id":16,"name":"Locomotive ID","value":"4045"},{"id":130,"name":"Impact","value":""},{"id":150,"name":"Time of Event (Mountain Time)","value":"16:35:02"},{"id":151,"name":"Denver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2"/>
      <c r="AK106" s="230"/>
      <c r="AL106" s="230"/>
      <c r="AM106" s="239" t="str">
        <f t="shared" si="50"/>
        <v>start /low /b %USERPROFILE%\Documents\GitHub\eaglep3\Utilities\DownloadLogsFromS3.py --loco 4045 --day 2017-12-28</v>
      </c>
      <c r="AN106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23:35:02"},{"id":29,"name":"Sharepoint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29" t="str">
        <f t="shared" si="52"/>
        <v>https://d0f6bd738d7f1b3e5a7ca70fe4ff75f0.us-east-1.aws.found.io/app/kibana#/discover/Steve-Slow-Train-Analysis-(2080s-and-2083s)?_g=(refreshInterval:(display:Off,pause:!f,section:0,value:0),time:(from:'2017-12-28T14:51:50-0700',mode:absolute,to:'2017-12-28T17:35:02-0700'))&amp;_a=(columns:!('Message%20ID',Summary),filters:!(),index:'emp_*',interval:auto,query:(query_string:(analyze_wildcard:!t,query:'%22rtdc.l.rtdc.4045%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1" customFormat="1" x14ac:dyDescent="0.25">
      <c r="A107" s="228" t="s">
        <v>822</v>
      </c>
      <c r="B107" s="224">
        <v>4056</v>
      </c>
      <c r="C107" s="226" t="s">
        <v>192</v>
      </c>
      <c r="D107" s="226" t="s">
        <v>973</v>
      </c>
      <c r="E107" s="225">
        <v>43097.634560185186</v>
      </c>
      <c r="F107" s="225">
        <v>43097.636064814818</v>
      </c>
      <c r="G107" s="224">
        <v>75</v>
      </c>
      <c r="H107" s="226" t="s">
        <v>974</v>
      </c>
      <c r="I107" s="225">
        <v>43097.662187499998</v>
      </c>
      <c r="J107" s="224">
        <v>0</v>
      </c>
      <c r="K107" s="236" t="str">
        <f t="shared" si="35"/>
        <v>4055/4056</v>
      </c>
      <c r="L107" s="244" t="str">
        <f>VLOOKUP(A107,'Trips&amp;Operators'!$C$1:$G$99911,5,FALSE)</f>
        <v>LEVIN SCOTT</v>
      </c>
      <c r="M107" s="223">
        <f t="shared" si="36"/>
        <v>2.6122685179871041E-2</v>
      </c>
      <c r="N107" s="224">
        <f t="shared" si="56"/>
        <v>37.6166666590143</v>
      </c>
      <c r="O107" s="224"/>
      <c r="P107" s="224"/>
      <c r="Q107" s="227"/>
      <c r="R107" s="241"/>
      <c r="S107" s="248">
        <f t="shared" si="57"/>
        <v>1</v>
      </c>
      <c r="T107" s="241" t="str">
        <f t="shared" si="39"/>
        <v>NorthBound</v>
      </c>
      <c r="U107" s="24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7" t="str">
        <f t="shared" si="40"/>
        <v>https://d0f6bd738d7f1b3e5a7ca70fe4ff75f0.us-east-1.aws.found.io/app/kibana#/discover/Steve-Slow-Train-Analysis-(2080s-and-2083s)?_g=(refreshInterval:(display:Off,pause:!f,section:0,value:0),time:(from:'2017-12-28T14:13:46-0700',mode:absolute,to:'2017-12-28T16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7" s="246" t="str">
        <f>IF(AA107&lt;VLOOKUP(AG107,Variables!$AC$3:$AD$8,2,FALSE),"Y","N")</f>
        <v>N</v>
      </c>
      <c r="X107" s="246">
        <f t="shared" si="53"/>
        <v>1</v>
      </c>
      <c r="Y107" s="246">
        <f t="shared" si="46"/>
        <v>4.07E-2</v>
      </c>
      <c r="Z107" s="246">
        <f t="shared" si="47"/>
        <v>23.332999999999998</v>
      </c>
      <c r="AA107" s="246">
        <f t="shared" si="41"/>
        <v>23.292299999999997</v>
      </c>
      <c r="AB107" s="232" t="e">
        <f>VLOOKUP(A107,Enforcements!$C$7:$K$9,8,0)</f>
        <v>#N/A</v>
      </c>
      <c r="AC107" s="231" t="e">
        <f>VLOOKUP(A107,Enforcements!$C$7:$E$9,3,0)</f>
        <v>#N/A</v>
      </c>
      <c r="AD107" s="242">
        <f t="shared" si="42"/>
        <v>193</v>
      </c>
      <c r="AE107" s="234" t="str">
        <f t="shared" si="43"/>
        <v>aws s3 cp s3://rtdc.mdm.uploadarchive.raw/RTDC4056/ "%USERPROFILE%\AppData\Local\Temp\OnboardLogs"\RTDC4056\2017-12-28 --exclude "*" --recursive --include "*20171228*" &amp; "%USERPROFILE%\Documents\GitHub\mrs-test-scripts\Headless Mode &amp; Sideloading\WalkAndUnGZ.bat" "%USERPROFILE%\AppData\Local\Temp\OnboardLogs"\RTDC4056\2017-12-28 &amp; aws s3 cp s3://rtdc.mdm.uploadarchive.raw/RTDC4056/ "%USERPROFILE%\AppData\Local\Temp\OnboardLogs"\RTDC4056\2017-12-29 --exclude "*" --recursive --include "*20171229*" &amp; "%USERPROFILE%\Documents\GitHub\mrs-test-scripts\Headless Mode &amp; Sideloading\WalkAndUnGZ.bat" "%USERPROFILE%\AppData\Local\Temp\OnboardLogs"\RTDC4056\2017-12-29</v>
      </c>
      <c r="AF107" s="233" t="str">
        <f t="shared" si="44"/>
        <v>"C:\Program Files (x86)\AstroGrep\AstroGrep.exe" /e /r /s /spath="%USERPROFILE%\AppData\Local\Temp\OnboardLogs" /stypes="app*4056*201712282*" /stext=" 22:.+?(?&gt;(PRM\|1\|D)|(KPR)|(KDP)|(train st[a-z]+ moving)|(SYSTEM_STATE:s[a-z]+ state changed)|(Enforcement Action)|(\[TIMEOUT)|(parse_ebi_status: Penalty)|(\|GPPS))"</v>
      </c>
      <c r="AG107" s="243" t="str">
        <f t="shared" si="45"/>
        <v>EC</v>
      </c>
      <c r="AH107" s="235" t="str">
        <f t="shared" si="48"/>
        <v>"%USERPROFILE%\Documents\GitHub\eaglep3\Utilities\RefineRTDCRunTimes.py" --tripid 193-28 --locoid 4056 --swversion DE.1.0.9.0 --startMP 204:407 --initTime 2017-12-28T15:13:46 --startdatetime 2017-12-28T15:15:56 --delay 75 --endMP 204:233330 --enddatetime 2017-12-28T15:53:33 --enforcementcount 0 &gt;&gt;%USERPROFILE%\Documents\GitHub\eaglep3-reporting\EC\2017-12-28-refined-times.txt</v>
      </c>
      <c r="AI107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{"issue":{"subject":"","project_id":79,"tracker_id":40,"status_id":1,"priority_id":2,"assigned_to_id":338,"start_date":"2017-12-28","description":"","custom_fields":[{"id":1,"name":"Subdivision","value":"EC"},{"id":4,"name":"Milepost","value":"23.333"},{"id":17,"name":"Train ID","value":"193-28"},{"id":16,"name":"Locomotive ID","value":"4056"},{"id":130,"name":"Impact","value":""},{"id":150,"name":"Time of Event (Mountain Time)","value":"15:53:33"},{"id":151,"name":"Denver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2"/>
      <c r="AK107" s="230"/>
      <c r="AL107" s="230"/>
      <c r="AM107" s="239" t="str">
        <f t="shared" si="50"/>
        <v>start /low /b %USERPROFILE%\Documents\GitHub\eaglep3\Utilities\DownloadLogsFromS3.py --loco 4056 --day 2017-12-28</v>
      </c>
      <c r="AN107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22:53:33"},{"id":29,"name":"Sharepoint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29" t="str">
        <f t="shared" si="52"/>
        <v>https://d0f6bd738d7f1b3e5a7ca70fe4ff75f0.us-east-1.aws.found.io/app/kibana#/discover/Steve-Slow-Train-Analysis-(2080s-and-2083s)?_g=(refreshInterval:(display:Off,pause:!f,section:0,value:0),time:(from:'2017-12-28T14:13:46-0700',mode:absolute,to:'2017-12-28T16:53:33-0700'))&amp;_a=(columns:!('Message%20ID',Summary),filters:!(),index:'emp_*',interval:auto,query:(query_string:(analyze_wildcard:!t,query:'%22rtdc.l.rtdc.4056%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1" customFormat="1" x14ac:dyDescent="0.25">
      <c r="A108" s="228" t="s">
        <v>832</v>
      </c>
      <c r="B108" s="224">
        <v>4055</v>
      </c>
      <c r="C108" s="226" t="s">
        <v>192</v>
      </c>
      <c r="D108" s="226" t="s">
        <v>952</v>
      </c>
      <c r="E108" s="225">
        <v>43097.666527777779</v>
      </c>
      <c r="F108" s="225">
        <v>43097.675208333334</v>
      </c>
      <c r="G108" s="224">
        <v>59</v>
      </c>
      <c r="H108" s="226" t="s">
        <v>589</v>
      </c>
      <c r="I108" s="225">
        <v>43097.701354166667</v>
      </c>
      <c r="J108" s="224">
        <v>0</v>
      </c>
      <c r="K108" s="236" t="str">
        <f t="shared" si="35"/>
        <v>4055/4056</v>
      </c>
      <c r="L108" s="244" t="str">
        <f>VLOOKUP(A108,'Trips&amp;Operators'!$C$1:$G$99911,5,FALSE)</f>
        <v>LEVIN SCOTT</v>
      </c>
      <c r="M108" s="223">
        <f t="shared" si="36"/>
        <v>2.6145833333430346E-2</v>
      </c>
      <c r="N108" s="224">
        <f t="shared" si="56"/>
        <v>37.650000000139698</v>
      </c>
      <c r="O108" s="224"/>
      <c r="P108" s="224"/>
      <c r="Q108" s="227"/>
      <c r="R108" s="241"/>
      <c r="S108" s="248">
        <f t="shared" si="57"/>
        <v>1</v>
      </c>
      <c r="T108" s="241" t="str">
        <f t="shared" si="39"/>
        <v>Southbound</v>
      </c>
      <c r="U108" s="24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7" t="str">
        <f t="shared" si="40"/>
        <v>https://d0f6bd738d7f1b3e5a7ca70fe4ff75f0.us-east-1.aws.found.io/app/kibana#/discover/Steve-Slow-Train-Analysis-(2080s-and-2083s)?_g=(refreshInterval:(display:Off,pause:!f,section:0,value:0),time:(from:'2017-12-28T14:59:48-0700',mode:absolute,to:'2017-12-28T17:49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8" s="246" t="str">
        <f>IF(AA108&lt;VLOOKUP(AG108,Variables!$AC$3:$AD$8,2,FALSE),"Y","N")</f>
        <v>N</v>
      </c>
      <c r="X108" s="246">
        <f t="shared" si="53"/>
        <v>1</v>
      </c>
      <c r="Y108" s="246">
        <f t="shared" si="46"/>
        <v>23.299399999999999</v>
      </c>
      <c r="Z108" s="246">
        <f t="shared" si="47"/>
        <v>1.4999999999999999E-2</v>
      </c>
      <c r="AA108" s="246">
        <f t="shared" si="41"/>
        <v>23.284399999999998</v>
      </c>
      <c r="AB108" s="232" t="e">
        <f>VLOOKUP(A108,Enforcements!$C$7:$K$9,8,0)</f>
        <v>#N/A</v>
      </c>
      <c r="AC108" s="231" t="e">
        <f>VLOOKUP(A108,Enforcements!$C$7:$E$9,3,0)</f>
        <v>#N/A</v>
      </c>
      <c r="AD108" s="242">
        <f t="shared" si="42"/>
        <v>194</v>
      </c>
      <c r="AE108" s="234" t="str">
        <f t="shared" si="43"/>
        <v>aws s3 cp s3://rtdc.mdm.uploadarchive.raw/RTDC4055/ "%USERPROFILE%\AppData\Local\Temp\OnboardLogs"\RTDC4055\2017-12-28 --exclude "*" --recursive --include "*20171228*" &amp; "%USERPROFILE%\Documents\GitHub\mrs-test-scripts\Headless Mode &amp; Sideloading\WalkAndUnGZ.bat" "%USERPROFILE%\AppData\Local\Temp\OnboardLogs"\RTDC4055\2017-12-28 &amp; aws s3 cp s3://rtdc.mdm.uploadarchive.raw/RTDC4055/ "%USERPROFILE%\AppData\Local\Temp\OnboardLogs"\RTDC4055\2017-12-29 --exclude "*" --recursive --include "*20171229*" &amp; "%USERPROFILE%\Documents\GitHub\mrs-test-scripts\Headless Mode &amp; Sideloading\WalkAndUnGZ.bat" "%USERPROFILE%\AppData\Local\Temp\OnboardLogs"\RTDC4055\2017-12-29</v>
      </c>
      <c r="AF108" s="233" t="str">
        <f t="shared" si="44"/>
        <v>"C:\Program Files (x86)\AstroGrep\AstroGrep.exe" /e /r /s /spath="%USERPROFILE%\AppData\Local\Temp\OnboardLogs" /stypes="app*4055*201712282*" /stext=" 23:.+?(?&gt;(PRM\|1\|D)|(KPR)|(KDP)|(train st[a-z]+ moving)|(SYSTEM_STATE:s[a-z]+ state changed)|(Enforcement Action)|(\[TIMEOUT)|(parse_ebi_status: Penalty)|(\|GPPS))"</v>
      </c>
      <c r="AG108" s="243" t="str">
        <f t="shared" si="45"/>
        <v>EC</v>
      </c>
      <c r="AH108" s="235" t="str">
        <f t="shared" si="48"/>
        <v>"%USERPROFILE%\Documents\GitHub\eaglep3\Utilities\RefineRTDCRunTimes.py" --tripid 194-28 --locoid 4055 --swversion DE.1.0.9.0 --startMP 204:232994 --initTime 2017-12-28T15:59:48 --startdatetime 2017-12-28T16:12:18 --delay 59 --endMP 204:150 --enddatetime 2017-12-28T16:49:57 --enforcementcount 0 &gt;&gt;%USERPROFILE%\Documents\GitHub\eaglep3-reporting\EC\2017-12-28-refined-times.txt</v>
      </c>
      <c r="AI108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{"issue":{"subject":"","project_id":79,"tracker_id":40,"status_id":1,"priority_id":2,"assigned_to_id":338,"start_date":"2017-12-28","description":"","custom_fields":[{"id":1,"name":"Subdivision","value":"EC"},{"id":4,"name":"Milepost","value":"0.015"},{"id":17,"name":"Train ID","value":"194-28"},{"id":16,"name":"Locomotive ID","value":"4055"},{"id":130,"name":"Impact","value":""},{"id":150,"name":"Time of Event (Mountain Time)","value":"16:49:57"},{"id":151,"name":"Denver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2"/>
      <c r="AK108" s="230"/>
      <c r="AL108" s="230"/>
      <c r="AM108" s="239" t="str">
        <f t="shared" si="50"/>
        <v>start /low /b %USERPROFILE%\Documents\GitHub\eaglep3\Utilities\DownloadLogsFromS3.py --loco 4055 --day 2017-12-28</v>
      </c>
      <c r="AN108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23:49:57"},{"id":29,"name":"Sharepoint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29" t="str">
        <f t="shared" si="52"/>
        <v>https://d0f6bd738d7f1b3e5a7ca70fe4ff75f0.us-east-1.aws.found.io/app/kibana#/discover/Steve-Slow-Train-Analysis-(2080s-and-2083s)?_g=(refreshInterval:(display:Off,pause:!f,section:0,value:0),time:(from:'2017-12-28T14:59:48-0700',mode:absolute,to:'2017-12-28T17:49:57-0700'))&amp;_a=(columns:!('Message%20ID',Summary),filters:!(),index:'emp_*',interval:auto,query:(query_string:(analyze_wildcard:!t,query:'%22rtdc.l.rtdc.4055%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28" t="s">
        <v>825</v>
      </c>
      <c r="B109" s="224">
        <v>4062</v>
      </c>
      <c r="C109" s="226" t="s">
        <v>192</v>
      </c>
      <c r="D109" s="226" t="s">
        <v>934</v>
      </c>
      <c r="E109" s="225">
        <v>43097.643043981479</v>
      </c>
      <c r="F109" s="225">
        <v>43097.646145833336</v>
      </c>
      <c r="G109" s="224">
        <v>66</v>
      </c>
      <c r="H109" s="226" t="s">
        <v>631</v>
      </c>
      <c r="I109" s="225">
        <v>43097.671284722222</v>
      </c>
      <c r="J109" s="224">
        <v>0</v>
      </c>
      <c r="K109" s="236" t="str">
        <f t="shared" si="35"/>
        <v>4061/4062</v>
      </c>
      <c r="L109" s="244" t="str">
        <f>VLOOKUP(A109,'Trips&amp;Operators'!$C$1:$G$99911,5,FALSE)</f>
        <v>LORI SANTOS</v>
      </c>
      <c r="M109" s="223">
        <f t="shared" si="36"/>
        <v>2.5138888886431232E-2</v>
      </c>
      <c r="N109" s="224">
        <f t="shared" si="56"/>
        <v>36.199999996460974</v>
      </c>
      <c r="O109" s="224"/>
      <c r="P109" s="224"/>
      <c r="Q109" s="227"/>
      <c r="R109" s="241"/>
      <c r="S109" s="248">
        <f t="shared" si="57"/>
        <v>1</v>
      </c>
      <c r="T109" s="241" t="str">
        <f t="shared" si="39"/>
        <v>NorthBound</v>
      </c>
      <c r="U109" s="24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7" t="str">
        <f t="shared" si="40"/>
        <v>https://d0f6bd738d7f1b3e5a7ca70fe4ff75f0.us-east-1.aws.found.io/app/kibana#/discover/Steve-Slow-Train-Analysis-(2080s-and-2083s)?_g=(refreshInterval:(display:Off,pause:!f,section:0,value:0),time:(from:'2017-12-28T14:25:59-0700',mode:absolute,to:'2017-12-28T17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9" s="246" t="str">
        <f>IF(AA109&lt;VLOOKUP(AG109,Variables!$AC$3:$AD$8,2,FALSE),"Y","N")</f>
        <v>N</v>
      </c>
      <c r="X109" s="246">
        <f t="shared" si="53"/>
        <v>1</v>
      </c>
      <c r="Y109" s="246">
        <f t="shared" si="46"/>
        <v>5.1299999999999998E-2</v>
      </c>
      <c r="Z109" s="246">
        <f t="shared" si="47"/>
        <v>23.327400000000001</v>
      </c>
      <c r="AA109" s="246">
        <f t="shared" si="41"/>
        <v>23.2761</v>
      </c>
      <c r="AB109" s="232" t="e">
        <f>VLOOKUP(A109,Enforcements!$C$7:$K$9,8,0)</f>
        <v>#N/A</v>
      </c>
      <c r="AC109" s="231" t="e">
        <f>VLOOKUP(A109,Enforcements!$C$7:$E$9,3,0)</f>
        <v>#N/A</v>
      </c>
      <c r="AD109" s="242">
        <f t="shared" si="42"/>
        <v>195</v>
      </c>
      <c r="AE109" s="234" t="str">
        <f t="shared" si="43"/>
        <v>aws s3 cp s3://rtdc.mdm.uploadarchive.raw/RTDC4062/ "%USERPROFILE%\AppData\Local\Temp\OnboardLogs"\RTDC4062\2017-12-28 --exclude "*" --recursive --include "*20171228*" &amp; "%USERPROFILE%\Documents\GitHub\mrs-test-scripts\Headless Mode &amp; Sideloading\WalkAndUnGZ.bat" "%USERPROFILE%\AppData\Local\Temp\OnboardLogs"\RTDC4062\2017-12-28 &amp; aws s3 cp s3://rtdc.mdm.uploadarchive.raw/RTDC4062/ "%USERPROFILE%\AppData\Local\Temp\OnboardLogs"\RTDC4062\2017-12-29 --exclude "*" --recursive --include "*20171229*" &amp; "%USERPROFILE%\Documents\GitHub\mrs-test-scripts\Headless Mode &amp; Sideloading\WalkAndUnGZ.bat" "%USERPROFILE%\AppData\Local\Temp\OnboardLogs"\RTDC4062\2017-12-29</v>
      </c>
      <c r="AF109" s="233" t="str">
        <f t="shared" si="44"/>
        <v>"C:\Program Files (x86)\AstroGrep\AstroGrep.exe" /e /r /s /spath="%USERPROFILE%\AppData\Local\Temp\OnboardLogs" /stypes="app*4062*201712282*" /stext=" 23:.+?(?&gt;(PRM\|1\|D)|(KPR)|(KDP)|(train st[a-z]+ moving)|(SYSTEM_STATE:s[a-z]+ state changed)|(Enforcement Action)|(\[TIMEOUT)|(parse_ebi_status: Penalty)|(\|GPPS))"</v>
      </c>
      <c r="AG109" s="243" t="str">
        <f t="shared" si="45"/>
        <v>EC</v>
      </c>
      <c r="AH109" s="235" t="str">
        <f t="shared" si="48"/>
        <v>"%USERPROFILE%\Documents\GitHub\eaglep3\Utilities\RefineRTDCRunTimes.py" --tripid 195-28 --locoid 4062 --swversion DE.1.0.9.0 --startMP 204:513 --initTime 2017-12-28T15:25:59 --startdatetime 2017-12-28T15:30:27 --delay 66 --endMP 204:233274 --enddatetime 2017-12-28T16:06:39 --enforcementcount 0 &gt;&gt;%USERPROFILE%\Documents\GitHub\eaglep3-reporting\EC\2017-12-28-refined-times.txt</v>
      </c>
      <c r="AI109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{"issue":{"subject":"","project_id":79,"tracker_id":40,"status_id":1,"priority_id":2,"assigned_to_id":338,"start_date":"2017-12-28","description":"","custom_fields":[{"id":1,"name":"Subdivision","value":"EC"},{"id":4,"name":"Milepost","value":"23.3274"},{"id":17,"name":"Train ID","value":"195-28"},{"id":16,"name":"Locomotive ID","value":"4062"},{"id":130,"name":"Impact","value":""},{"id":150,"name":"Time of Event (Mountain Time)","value":"16:06:39"},{"id":151,"name":"Denver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2"/>
      <c r="AK109" s="230"/>
      <c r="AL109" s="230"/>
      <c r="AM109" s="239" t="str">
        <f t="shared" si="50"/>
        <v>start /low /b %USERPROFILE%\Documents\GitHub\eaglep3\Utilities\DownloadLogsFromS3.py --loco 4062 --day 2017-12-28</v>
      </c>
      <c r="AN109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23:06:39"},{"id":29,"name":"Sharepoint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29" t="str">
        <f t="shared" si="52"/>
        <v>https://d0f6bd738d7f1b3e5a7ca70fe4ff75f0.us-east-1.aws.found.io/app/kibana#/discover/Steve-Slow-Train-Analysis-(2080s-and-2083s)?_g=(refreshInterval:(display:Off,pause:!f,section:0,value:0),time:(from:'2017-12-28T14:25:59-0700',mode:absolute,to:'2017-12-28T17:06:39-0700'))&amp;_a=(columns:!('Message%20ID',Summary),filters:!(),index:'emp_*',interval:auto,query:(query_string:(analyze_wildcard:!t,query:'%22rtdc.l.rtdc.4062%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8" t="s">
        <v>838</v>
      </c>
      <c r="B110" s="224">
        <v>4061</v>
      </c>
      <c r="C110" s="226" t="s">
        <v>192</v>
      </c>
      <c r="D110" s="226" t="s">
        <v>623</v>
      </c>
      <c r="E110" s="225">
        <v>43097.67564814815</v>
      </c>
      <c r="F110" s="225">
        <v>43097.685648148145</v>
      </c>
      <c r="G110" s="224">
        <v>52</v>
      </c>
      <c r="H110" s="226" t="s">
        <v>946</v>
      </c>
      <c r="I110" s="225">
        <v>43097.712569444448</v>
      </c>
      <c r="J110" s="224">
        <v>0</v>
      </c>
      <c r="K110" s="236" t="str">
        <f t="shared" si="35"/>
        <v>4061/4062</v>
      </c>
      <c r="L110" s="244" t="str">
        <f>VLOOKUP(A110,'Trips&amp;Operators'!$C$1:$G$99911,5,FALSE)</f>
        <v>LORI SANTOS</v>
      </c>
      <c r="M110" s="223">
        <f t="shared" si="36"/>
        <v>2.6921296303044073E-2</v>
      </c>
      <c r="N110" s="224">
        <f t="shared" si="56"/>
        <v>38.766666676383466</v>
      </c>
      <c r="O110" s="224"/>
      <c r="P110" s="224"/>
      <c r="Q110" s="227"/>
      <c r="R110" s="241"/>
      <c r="S110" s="248">
        <f t="shared" si="57"/>
        <v>1</v>
      </c>
      <c r="T110" s="241" t="str">
        <f t="shared" si="39"/>
        <v>Southbound</v>
      </c>
      <c r="U110" s="24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7" t="str">
        <f t="shared" si="40"/>
        <v>https://d0f6bd738d7f1b3e5a7ca70fe4ff75f0.us-east-1.aws.found.io/app/kibana#/discover/Steve-Slow-Train-Analysis-(2080s-and-2083s)?_g=(refreshInterval:(display:Off,pause:!f,section:0,value:0),time:(from:'2017-12-28T15:12:56-0700',mode:absolute,to:'2017-12-28T18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0" s="246" t="str">
        <f>IF(AA110&lt;VLOOKUP(AG110,Variables!$AC$3:$AD$8,2,FALSE),"Y","N")</f>
        <v>N</v>
      </c>
      <c r="X110" s="246">
        <f t="shared" si="53"/>
        <v>1</v>
      </c>
      <c r="Y110" s="246">
        <f t="shared" si="46"/>
        <v>23.295300000000001</v>
      </c>
      <c r="Z110" s="246">
        <f t="shared" si="47"/>
        <v>2.0299999999999999E-2</v>
      </c>
      <c r="AA110" s="246">
        <f t="shared" si="41"/>
        <v>23.275000000000002</v>
      </c>
      <c r="AB110" s="232" t="e">
        <f>VLOOKUP(A110,Enforcements!$C$7:$K$9,8,0)</f>
        <v>#N/A</v>
      </c>
      <c r="AC110" s="231" t="e">
        <f>VLOOKUP(A110,Enforcements!$C$7:$E$9,3,0)</f>
        <v>#N/A</v>
      </c>
      <c r="AD110" s="242">
        <f t="shared" si="42"/>
        <v>196</v>
      </c>
      <c r="AE110" s="234" t="str">
        <f t="shared" si="43"/>
        <v>aws s3 cp s3://rtdc.mdm.uploadarchive.raw/RTDC4061/ "%USERPROFILE%\AppData\Local\Temp\OnboardLogs"\RTDC4061\2017-12-28 --exclude "*" --recursive --include "*20171228*" &amp; "%USERPROFILE%\Documents\GitHub\mrs-test-scripts\Headless Mode &amp; Sideloading\WalkAndUnGZ.bat" "%USERPROFILE%\AppData\Local\Temp\OnboardLogs"\RTDC4061\2017-12-28 &amp; aws s3 cp s3://rtdc.mdm.uploadarchive.raw/RTDC4061/ "%USERPROFILE%\AppData\Local\Temp\OnboardLogs"\RTDC4061\2017-12-29 --exclude "*" --recursive --include "*20171229*" &amp; "%USERPROFILE%\Documents\GitHub\mrs-test-scripts\Headless Mode &amp; Sideloading\WalkAndUnGZ.bat" "%USERPROFILE%\AppData\Local\Temp\OnboardLogs"\RTDC4061\2017-12-29</v>
      </c>
      <c r="AF110" s="233" t="str">
        <f t="shared" si="44"/>
        <v>"C:\Program Files (x86)\AstroGrep\AstroGrep.exe" /e /r /s /spath="%USERPROFILE%\AppData\Local\Temp\OnboardLogs" /stypes="app*4061*201712290*" /stext=" 00:.+?(?&gt;(PRM\|1\|D)|(KPR)|(KDP)|(train st[a-z]+ moving)|(SYSTEM_STATE:s[a-z]+ state changed)|(Enforcement Action)|(\[TIMEOUT)|(parse_ebi_status: Penalty)|(\|GPPS))"</v>
      </c>
      <c r="AG110" s="243" t="str">
        <f t="shared" si="45"/>
        <v>EC</v>
      </c>
      <c r="AH110" s="235" t="str">
        <f t="shared" si="48"/>
        <v>"%USERPROFILE%\Documents\GitHub\eaglep3\Utilities\RefineRTDCRunTimes.py" --tripid 196-28 --locoid 4061 --swversion DE.1.0.9.0 --startMP 204:232953 --initTime 2017-12-28T16:12:56 --startdatetime 2017-12-28T16:27:20 --delay 52 --endMP 204:203 --enddatetime 2017-12-28T17:06:06 --enforcementcount 0 &gt;&gt;%USERPROFILE%\Documents\GitHub\eaglep3-reporting\EC\2017-12-28-refined-times.txt</v>
      </c>
      <c r="AI110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{"issue":{"subject":"","project_id":79,"tracker_id":40,"status_id":1,"priority_id":2,"assigned_to_id":338,"start_date":"2017-12-28","description":"","custom_fields":[{"id":1,"name":"Subdivision","value":"EC"},{"id":4,"name":"Milepost","value":"0.0203"},{"id":17,"name":"Train ID","value":"196-28"},{"id":16,"name":"Locomotive ID","value":"4061"},{"id":130,"name":"Impact","value":""},{"id":150,"name":"Time of Event (Mountain Time)","value":"17:06:06"},{"id":151,"name":"Denver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2"/>
      <c r="AK110" s="230"/>
      <c r="AL110" s="230"/>
      <c r="AM110" s="239" t="str">
        <f t="shared" si="50"/>
        <v>start /low /b %USERPROFILE%\Documents\GitHub\eaglep3\Utilities\DownloadLogsFromS3.py --loco 4061 --day 2017-12-28</v>
      </c>
      <c r="AN110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00:06:06"},{"id":29,"name":"Sharepoint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29" t="str">
        <f t="shared" si="52"/>
        <v>https://d0f6bd738d7f1b3e5a7ca70fe4ff75f0.us-east-1.aws.found.io/app/kibana#/discover/Steve-Slow-Train-Analysis-(2080s-and-2083s)?_g=(refreshInterval:(display:Off,pause:!f,section:0,value:0),time:(from:'2017-12-28T15:12:56-0700',mode:absolute,to:'2017-12-28T18:06:06-0700'))&amp;_a=(columns:!('Message%20ID',Summary),filters:!(),index:'emp_*',interval:auto,query:(query_string:(analyze_wildcard:!t,query:'%22rtdc.l.rtdc.4061%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8" t="s">
        <v>828</v>
      </c>
      <c r="B111" s="224">
        <v>4004</v>
      </c>
      <c r="C111" s="226" t="s">
        <v>192</v>
      </c>
      <c r="D111" s="226" t="s">
        <v>975</v>
      </c>
      <c r="E111" s="225">
        <v>43097.652060185188</v>
      </c>
      <c r="F111" s="225">
        <v>43097.656423611108</v>
      </c>
      <c r="G111" s="224">
        <v>54</v>
      </c>
      <c r="H111" s="226" t="s">
        <v>645</v>
      </c>
      <c r="I111" s="225">
        <v>43097.682025462964</v>
      </c>
      <c r="J111" s="224">
        <v>0</v>
      </c>
      <c r="K111" s="236" t="str">
        <f t="shared" si="35"/>
        <v>4003/4004</v>
      </c>
      <c r="L111" s="244" t="str">
        <f>VLOOKUP(A111,'Trips&amp;Operators'!$C$1:$G$99911,5,FALSE)</f>
        <v>ROBINSON KADDIBA</v>
      </c>
      <c r="M111" s="223">
        <f t="shared" si="36"/>
        <v>2.5601851855753921E-2</v>
      </c>
      <c r="N111" s="224">
        <f t="shared" si="56"/>
        <v>36.866666672285646</v>
      </c>
      <c r="O111" s="224"/>
      <c r="P111" s="224"/>
      <c r="Q111" s="227"/>
      <c r="R111" s="241"/>
      <c r="S111" s="248">
        <f t="shared" si="57"/>
        <v>1</v>
      </c>
      <c r="T111" s="241" t="str">
        <f t="shared" si="39"/>
        <v>NorthBound</v>
      </c>
      <c r="U111" s="24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7" t="str">
        <f t="shared" si="40"/>
        <v>https://d0f6bd738d7f1b3e5a7ca70fe4ff75f0.us-east-1.aws.found.io/app/kibana#/discover/Steve-Slow-Train-Analysis-(2080s-and-2083s)?_g=(refreshInterval:(display:Off,pause:!f,section:0,value:0),time:(from:'2017-12-28T14:38:58-0700',mode:absolute,to:'2017-12-28T17:22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1" s="246" t="str">
        <f>IF(AA111&lt;VLOOKUP(AG111,Variables!$AC$3:$AD$8,2,FALSE),"Y","N")</f>
        <v>N</v>
      </c>
      <c r="X111" s="246">
        <f t="shared" si="53"/>
        <v>1</v>
      </c>
      <c r="Y111" s="246">
        <f t="shared" ref="Y111:Y142" si="58">RIGHT(D111,LEN(D111)-4)/10000</f>
        <v>5.8799999999999998E-2</v>
      </c>
      <c r="Z111" s="246">
        <f t="shared" ref="Z111:Z142" si="59">RIGHT(H111,LEN(H111)-4)/10000</f>
        <v>23.327000000000002</v>
      </c>
      <c r="AA111" s="246">
        <f t="shared" si="41"/>
        <v>23.2682</v>
      </c>
      <c r="AB111" s="232" t="e">
        <f>VLOOKUP(A111,Enforcements!$C$7:$K$9,8,0)</f>
        <v>#N/A</v>
      </c>
      <c r="AC111" s="231" t="e">
        <f>VLOOKUP(A111,Enforcements!$C$7:$E$9,3,0)</f>
        <v>#N/A</v>
      </c>
      <c r="AD111" s="242">
        <f t="shared" si="42"/>
        <v>197</v>
      </c>
      <c r="AE111" s="234" t="str">
        <f t="shared" si="43"/>
        <v>aws s3 cp s3://rtdc.mdm.uploadarchive.raw/RTDC4004/ "%USERPROFILE%\AppData\Local\Temp\OnboardLogs"\RTDC4004\2017-12-28 --exclude "*" --recursive --include "*20171228*" &amp; "%USERPROFILE%\Documents\GitHub\mrs-test-scripts\Headless Mode &amp; Sideloading\WalkAndUnGZ.bat" "%USERPROFILE%\AppData\Local\Temp\OnboardLogs"\RTDC4004\2017-12-28 &amp; aws s3 cp s3://rtdc.mdm.uploadarchive.raw/RTDC4004/ "%USERPROFILE%\AppData\Local\Temp\OnboardLogs"\RTDC4004\2017-12-29 --exclude "*" --recursive --include "*20171229*" &amp; "%USERPROFILE%\Documents\GitHub\mrs-test-scripts\Headless Mode &amp; Sideloading\WalkAndUnGZ.bat" "%USERPROFILE%\AppData\Local\Temp\OnboardLogs"\RTDC4004\2017-12-29</v>
      </c>
      <c r="AF111" s="233" t="str">
        <f t="shared" si="44"/>
        <v>"C:\Program Files (x86)\AstroGrep\AstroGrep.exe" /e /r /s /spath="%USERPROFILE%\AppData\Local\Temp\OnboardLogs" /stypes="app*4004*201712282*" /stext=" 23:.+?(?&gt;(PRM\|1\|D)|(KPR)|(KDP)|(train st[a-z]+ moving)|(SYSTEM_STATE:s[a-z]+ state changed)|(Enforcement Action)|(\[TIMEOUT)|(parse_ebi_status: Penalty)|(\|GPPS))"</v>
      </c>
      <c r="AG111" s="243" t="str">
        <f t="shared" si="45"/>
        <v>EC</v>
      </c>
      <c r="AH111" s="235" t="str">
        <f t="shared" si="48"/>
        <v>"%USERPROFILE%\Documents\GitHub\eaglep3\Utilities\RefineRTDCRunTimes.py" --tripid 197-28 --locoid 4004 --swversion DE.1.0.9.0 --startMP 204:588 --initTime 2017-12-28T15:38:58 --startdatetime 2017-12-28T15:45:15 --delay 54 --endMP 204:233270 --enddatetime 2017-12-28T16:22:07 --enforcementcount 0 &gt;&gt;%USERPROFILE%\Documents\GitHub\eaglep3-reporting\EC\2017-12-28-refined-times.txt</v>
      </c>
      <c r="AI111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{"issue":{"subject":"","project_id":79,"tracker_id":40,"status_id":1,"priority_id":2,"assigned_to_id":338,"start_date":"2017-12-28","description":"","custom_fields":[{"id":1,"name":"Subdivision","value":"EC"},{"id":4,"name":"Milepost","value":"23.327"},{"id":17,"name":"Train ID","value":"197-28"},{"id":16,"name":"Locomotive ID","value":"4004"},{"id":130,"name":"Impact","value":""},{"id":150,"name":"Time of Event (Mountain Time)","value":"16:22:07"},{"id":151,"name":"Denver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2"/>
      <c r="AK111" s="230"/>
      <c r="AL111" s="230"/>
      <c r="AM111" s="239" t="str">
        <f t="shared" si="50"/>
        <v>start /low /b %USERPROFILE%\Documents\GitHub\eaglep3\Utilities\DownloadLogsFromS3.py --loco 4004 --day 2017-12-28</v>
      </c>
      <c r="AN111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23:22:07"},{"id":29,"name":"Sharepoint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29" t="str">
        <f t="shared" si="52"/>
        <v>https://d0f6bd738d7f1b3e5a7ca70fe4ff75f0.us-east-1.aws.found.io/app/kibana#/discover/Steve-Slow-Train-Analysis-(2080s-and-2083s)?_g=(refreshInterval:(display:Off,pause:!f,section:0,value:0),time:(from:'2017-12-28T14:38:58-0700',mode:absolute,to:'2017-12-28T17:22:07-0700'))&amp;_a=(columns:!('Message%20ID',Summary),filters:!(),index:'emp_*',interval:auto,query:(query_string:(analyze_wildcard:!t,query:'%22rtdc.l.rtdc.4004%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8" t="s">
        <v>689</v>
      </c>
      <c r="B112" s="224">
        <v>4003</v>
      </c>
      <c r="C112" s="226" t="s">
        <v>192</v>
      </c>
      <c r="D112" s="226" t="s">
        <v>976</v>
      </c>
      <c r="E112" s="225">
        <v>43097.690127314818</v>
      </c>
      <c r="F112" s="225">
        <v>43097.696053240739</v>
      </c>
      <c r="G112" s="224">
        <v>61</v>
      </c>
      <c r="H112" s="226" t="s">
        <v>626</v>
      </c>
      <c r="I112" s="225">
        <v>43097.72247685185</v>
      </c>
      <c r="J112" s="224">
        <v>0</v>
      </c>
      <c r="K112" s="236" t="str">
        <f t="shared" si="35"/>
        <v>4003/4004</v>
      </c>
      <c r="L112" s="244" t="str">
        <f>VLOOKUP(A112,'Trips&amp;Operators'!$C$1:$G$99911,5,FALSE)</f>
        <v>ROBINSON KADDIBA</v>
      </c>
      <c r="M112" s="223">
        <f t="shared" si="36"/>
        <v>2.6423611110658385E-2</v>
      </c>
      <c r="N112" s="224">
        <f t="shared" si="56"/>
        <v>38.049999999348074</v>
      </c>
      <c r="O112" s="224"/>
      <c r="P112" s="224"/>
      <c r="Q112" s="227"/>
      <c r="R112" s="241"/>
      <c r="S112" s="248">
        <f t="shared" si="57"/>
        <v>1</v>
      </c>
      <c r="T112" s="241" t="str">
        <f t="shared" si="39"/>
        <v>Southbound</v>
      </c>
      <c r="U112" s="24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7" t="str">
        <f t="shared" si="40"/>
        <v>https://d0f6bd738d7f1b3e5a7ca70fe4ff75f0.us-east-1.aws.found.io/app/kibana#/discover/Steve-Slow-Train-Analysis-(2080s-and-2083s)?_g=(refreshInterval:(display:Off,pause:!f,section:0,value:0),time:(from:'2017-12-28T15:33:47-0700',mode:absolute,to:'2017-12-28T18:20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2" s="246" t="str">
        <f>IF(AA112&lt;VLOOKUP(AG112,Variables!$AC$3:$AD$8,2,FALSE),"Y","N")</f>
        <v>N</v>
      </c>
      <c r="X112" s="246">
        <f t="shared" si="53"/>
        <v>1</v>
      </c>
      <c r="Y112" s="246">
        <f t="shared" si="58"/>
        <v>23.295200000000001</v>
      </c>
      <c r="Z112" s="246">
        <f t="shared" si="59"/>
        <v>2.1100000000000001E-2</v>
      </c>
      <c r="AA112" s="246">
        <f t="shared" si="41"/>
        <v>23.274100000000001</v>
      </c>
      <c r="AB112" s="232" t="e">
        <f>VLOOKUP(A112,Enforcements!$C$7:$K$9,8,0)</f>
        <v>#N/A</v>
      </c>
      <c r="AC112" s="231" t="e">
        <f>VLOOKUP(A112,Enforcements!$C$7:$E$9,3,0)</f>
        <v>#N/A</v>
      </c>
      <c r="AD112" s="242">
        <f t="shared" si="42"/>
        <v>198</v>
      </c>
      <c r="AE112" s="234" t="str">
        <f t="shared" si="43"/>
        <v>aws s3 cp s3://rtdc.mdm.uploadarchive.raw/RTDC4003/ "%USERPROFILE%\AppData\Local\Temp\OnboardLogs"\RTDC4003\2017-12-28 --exclude "*" --recursive --include "*20171228*" &amp; "%USERPROFILE%\Documents\GitHub\mrs-test-scripts\Headless Mode &amp; Sideloading\WalkAndUnGZ.bat" "%USERPROFILE%\AppData\Local\Temp\OnboardLogs"\RTDC4003\2017-12-28 &amp; aws s3 cp s3://rtdc.mdm.uploadarchive.raw/RTDC4003/ "%USERPROFILE%\AppData\Local\Temp\OnboardLogs"\RTDC4003\2017-12-29 --exclude "*" --recursive --include "*20171229*" &amp; "%USERPROFILE%\Documents\GitHub\mrs-test-scripts\Headless Mode &amp; Sideloading\WalkAndUnGZ.bat" "%USERPROFILE%\AppData\Local\Temp\OnboardLogs"\RTDC4003\2017-12-29</v>
      </c>
      <c r="AF112" s="233" t="str">
        <f t="shared" si="44"/>
        <v>"C:\Program Files (x86)\AstroGrep\AstroGrep.exe" /e /r /s /spath="%USERPROFILE%\AppData\Local\Temp\OnboardLogs" /stypes="app*4003*201712290*" /stext=" 00:.+?(?&gt;(PRM\|1\|D)|(KPR)|(KDP)|(train st[a-z]+ moving)|(SYSTEM_STATE:s[a-z]+ state changed)|(Enforcement Action)|(\[TIMEOUT)|(parse_ebi_status: Penalty)|(\|GPPS))"</v>
      </c>
      <c r="AG112" s="243" t="str">
        <f t="shared" si="45"/>
        <v>EC</v>
      </c>
      <c r="AH112" s="235" t="str">
        <f t="shared" si="48"/>
        <v>"%USERPROFILE%\Documents\GitHub\eaglep3\Utilities\RefineRTDCRunTimes.py" --tripid 198-28 --locoid 4003 --swversion DE.1.0.9.0 --startMP 204:232952 --initTime 2017-12-28T16:33:47 --startdatetime 2017-12-28T16:42:19 --delay 61 --endMP 204:211 --enddatetime 2017-12-28T17:20:22 --enforcementcount 0 &gt;&gt;%USERPROFILE%\Documents\GitHub\eaglep3-reporting\EC\2017-12-28-refined-times.txt</v>
      </c>
      <c r="AI112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{"issue":{"subject":"","project_id":79,"tracker_id":40,"status_id":1,"priority_id":2,"assigned_to_id":338,"start_date":"2017-12-28","description":"","custom_fields":[{"id":1,"name":"Subdivision","value":"EC"},{"id":4,"name":"Milepost","value":"0.0211"},{"id":17,"name":"Train ID","value":"198-28"},{"id":16,"name":"Locomotive ID","value":"4003"},{"id":130,"name":"Impact","value":""},{"id":150,"name":"Time of Event (Mountain Time)","value":"17:20:22"},{"id":151,"name":"Denver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2"/>
      <c r="AK112" s="230"/>
      <c r="AL112" s="230"/>
      <c r="AM112" s="239" t="str">
        <f t="shared" si="50"/>
        <v>start /low /b %USERPROFILE%\Documents\GitHub\eaglep3\Utilities\DownloadLogsFromS3.py --loco 4003 --day 2017-12-28</v>
      </c>
      <c r="AN112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00:20:22"},{"id":29,"name":"Sharepoint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29" t="str">
        <f t="shared" si="52"/>
        <v>https://d0f6bd738d7f1b3e5a7ca70fe4ff75f0.us-east-1.aws.found.io/app/kibana#/discover/Steve-Slow-Train-Analysis-(2080s-and-2083s)?_g=(refreshInterval:(display:Off,pause:!f,section:0,value:0),time:(from:'2017-12-28T15:33:47-0700',mode:absolute,to:'2017-12-28T18:20:22-0700'))&amp;_a=(columns:!('Message%20ID',Summary),filters:!(),index:'emp_*',interval:auto,query:(query_string:(analyze_wildcard:!t,query:'%22rtdc.l.rtdc.4003%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28" t="s">
        <v>830</v>
      </c>
      <c r="B113" s="224">
        <v>4042</v>
      </c>
      <c r="C113" s="226" t="s">
        <v>192</v>
      </c>
      <c r="D113" s="226" t="s">
        <v>651</v>
      </c>
      <c r="E113" s="225">
        <v>43097.661550925928</v>
      </c>
      <c r="F113" s="225">
        <v>43097.667013888888</v>
      </c>
      <c r="G113" s="224">
        <v>79</v>
      </c>
      <c r="H113" s="226" t="s">
        <v>977</v>
      </c>
      <c r="I113" s="225">
        <v>43097.692199074074</v>
      </c>
      <c r="J113" s="224">
        <v>0</v>
      </c>
      <c r="K113" s="236" t="str">
        <f t="shared" si="35"/>
        <v>4041/4042</v>
      </c>
      <c r="L113" s="244" t="str">
        <f>VLOOKUP(A113,'Trips&amp;Operators'!$C$1:$G$99911,5,FALSE)</f>
        <v>BADERTSCHER DIANE</v>
      </c>
      <c r="M113" s="223">
        <f t="shared" si="36"/>
        <v>2.5185185186273884E-2</v>
      </c>
      <c r="N113" s="224">
        <f t="shared" si="56"/>
        <v>36.266666668234393</v>
      </c>
      <c r="O113" s="224"/>
      <c r="P113" s="224"/>
      <c r="Q113" s="227"/>
      <c r="R113" s="241"/>
      <c r="S113" s="248">
        <f t="shared" si="57"/>
        <v>1</v>
      </c>
      <c r="T113" s="241" t="str">
        <f t="shared" si="39"/>
        <v>NorthBound</v>
      </c>
      <c r="U113" s="24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7" t="str">
        <f t="shared" si="40"/>
        <v>https://d0f6bd738d7f1b3e5a7ca70fe4ff75f0.us-east-1.aws.found.io/app/kibana#/discover/Steve-Slow-Train-Analysis-(2080s-and-2083s)?_g=(refreshInterval:(display:Off,pause:!f,section:0,value:0),time:(from:'2017-12-28T14:52:38-0700',mode:absolute,to:'2017-12-28T17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3" s="246" t="str">
        <f>IF(AA113&lt;VLOOKUP(AG113,Variables!$AC$3:$AD$8,2,FALSE),"Y","N")</f>
        <v>N</v>
      </c>
      <c r="X113" s="246">
        <f t="shared" si="53"/>
        <v>1</v>
      </c>
      <c r="Y113" s="246">
        <f t="shared" si="58"/>
        <v>4.8800000000000003E-2</v>
      </c>
      <c r="Z113" s="246">
        <f t="shared" si="59"/>
        <v>23.322099999999999</v>
      </c>
      <c r="AA113" s="246">
        <f t="shared" si="41"/>
        <v>23.273299999999999</v>
      </c>
      <c r="AB113" s="232" t="e">
        <f>VLOOKUP(A113,Enforcements!$C$7:$K$9,8,0)</f>
        <v>#N/A</v>
      </c>
      <c r="AC113" s="231" t="e">
        <f>VLOOKUP(A113,Enforcements!$C$7:$E$9,3,0)</f>
        <v>#N/A</v>
      </c>
      <c r="AD113" s="242">
        <f t="shared" si="42"/>
        <v>199</v>
      </c>
      <c r="AE113" s="234" t="str">
        <f t="shared" si="43"/>
        <v>aws s3 cp s3://rtdc.mdm.uploadarchive.raw/RTDC4042/ "%USERPROFILE%\AppData\Local\Temp\OnboardLogs"\RTDC4042\2017-12-28 --exclude "*" --recursive --include "*20171228*" &amp; "%USERPROFILE%\Documents\GitHub\mrs-test-scripts\Headless Mode &amp; Sideloading\WalkAndUnGZ.bat" "%USERPROFILE%\AppData\Local\Temp\OnboardLogs"\RTDC4042\2017-12-28 &amp; aws s3 cp s3://rtdc.mdm.uploadarchive.raw/RTDC4042/ "%USERPROFILE%\AppData\Local\Temp\OnboardLogs"\RTDC4042\2017-12-29 --exclude "*" --recursive --include "*20171229*" &amp; "%USERPROFILE%\Documents\GitHub\mrs-test-scripts\Headless Mode &amp; Sideloading\WalkAndUnGZ.bat" "%USERPROFILE%\AppData\Local\Temp\OnboardLogs"\RTDC4042\2017-12-29</v>
      </c>
      <c r="AF113" s="233" t="str">
        <f t="shared" si="44"/>
        <v>"C:\Program Files (x86)\AstroGrep\AstroGrep.exe" /e /r /s /spath="%USERPROFILE%\AppData\Local\Temp\OnboardLogs" /stypes="app*4042*201712282*" /stext=" 23:.+?(?&gt;(PRM\|1\|D)|(KPR)|(KDP)|(train st[a-z]+ moving)|(SYSTEM_STATE:s[a-z]+ state changed)|(Enforcement Action)|(\[TIMEOUT)|(parse_ebi_status: Penalty)|(\|GPPS))"</v>
      </c>
      <c r="AG113" s="243" t="str">
        <f t="shared" si="45"/>
        <v>EC</v>
      </c>
      <c r="AH113" s="235" t="str">
        <f t="shared" si="48"/>
        <v>"%USERPROFILE%\Documents\GitHub\eaglep3\Utilities\RefineRTDCRunTimes.py" --tripid 199-28 --locoid 4042 --swversion DE.1.0.9.0 --startMP 204:488 --initTime 2017-12-28T15:52:38 --startdatetime 2017-12-28T16:00:30 --delay 79 --endMP 204:233221 --enddatetime 2017-12-28T16:36:46 --enforcementcount 0 &gt;&gt;%USERPROFILE%\Documents\GitHub\eaglep3-reporting\EC\2017-12-28-refined-times.txt</v>
      </c>
      <c r="AI113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{"issue":{"subject":"","project_id":79,"tracker_id":40,"status_id":1,"priority_id":2,"assigned_to_id":338,"start_date":"2017-12-28","description":"","custom_fields":[{"id":1,"name":"Subdivision","value":"EC"},{"id":4,"name":"Milepost","value":"23.3221"},{"id":17,"name":"Train ID","value":"199-28"},{"id":16,"name":"Locomotive ID","value":"4042"},{"id":130,"name":"Impact","value":""},{"id":150,"name":"Time of Event (Mountain Time)","value":"16:36:46"},{"id":151,"name":"Denver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2"/>
      <c r="AK113" s="230"/>
      <c r="AL113" s="230"/>
      <c r="AM113" s="239" t="str">
        <f t="shared" si="50"/>
        <v>start /low /b %USERPROFILE%\Documents\GitHub\eaglep3\Utilities\DownloadLogsFromS3.py --loco 4042 --day 2017-12-28</v>
      </c>
      <c r="AN113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23:36:46"},{"id":29,"name":"Sharepoint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29" t="str">
        <f t="shared" si="52"/>
        <v>https://d0f6bd738d7f1b3e5a7ca70fe4ff75f0.us-east-1.aws.found.io/app/kibana#/discover/Steve-Slow-Train-Analysis-(2080s-and-2083s)?_g=(refreshInterval:(display:Off,pause:!f,section:0,value:0),time:(from:'2017-12-28T14:52:38-0700',mode:absolute,to:'2017-12-28T17:36:46-0700'))&amp;_a=(columns:!('Message%20ID',Summary),filters:!(),index:'emp_*',interval:auto,query:(query_string:(analyze_wildcard:!t,query:'%22rtdc.l.rtdc.4042%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28" t="s">
        <v>843</v>
      </c>
      <c r="B114" s="224">
        <v>4041</v>
      </c>
      <c r="C114" s="226" t="s">
        <v>192</v>
      </c>
      <c r="D114" s="226" t="s">
        <v>545</v>
      </c>
      <c r="E114" s="225">
        <v>43097.700474537036</v>
      </c>
      <c r="F114" s="225">
        <v>43097.706446759257</v>
      </c>
      <c r="G114" s="224">
        <v>79</v>
      </c>
      <c r="H114" s="226" t="s">
        <v>947</v>
      </c>
      <c r="I114" s="225">
        <v>43097.733726851853</v>
      </c>
      <c r="J114" s="224">
        <v>0</v>
      </c>
      <c r="K114" s="236" t="str">
        <f t="shared" si="35"/>
        <v>4041/4042</v>
      </c>
      <c r="L114" s="244" t="str">
        <f>VLOOKUP(A114,'Trips&amp;Operators'!$C$1:$G$99911,5,FALSE)</f>
        <v>BADERTSCHER DIANE</v>
      </c>
      <c r="M114" s="223">
        <f t="shared" si="36"/>
        <v>2.7280092595901806E-2</v>
      </c>
      <c r="N114" s="224">
        <f t="shared" si="56"/>
        <v>39.283333338098601</v>
      </c>
      <c r="O114" s="224"/>
      <c r="P114" s="224"/>
      <c r="Q114" s="227"/>
      <c r="R114" s="241"/>
      <c r="S114" s="248">
        <f t="shared" si="57"/>
        <v>1</v>
      </c>
      <c r="T114" s="241" t="str">
        <f t="shared" si="39"/>
        <v>Southbound</v>
      </c>
      <c r="U114" s="24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7" t="str">
        <f t="shared" si="40"/>
        <v>https://d0f6bd738d7f1b3e5a7ca70fe4ff75f0.us-east-1.aws.found.io/app/kibana#/discover/Steve-Slow-Train-Analysis-(2080s-and-2083s)?_g=(refreshInterval:(display:Off,pause:!f,section:0,value:0),time:(from:'2017-12-28T15:48:41-0700',mode:absolute,to:'2017-12-28T18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246" t="str">
        <f>IF(AA114&lt;VLOOKUP(AG114,Variables!$AC$3:$AD$8,2,FALSE),"Y","N")</f>
        <v>N</v>
      </c>
      <c r="X114" s="246">
        <f t="shared" ref="X114:X145" si="60">VALUE(LEFT(AD114,4))-VALUE(LEFT(AD113,4))</f>
        <v>1</v>
      </c>
      <c r="Y114" s="246">
        <f t="shared" si="58"/>
        <v>23.2898</v>
      </c>
      <c r="Z114" s="246">
        <f t="shared" si="59"/>
        <v>1.8499999999999999E-2</v>
      </c>
      <c r="AA114" s="246">
        <f t="shared" si="41"/>
        <v>23.2713</v>
      </c>
      <c r="AB114" s="232" t="e">
        <f>VLOOKUP(A114,Enforcements!$C$7:$K$9,8,0)</f>
        <v>#N/A</v>
      </c>
      <c r="AC114" s="231" t="e">
        <f>VLOOKUP(A114,Enforcements!$C$7:$E$9,3,0)</f>
        <v>#N/A</v>
      </c>
      <c r="AD114" s="242">
        <f t="shared" si="42"/>
        <v>200</v>
      </c>
      <c r="AE114" s="234" t="str">
        <f t="shared" si="43"/>
        <v>aws s3 cp s3://rtdc.mdm.uploadarchive.raw/RTDC4041/ "%USERPROFILE%\AppData\Local\Temp\OnboardLogs"\RTDC4041\2017-12-28 --exclude "*" --recursive --include "*20171228*" &amp; "%USERPROFILE%\Documents\GitHub\mrs-test-scripts\Headless Mode &amp; Sideloading\WalkAndUnGZ.bat" "%USERPROFILE%\AppData\Local\Temp\OnboardLogs"\RTDC4041\2017-12-28 &amp; aws s3 cp s3://rtdc.mdm.uploadarchive.raw/RTDC4041/ "%USERPROFILE%\AppData\Local\Temp\OnboardLogs"\RTDC4041\2017-12-29 --exclude "*" --recursive --include "*20171229*" &amp; "%USERPROFILE%\Documents\GitHub\mrs-test-scripts\Headless Mode &amp; Sideloading\WalkAndUnGZ.bat" "%USERPROFILE%\AppData\Local\Temp\OnboardLogs"\RTDC4041\2017-12-29</v>
      </c>
      <c r="AF114" s="233" t="str">
        <f t="shared" si="44"/>
        <v>"C:\Program Files (x86)\AstroGrep\AstroGrep.exe" /e /r /s /spath="%USERPROFILE%\AppData\Local\Temp\OnboardLogs" /stypes="app*4041*201712290*" /stext=" 00:.+?(?&gt;(PRM\|1\|D)|(KPR)|(KDP)|(train st[a-z]+ moving)|(SYSTEM_STATE:s[a-z]+ state changed)|(Enforcement Action)|(\[TIMEOUT)|(parse_ebi_status: Penalty)|(\|GPPS))"</v>
      </c>
      <c r="AG114" s="243" t="str">
        <f t="shared" si="45"/>
        <v>EC</v>
      </c>
      <c r="AH114" s="235" t="str">
        <f t="shared" si="48"/>
        <v>"%USERPROFILE%\Documents\GitHub\eaglep3\Utilities\RefineRTDCRunTimes.py" --tripid 200-28 --locoid 4041 --swversion DE.1.0.9.0 --startMP 204:232898 --initTime 2017-12-28T16:48:41 --startdatetime 2017-12-28T16:57:17 --delay 79 --endMP 204:185 --enddatetime 2017-12-28T17:36:34 --enforcementcount 0 &gt;&gt;%USERPROFILE%\Documents\GitHub\eaglep3-reporting\EC\2017-12-28-refined-times.txt</v>
      </c>
      <c r="AI114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{"issue":{"subject":"","project_id":79,"tracker_id":40,"status_id":1,"priority_id":2,"assigned_to_id":338,"start_date":"2017-12-28","description":"","custom_fields":[{"id":1,"name":"Subdivision","value":"EC"},{"id":4,"name":"Milepost","value":"0.0185"},{"id":17,"name":"Train ID","value":"200-28"},{"id":16,"name":"Locomotive ID","value":"4041"},{"id":130,"name":"Impact","value":""},{"id":150,"name":"Time of Event (Mountain Time)","value":"17:36:34"},{"id":151,"name":"Denver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2"/>
      <c r="AK114" s="230"/>
      <c r="AL114" s="230"/>
      <c r="AM114" s="239" t="str">
        <f t="shared" si="50"/>
        <v>start /low /b %USERPROFILE%\Documents\GitHub\eaglep3\Utilities\DownloadLogsFromS3.py --loco 4041 --day 2017-12-28</v>
      </c>
      <c r="AN114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00:36:34"},{"id":29,"name":"Sharepoint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29" t="str">
        <f t="shared" si="52"/>
        <v>https://d0f6bd738d7f1b3e5a7ca70fe4ff75f0.us-east-1.aws.found.io/app/kibana#/discover/Steve-Slow-Train-Analysis-(2080s-and-2083s)?_g=(refreshInterval:(display:Off,pause:!f,section:0,value:0),time:(from:'2017-12-28T15:48:41-0700',mode:absolute,to:'2017-12-28T18:36:34-0700'))&amp;_a=(columns:!('Message%20ID',Summary),filters:!(),index:'emp_*',interval:auto,query:(query_string:(analyze_wildcard:!t,query:'%22rtdc.l.rtdc.4041%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28" t="s">
        <v>837</v>
      </c>
      <c r="B115" s="224">
        <v>4064</v>
      </c>
      <c r="C115" s="226" t="s">
        <v>192</v>
      </c>
      <c r="D115" s="226" t="s">
        <v>978</v>
      </c>
      <c r="E115" s="225">
        <v>43097.672418981485</v>
      </c>
      <c r="F115" s="225">
        <v>43097.677407407406</v>
      </c>
      <c r="G115" s="224">
        <v>53</v>
      </c>
      <c r="H115" s="226" t="s">
        <v>979</v>
      </c>
      <c r="I115" s="225">
        <v>43097.702569444446</v>
      </c>
      <c r="J115" s="224">
        <v>0</v>
      </c>
      <c r="K115" s="236" t="str">
        <f t="shared" si="35"/>
        <v>4063/4064</v>
      </c>
      <c r="L115" s="244" t="str">
        <f>VLOOKUP(A115,'Trips&amp;Operators'!$C$1:$G$99911,5,FALSE)</f>
        <v>HOLCOMB KAMDEN</v>
      </c>
      <c r="M115" s="223">
        <f t="shared" si="36"/>
        <v>2.5162037039990537E-2</v>
      </c>
      <c r="N115" s="224">
        <f t="shared" si="56"/>
        <v>36.233333337586373</v>
      </c>
      <c r="O115" s="224"/>
      <c r="P115" s="224"/>
      <c r="Q115" s="227"/>
      <c r="R115" s="241"/>
      <c r="S115" s="248">
        <f t="shared" si="57"/>
        <v>1</v>
      </c>
      <c r="T115" s="241" t="str">
        <f t="shared" si="39"/>
        <v>NorthBound</v>
      </c>
      <c r="U115" s="24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7" t="str">
        <f t="shared" si="40"/>
        <v>https://d0f6bd738d7f1b3e5a7ca70fe4ff75f0.us-east-1.aws.found.io/app/kibana#/discover/Steve-Slow-Train-Analysis-(2080s-and-2083s)?_g=(refreshInterval:(display:Off,pause:!f,section:0,value:0),time:(from:'2017-12-28T15:08:17-0700',mode:absolute,to:'2017-12-28T17:51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5" s="246" t="str">
        <f>IF(AA115&lt;VLOOKUP(AG115,Variables!$AC$3:$AD$8,2,FALSE),"Y","N")</f>
        <v>N</v>
      </c>
      <c r="X115" s="246">
        <f t="shared" si="60"/>
        <v>1</v>
      </c>
      <c r="Y115" s="246">
        <f t="shared" si="58"/>
        <v>4.3700000000000003E-2</v>
      </c>
      <c r="Z115" s="246">
        <f t="shared" si="59"/>
        <v>23.319500000000001</v>
      </c>
      <c r="AA115" s="246">
        <f t="shared" si="41"/>
        <v>23.2758</v>
      </c>
      <c r="AB115" s="232" t="e">
        <f>VLOOKUP(A115,Enforcements!$C$7:$K$9,8,0)</f>
        <v>#N/A</v>
      </c>
      <c r="AC115" s="231" t="e">
        <f>VLOOKUP(A115,Enforcements!$C$7:$E$9,3,0)</f>
        <v>#N/A</v>
      </c>
      <c r="AD115" s="242">
        <f t="shared" si="42"/>
        <v>201</v>
      </c>
      <c r="AE115" s="234" t="str">
        <f t="shared" si="43"/>
        <v>aws s3 cp s3://rtdc.mdm.uploadarchive.raw/RTDC4064/ "%USERPROFILE%\AppData\Local\Temp\OnboardLogs"\RTDC4064\2017-12-28 --exclude "*" --recursive --include "*20171228*" &amp; "%USERPROFILE%\Documents\GitHub\mrs-test-scripts\Headless Mode &amp; Sideloading\WalkAndUnGZ.bat" "%USERPROFILE%\AppData\Local\Temp\OnboardLogs"\RTDC4064\2017-12-28 &amp; aws s3 cp s3://rtdc.mdm.uploadarchive.raw/RTDC4064/ "%USERPROFILE%\AppData\Local\Temp\OnboardLogs"\RTDC4064\2017-12-29 --exclude "*" --recursive --include "*20171229*" &amp; "%USERPROFILE%\Documents\GitHub\mrs-test-scripts\Headless Mode &amp; Sideloading\WalkAndUnGZ.bat" "%USERPROFILE%\AppData\Local\Temp\OnboardLogs"\RTDC4064\2017-12-29</v>
      </c>
      <c r="AF115" s="233" t="str">
        <f t="shared" si="44"/>
        <v>"C:\Program Files (x86)\AstroGrep\AstroGrep.exe" /e /r /s /spath="%USERPROFILE%\AppData\Local\Temp\OnboardLogs" /stypes="app*4064*201712282*" /stext=" 23:.+?(?&gt;(PRM\|1\|D)|(KPR)|(KDP)|(train st[a-z]+ moving)|(SYSTEM_STATE:s[a-z]+ state changed)|(Enforcement Action)|(\[TIMEOUT)|(parse_ebi_status: Penalty)|(\|GPPS))"</v>
      </c>
      <c r="AG115" s="243" t="str">
        <f t="shared" si="45"/>
        <v>EC</v>
      </c>
      <c r="AH115" s="235" t="str">
        <f t="shared" si="48"/>
        <v>"%USERPROFILE%\Documents\GitHub\eaglep3\Utilities\RefineRTDCRunTimes.py" --tripid 201-28 --locoid 4064 --swversion DE.1.0.9.0 --startMP 204:437 --initTime 2017-12-28T16:08:17 --startdatetime 2017-12-28T16:15:28 --delay 53 --endMP 204:233195 --enddatetime 2017-12-28T16:51:42 --enforcementcount 0 &gt;&gt;%USERPROFILE%\Documents\GitHub\eaglep3-reporting\EC\2017-12-28-refined-times.txt</v>
      </c>
      <c r="AI115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{"issue":{"subject":"","project_id":79,"tracker_id":40,"status_id":1,"priority_id":2,"assigned_to_id":338,"start_date":"2017-12-28","description":"","custom_fields":[{"id":1,"name":"Subdivision","value":"EC"},{"id":4,"name":"Milepost","value":"23.3195"},{"id":17,"name":"Train ID","value":"201-28"},{"id":16,"name":"Locomotive ID","value":"4064"},{"id":130,"name":"Impact","value":""},{"id":150,"name":"Time of Event (Mountain Time)","value":"16:51:42"},{"id":151,"name":"Denver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2"/>
      <c r="AK115" s="230"/>
      <c r="AL115" s="230"/>
      <c r="AM115" s="239" t="str">
        <f t="shared" si="50"/>
        <v>start /low /b %USERPROFILE%\Documents\GitHub\eaglep3\Utilities\DownloadLogsFromS3.py --loco 4064 --day 2017-12-28</v>
      </c>
      <c r="AN115" s="240" t="str">
        <f t="shared" si="51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23:51:42"},{"id":29,"name":"Sharepoint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29" t="str">
        <f t="shared" si="52"/>
        <v>https://d0f6bd738d7f1b3e5a7ca70fe4ff75f0.us-east-1.aws.found.io/app/kibana#/discover/Steve-Slow-Train-Analysis-(2080s-and-2083s)?_g=(refreshInterval:(display:Off,pause:!f,section:0,value:0),time:(from:'2017-12-28T15:08:17-0700',mode:absolute,to:'2017-12-28T17:51:42-0700'))&amp;_a=(columns:!('Message%20ID',Summary),filters:!(),index:'emp_*',interval:auto,query:(query_string:(analyze_wildcard:!t,query:'%22rtdc.l.rtdc.4064%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28" t="s">
        <v>848</v>
      </c>
      <c r="B116" s="224">
        <v>4063</v>
      </c>
      <c r="C116" s="226" t="s">
        <v>192</v>
      </c>
      <c r="D116" s="226" t="s">
        <v>628</v>
      </c>
      <c r="E116" s="225">
        <v>43097.714513888888</v>
      </c>
      <c r="F116" s="225">
        <v>43097.716851851852</v>
      </c>
      <c r="G116" s="224">
        <v>51</v>
      </c>
      <c r="H116" s="226" t="s">
        <v>943</v>
      </c>
      <c r="I116" s="225">
        <v>43097.742060185185</v>
      </c>
      <c r="J116" s="224">
        <v>0</v>
      </c>
      <c r="K116" s="236" t="str">
        <f t="shared" si="35"/>
        <v>4063/4064</v>
      </c>
      <c r="L116" s="244" t="str">
        <f>VLOOKUP(A116,'Trips&amp;Operators'!$C$1:$G$99911,5,FALSE)</f>
        <v>HOLCOMB KAMDEN</v>
      </c>
      <c r="M116" s="223">
        <f t="shared" si="36"/>
        <v>2.5208333332557231E-2</v>
      </c>
      <c r="N116" s="224">
        <f t="shared" si="56"/>
        <v>36.299999998882413</v>
      </c>
      <c r="O116" s="224"/>
      <c r="P116" s="224"/>
      <c r="Q116" s="227"/>
      <c r="R116" s="241"/>
      <c r="S116" s="248">
        <f t="shared" si="57"/>
        <v>1</v>
      </c>
      <c r="T116" s="241" t="str">
        <f t="shared" si="39"/>
        <v>Southbound</v>
      </c>
      <c r="U116" s="24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7" t="str">
        <f t="shared" si="40"/>
        <v>https://d0f6bd738d7f1b3e5a7ca70fe4ff75f0.us-east-1.aws.found.io/app/kibana#/discover/Steve-Slow-Train-Analysis-(2080s-and-2083s)?_g=(refreshInterval:(display:Off,pause:!f,section:0,value:0),time:(from:'2017-12-28T16:08:54-0700',mode:absolute,to:'2017-12-28T18:48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6" s="246" t="str">
        <f>IF(AA116&lt;VLOOKUP(AG116,Variables!$AC$3:$AD$8,2,FALSE),"Y","N")</f>
        <v>N</v>
      </c>
      <c r="X116" s="246">
        <f t="shared" si="60"/>
        <v>1</v>
      </c>
      <c r="Y116" s="246">
        <f t="shared" si="58"/>
        <v>23.2867</v>
      </c>
      <c r="Z116" s="246">
        <f t="shared" si="59"/>
        <v>2.07E-2</v>
      </c>
      <c r="AA116" s="246">
        <f t="shared" si="41"/>
        <v>23.265999999999998</v>
      </c>
      <c r="AB116" s="232" t="e">
        <f>VLOOKUP(A116,Enforcements!$C$7:$K$9,8,0)</f>
        <v>#N/A</v>
      </c>
      <c r="AC116" s="231" t="e">
        <f>VLOOKUP(A116,Enforcements!$C$7:$E$9,3,0)</f>
        <v>#N/A</v>
      </c>
      <c r="AD116" s="242">
        <f t="shared" si="42"/>
        <v>202</v>
      </c>
      <c r="AE116" s="234" t="str">
        <f t="shared" si="43"/>
        <v>aws s3 cp s3://rtdc.mdm.uploadarchive.raw/RTDC4063/ "%USERPROFILE%\AppData\Local\Temp\OnboardLogs"\RTDC4063\2017-12-28 --exclude "*" --recursive --include "*20171228*" &amp; "%USERPROFILE%\Documents\GitHub\mrs-test-scripts\Headless Mode &amp; Sideloading\WalkAndUnGZ.bat" "%USERPROFILE%\AppData\Local\Temp\OnboardLogs"\RTDC4063\2017-12-28 &amp; aws s3 cp s3://rtdc.mdm.uploadarchive.raw/RTDC4063/ "%USERPROFILE%\AppData\Local\Temp\OnboardLogs"\RTDC4063\2017-12-29 --exclude "*" --recursive --include "*20171229*" &amp; "%USERPROFILE%\Documents\GitHub\mrs-test-scripts\Headless Mode &amp; Sideloading\WalkAndUnGZ.bat" "%USERPROFILE%\AppData\Local\Temp\OnboardLogs"\RTDC4063\2017-12-29</v>
      </c>
      <c r="AF116" s="233" t="str">
        <f t="shared" si="44"/>
        <v>"C:\Program Files (x86)\AstroGrep\AstroGrep.exe" /e /r /s /spath="%USERPROFILE%\AppData\Local\Temp\OnboardLogs" /stypes="app*4063*201712290*" /stext=" 00:.+?(?&gt;(PRM\|1\|D)|(KPR)|(KDP)|(train st[a-z]+ moving)|(SYSTEM_STATE:s[a-z]+ state changed)|(Enforcement Action)|(\[TIMEOUT)|(parse_ebi_status: Penalty)|(\|GPPS))"</v>
      </c>
      <c r="AG116" s="243" t="str">
        <f t="shared" si="45"/>
        <v>EC</v>
      </c>
      <c r="AH116" s="235" t="str">
        <f t="shared" si="48"/>
        <v>"%USERPROFILE%\Documents\GitHub\eaglep3\Utilities\RefineRTDCRunTimes.py" --tripid 202-28 --locoid 4063 --swversion DE.1.0.9.0 --startMP 204:232867 --initTime 2017-12-28T17:08:54 --startdatetime 2017-12-28T17:12:16 --delay 51 --endMP 204:207 --enddatetime 2017-12-28T17:48:34 --enforcementcount 0 &gt;&gt;%USERPROFILE%\Documents\GitHub\eaglep3-reporting\EC\2017-12-28-refined-times.txt</v>
      </c>
      <c r="AI116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{"issue":{"subject":"","project_id":79,"tracker_id":40,"status_id":1,"priority_id":2,"assigned_to_id":338,"start_date":"2017-12-28","description":"","custom_fields":[{"id":1,"name":"Subdivision","value":"EC"},{"id":4,"name":"Milepost","value":"0.0207"},{"id":17,"name":"Train ID","value":"202-28"},{"id":16,"name":"Locomotive ID","value":"4063"},{"id":130,"name":"Impact","value":""},{"id":150,"name":"Time of Event (Mountain Time)","value":"17:48:34"},{"id":151,"name":"Denver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2"/>
      <c r="AK116" s="230"/>
      <c r="AL116" s="230"/>
      <c r="AM116" s="239" t="str">
        <f t="shared" si="50"/>
        <v>start /low /b %USERPROFILE%\Documents\GitHub\eaglep3\Utilities\DownloadLogsFromS3.py --loco 4063 --day 2017-12-28</v>
      </c>
      <c r="AN116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00:48:34"},{"id":29,"name":"Sharepoint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29" t="str">
        <f t="shared" si="52"/>
        <v>https://d0f6bd738d7f1b3e5a7ca70fe4ff75f0.us-east-1.aws.found.io/app/kibana#/discover/Steve-Slow-Train-Analysis-(2080s-and-2083s)?_g=(refreshInterval:(display:Off,pause:!f,section:0,value:0),time:(from:'2017-12-28T16:08:54-0700',mode:absolute,to:'2017-12-28T18:48:34-0700'))&amp;_a=(columns:!('Message%20ID',Summary),filters:!(),index:'emp_*',interval:auto,query:(query_string:(analyze_wildcard:!t,query:'%22rtdc.l.rtdc.4063%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28" t="s">
        <v>839</v>
      </c>
      <c r="B117" s="224">
        <v>4014</v>
      </c>
      <c r="C117" s="226" t="s">
        <v>192</v>
      </c>
      <c r="D117" s="226" t="s">
        <v>932</v>
      </c>
      <c r="E117" s="225">
        <v>43097.68445601852</v>
      </c>
      <c r="F117" s="225">
        <v>43097.687800925924</v>
      </c>
      <c r="G117" s="224">
        <v>54</v>
      </c>
      <c r="H117" s="226" t="s">
        <v>576</v>
      </c>
      <c r="I117" s="225">
        <v>43097.712245370371</v>
      </c>
      <c r="J117" s="224">
        <v>0</v>
      </c>
      <c r="K117" s="236" t="str">
        <f t="shared" si="35"/>
        <v>4013/4014</v>
      </c>
      <c r="L117" s="244" t="str">
        <f>VLOOKUP(A117,'Trips&amp;Operators'!$C$1:$G$99911,5,FALSE)</f>
        <v>BRUDER RICHARD</v>
      </c>
      <c r="M117" s="223">
        <f t="shared" si="36"/>
        <v>2.4444444446999114E-2</v>
      </c>
      <c r="N117" s="224">
        <f t="shared" si="56"/>
        <v>35.200000003678724</v>
      </c>
      <c r="O117" s="224"/>
      <c r="P117" s="224"/>
      <c r="Q117" s="227"/>
      <c r="R117" s="241"/>
      <c r="S117" s="248">
        <f t="shared" si="57"/>
        <v>1</v>
      </c>
      <c r="T117" s="241" t="str">
        <f t="shared" si="39"/>
        <v>NorthBound</v>
      </c>
      <c r="U117" s="24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7" t="str">
        <f t="shared" si="40"/>
        <v>https://d0f6bd738d7f1b3e5a7ca70fe4ff75f0.us-east-1.aws.found.io/app/kibana#/discover/Steve-Slow-Train-Analysis-(2080s-and-2083s)?_g=(refreshInterval:(display:Off,pause:!f,section:0,value:0),time:(from:'2017-12-28T15:25:37-0700',mode:absolute,to:'2017-12-28T18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7" s="246" t="str">
        <f>IF(AA117&lt;VLOOKUP(AG117,Variables!$AC$3:$AD$8,2,FALSE),"Y","N")</f>
        <v>N</v>
      </c>
      <c r="X117" s="246">
        <f t="shared" si="60"/>
        <v>1</v>
      </c>
      <c r="Y117" s="246">
        <f t="shared" si="58"/>
        <v>5.2200000000000003E-2</v>
      </c>
      <c r="Z117" s="246">
        <f t="shared" si="59"/>
        <v>23.320799999999998</v>
      </c>
      <c r="AA117" s="246">
        <f t="shared" si="41"/>
        <v>23.268599999999999</v>
      </c>
      <c r="AB117" s="232" t="e">
        <f>VLOOKUP(A117,Enforcements!$C$7:$K$9,8,0)</f>
        <v>#N/A</v>
      </c>
      <c r="AC117" s="231" t="e">
        <f>VLOOKUP(A117,Enforcements!$C$7:$E$9,3,0)</f>
        <v>#N/A</v>
      </c>
      <c r="AD117" s="242">
        <f t="shared" si="42"/>
        <v>203</v>
      </c>
      <c r="AE117" s="234" t="str">
        <f t="shared" si="43"/>
        <v>aws s3 cp s3://rtdc.mdm.uploadarchive.raw/RTDC4014/ "%USERPROFILE%\AppData\Local\Temp\OnboardLogs"\RTDC4014\2017-12-28 --exclude "*" --recursive --include "*20171228*" &amp; "%USERPROFILE%\Documents\GitHub\mrs-test-scripts\Headless Mode &amp; Sideloading\WalkAndUnGZ.bat" "%USERPROFILE%\AppData\Local\Temp\OnboardLogs"\RTDC4014\2017-12-28 &amp; aws s3 cp s3://rtdc.mdm.uploadarchive.raw/RTDC4014/ "%USERPROFILE%\AppData\Local\Temp\OnboardLogs"\RTDC4014\2017-12-29 --exclude "*" --recursive --include "*20171229*" &amp; "%USERPROFILE%\Documents\GitHub\mrs-test-scripts\Headless Mode &amp; Sideloading\WalkAndUnGZ.bat" "%USERPROFILE%\AppData\Local\Temp\OnboardLogs"\RTDC4014\2017-12-29</v>
      </c>
      <c r="AF117" s="233" t="str">
        <f t="shared" si="44"/>
        <v>"C:\Program Files (x86)\AstroGrep\AstroGrep.exe" /e /r /s /spath="%USERPROFILE%\AppData\Local\Temp\OnboardLogs" /stypes="app*4014*201712290*" /stext=" 00:.+?(?&gt;(PRM\|1\|D)|(KPR)|(KDP)|(train st[a-z]+ moving)|(SYSTEM_STATE:s[a-z]+ state changed)|(Enforcement Action)|(\[TIMEOUT)|(parse_ebi_status: Penalty)|(\|GPPS))"</v>
      </c>
      <c r="AG117" s="243" t="str">
        <f t="shared" si="45"/>
        <v>EC</v>
      </c>
      <c r="AH117" s="235" t="str">
        <f t="shared" si="48"/>
        <v>"%USERPROFILE%\Documents\GitHub\eaglep3\Utilities\RefineRTDCRunTimes.py" --tripid 203-28 --locoid 4014 --swversion DE.1.0.9.0 --startMP 204:522 --initTime 2017-12-28T16:25:37 --startdatetime 2017-12-28T16:30:26 --delay 54 --endMP 204:233208 --enddatetime 2017-12-28T17:05:38 --enforcementcount 0 &gt;&gt;%USERPROFILE%\Documents\GitHub\eaglep3-reporting\EC\2017-12-28-refined-times.txt</v>
      </c>
      <c r="AI117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{"issue":{"subject":"","project_id":79,"tracker_id":40,"status_id":1,"priority_id":2,"assigned_to_id":338,"start_date":"2017-12-28","description":"","custom_fields":[{"id":1,"name":"Subdivision","value":"EC"},{"id":4,"name":"Milepost","value":"23.3208"},{"id":17,"name":"Train ID","value":"203-28"},{"id":16,"name":"Locomotive ID","value":"4014"},{"id":130,"name":"Impact","value":""},{"id":150,"name":"Time of Event (Mountain Time)","value":"17:05:38"},{"id":151,"name":"Denver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2"/>
      <c r="AK117" s="230"/>
      <c r="AL117" s="230"/>
      <c r="AM117" s="239" t="str">
        <f t="shared" si="50"/>
        <v>start /low /b %USERPROFILE%\Documents\GitHub\eaglep3\Utilities\DownloadLogsFromS3.py --loco 4014 --day 2017-12-28</v>
      </c>
      <c r="AN117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00:05:38"},{"id":29,"name":"Sharepoint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29" t="str">
        <f t="shared" si="52"/>
        <v>https://d0f6bd738d7f1b3e5a7ca70fe4ff75f0.us-east-1.aws.found.io/app/kibana#/discover/Steve-Slow-Train-Analysis-(2080s-and-2083s)?_g=(refreshInterval:(display:Off,pause:!f,section:0,value:0),time:(from:'2017-12-28T15:25:37-0700',mode:absolute,to:'2017-12-28T18:05:38-0700'))&amp;_a=(columns:!('Message%20ID',Summary),filters:!(),index:'emp_*',interval:auto,query:(query_string:(analyze_wildcard:!t,query:'%22rtdc.l.rtdc.4014%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228" t="s">
        <v>850</v>
      </c>
      <c r="B118" s="224">
        <v>4013</v>
      </c>
      <c r="C118" s="226" t="s">
        <v>192</v>
      </c>
      <c r="D118" s="226" t="s">
        <v>582</v>
      </c>
      <c r="E118" s="225">
        <v>43097.723912037036</v>
      </c>
      <c r="F118" s="225">
        <v>43097.727256944447</v>
      </c>
      <c r="G118" s="224">
        <v>64</v>
      </c>
      <c r="H118" s="226" t="s">
        <v>475</v>
      </c>
      <c r="I118" s="225">
        <v>43097.753055555557</v>
      </c>
      <c r="J118" s="224">
        <v>0</v>
      </c>
      <c r="K118" s="236" t="str">
        <f t="shared" si="35"/>
        <v>4013/4014</v>
      </c>
      <c r="L118" s="244" t="str">
        <f>VLOOKUP(A118,'Trips&amp;Operators'!$C$1:$G$99911,5,FALSE)</f>
        <v>BRUDER RICHARD</v>
      </c>
      <c r="M118" s="223">
        <f t="shared" si="36"/>
        <v>2.5798611110076308E-2</v>
      </c>
      <c r="N118" s="224">
        <f t="shared" si="56"/>
        <v>37.149999998509884</v>
      </c>
      <c r="O118" s="224"/>
      <c r="P118" s="224"/>
      <c r="Q118" s="227"/>
      <c r="R118" s="241"/>
      <c r="S118" s="248">
        <f t="shared" si="57"/>
        <v>1</v>
      </c>
      <c r="T118" s="241" t="str">
        <f t="shared" si="39"/>
        <v>Southbound</v>
      </c>
      <c r="U118" s="24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7" t="str">
        <f t="shared" si="40"/>
        <v>https://d0f6bd738d7f1b3e5a7ca70fe4ff75f0.us-east-1.aws.found.io/app/kibana#/discover/Steve-Slow-Train-Analysis-(2080s-and-2083s)?_g=(refreshInterval:(display:Off,pause:!f,section:0,value:0),time:(from:'2017-12-28T16:22:26-0700',mode:absolute,to:'2017-12-28T19:04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8" s="246" t="str">
        <f>IF(AA118&lt;VLOOKUP(AG118,Variables!$AC$3:$AD$8,2,FALSE),"Y","N")</f>
        <v>N</v>
      </c>
      <c r="X118" s="246">
        <f t="shared" si="60"/>
        <v>1</v>
      </c>
      <c r="Y118" s="246">
        <f t="shared" si="58"/>
        <v>23.289200000000001</v>
      </c>
      <c r="Z118" s="246">
        <f t="shared" si="59"/>
        <v>2.2100000000000002E-2</v>
      </c>
      <c r="AA118" s="246">
        <f t="shared" si="41"/>
        <v>23.267100000000003</v>
      </c>
      <c r="AB118" s="232" t="e">
        <f>VLOOKUP(A118,Enforcements!$C$7:$K$9,8,0)</f>
        <v>#N/A</v>
      </c>
      <c r="AC118" s="231" t="e">
        <f>VLOOKUP(A118,Enforcements!$C$7:$E$9,3,0)</f>
        <v>#N/A</v>
      </c>
      <c r="AD118" s="242">
        <f t="shared" si="42"/>
        <v>204</v>
      </c>
      <c r="AE118" s="234" t="str">
        <f t="shared" si="43"/>
        <v>aws s3 cp s3://rtdc.mdm.uploadarchive.raw/RTDC4013/ "%USERPROFILE%\AppData\Local\Temp\OnboardLogs"\RTDC4013\2017-12-28 --exclude "*" --recursive --include "*20171228*" &amp; "%USERPROFILE%\Documents\GitHub\mrs-test-scripts\Headless Mode &amp; Sideloading\WalkAndUnGZ.bat" "%USERPROFILE%\AppData\Local\Temp\OnboardLogs"\RTDC4013\2017-12-28 &amp; aws s3 cp s3://rtdc.mdm.uploadarchive.raw/RTDC4013/ "%USERPROFILE%\AppData\Local\Temp\OnboardLogs"\RTDC4013\2017-12-29 --exclude "*" --recursive --include "*20171229*" &amp; "%USERPROFILE%\Documents\GitHub\mrs-test-scripts\Headless Mode &amp; Sideloading\WalkAndUnGZ.bat" "%USERPROFILE%\AppData\Local\Temp\OnboardLogs"\RTDC4013\2017-12-29</v>
      </c>
      <c r="AF118" s="233" t="str">
        <f t="shared" si="44"/>
        <v>"C:\Program Files (x86)\AstroGrep\AstroGrep.exe" /e /r /s /spath="%USERPROFILE%\AppData\Local\Temp\OnboardLogs" /stypes="app*4013*201712290*" /stext=" 01:.+?(?&gt;(PRM\|1\|D)|(KPR)|(KDP)|(train st[a-z]+ moving)|(SYSTEM_STATE:s[a-z]+ state changed)|(Enforcement Action)|(\[TIMEOUT)|(parse_ebi_status: Penalty)|(\|GPPS))"</v>
      </c>
      <c r="AG118" s="243" t="str">
        <f t="shared" si="45"/>
        <v>EC</v>
      </c>
      <c r="AH118" s="235" t="str">
        <f t="shared" si="48"/>
        <v>"%USERPROFILE%\Documents\GitHub\eaglep3\Utilities\RefineRTDCRunTimes.py" --tripid 204-28 --locoid 4013 --swversion DE.1.0.9.0 --startMP 204:232892 --initTime 2017-12-28T17:22:26 --startdatetime 2017-12-28T17:27:15 --delay 64 --endMP 204:221 --enddatetime 2017-12-28T18:04:24 --enforcementcount 0 &gt;&gt;%USERPROFILE%\Documents\GitHub\eaglep3-reporting\EC\2017-12-28-refined-times.txt</v>
      </c>
      <c r="AI118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{"issue":{"subject":"","project_id":79,"tracker_id":40,"status_id":1,"priority_id":2,"assigned_to_id":338,"start_date":"2017-12-28","description":"","custom_fields":[{"id":1,"name":"Subdivision","value":"EC"},{"id":4,"name":"Milepost","value":"0.0221"},{"id":17,"name":"Train ID","value":"204-28"},{"id":16,"name":"Locomotive ID","value":"4013"},{"id":130,"name":"Impact","value":""},{"id":150,"name":"Time of Event (Mountain Time)","value":"18:04:24"},{"id":151,"name":"Denver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2"/>
      <c r="AK118" s="230"/>
      <c r="AL118" s="230"/>
      <c r="AM118" s="239" t="str">
        <f t="shared" si="50"/>
        <v>start /low /b %USERPROFILE%\Documents\GitHub\eaglep3\Utilities\DownloadLogsFromS3.py --loco 4013 --day 2017-12-28</v>
      </c>
      <c r="AN118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01:04:24"},{"id":29,"name":"Sharepoint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29" t="str">
        <f t="shared" si="52"/>
        <v>https://d0f6bd738d7f1b3e5a7ca70fe4ff75f0.us-east-1.aws.found.io/app/kibana#/discover/Steve-Slow-Train-Analysis-(2080s-and-2083s)?_g=(refreshInterval:(display:Off,pause:!f,section:0,value:0),time:(from:'2017-12-28T16:22:26-0700',mode:absolute,to:'2017-12-28T19:04:24-0700'))&amp;_a=(columns:!('Message%20ID',Summary),filters:!(),index:'emp_*',interval:auto,query:(query_string:(analyze_wildcard:!t,query:'%22rtdc.l.rtdc.4013%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28" t="s">
        <v>842</v>
      </c>
      <c r="B119" s="224">
        <v>4046</v>
      </c>
      <c r="C119" s="226" t="s">
        <v>192</v>
      </c>
      <c r="D119" s="226" t="s">
        <v>523</v>
      </c>
      <c r="E119" s="225">
        <v>43097.693645833337</v>
      </c>
      <c r="F119" s="225">
        <v>43097.698206018518</v>
      </c>
      <c r="G119" s="224">
        <v>57</v>
      </c>
      <c r="H119" s="226" t="s">
        <v>476</v>
      </c>
      <c r="I119" s="225">
        <v>43097.723379629628</v>
      </c>
      <c r="J119" s="224">
        <v>0</v>
      </c>
      <c r="K119" s="236" t="str">
        <f t="shared" si="35"/>
        <v>4045/4046</v>
      </c>
      <c r="L119" s="244" t="str">
        <f>VLOOKUP(A119,'Trips&amp;Operators'!$C$1:$G$99911,5,FALSE)</f>
        <v>STEWART MICHAEL</v>
      </c>
      <c r="M119" s="223">
        <f t="shared" si="36"/>
        <v>2.5173611109494232E-2</v>
      </c>
      <c r="N119" s="224">
        <f t="shared" si="56"/>
        <v>36.249999997671694</v>
      </c>
      <c r="O119" s="224"/>
      <c r="P119" s="224"/>
      <c r="Q119" s="227"/>
      <c r="R119" s="241"/>
      <c r="S119" s="248">
        <f t="shared" si="57"/>
        <v>1</v>
      </c>
      <c r="T119" s="241" t="str">
        <f t="shared" si="39"/>
        <v>NorthBound</v>
      </c>
      <c r="U119" s="24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7" t="str">
        <f t="shared" si="40"/>
        <v>https://d0f6bd738d7f1b3e5a7ca70fe4ff75f0.us-east-1.aws.found.io/app/kibana#/discover/Steve-Slow-Train-Analysis-(2080s-and-2083s)?_g=(refreshInterval:(display:Off,pause:!f,section:0,value:0),time:(from:'2017-12-28T15:38:51-0700',mode:absolute,to:'2017-12-28T18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9" s="246" t="str">
        <f>IF(AA119&lt;VLOOKUP(AG119,Variables!$AC$3:$AD$8,2,FALSE),"Y","N")</f>
        <v>N</v>
      </c>
      <c r="X119" s="246">
        <f t="shared" si="60"/>
        <v>1</v>
      </c>
      <c r="Y119" s="246">
        <f t="shared" si="58"/>
        <v>5.0599999999999999E-2</v>
      </c>
      <c r="Z119" s="246">
        <f t="shared" si="59"/>
        <v>23.3261</v>
      </c>
      <c r="AA119" s="246">
        <f t="shared" si="41"/>
        <v>23.275500000000001</v>
      </c>
      <c r="AB119" s="232" t="e">
        <f>VLOOKUP(A119,Enforcements!$C$7:$K$9,8,0)</f>
        <v>#N/A</v>
      </c>
      <c r="AC119" s="231" t="e">
        <f>VLOOKUP(A119,Enforcements!$C$7:$E$9,3,0)</f>
        <v>#N/A</v>
      </c>
      <c r="AD119" s="242">
        <f t="shared" si="42"/>
        <v>205</v>
      </c>
      <c r="AE119" s="234" t="str">
        <f t="shared" si="43"/>
        <v>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 &amp; aws s3 cp s3://rtdc.mdm.uploadarchive.raw/RTDC4046/ "%USERPROFILE%\AppData\Local\Temp\OnboardLogs"\RTDC4046\2017-12-29 --exclude "*" --recursive --include "*20171229*" &amp; "%USERPROFILE%\Documents\GitHub\mrs-test-scripts\Headless Mode &amp; Sideloading\WalkAndUnGZ.bat" "%USERPROFILE%\AppData\Local\Temp\OnboardLogs"\RTDC4046\2017-12-29</v>
      </c>
      <c r="AF119" s="233" t="str">
        <f t="shared" si="44"/>
        <v>"C:\Program Files (x86)\AstroGrep\AstroGrep.exe" /e /r /s /spath="%USERPROFILE%\AppData\Local\Temp\OnboardLogs" /stypes="app*4046*201712290*" /stext=" 00:.+?(?&gt;(PRM\|1\|D)|(KPR)|(KDP)|(train st[a-z]+ moving)|(SYSTEM_STATE:s[a-z]+ state changed)|(Enforcement Action)|(\[TIMEOUT)|(parse_ebi_status: Penalty)|(\|GPPS))"</v>
      </c>
      <c r="AG119" s="243" t="str">
        <f t="shared" si="45"/>
        <v>EC</v>
      </c>
      <c r="AH119" s="235" t="str">
        <f t="shared" si="48"/>
        <v>"%USERPROFILE%\Documents\GitHub\eaglep3\Utilities\RefineRTDCRunTimes.py" --tripid 205-28 --locoid 4046 --swversion DE.1.0.9.0 --startMP 204:506 --initTime 2017-12-28T16:38:51 --startdatetime 2017-12-28T16:45:25 --delay 57 --endMP 204:233261 --enddatetime 2017-12-28T17:21:40 --enforcementcount 0 &gt;&gt;%USERPROFILE%\Documents\GitHub\eaglep3-reporting\EC\2017-12-28-refined-times.txt</v>
      </c>
      <c r="AI119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{"issue":{"subject":"","project_id":79,"tracker_id":40,"status_id":1,"priority_id":2,"assigned_to_id":338,"start_date":"2017-12-28","description":"","custom_fields":[{"id":1,"name":"Subdivision","value":"EC"},{"id":4,"name":"Milepost","value":"23.3261"},{"id":17,"name":"Train ID","value":"205-28"},{"id":16,"name":"Locomotive ID","value":"4046"},{"id":130,"name":"Impact","value":""},{"id":150,"name":"Time of Event (Mountain Time)","value":"17:21:40"},{"id":151,"name":"Denver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2"/>
      <c r="AK119" s="230"/>
      <c r="AL119" s="230"/>
      <c r="AM119" s="239" t="str">
        <f t="shared" si="50"/>
        <v>start /low /b %USERPROFILE%\Documents\GitHub\eaglep3\Utilities\DownloadLogsFromS3.py --loco 4046 --day 2017-12-28</v>
      </c>
      <c r="AN119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00:21:40"},{"id":29,"name":"Sharepoint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29" t="str">
        <f t="shared" si="52"/>
        <v>https://d0f6bd738d7f1b3e5a7ca70fe4ff75f0.us-east-1.aws.found.io/app/kibana#/discover/Steve-Slow-Train-Analysis-(2080s-and-2083s)?_g=(refreshInterval:(display:Off,pause:!f,section:0,value:0),time:(from:'2017-12-28T15:38:51-0700',mode:absolute,to:'2017-12-28T18:21:40-0700'))&amp;_a=(columns:!('Message%20ID',Summary),filters:!(),index:'emp_*',interval:auto,query:(query_string:(analyze_wildcard:!t,query:'%22rtdc.l.rtdc.4046%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28" t="s">
        <v>854</v>
      </c>
      <c r="B120" s="224">
        <v>4045</v>
      </c>
      <c r="C120" s="226" t="s">
        <v>192</v>
      </c>
      <c r="D120" s="226" t="s">
        <v>656</v>
      </c>
      <c r="E120" s="225">
        <v>43097.734189814815</v>
      </c>
      <c r="F120" s="225">
        <v>43097.737708333334</v>
      </c>
      <c r="G120" s="224">
        <v>87</v>
      </c>
      <c r="H120" s="226" t="s">
        <v>641</v>
      </c>
      <c r="I120" s="225">
        <v>43097.764513888891</v>
      </c>
      <c r="J120" s="224">
        <v>0</v>
      </c>
      <c r="K120" s="236" t="str">
        <f t="shared" si="35"/>
        <v>4045/4046</v>
      </c>
      <c r="L120" s="244" t="str">
        <f>VLOOKUP(A120,'Trips&amp;Operators'!$C$1:$G$99911,5,FALSE)</f>
        <v>STEWART MICHAEL</v>
      </c>
      <c r="M120" s="223">
        <f t="shared" si="36"/>
        <v>2.6805555557075422E-2</v>
      </c>
      <c r="N120" s="224">
        <f t="shared" si="56"/>
        <v>38.600000002188608</v>
      </c>
      <c r="O120" s="224"/>
      <c r="P120" s="224"/>
      <c r="Q120" s="227"/>
      <c r="R120" s="241"/>
      <c r="S120" s="248">
        <f t="shared" si="57"/>
        <v>1</v>
      </c>
      <c r="T120" s="241" t="str">
        <f t="shared" si="39"/>
        <v>Southbound</v>
      </c>
      <c r="U120" s="24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7" t="str">
        <f t="shared" si="40"/>
        <v>https://d0f6bd738d7f1b3e5a7ca70fe4ff75f0.us-east-1.aws.found.io/app/kibana#/discover/Steve-Slow-Train-Analysis-(2080s-and-2083s)?_g=(refreshInterval:(display:Off,pause:!f,section:0,value:0),time:(from:'2017-12-28T16:37:14-0700',mode:absolute,to:'2017-12-28T19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0" s="246" t="str">
        <f>IF(AA120&lt;VLOOKUP(AG120,Variables!$AC$3:$AD$8,2,FALSE),"Y","N")</f>
        <v>N</v>
      </c>
      <c r="X120" s="246">
        <f t="shared" si="60"/>
        <v>1</v>
      </c>
      <c r="Y120" s="246">
        <f t="shared" si="58"/>
        <v>23.2944</v>
      </c>
      <c r="Z120" s="246">
        <f t="shared" si="59"/>
        <v>1.9099999999999999E-2</v>
      </c>
      <c r="AA120" s="246">
        <f t="shared" si="41"/>
        <v>23.275299999999998</v>
      </c>
      <c r="AB120" s="232" t="e">
        <f>VLOOKUP(A120,Enforcements!$C$7:$K$9,8,0)</f>
        <v>#N/A</v>
      </c>
      <c r="AC120" s="231" t="e">
        <f>VLOOKUP(A120,Enforcements!$C$7:$E$9,3,0)</f>
        <v>#N/A</v>
      </c>
      <c r="AD120" s="242">
        <f t="shared" si="42"/>
        <v>206</v>
      </c>
      <c r="AE120" s="234" t="str">
        <f t="shared" si="43"/>
        <v>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 &amp; aws s3 cp s3://rtdc.mdm.uploadarchive.raw/RTDC4045/ "%USERPROFILE%\AppData\Local\Temp\OnboardLogs"\RTDC4045\2017-12-29 --exclude "*" --recursive --include "*20171229*" &amp; "%USERPROFILE%\Documents\GitHub\mrs-test-scripts\Headless Mode &amp; Sideloading\WalkAndUnGZ.bat" "%USERPROFILE%\AppData\Local\Temp\OnboardLogs"\RTDC4045\2017-12-29</v>
      </c>
      <c r="AF120" s="233" t="str">
        <f t="shared" si="44"/>
        <v>"C:\Program Files (x86)\AstroGrep\AstroGrep.exe" /e /r /s /spath="%USERPROFILE%\AppData\Local\Temp\OnboardLogs" /stypes="app*4045*201712290*" /stext=" 01:.+?(?&gt;(PRM\|1\|D)|(KPR)|(KDP)|(train st[a-z]+ moving)|(SYSTEM_STATE:s[a-z]+ state changed)|(Enforcement Action)|(\[TIMEOUT)|(parse_ebi_status: Penalty)|(\|GPPS))"</v>
      </c>
      <c r="AG120" s="243" t="str">
        <f t="shared" si="45"/>
        <v>EC</v>
      </c>
      <c r="AH120" s="235" t="str">
        <f t="shared" si="48"/>
        <v>"%USERPROFILE%\Documents\GitHub\eaglep3\Utilities\RefineRTDCRunTimes.py" --tripid 206-28 --locoid 4045 --swversion DE.1.0.9.0 --startMP 204:232944 --initTime 2017-12-28T17:37:14 --startdatetime 2017-12-28T17:42:18 --delay 87 --endMP 204:191 --enddatetime 2017-12-28T18:20:54 --enforcementcount 0 &gt;&gt;%USERPROFILE%\Documents\GitHub\eaglep3-reporting\EC\2017-12-28-refined-times.txt</v>
      </c>
      <c r="AI120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{"issue":{"subject":"","project_id":79,"tracker_id":40,"status_id":1,"priority_id":2,"assigned_to_id":338,"start_date":"2017-12-28","description":"","custom_fields":[{"id":1,"name":"Subdivision","value":"EC"},{"id":4,"name":"Milepost","value":"0.0191"},{"id":17,"name":"Train ID","value":"206-28"},{"id":16,"name":"Locomotive ID","value":"4045"},{"id":130,"name":"Impact","value":""},{"id":150,"name":"Time of Event (Mountain Time)","value":"18:20:54"},{"id":151,"name":"Denver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2"/>
      <c r="AK120" s="230"/>
      <c r="AL120" s="230"/>
      <c r="AM120" s="239" t="str">
        <f t="shared" si="50"/>
        <v>start /low /b %USERPROFILE%\Documents\GitHub\eaglep3\Utilities\DownloadLogsFromS3.py --loco 4045 --day 2017-12-28</v>
      </c>
      <c r="AN120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01:20:54"},{"id":29,"name":"Sharepoint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29" t="str">
        <f t="shared" si="52"/>
        <v>https://d0f6bd738d7f1b3e5a7ca70fe4ff75f0.us-east-1.aws.found.io/app/kibana#/discover/Steve-Slow-Train-Analysis-(2080s-and-2083s)?_g=(refreshInterval:(display:Off,pause:!f,section:0,value:0),time:(from:'2017-12-28T16:37:14-0700',mode:absolute,to:'2017-12-28T19:20:54-0700'))&amp;_a=(columns:!('Message%20ID',Summary),filters:!(),index:'emp_*',interval:auto,query:(query_string:(analyze_wildcard:!t,query:'%22rtdc.l.rtdc.4045%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2" customFormat="1" x14ac:dyDescent="0.25">
      <c r="A121" s="228" t="s">
        <v>844</v>
      </c>
      <c r="B121" s="224">
        <v>4056</v>
      </c>
      <c r="C121" s="226" t="s">
        <v>192</v>
      </c>
      <c r="D121" s="226" t="s">
        <v>980</v>
      </c>
      <c r="E121" s="225">
        <v>43097.704131944447</v>
      </c>
      <c r="F121" s="225">
        <v>43097.708506944444</v>
      </c>
      <c r="G121" s="224">
        <v>79</v>
      </c>
      <c r="H121" s="226" t="s">
        <v>588</v>
      </c>
      <c r="I121" s="225">
        <v>43097.733194444445</v>
      </c>
      <c r="J121" s="224">
        <v>0</v>
      </c>
      <c r="K121" s="236" t="str">
        <f t="shared" si="35"/>
        <v>4055/4056</v>
      </c>
      <c r="L121" s="244" t="str">
        <f>VLOOKUP(A121,'Trips&amp;Operators'!$C$1:$G$99911,5,FALSE)</f>
        <v>LEVIN SCOTT</v>
      </c>
      <c r="M121" s="223">
        <f t="shared" si="36"/>
        <v>2.4687500001164153E-2</v>
      </c>
      <c r="N121" s="224">
        <f t="shared" si="56"/>
        <v>35.550000001676381</v>
      </c>
      <c r="O121" s="224"/>
      <c r="P121" s="224"/>
      <c r="Q121" s="227"/>
      <c r="R121" s="241"/>
      <c r="S121" s="248">
        <f t="shared" si="57"/>
        <v>1</v>
      </c>
      <c r="T121" s="241" t="str">
        <f t="shared" si="39"/>
        <v>NorthBound</v>
      </c>
      <c r="U121" s="24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7" t="str">
        <f t="shared" si="40"/>
        <v>https://d0f6bd738d7f1b3e5a7ca70fe4ff75f0.us-east-1.aws.found.io/app/kibana#/discover/Steve-Slow-Train-Analysis-(2080s-and-2083s)?_g=(refreshInterval:(display:Off,pause:!f,section:0,value:0),time:(from:'2017-12-28T15:53:57-0700',mode:absolute,to:'2017-12-28T18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1" s="246" t="str">
        <f>IF(AA121&lt;VLOOKUP(AG121,Variables!$AC$3:$AD$8,2,FALSE),"Y","N")</f>
        <v>N</v>
      </c>
      <c r="X121" s="246">
        <f t="shared" si="60"/>
        <v>1</v>
      </c>
      <c r="Y121" s="246">
        <f t="shared" si="58"/>
        <v>4.7800000000000002E-2</v>
      </c>
      <c r="Z121" s="246">
        <f t="shared" si="59"/>
        <v>23.331700000000001</v>
      </c>
      <c r="AA121" s="246">
        <f t="shared" si="41"/>
        <v>23.283900000000003</v>
      </c>
      <c r="AB121" s="232" t="e">
        <f>VLOOKUP(A121,Enforcements!$C$7:$K$9,8,0)</f>
        <v>#N/A</v>
      </c>
      <c r="AC121" s="231" t="e">
        <f>VLOOKUP(A121,Enforcements!$C$7:$E$9,3,0)</f>
        <v>#N/A</v>
      </c>
      <c r="AD121" s="242">
        <f t="shared" si="42"/>
        <v>207</v>
      </c>
      <c r="AE121" s="234" t="str">
        <f t="shared" si="43"/>
        <v>aws s3 cp s3://rtdc.mdm.uploadarchive.raw/RTDC4056/ "%USERPROFILE%\AppData\Local\Temp\OnboardLogs"\RTDC4056\2017-12-28 --exclude "*" --recursive --include "*20171228*" &amp; "%USERPROFILE%\Documents\GitHub\mrs-test-scripts\Headless Mode &amp; Sideloading\WalkAndUnGZ.bat" "%USERPROFILE%\AppData\Local\Temp\OnboardLogs"\RTDC4056\2017-12-28 &amp; aws s3 cp s3://rtdc.mdm.uploadarchive.raw/RTDC4056/ "%USERPROFILE%\AppData\Local\Temp\OnboardLogs"\RTDC4056\2017-12-29 --exclude "*" --recursive --include "*20171229*" &amp; "%USERPROFILE%\Documents\GitHub\mrs-test-scripts\Headless Mode &amp; Sideloading\WalkAndUnGZ.bat" "%USERPROFILE%\AppData\Local\Temp\OnboardLogs"\RTDC4056\2017-12-29</v>
      </c>
      <c r="AF121" s="233" t="str">
        <f t="shared" si="44"/>
        <v>"C:\Program Files (x86)\AstroGrep\AstroGrep.exe" /e /r /s /spath="%USERPROFILE%\AppData\Local\Temp\OnboardLogs" /stypes="app*4056*201712290*" /stext=" 00:.+?(?&gt;(PRM\|1\|D)|(KPR)|(KDP)|(train st[a-z]+ moving)|(SYSTEM_STATE:s[a-z]+ state changed)|(Enforcement Action)|(\[TIMEOUT)|(parse_ebi_status: Penalty)|(\|GPPS))"</v>
      </c>
      <c r="AG121" s="243" t="str">
        <f t="shared" si="45"/>
        <v>EC</v>
      </c>
      <c r="AH121" s="235" t="str">
        <f t="shared" si="48"/>
        <v>"%USERPROFILE%\Documents\GitHub\eaglep3\Utilities\RefineRTDCRunTimes.py" --tripid 207-28 --locoid 4056 --swversion DE.1.0.9.0 --startMP 204:478 --initTime 2017-12-28T16:53:57 --startdatetime 2017-12-28T17:00:15 --delay 79 --endMP 204:233317 --enddatetime 2017-12-28T17:35:48 --enforcementcount 0 &gt;&gt;%USERPROFILE%\Documents\GitHub\eaglep3-reporting\EC\2017-12-28-refined-times.txt</v>
      </c>
      <c r="AI121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{"issue":{"subject":"","project_id":79,"tracker_id":40,"status_id":1,"priority_id":2,"assigned_to_id":338,"start_date":"2017-12-28","description":"","custom_fields":[{"id":1,"name":"Subdivision","value":"EC"},{"id":4,"name":"Milepost","value":"23.3317"},{"id":17,"name":"Train ID","value":"207-28"},{"id":16,"name":"Locomotive ID","value":"4056"},{"id":130,"name":"Impact","value":""},{"id":150,"name":"Time of Event (Mountain Time)","value":"17:35:48"},{"id":151,"name":"Denver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0"/>
      <c r="AL121" s="230"/>
      <c r="AM121" s="239" t="str">
        <f t="shared" si="50"/>
        <v>start /low /b %USERPROFILE%\Documents\GitHub\eaglep3\Utilities\DownloadLogsFromS3.py --loco 4056 --day 2017-12-28</v>
      </c>
      <c r="AN121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00:35:48"},{"id":29,"name":"Sharepoint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29" t="str">
        <f t="shared" si="52"/>
        <v>https://d0f6bd738d7f1b3e5a7ca70fe4ff75f0.us-east-1.aws.found.io/app/kibana#/discover/Steve-Slow-Train-Analysis-(2080s-and-2083s)?_g=(refreshInterval:(display:Off,pause:!f,section:0,value:0),time:(from:'2017-12-28T15:53:57-0700',mode:absolute,to:'2017-12-28T18:35:48-0700'))&amp;_a=(columns:!('Message%20ID',Summary),filters:!(),index:'emp_*',interval:auto,query:(query_string:(analyze_wildcard:!t,query:'%22rtdc.l.rtdc.4056%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2" customFormat="1" x14ac:dyDescent="0.25">
      <c r="A122" s="228" t="s">
        <v>857</v>
      </c>
      <c r="B122" s="224">
        <v>4055</v>
      </c>
      <c r="C122" s="226" t="s">
        <v>192</v>
      </c>
      <c r="D122" s="226" t="s">
        <v>952</v>
      </c>
      <c r="E122" s="225">
        <v>43097.740740740737</v>
      </c>
      <c r="F122" s="225">
        <v>43097.748124999998</v>
      </c>
      <c r="G122" s="224">
        <v>61</v>
      </c>
      <c r="H122" s="226" t="s">
        <v>981</v>
      </c>
      <c r="I122" s="225">
        <v>43097.773981481485</v>
      </c>
      <c r="J122" s="224">
        <v>0</v>
      </c>
      <c r="K122" s="236" t="str">
        <f t="shared" si="35"/>
        <v>4055/4056</v>
      </c>
      <c r="L122" s="244" t="str">
        <f>VLOOKUP(A122,'Trips&amp;Operators'!$C$1:$G$99911,5,FALSE)</f>
        <v>LEVIN SCOTT</v>
      </c>
      <c r="M122" s="223">
        <f t="shared" si="36"/>
        <v>2.5856481486698613E-2</v>
      </c>
      <c r="N122" s="224">
        <f t="shared" si="56"/>
        <v>37.233333340846002</v>
      </c>
      <c r="O122" s="224"/>
      <c r="P122" s="224"/>
      <c r="Q122" s="227"/>
      <c r="R122" s="241"/>
      <c r="S122" s="248">
        <f t="shared" si="57"/>
        <v>1</v>
      </c>
      <c r="T122" s="241" t="str">
        <f t="shared" si="39"/>
        <v>Southbound</v>
      </c>
      <c r="U122" s="24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7" t="str">
        <f t="shared" si="40"/>
        <v>https://d0f6bd738d7f1b3e5a7ca70fe4ff75f0.us-east-1.aws.found.io/app/kibana#/discover/Steve-Slow-Train-Analysis-(2080s-and-2083s)?_g=(refreshInterval:(display:Off,pause:!f,section:0,value:0),time:(from:'2017-12-28T16:46:40-0700',mode:absolute,to:'2017-12-28T19:34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2" s="246" t="str">
        <f>IF(AA122&lt;VLOOKUP(AG122,Variables!$AC$3:$AD$8,2,FALSE),"Y","N")</f>
        <v>N</v>
      </c>
      <c r="X122" s="246">
        <f t="shared" si="60"/>
        <v>1</v>
      </c>
      <c r="Y122" s="246">
        <f t="shared" si="58"/>
        <v>23.299399999999999</v>
      </c>
      <c r="Z122" s="246">
        <f t="shared" si="59"/>
        <v>1.5599999999999999E-2</v>
      </c>
      <c r="AA122" s="246">
        <f t="shared" si="41"/>
        <v>23.283799999999999</v>
      </c>
      <c r="AB122" s="232" t="e">
        <f>VLOOKUP(A122,Enforcements!$C$7:$K$9,8,0)</f>
        <v>#N/A</v>
      </c>
      <c r="AC122" s="231" t="e">
        <f>VLOOKUP(A122,Enforcements!$C$7:$E$9,3,0)</f>
        <v>#N/A</v>
      </c>
      <c r="AD122" s="242">
        <f t="shared" si="42"/>
        <v>208</v>
      </c>
      <c r="AE122" s="234" t="str">
        <f t="shared" si="43"/>
        <v>aws s3 cp s3://rtdc.mdm.uploadarchive.raw/RTDC4055/ "%USERPROFILE%\AppData\Local\Temp\OnboardLogs"\RTDC4055\2017-12-28 --exclude "*" --recursive --include "*20171228*" &amp; "%USERPROFILE%\Documents\GitHub\mrs-test-scripts\Headless Mode &amp; Sideloading\WalkAndUnGZ.bat" "%USERPROFILE%\AppData\Local\Temp\OnboardLogs"\RTDC4055\2017-12-28 &amp; aws s3 cp s3://rtdc.mdm.uploadarchive.raw/RTDC4055/ "%USERPROFILE%\AppData\Local\Temp\OnboardLogs"\RTDC4055\2017-12-29 --exclude "*" --recursive --include "*20171229*" &amp; "%USERPROFILE%\Documents\GitHub\mrs-test-scripts\Headless Mode &amp; Sideloading\WalkAndUnGZ.bat" "%USERPROFILE%\AppData\Local\Temp\OnboardLogs"\RTDC4055\2017-12-29</v>
      </c>
      <c r="AF122" s="233" t="str">
        <f t="shared" si="44"/>
        <v>"C:\Program Files (x86)\AstroGrep\AstroGrep.exe" /e /r /s /spath="%USERPROFILE%\AppData\Local\Temp\OnboardLogs" /stypes="app*4055*201712290*" /stext=" 01:.+?(?&gt;(PRM\|1\|D)|(KPR)|(KDP)|(train st[a-z]+ moving)|(SYSTEM_STATE:s[a-z]+ state changed)|(Enforcement Action)|(\[TIMEOUT)|(parse_ebi_status: Penalty)|(\|GPPS))"</v>
      </c>
      <c r="AG122" s="243" t="str">
        <f t="shared" si="45"/>
        <v>EC</v>
      </c>
      <c r="AH122" s="235" t="str">
        <f t="shared" si="48"/>
        <v>"%USERPROFILE%\Documents\GitHub\eaglep3\Utilities\RefineRTDCRunTimes.py" --tripid 208-28 --locoid 4055 --swversion DE.1.0.9.0 --startMP 204:232994 --initTime 2017-12-28T17:46:40 --startdatetime 2017-12-28T17:57:18 --delay 61 --endMP 204:156 --enddatetime 2017-12-28T18:34:32 --enforcementcount 0 &gt;&gt;%USERPROFILE%\Documents\GitHub\eaglep3-reporting\EC\2017-12-28-refined-times.txt</v>
      </c>
      <c r="AI122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{"issue":{"subject":"","project_id":79,"tracker_id":40,"status_id":1,"priority_id":2,"assigned_to_id":338,"start_date":"2017-12-28","description":"","custom_fields":[{"id":1,"name":"Subdivision","value":"EC"},{"id":4,"name":"Milepost","value":"0.0156"},{"id":17,"name":"Train ID","value":"208-28"},{"id":16,"name":"Locomotive ID","value":"4055"},{"id":130,"name":"Impact","value":""},{"id":150,"name":"Time of Event (Mountain Time)","value":"18:34:32"},{"id":151,"name":"Denver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0"/>
      <c r="AL122" s="230"/>
      <c r="AM122" s="239" t="str">
        <f t="shared" si="50"/>
        <v>start /low /b %USERPROFILE%\Documents\GitHub\eaglep3\Utilities\DownloadLogsFromS3.py --loco 4055 --day 2017-12-28</v>
      </c>
      <c r="AN122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01:34:32"},{"id":29,"name":"Sharepoint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29" t="str">
        <f t="shared" si="52"/>
        <v>https://d0f6bd738d7f1b3e5a7ca70fe4ff75f0.us-east-1.aws.found.io/app/kibana#/discover/Steve-Slow-Train-Analysis-(2080s-and-2083s)?_g=(refreshInterval:(display:Off,pause:!f,section:0,value:0),time:(from:'2017-12-28T16:46:40-0700',mode:absolute,to:'2017-12-28T19:34:32-0700'))&amp;_a=(columns:!('Message%20ID',Summary),filters:!(),index:'emp_*',interval:auto,query:(query_string:(analyze_wildcard:!t,query:'%22rtdc.l.rtdc.4055%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28" t="s">
        <v>849</v>
      </c>
      <c r="B123" s="224">
        <v>4062</v>
      </c>
      <c r="C123" s="226" t="s">
        <v>192</v>
      </c>
      <c r="D123" s="226" t="s">
        <v>492</v>
      </c>
      <c r="E123" s="225">
        <v>43097.714629629627</v>
      </c>
      <c r="F123" s="225">
        <v>43097.718946759262</v>
      </c>
      <c r="G123" s="224">
        <v>229</v>
      </c>
      <c r="H123" s="226" t="s">
        <v>537</v>
      </c>
      <c r="I123" s="225">
        <v>43097.744791666664</v>
      </c>
      <c r="J123" s="224">
        <v>0</v>
      </c>
      <c r="K123" s="236" t="str">
        <f t="shared" si="35"/>
        <v>4061/4062</v>
      </c>
      <c r="L123" s="244" t="str">
        <f>VLOOKUP(A123,'Trips&amp;Operators'!$C$1:$G$99911,5,FALSE)</f>
        <v>LORI SANTOS</v>
      </c>
      <c r="M123" s="223">
        <f t="shared" si="36"/>
        <v>2.5844907402643003E-2</v>
      </c>
      <c r="N123" s="224">
        <f t="shared" si="56"/>
        <v>37.216666659805924</v>
      </c>
      <c r="O123" s="224"/>
      <c r="P123" s="224"/>
      <c r="Q123" s="227"/>
      <c r="R123" s="241"/>
      <c r="S123" s="248">
        <f t="shared" si="57"/>
        <v>1</v>
      </c>
      <c r="T123" s="241" t="str">
        <f t="shared" si="39"/>
        <v>NorthBound</v>
      </c>
      <c r="U123" s="24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7" t="str">
        <f t="shared" si="40"/>
        <v>https://d0f6bd738d7f1b3e5a7ca70fe4ff75f0.us-east-1.aws.found.io/app/kibana#/discover/Steve-Slow-Train-Analysis-(2080s-and-2083s)?_g=(refreshInterval:(display:Off,pause:!f,section:0,value:0),time:(from:'2017-12-28T16:09:04-0700',mode:absolute,to:'2017-12-28T18:52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3" s="246" t="str">
        <f>IF(AA123&lt;VLOOKUP(AG123,Variables!$AC$3:$AD$8,2,FALSE),"Y","N")</f>
        <v>N</v>
      </c>
      <c r="X123" s="246">
        <f t="shared" si="60"/>
        <v>1</v>
      </c>
      <c r="Y123" s="246">
        <f t="shared" si="58"/>
        <v>5.3100000000000001E-2</v>
      </c>
      <c r="Z123" s="246">
        <f t="shared" si="59"/>
        <v>23.329699999999999</v>
      </c>
      <c r="AA123" s="246">
        <f t="shared" si="41"/>
        <v>23.276599999999998</v>
      </c>
      <c r="AB123" s="232" t="e">
        <f>VLOOKUP(A123,Enforcements!$C$7:$K$9,8,0)</f>
        <v>#N/A</v>
      </c>
      <c r="AC123" s="231" t="e">
        <f>VLOOKUP(A123,Enforcements!$C$7:$E$9,3,0)</f>
        <v>#N/A</v>
      </c>
      <c r="AD123" s="242">
        <f t="shared" si="42"/>
        <v>209</v>
      </c>
      <c r="AE123" s="234" t="str">
        <f t="shared" si="43"/>
        <v>aws s3 cp s3://rtdc.mdm.uploadarchive.raw/RTDC4062/ "%USERPROFILE%\AppData\Local\Temp\OnboardLogs"\RTDC4062\2017-12-28 --exclude "*" --recursive --include "*20171228*" &amp; "%USERPROFILE%\Documents\GitHub\mrs-test-scripts\Headless Mode &amp; Sideloading\WalkAndUnGZ.bat" "%USERPROFILE%\AppData\Local\Temp\OnboardLogs"\RTDC4062\2017-12-28 &amp; aws s3 cp s3://rtdc.mdm.uploadarchive.raw/RTDC4062/ "%USERPROFILE%\AppData\Local\Temp\OnboardLogs"\RTDC4062\2017-12-29 --exclude "*" --recursive --include "*20171229*" &amp; "%USERPROFILE%\Documents\GitHub\mrs-test-scripts\Headless Mode &amp; Sideloading\WalkAndUnGZ.bat" "%USERPROFILE%\AppData\Local\Temp\OnboardLogs"\RTDC4062\2017-12-29</v>
      </c>
      <c r="AF123" s="233" t="str">
        <f t="shared" si="44"/>
        <v>"C:\Program Files (x86)\AstroGrep\AstroGrep.exe" /e /r /s /spath="%USERPROFILE%\AppData\Local\Temp\OnboardLogs" /stypes="app*4062*201712290*" /stext=" 00:.+?(?&gt;(PRM\|1\|D)|(KPR)|(KDP)|(train st[a-z]+ moving)|(SYSTEM_STATE:s[a-z]+ state changed)|(Enforcement Action)|(\[TIMEOUT)|(parse_ebi_status: Penalty)|(\|GPPS))"</v>
      </c>
      <c r="AG123" s="243" t="str">
        <f t="shared" si="45"/>
        <v>EC</v>
      </c>
      <c r="AH123" s="235" t="str">
        <f t="shared" si="48"/>
        <v>"%USERPROFILE%\Documents\GitHub\eaglep3\Utilities\RefineRTDCRunTimes.py" --tripid 209-28 --locoid 4062 --swversion DE.1.0.9.0 --startMP 204:531 --initTime 2017-12-28T17:09:04 --startdatetime 2017-12-28T17:15:17 --delay 229 --endMP 204:233297 --enddatetime 2017-12-28T17:52:30 --enforcementcount 0 &gt;&gt;%USERPROFILE%\Documents\GitHub\eaglep3-reporting\EC\2017-12-28-refined-times.txt</v>
      </c>
      <c r="AI123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{"issue":{"subject":"","project_id":79,"tracker_id":40,"status_id":1,"priority_id":2,"assigned_to_id":338,"start_date":"2017-12-28","description":"","custom_fields":[{"id":1,"name":"Subdivision","value":"EC"},{"id":4,"name":"Milepost","value":"23.3297"},{"id":17,"name":"Train ID","value":"209-28"},{"id":16,"name":"Locomotive ID","value":"4062"},{"id":130,"name":"Impact","value":""},{"id":150,"name":"Time of Event (Mountain Time)","value":"17:52:30"},{"id":151,"name":"Denver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2"/>
      <c r="AK123" s="230"/>
      <c r="AL123" s="230"/>
      <c r="AM123" s="239" t="str">
        <f t="shared" si="50"/>
        <v>start /low /b %USERPROFILE%\Documents\GitHub\eaglep3\Utilities\DownloadLogsFromS3.py --loco 4062 --day 2017-12-28</v>
      </c>
      <c r="AN123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00:52:30"},{"id":29,"name":"Sharepoint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29" t="str">
        <f t="shared" si="52"/>
        <v>https://d0f6bd738d7f1b3e5a7ca70fe4ff75f0.us-east-1.aws.found.io/app/kibana#/discover/Steve-Slow-Train-Analysis-(2080s-and-2083s)?_g=(refreshInterval:(display:Off,pause:!f,section:0,value:0),time:(from:'2017-12-28T16:09:04-0700',mode:absolute,to:'2017-12-28T18:52:30-0700'))&amp;_a=(columns:!('Message%20ID',Summary),filters:!(),index:'emp_*',interval:auto,query:(query_string:(analyze_wildcard:!t,query:'%22rtdc.l.rtdc.4062%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2" customFormat="1" x14ac:dyDescent="0.25">
      <c r="A124" s="228" t="s">
        <v>860</v>
      </c>
      <c r="B124" s="224">
        <v>4061</v>
      </c>
      <c r="C124" s="226" t="s">
        <v>192</v>
      </c>
      <c r="D124" s="226" t="s">
        <v>647</v>
      </c>
      <c r="E124" s="225">
        <v>43097.749537037038</v>
      </c>
      <c r="F124" s="225">
        <v>43097.75854166667</v>
      </c>
      <c r="G124" s="224">
        <v>65</v>
      </c>
      <c r="H124" s="226" t="s">
        <v>503</v>
      </c>
      <c r="I124" s="225">
        <v>43097.78502314815</v>
      </c>
      <c r="J124" s="224">
        <v>0</v>
      </c>
      <c r="K124" s="236" t="str">
        <f t="shared" si="35"/>
        <v>4061/4062</v>
      </c>
      <c r="L124" s="244" t="str">
        <f>VLOOKUP(A124,'Trips&amp;Operators'!$C$1:$G$99911,5,FALSE)</f>
        <v>LORI SANTOS</v>
      </c>
      <c r="M124" s="223">
        <f t="shared" si="36"/>
        <v>2.6481481480004732E-2</v>
      </c>
      <c r="N124" s="224">
        <f t="shared" si="56"/>
        <v>38.133333331206813</v>
      </c>
      <c r="O124" s="224"/>
      <c r="P124" s="224"/>
      <c r="Q124" s="227"/>
      <c r="R124" s="241"/>
      <c r="S124" s="248">
        <f t="shared" si="57"/>
        <v>1</v>
      </c>
      <c r="T124" s="241" t="str">
        <f t="shared" si="39"/>
        <v>Southbound</v>
      </c>
      <c r="U124" s="24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7" t="str">
        <f t="shared" si="40"/>
        <v>https://d0f6bd738d7f1b3e5a7ca70fe4ff75f0.us-east-1.aws.found.io/app/kibana#/discover/Steve-Slow-Train-Analysis-(2080s-and-2083s)?_g=(refreshInterval:(display:Off,pause:!f,section:0,value:0),time:(from:'2017-12-28T16:59:20-0700',mode:absolute,to:'2017-12-28T19:50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4" s="246" t="str">
        <f>IF(AA124&lt;VLOOKUP(AG124,Variables!$AC$3:$AD$8,2,FALSE),"Y","N")</f>
        <v>N</v>
      </c>
      <c r="X124" s="246">
        <f t="shared" si="60"/>
        <v>1</v>
      </c>
      <c r="Y124" s="246">
        <f t="shared" si="58"/>
        <v>23.297499999999999</v>
      </c>
      <c r="Z124" s="246">
        <f t="shared" si="59"/>
        <v>2.0899999999999998E-2</v>
      </c>
      <c r="AA124" s="246">
        <f t="shared" si="41"/>
        <v>23.276599999999998</v>
      </c>
      <c r="AB124" s="232" t="e">
        <f>VLOOKUP(A124,Enforcements!$C$7:$K$9,8,0)</f>
        <v>#N/A</v>
      </c>
      <c r="AC124" s="231" t="e">
        <f>VLOOKUP(A124,Enforcements!$C$7:$E$9,3,0)</f>
        <v>#N/A</v>
      </c>
      <c r="AD124" s="242">
        <f t="shared" si="42"/>
        <v>210</v>
      </c>
      <c r="AE124" s="234" t="str">
        <f t="shared" si="43"/>
        <v>aws s3 cp s3://rtdc.mdm.uploadarchive.raw/RTDC4061/ "%USERPROFILE%\AppData\Local\Temp\OnboardLogs"\RTDC4061\2017-12-28 --exclude "*" --recursive --include "*20171228*" &amp; "%USERPROFILE%\Documents\GitHub\mrs-test-scripts\Headless Mode &amp; Sideloading\WalkAndUnGZ.bat" "%USERPROFILE%\AppData\Local\Temp\OnboardLogs"\RTDC4061\2017-12-28 &amp; aws s3 cp s3://rtdc.mdm.uploadarchive.raw/RTDC4061/ "%USERPROFILE%\AppData\Local\Temp\OnboardLogs"\RTDC4061\2017-12-29 --exclude "*" --recursive --include "*20171229*" &amp; "%USERPROFILE%\Documents\GitHub\mrs-test-scripts\Headless Mode &amp; Sideloading\WalkAndUnGZ.bat" "%USERPROFILE%\AppData\Local\Temp\OnboardLogs"\RTDC4061\2017-12-29</v>
      </c>
      <c r="AF124" s="233" t="str">
        <f t="shared" si="44"/>
        <v>"C:\Program Files (x86)\AstroGrep\AstroGrep.exe" /e /r /s /spath="%USERPROFILE%\AppData\Local\Temp\OnboardLogs" /stypes="app*4061*201712290*" /stext=" 01:.+?(?&gt;(PRM\|1\|D)|(KPR)|(KDP)|(train st[a-z]+ moving)|(SYSTEM_STATE:s[a-z]+ state changed)|(Enforcement Action)|(\[TIMEOUT)|(parse_ebi_status: Penalty)|(\|GPPS))"</v>
      </c>
      <c r="AG124" s="243" t="str">
        <f t="shared" si="45"/>
        <v>EC</v>
      </c>
      <c r="AH124" s="235" t="str">
        <f t="shared" si="48"/>
        <v>"%USERPROFILE%\Documents\GitHub\eaglep3\Utilities\RefineRTDCRunTimes.py" --tripid 210-28 --locoid 4061 --swversion DE.1.0.9.0 --startMP 204:232975 --initTime 2017-12-28T17:59:20 --startdatetime 2017-12-28T18:12:18 --delay 65 --endMP 204:209 --enddatetime 2017-12-28T18:50:26 --enforcementcount 0 &gt;&gt;%USERPROFILE%\Documents\GitHub\eaglep3-reporting\EC\2017-12-28-refined-times.txt</v>
      </c>
      <c r="AI124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{"issue":{"subject":"","project_id":79,"tracker_id":40,"status_id":1,"priority_id":2,"assigned_to_id":338,"start_date":"2017-12-28","description":"","custom_fields":[{"id":1,"name":"Subdivision","value":"EC"},{"id":4,"name":"Milepost","value":"0.0209"},{"id":17,"name":"Train ID","value":"210-28"},{"id":16,"name":"Locomotive ID","value":"4061"},{"id":130,"name":"Impact","value":""},{"id":150,"name":"Time of Event (Mountain Time)","value":"18:50:26"},{"id":151,"name":"Denver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0"/>
      <c r="AL124" s="230"/>
      <c r="AM124" s="239" t="str">
        <f t="shared" si="50"/>
        <v>start /low /b %USERPROFILE%\Documents\GitHub\eaglep3\Utilities\DownloadLogsFromS3.py --loco 4061 --day 2017-12-28</v>
      </c>
      <c r="AN124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01:50:26"},{"id":29,"name":"Sharepoint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29" t="str">
        <f t="shared" si="52"/>
        <v>https://d0f6bd738d7f1b3e5a7ca70fe4ff75f0.us-east-1.aws.found.io/app/kibana#/discover/Steve-Slow-Train-Analysis-(2080s-and-2083s)?_g=(refreshInterval:(display:Off,pause:!f,section:0,value:0),time:(from:'2017-12-28T16:59:20-0700',mode:absolute,to:'2017-12-28T19:50:26-0700'))&amp;_a=(columns:!('Message%20ID',Summary),filters:!(),index:'emp_*',interval:auto,query:(query_string:(analyze_wildcard:!t,query:'%22rtdc.l.rtdc.4061%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2" customFormat="1" x14ac:dyDescent="0.25">
      <c r="A125" s="228" t="s">
        <v>851</v>
      </c>
      <c r="B125" s="224">
        <v>4004</v>
      </c>
      <c r="C125" s="226" t="s">
        <v>192</v>
      </c>
      <c r="D125" s="226" t="s">
        <v>658</v>
      </c>
      <c r="E125" s="225">
        <v>43097.72625</v>
      </c>
      <c r="F125" s="225">
        <v>43097.729375000003</v>
      </c>
      <c r="G125" s="224">
        <v>55</v>
      </c>
      <c r="H125" s="226" t="s">
        <v>478</v>
      </c>
      <c r="I125" s="225">
        <v>43097.754710648151</v>
      </c>
      <c r="J125" s="224">
        <v>0</v>
      </c>
      <c r="K125" s="236" t="str">
        <f t="shared" si="35"/>
        <v>4003/4004</v>
      </c>
      <c r="L125" s="244" t="str">
        <f>VLOOKUP(A125,'Trips&amp;Operators'!$C$1:$G$99911,5,FALSE)</f>
        <v>ROBINSON KADDIBA</v>
      </c>
      <c r="M125" s="223">
        <f t="shared" si="36"/>
        <v>2.5335648148029577E-2</v>
      </c>
      <c r="N125" s="224">
        <f t="shared" si="56"/>
        <v>36.483333333162591</v>
      </c>
      <c r="O125" s="224"/>
      <c r="P125" s="224"/>
      <c r="Q125" s="227"/>
      <c r="R125" s="241"/>
      <c r="S125" s="248">
        <f t="shared" si="57"/>
        <v>1</v>
      </c>
      <c r="T125" s="241" t="str">
        <f t="shared" si="39"/>
        <v>NorthBound</v>
      </c>
      <c r="U125" s="24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7" t="str">
        <f t="shared" si="40"/>
        <v>https://d0f6bd738d7f1b3e5a7ca70fe4ff75f0.us-east-1.aws.found.io/app/kibana#/discover/Steve-Slow-Train-Analysis-(2080s-and-2083s)?_g=(refreshInterval:(display:Off,pause:!f,section:0,value:0),time:(from:'2017-12-28T16:25:48-0700',mode:absolute,to:'2017-12-28T19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5" s="246" t="str">
        <f>IF(AA125&lt;VLOOKUP(AG125,Variables!$AC$3:$AD$8,2,FALSE),"Y","N")</f>
        <v>N</v>
      </c>
      <c r="X125" s="246">
        <f t="shared" si="60"/>
        <v>1</v>
      </c>
      <c r="Y125" s="246">
        <f t="shared" si="58"/>
        <v>4.9500000000000002E-2</v>
      </c>
      <c r="Z125" s="246">
        <f t="shared" si="59"/>
        <v>23.329499999999999</v>
      </c>
      <c r="AA125" s="246">
        <f t="shared" si="41"/>
        <v>23.28</v>
      </c>
      <c r="AB125" s="232" t="e">
        <f>VLOOKUP(A125,Enforcements!$C$7:$K$9,8,0)</f>
        <v>#N/A</v>
      </c>
      <c r="AC125" s="231" t="e">
        <f>VLOOKUP(A125,Enforcements!$C$7:$E$9,3,0)</f>
        <v>#N/A</v>
      </c>
      <c r="AD125" s="242">
        <f t="shared" si="42"/>
        <v>211</v>
      </c>
      <c r="AE125" s="234" t="str">
        <f t="shared" si="43"/>
        <v>aws s3 cp s3://rtdc.mdm.uploadarchive.raw/RTDC4004/ "%USERPROFILE%\AppData\Local\Temp\OnboardLogs"\RTDC4004\2017-12-28 --exclude "*" --recursive --include "*20171228*" &amp; "%USERPROFILE%\Documents\GitHub\mrs-test-scripts\Headless Mode &amp; Sideloading\WalkAndUnGZ.bat" "%USERPROFILE%\AppData\Local\Temp\OnboardLogs"\RTDC4004\2017-12-28 &amp; aws s3 cp s3://rtdc.mdm.uploadarchive.raw/RTDC4004/ "%USERPROFILE%\AppData\Local\Temp\OnboardLogs"\RTDC4004\2017-12-29 --exclude "*" --recursive --include "*20171229*" &amp; "%USERPROFILE%\Documents\GitHub\mrs-test-scripts\Headless Mode &amp; Sideloading\WalkAndUnGZ.bat" "%USERPROFILE%\AppData\Local\Temp\OnboardLogs"\RTDC4004\2017-12-29</v>
      </c>
      <c r="AF125" s="233" t="str">
        <f t="shared" si="44"/>
        <v>"C:\Program Files (x86)\AstroGrep\AstroGrep.exe" /e /r /s /spath="%USERPROFILE%\AppData\Local\Temp\OnboardLogs" /stypes="app*4004*201712290*" /stext=" 01:.+?(?&gt;(PRM\|1\|D)|(KPR)|(KDP)|(train st[a-z]+ moving)|(SYSTEM_STATE:s[a-z]+ state changed)|(Enforcement Action)|(\[TIMEOUT)|(parse_ebi_status: Penalty)|(\|GPPS))"</v>
      </c>
      <c r="AG125" s="243" t="str">
        <f t="shared" si="45"/>
        <v>EC</v>
      </c>
      <c r="AH125" s="235" t="str">
        <f t="shared" si="48"/>
        <v>"%USERPROFILE%\Documents\GitHub\eaglep3\Utilities\RefineRTDCRunTimes.py" --tripid 211-28 --locoid 4004 --swversion DE.1.0.9.0 --startMP 204:495 --initTime 2017-12-28T17:25:48 --startdatetime 2017-12-28T17:30:18 --delay 55 --endMP 204:233295 --enddatetime 2017-12-28T18:06:47 --enforcementcount 0 &gt;&gt;%USERPROFILE%\Documents\GitHub\eaglep3-reporting\EC\2017-12-28-refined-times.txt</v>
      </c>
      <c r="AI125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{"issue":{"subject":"","project_id":79,"tracker_id":40,"status_id":1,"priority_id":2,"assigned_to_id":338,"start_date":"2017-12-28","description":"","custom_fields":[{"id":1,"name":"Subdivision","value":"EC"},{"id":4,"name":"Milepost","value":"23.3295"},{"id":17,"name":"Train ID","value":"211-28"},{"id":16,"name":"Locomotive ID","value":"4004"},{"id":130,"name":"Impact","value":""},{"id":150,"name":"Time of Event (Mountain Time)","value":"18:06:47"},{"id":151,"name":"Denver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0"/>
      <c r="AL125" s="230"/>
      <c r="AM125" s="239" t="str">
        <f t="shared" si="50"/>
        <v>start /low /b %USERPROFILE%\Documents\GitHub\eaglep3\Utilities\DownloadLogsFromS3.py --loco 4004 --day 2017-12-28</v>
      </c>
      <c r="AN125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01:06:47"},{"id":29,"name":"Sharepoint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29" t="str">
        <f t="shared" si="52"/>
        <v>https://d0f6bd738d7f1b3e5a7ca70fe4ff75f0.us-east-1.aws.found.io/app/kibana#/discover/Steve-Slow-Train-Analysis-(2080s-and-2083s)?_g=(refreshInterval:(display:Off,pause:!f,section:0,value:0),time:(from:'2017-12-28T16:25:48-0700',mode:absolute,to:'2017-12-28T19:06:47-0700'))&amp;_a=(columns:!('Message%20ID',Summary),filters:!(),index:'emp_*',interval:auto,query:(query_string:(analyze_wildcard:!t,query:'%22rtdc.l.rtdc.4004%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2" customFormat="1" x14ac:dyDescent="0.25">
      <c r="A126" s="228" t="s">
        <v>865</v>
      </c>
      <c r="B126" s="224">
        <v>4003</v>
      </c>
      <c r="C126" s="226" t="s">
        <v>192</v>
      </c>
      <c r="D126" s="226" t="s">
        <v>570</v>
      </c>
      <c r="E126" s="225">
        <v>43097.755833333336</v>
      </c>
      <c r="F126" s="225">
        <v>43097.768946759257</v>
      </c>
      <c r="G126" s="224">
        <v>80</v>
      </c>
      <c r="H126" s="226" t="s">
        <v>524</v>
      </c>
      <c r="I126" s="225">
        <v>43097.795162037037</v>
      </c>
      <c r="J126" s="224">
        <v>0</v>
      </c>
      <c r="K126" s="236" t="str">
        <f t="shared" si="35"/>
        <v>4003/4004</v>
      </c>
      <c r="L126" s="244" t="str">
        <f>VLOOKUP(A126,'Trips&amp;Operators'!$C$1:$G$99911,5,FALSE)</f>
        <v>ROBINSON KADDIBA</v>
      </c>
      <c r="M126" s="223">
        <f t="shared" si="36"/>
        <v>2.6215277779556345E-2</v>
      </c>
      <c r="N126" s="224">
        <f t="shared" si="56"/>
        <v>37.750000002561137</v>
      </c>
      <c r="O126" s="224"/>
      <c r="P126" s="224"/>
      <c r="Q126" s="227"/>
      <c r="R126" s="241"/>
      <c r="S126" s="248">
        <f t="shared" si="57"/>
        <v>1</v>
      </c>
      <c r="T126" s="241" t="str">
        <f t="shared" si="39"/>
        <v>Southbound</v>
      </c>
      <c r="U126" s="24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7" t="str">
        <f t="shared" si="40"/>
        <v>https://d0f6bd738d7f1b3e5a7ca70fe4ff75f0.us-east-1.aws.found.io/app/kibana#/discover/Steve-Slow-Train-Analysis-(2080s-and-2083s)?_g=(refreshInterval:(display:Off,pause:!f,section:0,value:0),time:(from:'2017-12-28T17:08:24-0700',mode:absolute,to:'2017-12-28T20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6" s="246" t="str">
        <f>IF(AA126&lt;VLOOKUP(AG126,Variables!$AC$3:$AD$8,2,FALSE),"Y","N")</f>
        <v>N</v>
      </c>
      <c r="X126" s="246">
        <f t="shared" si="60"/>
        <v>1</v>
      </c>
      <c r="Y126" s="246">
        <f t="shared" si="58"/>
        <v>23.296399999999998</v>
      </c>
      <c r="Z126" s="246">
        <f t="shared" si="59"/>
        <v>2.0500000000000001E-2</v>
      </c>
      <c r="AA126" s="246">
        <f t="shared" si="41"/>
        <v>23.2759</v>
      </c>
      <c r="AB126" s="232" t="e">
        <f>VLOOKUP(A126,Enforcements!$C$7:$K$9,8,0)</f>
        <v>#N/A</v>
      </c>
      <c r="AC126" s="231" t="e">
        <f>VLOOKUP(A126,Enforcements!$C$7:$E$9,3,0)</f>
        <v>#N/A</v>
      </c>
      <c r="AD126" s="242">
        <f t="shared" si="42"/>
        <v>212</v>
      </c>
      <c r="AE126" s="234" t="str">
        <f t="shared" si="43"/>
        <v>aws s3 cp s3://rtdc.mdm.uploadarchive.raw/RTDC4003/ "%USERPROFILE%\AppData\Local\Temp\OnboardLogs"\RTDC4003\2017-12-28 --exclude "*" --recursive --include "*20171228*" &amp; "%USERPROFILE%\Documents\GitHub\mrs-test-scripts\Headless Mode &amp; Sideloading\WalkAndUnGZ.bat" "%USERPROFILE%\AppData\Local\Temp\OnboardLogs"\RTDC4003\2017-12-28 &amp; aws s3 cp s3://rtdc.mdm.uploadarchive.raw/RTDC4003/ "%USERPROFILE%\AppData\Local\Temp\OnboardLogs"\RTDC4003\2017-12-29 --exclude "*" --recursive --include "*20171229*" &amp; "%USERPROFILE%\Documents\GitHub\mrs-test-scripts\Headless Mode &amp; Sideloading\WalkAndUnGZ.bat" "%USERPROFILE%\AppData\Local\Temp\OnboardLogs"\RTDC4003\2017-12-29</v>
      </c>
      <c r="AF126" s="233" t="str">
        <f t="shared" si="44"/>
        <v>"C:\Program Files (x86)\AstroGrep\AstroGrep.exe" /e /r /s /spath="%USERPROFILE%\AppData\Local\Temp\OnboardLogs" /stypes="app*4003*201712290*" /stext=" 02:.+?(?&gt;(PRM\|1\|D)|(KPR)|(KDP)|(train st[a-z]+ moving)|(SYSTEM_STATE:s[a-z]+ state changed)|(Enforcement Action)|(\[TIMEOUT)|(parse_ebi_status: Penalty)|(\|GPPS))"</v>
      </c>
      <c r="AG126" s="243" t="str">
        <f t="shared" si="45"/>
        <v>EC</v>
      </c>
      <c r="AH126" s="235" t="str">
        <f t="shared" si="48"/>
        <v>"%USERPROFILE%\Documents\GitHub\eaglep3\Utilities\RefineRTDCRunTimes.py" --tripid 212-28 --locoid 4003 --swversion DE.1.0.9.0 --startMP 204:232964 --initTime 2017-12-28T18:08:24 --startdatetime 2017-12-28T18:27:17 --delay 80 --endMP 204:205 --enddatetime 2017-12-28T19:05:02 --enforcementcount 0 &gt;&gt;%USERPROFILE%\Documents\GitHub\eaglep3-reporting\EC\2017-12-28-refined-times.txt</v>
      </c>
      <c r="AI126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{"issue":{"subject":"","project_id":79,"tracker_id":40,"status_id":1,"priority_id":2,"assigned_to_id":338,"start_date":"2017-12-28","description":"","custom_fields":[{"id":1,"name":"Subdivision","value":"EC"},{"id":4,"name":"Milepost","value":"0.0205"},{"id":17,"name":"Train ID","value":"212-28"},{"id":16,"name":"Locomotive ID","value":"4003"},{"id":130,"name":"Impact","value":""},{"id":150,"name":"Time of Event (Mountain Time)","value":"19:05:02"},{"id":151,"name":"Denver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0"/>
      <c r="AL126" s="230"/>
      <c r="AM126" s="239" t="str">
        <f t="shared" si="50"/>
        <v>start /low /b %USERPROFILE%\Documents\GitHub\eaglep3\Utilities\DownloadLogsFromS3.py --loco 4003 --day 2017-12-28</v>
      </c>
      <c r="AN126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02:05:02"},{"id":29,"name":"Sharepoint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29" t="str">
        <f t="shared" si="52"/>
        <v>https://d0f6bd738d7f1b3e5a7ca70fe4ff75f0.us-east-1.aws.found.io/app/kibana#/discover/Steve-Slow-Train-Analysis-(2080s-and-2083s)?_g=(refreshInterval:(display:Off,pause:!f,section:0,value:0),time:(from:'2017-12-28T17:08:24-0700',mode:absolute,to:'2017-12-28T20:05:02-0700'))&amp;_a=(columns:!('Message%20ID',Summary),filters:!(),index:'emp_*',interval:auto,query:(query_string:(analyze_wildcard:!t,query:'%22rtdc.l.rtdc.4003%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2" customFormat="1" x14ac:dyDescent="0.25">
      <c r="A127" s="228" t="s">
        <v>856</v>
      </c>
      <c r="B127" s="224">
        <v>4042</v>
      </c>
      <c r="C127" s="226" t="s">
        <v>192</v>
      </c>
      <c r="D127" s="226" t="s">
        <v>540</v>
      </c>
      <c r="E127" s="225">
        <v>43097.736956018518</v>
      </c>
      <c r="F127" s="225">
        <v>43097.739907407406</v>
      </c>
      <c r="G127" s="224">
        <v>138</v>
      </c>
      <c r="H127" s="226" t="s">
        <v>982</v>
      </c>
      <c r="I127" s="225">
        <v>43097.764965277776</v>
      </c>
      <c r="J127" s="224">
        <v>0</v>
      </c>
      <c r="K127" s="236" t="str">
        <f t="shared" si="35"/>
        <v>4041/4042</v>
      </c>
      <c r="L127" s="244" t="str">
        <f>VLOOKUP(A127,'Trips&amp;Operators'!$C$1:$G$99911,5,FALSE)</f>
        <v>LOZA FIDEL</v>
      </c>
      <c r="M127" s="223">
        <f t="shared" si="36"/>
        <v>2.5057870370801538E-2</v>
      </c>
      <c r="N127" s="224">
        <f t="shared" si="56"/>
        <v>36.083333333954215</v>
      </c>
      <c r="O127" s="224"/>
      <c r="P127" s="224"/>
      <c r="Q127" s="227"/>
      <c r="R127" s="241"/>
      <c r="S127" s="248">
        <f t="shared" si="57"/>
        <v>1</v>
      </c>
      <c r="T127" s="241" t="str">
        <f t="shared" si="39"/>
        <v>NorthBound</v>
      </c>
      <c r="U127" s="24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7" t="str">
        <f t="shared" si="40"/>
        <v>https://d0f6bd738d7f1b3e5a7ca70fe4ff75f0.us-east-1.aws.found.io/app/kibana#/discover/Steve-Slow-Train-Analysis-(2080s-and-2083s)?_g=(refreshInterval:(display:Off,pause:!f,section:0,value:0),time:(from:'2017-12-28T16:41:13-0700',mode:absolute,to:'2017-12-28T19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7" s="246" t="str">
        <f>IF(AA127&lt;VLOOKUP(AG127,Variables!$AC$3:$AD$8,2,FALSE),"Y","N")</f>
        <v>N</v>
      </c>
      <c r="X127" s="246">
        <f t="shared" si="60"/>
        <v>1</v>
      </c>
      <c r="Y127" s="246">
        <f t="shared" si="58"/>
        <v>5.0900000000000001E-2</v>
      </c>
      <c r="Z127" s="246">
        <f t="shared" si="59"/>
        <v>23.337199999999999</v>
      </c>
      <c r="AA127" s="246">
        <f t="shared" si="41"/>
        <v>23.286300000000001</v>
      </c>
      <c r="AB127" s="232" t="e">
        <f>VLOOKUP(A127,Enforcements!$C$7:$K$9,8,0)</f>
        <v>#N/A</v>
      </c>
      <c r="AC127" s="231" t="e">
        <f>VLOOKUP(A127,Enforcements!$C$7:$E$9,3,0)</f>
        <v>#N/A</v>
      </c>
      <c r="AD127" s="242">
        <f t="shared" si="42"/>
        <v>213</v>
      </c>
      <c r="AE127" s="234" t="str">
        <f t="shared" si="43"/>
        <v>aws s3 cp s3://rtdc.mdm.uploadarchive.raw/RTDC4042/ "%USERPROFILE%\AppData\Local\Temp\OnboardLogs"\RTDC4042\2017-12-28 --exclude "*" --recursive --include "*20171228*" &amp; "%USERPROFILE%\Documents\GitHub\mrs-test-scripts\Headless Mode &amp; Sideloading\WalkAndUnGZ.bat" "%USERPROFILE%\AppData\Local\Temp\OnboardLogs"\RTDC4042\2017-12-28 &amp; aws s3 cp s3://rtdc.mdm.uploadarchive.raw/RTDC4042/ "%USERPROFILE%\AppData\Local\Temp\OnboardLogs"\RTDC4042\2017-12-29 --exclude "*" --recursive --include "*20171229*" &amp; "%USERPROFILE%\Documents\GitHub\mrs-test-scripts\Headless Mode &amp; Sideloading\WalkAndUnGZ.bat" "%USERPROFILE%\AppData\Local\Temp\OnboardLogs"\RTDC4042\2017-12-29</v>
      </c>
      <c r="AF127" s="233" t="str">
        <f t="shared" si="44"/>
        <v>"C:\Program Files (x86)\AstroGrep\AstroGrep.exe" /e /r /s /spath="%USERPROFILE%\AppData\Local\Temp\OnboardLogs" /stypes="app*4042*201712290*" /stext=" 01:.+?(?&gt;(PRM\|1\|D)|(KPR)|(KDP)|(train st[a-z]+ moving)|(SYSTEM_STATE:s[a-z]+ state changed)|(Enforcement Action)|(\[TIMEOUT)|(parse_ebi_status: Penalty)|(\|GPPS))"</v>
      </c>
      <c r="AG127" s="243" t="str">
        <f t="shared" si="45"/>
        <v>EC</v>
      </c>
      <c r="AH127" s="235" t="str">
        <f t="shared" si="48"/>
        <v>"%USERPROFILE%\Documents\GitHub\eaglep3\Utilities\RefineRTDCRunTimes.py" --tripid 213-28 --locoid 4042 --swversion DE.1.0.9.0 --startMP 204:509 --initTime 2017-12-28T17:41:13 --startdatetime 2017-12-28T17:45:28 --delay 138 --endMP 204:233372 --enddatetime 2017-12-28T18:21:33 --enforcementcount 0 &gt;&gt;%USERPROFILE%\Documents\GitHub\eaglep3-reporting\EC\2017-12-28-refined-times.txt</v>
      </c>
      <c r="AI127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{"issue":{"subject":"","project_id":79,"tracker_id":40,"status_id":1,"priority_id":2,"assigned_to_id":338,"start_date":"2017-12-28","description":"","custom_fields":[{"id":1,"name":"Subdivision","value":"EC"},{"id":4,"name":"Milepost","value":"23.3372"},{"id":17,"name":"Train ID","value":"213-28"},{"id":16,"name":"Locomotive ID","value":"4042"},{"id":130,"name":"Impact","value":""},{"id":150,"name":"Time of Event (Mountain Time)","value":"18:21:33"},{"id":151,"name":"Denver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0"/>
      <c r="AL127" s="230"/>
      <c r="AM127" s="239" t="str">
        <f t="shared" si="50"/>
        <v>start /low /b %USERPROFILE%\Documents\GitHub\eaglep3\Utilities\DownloadLogsFromS3.py --loco 4042 --day 2017-12-28</v>
      </c>
      <c r="AN127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01:21:33"},{"id":29,"name":"Sharepoint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29" t="str">
        <f t="shared" si="52"/>
        <v>https://d0f6bd738d7f1b3e5a7ca70fe4ff75f0.us-east-1.aws.found.io/app/kibana#/discover/Steve-Slow-Train-Analysis-(2080s-and-2083s)?_g=(refreshInterval:(display:Off,pause:!f,section:0,value:0),time:(from:'2017-12-28T16:41:13-0700',mode:absolute,to:'2017-12-28T19:21:33-0700'))&amp;_a=(columns:!('Message%20ID',Summary),filters:!(),index:'emp_*',interval:auto,query:(query_string:(analyze_wildcard:!t,query:'%22rtdc.l.rtdc.4042%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28" t="s">
        <v>870</v>
      </c>
      <c r="B128" s="224">
        <v>4041</v>
      </c>
      <c r="C128" s="226" t="s">
        <v>192</v>
      </c>
      <c r="D128" s="226" t="s">
        <v>639</v>
      </c>
      <c r="E128" s="225">
        <v>43097.776782407411</v>
      </c>
      <c r="F128" s="225">
        <v>43097.77952546296</v>
      </c>
      <c r="G128" s="224">
        <v>63</v>
      </c>
      <c r="H128" s="226" t="s">
        <v>473</v>
      </c>
      <c r="I128" s="225">
        <v>43097.804861111108</v>
      </c>
      <c r="J128" s="224">
        <v>0</v>
      </c>
      <c r="K128" s="236" t="str">
        <f t="shared" si="35"/>
        <v>4041/4042</v>
      </c>
      <c r="L128" s="244" t="str">
        <f>VLOOKUP(A128,'Trips&amp;Operators'!$C$1:$G$99911,5,FALSE)</f>
        <v>LOZA FIDEL</v>
      </c>
      <c r="M128" s="223">
        <f t="shared" si="36"/>
        <v>2.5335648148029577E-2</v>
      </c>
      <c r="N128" s="224">
        <f t="shared" si="56"/>
        <v>36.483333333162591</v>
      </c>
      <c r="O128" s="224"/>
      <c r="P128" s="224"/>
      <c r="Q128" s="227"/>
      <c r="R128" s="241"/>
      <c r="S128" s="248">
        <f t="shared" si="57"/>
        <v>1</v>
      </c>
      <c r="T128" s="241" t="str">
        <f t="shared" si="39"/>
        <v>Southbound</v>
      </c>
      <c r="U128" s="24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7" t="str">
        <f t="shared" si="40"/>
        <v>https://d0f6bd738d7f1b3e5a7ca70fe4ff75f0.us-east-1.aws.found.io/app/kibana#/discover/Steve-Slow-Train-Analysis-(2080s-and-2083s)?_g=(refreshInterval:(display:Off,pause:!f,section:0,value:0),time:(from:'2017-12-28T17:38:34-0700',mode:absolute,to:'2017-12-28T20:19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8" s="246" t="str">
        <f>IF(AA128&lt;VLOOKUP(AG128,Variables!$AC$3:$AD$8,2,FALSE),"Y","N")</f>
        <v>N</v>
      </c>
      <c r="X128" s="246">
        <f t="shared" si="60"/>
        <v>1</v>
      </c>
      <c r="Y128" s="246">
        <f t="shared" si="58"/>
        <v>23.296500000000002</v>
      </c>
      <c r="Z128" s="246">
        <f t="shared" si="59"/>
        <v>1.9800000000000002E-2</v>
      </c>
      <c r="AA128" s="246">
        <f t="shared" si="41"/>
        <v>23.276700000000002</v>
      </c>
      <c r="AB128" s="232" t="e">
        <f>VLOOKUP(A128,Enforcements!$C$7:$K$9,8,0)</f>
        <v>#N/A</v>
      </c>
      <c r="AC128" s="231" t="e">
        <f>VLOOKUP(A128,Enforcements!$C$7:$E$9,3,0)</f>
        <v>#N/A</v>
      </c>
      <c r="AD128" s="242">
        <f t="shared" si="42"/>
        <v>214</v>
      </c>
      <c r="AE128" s="234" t="str">
        <f t="shared" si="43"/>
        <v>aws s3 cp s3://rtdc.mdm.uploadarchive.raw/RTDC4041/ "%USERPROFILE%\AppData\Local\Temp\OnboardLogs"\RTDC4041\2017-12-28 --exclude "*" --recursive --include "*20171228*" &amp; "%USERPROFILE%\Documents\GitHub\mrs-test-scripts\Headless Mode &amp; Sideloading\WalkAndUnGZ.bat" "%USERPROFILE%\AppData\Local\Temp\OnboardLogs"\RTDC4041\2017-12-28 &amp; aws s3 cp s3://rtdc.mdm.uploadarchive.raw/RTDC4041/ "%USERPROFILE%\AppData\Local\Temp\OnboardLogs"\RTDC4041\2017-12-29 --exclude "*" --recursive --include "*20171229*" &amp; "%USERPROFILE%\Documents\GitHub\mrs-test-scripts\Headless Mode &amp; Sideloading\WalkAndUnGZ.bat" "%USERPROFILE%\AppData\Local\Temp\OnboardLogs"\RTDC4041\2017-12-29</v>
      </c>
      <c r="AF128" s="233" t="str">
        <f t="shared" si="44"/>
        <v>"C:\Program Files (x86)\AstroGrep\AstroGrep.exe" /e /r /s /spath="%USERPROFILE%\AppData\Local\Temp\OnboardLogs" /stypes="app*4041*201712290*" /stext=" 02:.+?(?&gt;(PRM\|1\|D)|(KPR)|(KDP)|(train st[a-z]+ moving)|(SYSTEM_STATE:s[a-z]+ state changed)|(Enforcement Action)|(\[TIMEOUT)|(parse_ebi_status: Penalty)|(\|GPPS))"</v>
      </c>
      <c r="AG128" s="243" t="str">
        <f t="shared" si="45"/>
        <v>EC</v>
      </c>
      <c r="AH128" s="235" t="str">
        <f t="shared" si="48"/>
        <v>"%USERPROFILE%\Documents\GitHub\eaglep3\Utilities\RefineRTDCRunTimes.py" --tripid 214-28 --locoid 4041 --swversion DE.1.0.9.0 --startMP 204:232965 --initTime 2017-12-28T18:38:34 --startdatetime 2017-12-28T18:42:31 --delay 63 --endMP 204:198 --enddatetime 2017-12-28T19:19:00 --enforcementcount 0 &gt;&gt;%USERPROFILE%\Documents\GitHub\eaglep3-reporting\EC\2017-12-28-refined-times.txt</v>
      </c>
      <c r="AI128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{"issue":{"subject":"","project_id":79,"tracker_id":40,"status_id":1,"priority_id":2,"assigned_to_id":338,"start_date":"2017-12-28","description":"","custom_fields":[{"id":1,"name":"Subdivision","value":"EC"},{"id":4,"name":"Milepost","value":"0.0198"},{"id":17,"name":"Train ID","value":"214-28"},{"id":16,"name":"Locomotive ID","value":"4041"},{"id":130,"name":"Impact","value":""},{"id":150,"name":"Time of Event (Mountain Time)","value":"19:19:00"},{"id":151,"name":"Denver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2"/>
      <c r="AK128" s="230"/>
      <c r="AL128" s="230"/>
      <c r="AM128" s="239" t="str">
        <f t="shared" si="50"/>
        <v>start /low /b %USERPROFILE%\Documents\GitHub\eaglep3\Utilities\DownloadLogsFromS3.py --loco 4041 --day 2017-12-28</v>
      </c>
      <c r="AN128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02:19:00"},{"id":29,"name":"Sharepoint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29" t="str">
        <f t="shared" si="52"/>
        <v>https://d0f6bd738d7f1b3e5a7ca70fe4ff75f0.us-east-1.aws.found.io/app/kibana#/discover/Steve-Slow-Train-Analysis-(2080s-and-2083s)?_g=(refreshInterval:(display:Off,pause:!f,section:0,value:0),time:(from:'2017-12-28T17:38:34-0700',mode:absolute,to:'2017-12-28T20:19:00-0700'))&amp;_a=(columns:!('Message%20ID',Summary),filters:!(),index:'emp_*',interval:auto,query:(query_string:(analyze_wildcard:!t,query:'%22rtdc.l.rtdc.4041%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228" t="s">
        <v>858</v>
      </c>
      <c r="B129" s="224">
        <v>4064</v>
      </c>
      <c r="C129" s="226" t="s">
        <v>192</v>
      </c>
      <c r="D129" s="226" t="s">
        <v>934</v>
      </c>
      <c r="E129" s="225">
        <v>43097.744791666664</v>
      </c>
      <c r="F129" s="225">
        <v>43097.750162037039</v>
      </c>
      <c r="G129" s="224">
        <v>105</v>
      </c>
      <c r="H129" s="226" t="s">
        <v>537</v>
      </c>
      <c r="I129" s="225">
        <v>43097.774814814817</v>
      </c>
      <c r="J129" s="224">
        <v>0</v>
      </c>
      <c r="K129" s="236" t="str">
        <f t="shared" si="35"/>
        <v>4063/4064</v>
      </c>
      <c r="L129" s="244" t="str">
        <f>VLOOKUP(A129,'Trips&amp;Operators'!$C$1:$G$99911,5,FALSE)</f>
        <v>ZEWDU DEREJE</v>
      </c>
      <c r="M129" s="223">
        <f t="shared" si="36"/>
        <v>2.4652777778101154E-2</v>
      </c>
      <c r="N129" s="224">
        <f t="shared" si="56"/>
        <v>35.500000000465661</v>
      </c>
      <c r="O129" s="224"/>
      <c r="P129" s="224"/>
      <c r="Q129" s="227"/>
      <c r="R129" s="241"/>
      <c r="S129" s="248">
        <f t="shared" si="57"/>
        <v>1</v>
      </c>
      <c r="T129" s="241" t="str">
        <f t="shared" si="39"/>
        <v>NorthBound</v>
      </c>
      <c r="U129" s="24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7" t="str">
        <f t="shared" si="40"/>
        <v>https://d0f6bd738d7f1b3e5a7ca70fe4ff75f0.us-east-1.aws.found.io/app/kibana#/discover/Steve-Slow-Train-Analysis-(2080s-and-2083s)?_g=(refreshInterval:(display:Off,pause:!f,section:0,value:0),time:(from:'2017-12-28T16:52:30-0700',mode:absolute,to:'2017-12-28T19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9" s="246" t="str">
        <f>IF(AA129&lt;VLOOKUP(AG129,Variables!$AC$3:$AD$8,2,FALSE),"Y","N")</f>
        <v>N</v>
      </c>
      <c r="X129" s="246">
        <f t="shared" si="60"/>
        <v>1</v>
      </c>
      <c r="Y129" s="246">
        <f t="shared" si="58"/>
        <v>5.1299999999999998E-2</v>
      </c>
      <c r="Z129" s="246">
        <f t="shared" si="59"/>
        <v>23.329699999999999</v>
      </c>
      <c r="AA129" s="246">
        <f t="shared" si="41"/>
        <v>23.278399999999998</v>
      </c>
      <c r="AB129" s="232" t="e">
        <f>VLOOKUP(A129,Enforcements!$C$7:$K$9,8,0)</f>
        <v>#N/A</v>
      </c>
      <c r="AC129" s="231" t="e">
        <f>VLOOKUP(A129,Enforcements!$C$7:$E$9,3,0)</f>
        <v>#N/A</v>
      </c>
      <c r="AD129" s="242">
        <f t="shared" si="42"/>
        <v>215</v>
      </c>
      <c r="AE129" s="234" t="str">
        <f t="shared" si="43"/>
        <v>aws s3 cp s3://rtdc.mdm.uploadarchive.raw/RTDC4064/ "%USERPROFILE%\AppData\Local\Temp\OnboardLogs"\RTDC4064\2017-12-28 --exclude "*" --recursive --include "*20171228*" &amp; "%USERPROFILE%\Documents\GitHub\mrs-test-scripts\Headless Mode &amp; Sideloading\WalkAndUnGZ.bat" "%USERPROFILE%\AppData\Local\Temp\OnboardLogs"\RTDC4064\2017-12-28 &amp; aws s3 cp s3://rtdc.mdm.uploadarchive.raw/RTDC4064/ "%USERPROFILE%\AppData\Local\Temp\OnboardLogs"\RTDC4064\2017-12-29 --exclude "*" --recursive --include "*20171229*" &amp; "%USERPROFILE%\Documents\GitHub\mrs-test-scripts\Headless Mode &amp; Sideloading\WalkAndUnGZ.bat" "%USERPROFILE%\AppData\Local\Temp\OnboardLogs"\RTDC4064\2017-12-29</v>
      </c>
      <c r="AF129" s="233" t="str">
        <f t="shared" si="44"/>
        <v>"C:\Program Files (x86)\AstroGrep\AstroGrep.exe" /e /r /s /spath="%USERPROFILE%\AppData\Local\Temp\OnboardLogs" /stypes="app*4064*201712290*" /stext=" 01:.+?(?&gt;(PRM\|1\|D)|(KPR)|(KDP)|(train st[a-z]+ moving)|(SYSTEM_STATE:s[a-z]+ state changed)|(Enforcement Action)|(\[TIMEOUT)|(parse_ebi_status: Penalty)|(\|GPPS))"</v>
      </c>
      <c r="AG129" s="243" t="str">
        <f t="shared" si="45"/>
        <v>EC</v>
      </c>
      <c r="AH129" s="235" t="str">
        <f t="shared" si="48"/>
        <v>"%USERPROFILE%\Documents\GitHub\eaglep3\Utilities\RefineRTDCRunTimes.py" --tripid 215-28 --locoid 4064 --swversion DE.1.0.9.0 --startMP 204:513 --initTime 2017-12-28T17:52:30 --startdatetime 2017-12-28T18:00:14 --delay 105 --endMP 204:233297 --enddatetime 2017-12-28T18:35:44 --enforcementcount 0 &gt;&gt;%USERPROFILE%\Documents\GitHub\eaglep3-reporting\EC\2017-12-28-refined-times.txt</v>
      </c>
      <c r="AI129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{"issue":{"subject":"","project_id":79,"tracker_id":40,"status_id":1,"priority_id":2,"assigned_to_id":338,"start_date":"2017-12-28","description":"","custom_fields":[{"id":1,"name":"Subdivision","value":"EC"},{"id":4,"name":"Milepost","value":"23.3297"},{"id":17,"name":"Train ID","value":"215-28"},{"id":16,"name":"Locomotive ID","value":"4064"},{"id":130,"name":"Impact","value":""},{"id":150,"name":"Time of Event (Mountain Time)","value":"18:35:44"},{"id":151,"name":"Denver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2"/>
      <c r="AK129" s="230"/>
      <c r="AL129" s="230"/>
      <c r="AM129" s="239" t="str">
        <f t="shared" si="50"/>
        <v>start /low /b %USERPROFILE%\Documents\GitHub\eaglep3\Utilities\DownloadLogsFromS3.py --loco 4064 --day 2017-12-28</v>
      </c>
      <c r="AN129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01:35:44"},{"id":29,"name":"Sharepoint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29" t="str">
        <f t="shared" si="52"/>
        <v>https://d0f6bd738d7f1b3e5a7ca70fe4ff75f0.us-east-1.aws.found.io/app/kibana#/discover/Steve-Slow-Train-Analysis-(2080s-and-2083s)?_g=(refreshInterval:(display:Off,pause:!f,section:0,value:0),time:(from:'2017-12-28T16:52:30-0700',mode:absolute,to:'2017-12-28T19:35:44-0700'))&amp;_a=(columns:!('Message%20ID',Summary),filters:!(),index:'emp_*',interval:auto,query:(query_string:(analyze_wildcard:!t,query:'%22rtdc.l.rtdc.4064%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2" customFormat="1" x14ac:dyDescent="0.25">
      <c r="A130" s="228" t="s">
        <v>871</v>
      </c>
      <c r="B130" s="224">
        <v>4063</v>
      </c>
      <c r="C130" s="226" t="s">
        <v>192</v>
      </c>
      <c r="D130" s="226" t="s">
        <v>939</v>
      </c>
      <c r="E130" s="225">
        <v>43097.784826388888</v>
      </c>
      <c r="F130" s="225">
        <v>43097.789953703701</v>
      </c>
      <c r="G130" s="224">
        <v>81</v>
      </c>
      <c r="H130" s="226" t="s">
        <v>653</v>
      </c>
      <c r="I130" s="225">
        <v>43097.817094907405</v>
      </c>
      <c r="J130" s="224">
        <v>0</v>
      </c>
      <c r="K130" s="236" t="str">
        <f t="shared" si="35"/>
        <v>4063/4064</v>
      </c>
      <c r="L130" s="244" t="str">
        <f>VLOOKUP(A130,'Trips&amp;Operators'!$C$1:$G$99911,5,FALSE)</f>
        <v>ZEWDU DEREJE</v>
      </c>
      <c r="M130" s="223">
        <f t="shared" si="36"/>
        <v>2.7141203703649808E-2</v>
      </c>
      <c r="N130" s="224">
        <f t="shared" si="56"/>
        <v>39.083333333255723</v>
      </c>
      <c r="O130" s="224"/>
      <c r="P130" s="224"/>
      <c r="Q130" s="227"/>
      <c r="R130" s="241"/>
      <c r="S130" s="248">
        <f t="shared" si="57"/>
        <v>1</v>
      </c>
      <c r="T130" s="241" t="str">
        <f t="shared" si="39"/>
        <v>Southbound</v>
      </c>
      <c r="U130" s="24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7" t="str">
        <f t="shared" si="40"/>
        <v>https://d0f6bd738d7f1b3e5a7ca70fe4ff75f0.us-east-1.aws.found.io/app/kibana#/discover/Steve-Slow-Train-Analysis-(2080s-and-2083s)?_g=(refreshInterval:(display:Off,pause:!f,section:0,value:0),time:(from:'2017-12-28T17:50:09-0700',mode:absolute,to:'2017-12-28T20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0" s="246" t="str">
        <f>IF(AA130&lt;VLOOKUP(AG130,Variables!$AC$3:$AD$8,2,FALSE),"Y","N")</f>
        <v>N</v>
      </c>
      <c r="X130" s="246">
        <f t="shared" si="60"/>
        <v>1</v>
      </c>
      <c r="Y130" s="246">
        <f t="shared" si="58"/>
        <v>23.298300000000001</v>
      </c>
      <c r="Z130" s="246">
        <f t="shared" si="59"/>
        <v>2.29E-2</v>
      </c>
      <c r="AA130" s="246">
        <f t="shared" si="41"/>
        <v>23.275400000000001</v>
      </c>
      <c r="AB130" s="232" t="e">
        <f>VLOOKUP(A130,Enforcements!$C$7:$K$9,8,0)</f>
        <v>#N/A</v>
      </c>
      <c r="AC130" s="231" t="e">
        <f>VLOOKUP(A130,Enforcements!$C$7:$E$9,3,0)</f>
        <v>#N/A</v>
      </c>
      <c r="AD130" s="242">
        <f t="shared" si="42"/>
        <v>216</v>
      </c>
      <c r="AE130" s="234" t="str">
        <f t="shared" si="43"/>
        <v>aws s3 cp s3://rtdc.mdm.uploadarchive.raw/RTDC4063/ "%USERPROFILE%\AppData\Local\Temp\OnboardLogs"\RTDC4063\2017-12-28 --exclude "*" --recursive --include "*20171228*" &amp; "%USERPROFILE%\Documents\GitHub\mrs-test-scripts\Headless Mode &amp; Sideloading\WalkAndUnGZ.bat" "%USERPROFILE%\AppData\Local\Temp\OnboardLogs"\RTDC4063\2017-12-28 &amp; aws s3 cp s3://rtdc.mdm.uploadarchive.raw/RTDC4063/ "%USERPROFILE%\AppData\Local\Temp\OnboardLogs"\RTDC4063\2017-12-29 --exclude "*" --recursive --include "*20171229*" &amp; "%USERPROFILE%\Documents\GitHub\mrs-test-scripts\Headless Mode &amp; Sideloading\WalkAndUnGZ.bat" "%USERPROFILE%\AppData\Local\Temp\OnboardLogs"\RTDC4063\2017-12-29</v>
      </c>
      <c r="AF130" s="233" t="str">
        <f t="shared" si="44"/>
        <v>"C:\Program Files (x86)\AstroGrep\AstroGrep.exe" /e /r /s /spath="%USERPROFILE%\AppData\Local\Temp\OnboardLogs" /stypes="app*4063*201712290*" /stext=" 02:.+?(?&gt;(PRM\|1\|D)|(KPR)|(KDP)|(train st[a-z]+ moving)|(SYSTEM_STATE:s[a-z]+ state changed)|(Enforcement Action)|(\[TIMEOUT)|(parse_ebi_status: Penalty)|(\|GPPS))"</v>
      </c>
      <c r="AG130" s="243" t="str">
        <f t="shared" si="45"/>
        <v>EC</v>
      </c>
      <c r="AH130" s="235" t="str">
        <f t="shared" si="48"/>
        <v>"%USERPROFILE%\Documents\GitHub\eaglep3\Utilities\RefineRTDCRunTimes.py" --tripid 216-28 --locoid 4063 --swversion DE.1.0.9.0 --startMP 204:232983 --initTime 2017-12-28T18:50:09 --startdatetime 2017-12-28T18:57:32 --delay 81 --endMP 204:229 --enddatetime 2017-12-28T19:36:37 --enforcementcount 0 &gt;&gt;%USERPROFILE%\Documents\GitHub\eaglep3-reporting\EC\2017-12-28-refined-times.txt</v>
      </c>
      <c r="AI130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{"issue":{"subject":"","project_id":79,"tracker_id":40,"status_id":1,"priority_id":2,"assigned_to_id":338,"start_date":"2017-12-28","description":"","custom_fields":[{"id":1,"name":"Subdivision","value":"EC"},{"id":4,"name":"Milepost","value":"0.0229"},{"id":17,"name":"Train ID","value":"216-28"},{"id":16,"name":"Locomotive ID","value":"4063"},{"id":130,"name":"Impact","value":""},{"id":150,"name":"Time of Event (Mountain Time)","value":"19:36:37"},{"id":151,"name":"Denver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0"/>
      <c r="AL130" s="230"/>
      <c r="AM130" s="239" t="str">
        <f t="shared" si="50"/>
        <v>start /low /b %USERPROFILE%\Documents\GitHub\eaglep3\Utilities\DownloadLogsFromS3.py --loco 4063 --day 2017-12-28</v>
      </c>
      <c r="AN130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02:36:37"},{"id":29,"name":"Sharepoint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29" t="str">
        <f t="shared" si="52"/>
        <v>https://d0f6bd738d7f1b3e5a7ca70fe4ff75f0.us-east-1.aws.found.io/app/kibana#/discover/Steve-Slow-Train-Analysis-(2080s-and-2083s)?_g=(refreshInterval:(display:Off,pause:!f,section:0,value:0),time:(from:'2017-12-28T17:50:09-0700',mode:absolute,to:'2017-12-28T20:36:37-0700'))&amp;_a=(columns:!('Message%20ID',Summary),filters:!(),index:'emp_*',interval:auto,query:(query_string:(analyze_wildcard:!t,query:'%22rtdc.l.rtdc.4063%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2" customFormat="1" x14ac:dyDescent="0.25">
      <c r="A131" s="228" t="s">
        <v>862</v>
      </c>
      <c r="B131" s="224">
        <v>4014</v>
      </c>
      <c r="C131" s="226" t="s">
        <v>192</v>
      </c>
      <c r="D131" s="226" t="s">
        <v>525</v>
      </c>
      <c r="E131" s="225">
        <v>43097.754155092596</v>
      </c>
      <c r="F131" s="225">
        <v>43097.760601851849</v>
      </c>
      <c r="G131" s="224">
        <v>119</v>
      </c>
      <c r="H131" s="226" t="s">
        <v>951</v>
      </c>
      <c r="I131" s="225">
        <v>43097.785682870373</v>
      </c>
      <c r="J131" s="224">
        <v>0</v>
      </c>
      <c r="K131" s="236" t="str">
        <f t="shared" si="35"/>
        <v>4013/4014</v>
      </c>
      <c r="L131" s="244" t="str">
        <f>VLOOKUP(A131,'Trips&amp;Operators'!$C$1:$G$99911,5,FALSE)</f>
        <v>ELBAUM MIKE</v>
      </c>
      <c r="M131" s="223">
        <f t="shared" si="36"/>
        <v>2.5081018524360843E-2</v>
      </c>
      <c r="N131" s="224">
        <f t="shared" si="56"/>
        <v>36.116666675079614</v>
      </c>
      <c r="O131" s="224"/>
      <c r="P131" s="224"/>
      <c r="Q131" s="227"/>
      <c r="R131" s="241"/>
      <c r="S131" s="248">
        <f t="shared" si="57"/>
        <v>1</v>
      </c>
      <c r="T131" s="241" t="str">
        <f t="shared" si="39"/>
        <v>NorthBound</v>
      </c>
      <c r="U131" s="24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7" t="str">
        <f t="shared" si="40"/>
        <v>https://d0f6bd738d7f1b3e5a7ca70fe4ff75f0.us-east-1.aws.found.io/app/kibana#/discover/Steve-Slow-Train-Analysis-(2080s-and-2083s)?_g=(refreshInterval:(display:Off,pause:!f,section:0,value:0),time:(from:'2017-12-28T17:05:59-0700',mode:absolute,to:'2017-12-28T19:51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1" s="246" t="str">
        <f>IF(AA131&lt;VLOOKUP(AG131,Variables!$AC$3:$AD$8,2,FALSE),"Y","N")</f>
        <v>N</v>
      </c>
      <c r="X131" s="246">
        <f t="shared" si="60"/>
        <v>1</v>
      </c>
      <c r="Y131" s="246">
        <f t="shared" si="58"/>
        <v>5.1900000000000002E-2</v>
      </c>
      <c r="Z131" s="246">
        <f t="shared" si="59"/>
        <v>23.328800000000001</v>
      </c>
      <c r="AA131" s="246">
        <f t="shared" si="41"/>
        <v>23.276900000000001</v>
      </c>
      <c r="AB131" s="232" t="e">
        <f>VLOOKUP(A131,Enforcements!$C$7:$K$9,8,0)</f>
        <v>#N/A</v>
      </c>
      <c r="AC131" s="231" t="e">
        <f>VLOOKUP(A131,Enforcements!$C$7:$E$9,3,0)</f>
        <v>#N/A</v>
      </c>
      <c r="AD131" s="242">
        <f t="shared" si="42"/>
        <v>217</v>
      </c>
      <c r="AE131" s="234" t="str">
        <f t="shared" si="43"/>
        <v>aws s3 cp s3://rtdc.mdm.uploadarchive.raw/RTDC4014/ "%USERPROFILE%\AppData\Local\Temp\OnboardLogs"\RTDC4014\2017-12-28 --exclude "*" --recursive --include "*20171228*" &amp; "%USERPROFILE%\Documents\GitHub\mrs-test-scripts\Headless Mode &amp; Sideloading\WalkAndUnGZ.bat" "%USERPROFILE%\AppData\Local\Temp\OnboardLogs"\RTDC4014\2017-12-28 &amp; aws s3 cp s3://rtdc.mdm.uploadarchive.raw/RTDC4014/ "%USERPROFILE%\AppData\Local\Temp\OnboardLogs"\RTDC4014\2017-12-29 --exclude "*" --recursive --include "*20171229*" &amp; "%USERPROFILE%\Documents\GitHub\mrs-test-scripts\Headless Mode &amp; Sideloading\WalkAndUnGZ.bat" "%USERPROFILE%\AppData\Local\Temp\OnboardLogs"\RTDC4014\2017-12-29</v>
      </c>
      <c r="AF131" s="233" t="str">
        <f t="shared" si="44"/>
        <v>"C:\Program Files (x86)\AstroGrep\AstroGrep.exe" /e /r /s /spath="%USERPROFILE%\AppData\Local\Temp\OnboardLogs" /stypes="app*4014*201712290*" /stext=" 01:.+?(?&gt;(PRM\|1\|D)|(KPR)|(KDP)|(train st[a-z]+ moving)|(SYSTEM_STATE:s[a-z]+ state changed)|(Enforcement Action)|(\[TIMEOUT)|(parse_ebi_status: Penalty)|(\|GPPS))"</v>
      </c>
      <c r="AG131" s="243" t="str">
        <f t="shared" si="45"/>
        <v>EC</v>
      </c>
      <c r="AH131" s="235" t="str">
        <f t="shared" si="48"/>
        <v>"%USERPROFILE%\Documents\GitHub\eaglep3\Utilities\RefineRTDCRunTimes.py" --tripid 217-28 --locoid 4014 --swversion DE.1.0.9.0 --startMP 204:519 --initTime 2017-12-28T18:05:59 --startdatetime 2017-12-28T18:15:16 --delay 119 --endMP 204:233288 --enddatetime 2017-12-28T18:51:23 --enforcementcount 0 &gt;&gt;%USERPROFILE%\Documents\GitHub\eaglep3-reporting\EC\2017-12-28-refined-times.txt</v>
      </c>
      <c r="AI131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{"issue":{"subject":"","project_id":79,"tracker_id":40,"status_id":1,"priority_id":2,"assigned_to_id":338,"start_date":"2017-12-28","description":"","custom_fields":[{"id":1,"name":"Subdivision","value":"EC"},{"id":4,"name":"Milepost","value":"23.3288"},{"id":17,"name":"Train ID","value":"217-28"},{"id":16,"name":"Locomotive ID","value":"4014"},{"id":130,"name":"Impact","value":""},{"id":150,"name":"Time of Event (Mountain Time)","value":"18:51:23"},{"id":151,"name":"Denver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0"/>
      <c r="AL131" s="230"/>
      <c r="AM131" s="239" t="str">
        <f t="shared" si="50"/>
        <v>start /low /b %USERPROFILE%\Documents\GitHub\eaglep3\Utilities\DownloadLogsFromS3.py --loco 4014 --day 2017-12-28</v>
      </c>
      <c r="AN131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01:51:23"},{"id":29,"name":"Sharepoint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29" t="str">
        <f t="shared" si="52"/>
        <v>https://d0f6bd738d7f1b3e5a7ca70fe4ff75f0.us-east-1.aws.found.io/app/kibana#/discover/Steve-Slow-Train-Analysis-(2080s-and-2083s)?_g=(refreshInterval:(display:Off,pause:!f,section:0,value:0),time:(from:'2017-12-28T17:05:59-0700',mode:absolute,to:'2017-12-28T19:51:23-0700'))&amp;_a=(columns:!('Message%20ID',Summary),filters:!(),index:'emp_*',interval:auto,query:(query_string:(analyze_wildcard:!t,query:'%22rtdc.l.rtdc.4014%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228" t="s">
        <v>872</v>
      </c>
      <c r="B132" s="224">
        <v>4013</v>
      </c>
      <c r="C132" s="226" t="s">
        <v>192</v>
      </c>
      <c r="D132" s="226" t="s">
        <v>983</v>
      </c>
      <c r="E132" s="225">
        <v>43097.787083333336</v>
      </c>
      <c r="F132" s="225">
        <v>43097.800150462965</v>
      </c>
      <c r="G132" s="224">
        <v>88</v>
      </c>
      <c r="H132" s="226" t="s">
        <v>984</v>
      </c>
      <c r="I132" s="225">
        <v>43097.825289351851</v>
      </c>
      <c r="J132" s="224">
        <v>0</v>
      </c>
      <c r="K132" s="236" t="str">
        <f t="shared" si="35"/>
        <v>4013/4014</v>
      </c>
      <c r="L132" s="244" t="str">
        <f>VLOOKUP(A132,'Trips&amp;Operators'!$C$1:$G$99911,5,FALSE)</f>
        <v>ELBAUM MIKE</v>
      </c>
      <c r="M132" s="223">
        <f t="shared" si="36"/>
        <v>2.5138888886431232E-2</v>
      </c>
      <c r="N132" s="224">
        <f t="shared" si="56"/>
        <v>36.199999996460974</v>
      </c>
      <c r="O132" s="224"/>
      <c r="P132" s="224"/>
      <c r="Q132" s="227"/>
      <c r="R132" s="241"/>
      <c r="S132" s="248">
        <f t="shared" si="57"/>
        <v>1</v>
      </c>
      <c r="T132" s="241" t="str">
        <f t="shared" si="39"/>
        <v>Southbound</v>
      </c>
      <c r="U132" s="24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7" t="str">
        <f t="shared" si="40"/>
        <v>https://d0f6bd738d7f1b3e5a7ca70fe4ff75f0.us-east-1.aws.found.io/app/kibana#/discover/Steve-Slow-Train-Analysis-(2080s-and-2083s)?_g=(refreshInterval:(display:Off,pause:!f,section:0,value:0),time:(from:'2017-12-28T17:53:24-0700',mode:absolute,to:'2017-12-28T20:48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2" s="246" t="str">
        <f>IF(AA132&lt;VLOOKUP(AG132,Variables!$AC$3:$AD$8,2,FALSE),"Y","N")</f>
        <v>N</v>
      </c>
      <c r="X132" s="246">
        <f t="shared" si="60"/>
        <v>1</v>
      </c>
      <c r="Y132" s="246">
        <f t="shared" si="58"/>
        <v>23.297999999999998</v>
      </c>
      <c r="Z132" s="246">
        <f t="shared" si="59"/>
        <v>2.5100000000000001E-2</v>
      </c>
      <c r="AA132" s="246">
        <f t="shared" si="41"/>
        <v>23.2729</v>
      </c>
      <c r="AB132" s="232" t="e">
        <f>VLOOKUP(A132,Enforcements!$C$7:$K$9,8,0)</f>
        <v>#N/A</v>
      </c>
      <c r="AC132" s="231" t="e">
        <f>VLOOKUP(A132,Enforcements!$C$7:$E$9,3,0)</f>
        <v>#N/A</v>
      </c>
      <c r="AD132" s="242">
        <f t="shared" si="42"/>
        <v>218</v>
      </c>
      <c r="AE132" s="234" t="str">
        <f t="shared" si="43"/>
        <v>aws s3 cp s3://rtdc.mdm.uploadarchive.raw/RTDC4013/ "%USERPROFILE%\AppData\Local\Temp\OnboardLogs"\RTDC4013\2017-12-28 --exclude "*" --recursive --include "*20171228*" &amp; "%USERPROFILE%\Documents\GitHub\mrs-test-scripts\Headless Mode &amp; Sideloading\WalkAndUnGZ.bat" "%USERPROFILE%\AppData\Local\Temp\OnboardLogs"\RTDC4013\2017-12-28 &amp; aws s3 cp s3://rtdc.mdm.uploadarchive.raw/RTDC4013/ "%USERPROFILE%\AppData\Local\Temp\OnboardLogs"\RTDC4013\2017-12-29 --exclude "*" --recursive --include "*20171229*" &amp; "%USERPROFILE%\Documents\GitHub\mrs-test-scripts\Headless Mode &amp; Sideloading\WalkAndUnGZ.bat" "%USERPROFILE%\AppData\Local\Temp\OnboardLogs"\RTDC4013\2017-12-29</v>
      </c>
      <c r="AF132" s="233" t="str">
        <f t="shared" si="44"/>
        <v>"C:\Program Files (x86)\AstroGrep\AstroGrep.exe" /e /r /s /spath="%USERPROFILE%\AppData\Local\Temp\OnboardLogs" /stypes="app*4013*201712290*" /stext=" 02:.+?(?&gt;(PRM\|1\|D)|(KPR)|(KDP)|(train st[a-z]+ moving)|(SYSTEM_STATE:s[a-z]+ state changed)|(Enforcement Action)|(\[TIMEOUT)|(parse_ebi_status: Penalty)|(\|GPPS))"</v>
      </c>
      <c r="AG132" s="243" t="str">
        <f t="shared" si="45"/>
        <v>EC</v>
      </c>
      <c r="AH132" s="235" t="str">
        <f t="shared" si="48"/>
        <v>"%USERPROFILE%\Documents\GitHub\eaglep3\Utilities\RefineRTDCRunTimes.py" --tripid 218-28 --locoid 4013 --swversion DE.1.0.9.0 --startMP 204:232980 --initTime 2017-12-28T18:53:24 --startdatetime 2017-12-28T19:12:13 --delay 88 --endMP 204:251 --enddatetime 2017-12-28T19:48:25 --enforcementcount 0 &gt;&gt;%USERPROFILE%\Documents\GitHub\eaglep3-reporting\EC\2017-12-28-refined-times.txt</v>
      </c>
      <c r="AI132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{"issue":{"subject":"","project_id":79,"tracker_id":40,"status_id":1,"priority_id":2,"assigned_to_id":338,"start_date":"2017-12-28","description":"","custom_fields":[{"id":1,"name":"Subdivision","value":"EC"},{"id":4,"name":"Milepost","value":"0.0251"},{"id":17,"name":"Train ID","value":"218-28"},{"id":16,"name":"Locomotive ID","value":"4013"},{"id":130,"name":"Impact","value":""},{"id":150,"name":"Time of Event (Mountain Time)","value":"19:48:25"},{"id":151,"name":"Denver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2"/>
      <c r="AK132" s="230"/>
      <c r="AL132" s="230"/>
      <c r="AM132" s="239" t="str">
        <f t="shared" si="50"/>
        <v>start /low /b %USERPROFILE%\Documents\GitHub\eaglep3\Utilities\DownloadLogsFromS3.py --loco 4013 --day 2017-12-28</v>
      </c>
      <c r="AN132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02:48:25"},{"id":29,"name":"Sharepoint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29" t="str">
        <f t="shared" si="52"/>
        <v>https://d0f6bd738d7f1b3e5a7ca70fe4ff75f0.us-east-1.aws.found.io/app/kibana#/discover/Steve-Slow-Train-Analysis-(2080s-and-2083s)?_g=(refreshInterval:(display:Off,pause:!f,section:0,value:0),time:(from:'2017-12-28T17:53:24-0700',mode:absolute,to:'2017-12-28T20:48:25-0700'))&amp;_a=(columns:!('Message%20ID',Summary),filters:!(),index:'emp_*',interval:auto,query:(query_string:(analyze_wildcard:!t,query:'%22rtdc.l.rtdc.4013%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2" customFormat="1" x14ac:dyDescent="0.25">
      <c r="A133" s="228" t="s">
        <v>866</v>
      </c>
      <c r="B133" s="224">
        <v>4046</v>
      </c>
      <c r="C133" s="226" t="s">
        <v>192</v>
      </c>
      <c r="D133" s="226" t="s">
        <v>523</v>
      </c>
      <c r="E133" s="225">
        <v>43097.766770833332</v>
      </c>
      <c r="F133" s="225">
        <v>43097.771145833336</v>
      </c>
      <c r="G133" s="224">
        <v>163</v>
      </c>
      <c r="H133" s="226" t="s">
        <v>650</v>
      </c>
      <c r="I133" s="225">
        <v>43097.798368055555</v>
      </c>
      <c r="J133" s="224">
        <v>0</v>
      </c>
      <c r="K133" s="236" t="str">
        <f t="shared" si="35"/>
        <v>4045/4046</v>
      </c>
      <c r="L133" s="244" t="str">
        <f>VLOOKUP(A133,'Trips&amp;Operators'!$C$1:$G$99911,5,FALSE)</f>
        <v>NICHOLSON WESLEY</v>
      </c>
      <c r="M133" s="223">
        <f t="shared" si="36"/>
        <v>2.7222222219279502E-2</v>
      </c>
      <c r="N133" s="224">
        <f t="shared" si="56"/>
        <v>39.199999995762482</v>
      </c>
      <c r="O133" s="224"/>
      <c r="P133" s="224"/>
      <c r="Q133" s="227"/>
      <c r="R133" s="241"/>
      <c r="S133" s="248">
        <f t="shared" si="57"/>
        <v>1</v>
      </c>
      <c r="T133" s="241" t="str">
        <f t="shared" si="39"/>
        <v>NorthBound</v>
      </c>
      <c r="U133" s="24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7" t="str">
        <f t="shared" si="40"/>
        <v>https://d0f6bd738d7f1b3e5a7ca70fe4ff75f0.us-east-1.aws.found.io/app/kibana#/discover/Steve-Slow-Train-Analysis-(2080s-and-2083s)?_g=(refreshInterval:(display:Off,pause:!f,section:0,value:0),time:(from:'2017-12-28T17:24:09-0700',mode:absolute,to:'2017-12-28T20:09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3" s="246" t="str">
        <f>IF(AA133&lt;VLOOKUP(AG133,Variables!$AC$3:$AD$8,2,FALSE),"Y","N")</f>
        <v>N</v>
      </c>
      <c r="X133" s="246">
        <f t="shared" si="60"/>
        <v>1</v>
      </c>
      <c r="Y133" s="246">
        <f t="shared" si="58"/>
        <v>5.0599999999999999E-2</v>
      </c>
      <c r="Z133" s="246">
        <f t="shared" si="59"/>
        <v>23.321000000000002</v>
      </c>
      <c r="AA133" s="246">
        <f t="shared" si="41"/>
        <v>23.270400000000002</v>
      </c>
      <c r="AB133" s="232" t="e">
        <f>VLOOKUP(A133,Enforcements!$C$7:$K$9,8,0)</f>
        <v>#N/A</v>
      </c>
      <c r="AC133" s="231" t="e">
        <f>VLOOKUP(A133,Enforcements!$C$7:$E$9,3,0)</f>
        <v>#N/A</v>
      </c>
      <c r="AD133" s="242">
        <f t="shared" si="42"/>
        <v>219</v>
      </c>
      <c r="AE133" s="234" t="str">
        <f t="shared" si="43"/>
        <v>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 &amp; aws s3 cp s3://rtdc.mdm.uploadarchive.raw/RTDC4046/ "%USERPROFILE%\AppData\Local\Temp\OnboardLogs"\RTDC4046\2017-12-29 --exclude "*" --recursive --include "*20171229*" &amp; "%USERPROFILE%\Documents\GitHub\mrs-test-scripts\Headless Mode &amp; Sideloading\WalkAndUnGZ.bat" "%USERPROFILE%\AppData\Local\Temp\OnboardLogs"\RTDC4046\2017-12-29</v>
      </c>
      <c r="AF133" s="233" t="str">
        <f t="shared" si="44"/>
        <v>"C:\Program Files (x86)\AstroGrep\AstroGrep.exe" /e /r /s /spath="%USERPROFILE%\AppData\Local\Temp\OnboardLogs" /stypes="app*4046*201712290*" /stext=" 02:.+?(?&gt;(PRM\|1\|D)|(KPR)|(KDP)|(train st[a-z]+ moving)|(SYSTEM_STATE:s[a-z]+ state changed)|(Enforcement Action)|(\[TIMEOUT)|(parse_ebi_status: Penalty)|(\|GPPS))"</v>
      </c>
      <c r="AG133" s="243" t="str">
        <f t="shared" si="45"/>
        <v>EC</v>
      </c>
      <c r="AH133" s="235" t="str">
        <f t="shared" si="48"/>
        <v>"%USERPROFILE%\Documents\GitHub\eaglep3\Utilities\RefineRTDCRunTimes.py" --tripid 219-28 --locoid 4046 --swversion DE.1.0.9.0 --startMP 204:506 --initTime 2017-12-28T18:24:09 --startdatetime 2017-12-28T18:30:27 --delay 163 --endMP 204:233210 --enddatetime 2017-12-28T19:09:39 --enforcementcount 0 &gt;&gt;%USERPROFILE%\Documents\GitHub\eaglep3-reporting\EC\2017-12-28-refined-times.txt</v>
      </c>
      <c r="AI133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{"issue":{"subject":"","project_id":79,"tracker_id":40,"status_id":1,"priority_id":2,"assigned_to_id":338,"start_date":"2017-12-28","description":"","custom_fields":[{"id":1,"name":"Subdivision","value":"EC"},{"id":4,"name":"Milepost","value":"23.321"},{"id":17,"name":"Train ID","value":"219-28"},{"id":16,"name":"Locomotive ID","value":"4046"},{"id":130,"name":"Impact","value":""},{"id":150,"name":"Time of Event (Mountain Time)","value":"19:09:39"},{"id":151,"name":"Denver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0"/>
      <c r="AL133" s="230"/>
      <c r="AM133" s="239" t="str">
        <f t="shared" si="50"/>
        <v>start /low /b %USERPROFILE%\Documents\GitHub\eaglep3\Utilities\DownloadLogsFromS3.py --loco 4046 --day 2017-12-28</v>
      </c>
      <c r="AN133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02:09:39"},{"id":29,"name":"Sharepoint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29" t="str">
        <f t="shared" si="52"/>
        <v>https://d0f6bd738d7f1b3e5a7ca70fe4ff75f0.us-east-1.aws.found.io/app/kibana#/discover/Steve-Slow-Train-Analysis-(2080s-and-2083s)?_g=(refreshInterval:(display:Off,pause:!f,section:0,value:0),time:(from:'2017-12-28T17:24:09-0700',mode:absolute,to:'2017-12-28T20:09:39-0700'))&amp;_a=(columns:!('Message%20ID',Summary),filters:!(),index:'emp_*',interval:auto,query:(query_string:(analyze_wildcard:!t,query:'%22rtdc.l.rtdc.4046%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22" customFormat="1" x14ac:dyDescent="0.25">
      <c r="A134" s="228" t="s">
        <v>690</v>
      </c>
      <c r="B134" s="224">
        <v>4045</v>
      </c>
      <c r="C134" s="226" t="s">
        <v>192</v>
      </c>
      <c r="D134" s="226" t="s">
        <v>652</v>
      </c>
      <c r="E134" s="225">
        <v>43097.805659722224</v>
      </c>
      <c r="F134" s="225">
        <v>43097.810694444444</v>
      </c>
      <c r="G134" s="224">
        <v>140</v>
      </c>
      <c r="H134" s="226" t="s">
        <v>985</v>
      </c>
      <c r="I134" s="225">
        <v>43097.837476851855</v>
      </c>
      <c r="J134" s="224">
        <v>0</v>
      </c>
      <c r="K134" s="236" t="str">
        <f t="shared" si="35"/>
        <v>4045/4046</v>
      </c>
      <c r="L134" s="244" t="str">
        <f>VLOOKUP(A134,'Trips&amp;Operators'!$C$1:$G$99911,5,FALSE)</f>
        <v>NICHOLSON WESLEY</v>
      </c>
      <c r="M134" s="223">
        <f t="shared" si="36"/>
        <v>2.6782407410792075E-2</v>
      </c>
      <c r="N134" s="224">
        <f t="shared" si="56"/>
        <v>38.566666671540588</v>
      </c>
      <c r="O134" s="224"/>
      <c r="P134" s="224"/>
      <c r="Q134" s="227"/>
      <c r="R134" s="241" t="s">
        <v>1084</v>
      </c>
      <c r="S134" s="248">
        <f t="shared" si="57"/>
        <v>1</v>
      </c>
      <c r="T134" s="241" t="str">
        <f t="shared" si="39"/>
        <v>Southbound</v>
      </c>
      <c r="U134" s="24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7" t="str">
        <f t="shared" si="40"/>
        <v>https://d0f6bd738d7f1b3e5a7ca70fe4ff75f0.us-east-1.aws.found.io/app/kibana#/discover/Steve-Slow-Train-Analysis-(2080s-and-2083s)?_g=(refreshInterval:(display:Off,pause:!f,section:0,value:0),time:(from:'2017-12-28T18:20:09-0700',mode:absolute,to:'2017-12-28T21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4" s="246" t="str">
        <f>IF(AA134&lt;VLOOKUP(AG134,Variables!$AC$3:$AD$8,2,FALSE),"Y","N")</f>
        <v>N</v>
      </c>
      <c r="X134" s="246">
        <f t="shared" si="60"/>
        <v>1</v>
      </c>
      <c r="Y134" s="246">
        <f t="shared" si="58"/>
        <v>23.287400000000002</v>
      </c>
      <c r="Z134" s="246">
        <f t="shared" si="59"/>
        <v>9.9900000000000003E-2</v>
      </c>
      <c r="AA134" s="246">
        <f t="shared" si="41"/>
        <v>23.1875</v>
      </c>
      <c r="AB134" s="232" t="e">
        <f>VLOOKUP(A134,Enforcements!$C$7:$K$9,8,0)</f>
        <v>#N/A</v>
      </c>
      <c r="AC134" s="231" t="e">
        <f>VLOOKUP(A134,Enforcements!$C$7:$E$9,3,0)</f>
        <v>#N/A</v>
      </c>
      <c r="AD134" s="242">
        <f t="shared" si="42"/>
        <v>220</v>
      </c>
      <c r="AE134" s="234" t="str">
        <f t="shared" si="43"/>
        <v>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 &amp; aws s3 cp s3://rtdc.mdm.uploadarchive.raw/RTDC4045/ "%USERPROFILE%\AppData\Local\Temp\OnboardLogs"\RTDC4045\2017-12-29 --exclude "*" --recursive --include "*20171229*" &amp; "%USERPROFILE%\Documents\GitHub\mrs-test-scripts\Headless Mode &amp; Sideloading\WalkAndUnGZ.bat" "%USERPROFILE%\AppData\Local\Temp\OnboardLogs"\RTDC4045\2017-12-29</v>
      </c>
      <c r="AF134" s="233" t="str">
        <f t="shared" si="44"/>
        <v>"C:\Program Files (x86)\AstroGrep\AstroGrep.exe" /e /r /s /spath="%USERPROFILE%\AppData\Local\Temp\OnboardLogs" /stypes="app*4045*201712290*" /stext=" 03:.+?(?&gt;(PRM\|1\|D)|(KPR)|(KDP)|(train st[a-z]+ moving)|(SYSTEM_STATE:s[a-z]+ state changed)|(Enforcement Action)|(\[TIMEOUT)|(parse_ebi_status: Penalty)|(\|GPPS))"</v>
      </c>
      <c r="AG134" s="243" t="str">
        <f t="shared" si="45"/>
        <v>EC</v>
      </c>
      <c r="AH134" s="235" t="str">
        <f t="shared" si="48"/>
        <v>"%USERPROFILE%\Documents\GitHub\eaglep3\Utilities\RefineRTDCRunTimes.py" --tripid 220-28 --locoid 4045 --swversion DE.1.0.9.0 --startMP 204:232874 --initTime 2017-12-28T19:20:09 --startdatetime 2017-12-28T19:27:24 --delay 140 --endMP 204:999 --enddatetime 2017-12-28T20:05:58 --enforcementcount 0 &gt;&gt;%USERPROFILE%\Documents\GitHub\eaglep3-reporting\EC\2017-12-28-refined-times.txt</v>
      </c>
      <c r="AI134" s="237" t="str">
        <f t="shared" si="49"/>
        <v>echo {"issue":{"subject":"Unhealthy crossing @ Chambers due to train stop; Observed track warrant enforcement at end of trip (59104)","project_id":79,"tracker_id":40,"status_id":1,"priority_id":2,"assigned_to_id":338,"start_date":"2017-12-28","description":"","custom_fields":[{"id":1,"name":"Subdivision","value":"EC"},{"id":4,"name":"Milepost","value":"0.0999"},{"id":17,"name":"Train ID","value":"220-28"},{"id":16,"name":"Locomotive ID","value":"4045"},{"id":130,"name":"Impact","value":""},{"id":150,"name":"Time of Event (Mountain Time)","value":"20:05:58"},{"id":151,"name":"Denver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0"/>
      <c r="AL134" s="230"/>
      <c r="AM134" s="239" t="str">
        <f t="shared" si="50"/>
        <v>start /low /b %USERPROFILE%\Documents\GitHub\eaglep3\Utilities\DownloadLogsFromS3.py --loco 4045 --day 2017-12-28</v>
      </c>
      <c r="AN134" s="240" t="str">
        <f t="shared" si="51"/>
        <v>echo {"issue":{"subject":"Unhealthy crossing @ Chambers due to train stop; Observed track warrant enforcement at end of trip (59104)","project_id":30,"tracker_id":4,"status_id":1,"priority_id":1,"assigned_to_id":10,"start_date":"2017-12-29","description":"","custom_fields":[{"id":30,"name":"Category","value":"Issue"},{"id":3,"name":"Functional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03:05:58"},{"id":29,"name":"Sharepoint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29" t="str">
        <f t="shared" si="52"/>
        <v>https://d0f6bd738d7f1b3e5a7ca70fe4ff75f0.us-east-1.aws.found.io/app/kibana#/discover/Steve-Slow-Train-Analysis-(2080s-and-2083s)?_g=(refreshInterval:(display:Off,pause:!f,section:0,value:0),time:(from:'2017-12-28T18:20:09-0700',mode:absolute,to:'2017-12-28T21:05:58-0700'))&amp;_a=(columns:!('Message%20ID',Summary),filters:!(),index:'emp_*',interval:auto,query:(query_string:(analyze_wildcard:!t,query:'%22rtdc.l.rtdc.4045%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2" customFormat="1" x14ac:dyDescent="0.25">
      <c r="A135" s="228" t="s">
        <v>874</v>
      </c>
      <c r="B135" s="224">
        <v>4062</v>
      </c>
      <c r="C135" s="226" t="s">
        <v>192</v>
      </c>
      <c r="D135" s="226" t="s">
        <v>586</v>
      </c>
      <c r="E135" s="225">
        <v>43097.790196759262</v>
      </c>
      <c r="F135" s="225">
        <v>43097.79215277778</v>
      </c>
      <c r="G135" s="224">
        <v>70</v>
      </c>
      <c r="H135" s="226" t="s">
        <v>951</v>
      </c>
      <c r="I135" s="225">
        <v>43097.817025462966</v>
      </c>
      <c r="J135" s="224">
        <v>0</v>
      </c>
      <c r="K135" s="236" t="str">
        <f t="shared" si="35"/>
        <v>4061/4062</v>
      </c>
      <c r="L135" s="244" t="str">
        <f>VLOOKUP(A135,'Trips&amp;Operators'!$C$1:$G$99911,5,FALSE)</f>
        <v>ANDERS STEVEN</v>
      </c>
      <c r="M135" s="223">
        <f t="shared" si="36"/>
        <v>2.4872685185982846E-2</v>
      </c>
      <c r="N135" s="224">
        <f t="shared" si="56"/>
        <v>35.816666667815298</v>
      </c>
      <c r="O135" s="224"/>
      <c r="P135" s="224"/>
      <c r="Q135" s="227"/>
      <c r="R135" s="241"/>
      <c r="S135" s="248">
        <f t="shared" ref="S135:S166" si="61">1/IF(AG135="EC",12,1)*SUM(U135:U135)</f>
        <v>1</v>
      </c>
      <c r="T135" s="241" t="str">
        <f t="shared" si="39"/>
        <v>NorthBound</v>
      </c>
      <c r="U135" s="24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7" t="str">
        <f t="shared" si="40"/>
        <v>https://d0f6bd738d7f1b3e5a7ca70fe4ff75f0.us-east-1.aws.found.io/app/kibana#/discover/Steve-Slow-Train-Analysis-(2080s-and-2083s)?_g=(refreshInterval:(display:Off,pause:!f,section:0,value:0),time:(from:'2017-12-28T17:57:53-0700',mode:absolute,to:'2017-12-28T20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5" s="246" t="str">
        <f>IF(AA135&lt;VLOOKUP(AG135,Variables!$AC$3:$AD$8,2,FALSE),"Y","N")</f>
        <v>N</v>
      </c>
      <c r="X135" s="246">
        <f t="shared" si="60"/>
        <v>1</v>
      </c>
      <c r="Y135" s="246">
        <f t="shared" si="58"/>
        <v>5.3900000000000003E-2</v>
      </c>
      <c r="Z135" s="246">
        <f t="shared" si="59"/>
        <v>23.328800000000001</v>
      </c>
      <c r="AA135" s="246">
        <f t="shared" si="41"/>
        <v>23.274900000000002</v>
      </c>
      <c r="AB135" s="232" t="e">
        <f>VLOOKUP(A135,Enforcements!$C$7:$K$9,8,0)</f>
        <v>#N/A</v>
      </c>
      <c r="AC135" s="231" t="e">
        <f>VLOOKUP(A135,Enforcements!$C$7:$E$9,3,0)</f>
        <v>#N/A</v>
      </c>
      <c r="AD135" s="242">
        <f t="shared" si="42"/>
        <v>221</v>
      </c>
      <c r="AE135" s="234" t="str">
        <f t="shared" si="43"/>
        <v>aws s3 cp s3://rtdc.mdm.uploadarchive.raw/RTDC4062/ "%USERPROFILE%\AppData\Local\Temp\OnboardLogs"\RTDC4062\2017-12-28 --exclude "*" --recursive --include "*20171228*" &amp; "%USERPROFILE%\Documents\GitHub\mrs-test-scripts\Headless Mode &amp; Sideloading\WalkAndUnGZ.bat" "%USERPROFILE%\AppData\Local\Temp\OnboardLogs"\RTDC4062\2017-12-28 &amp; aws s3 cp s3://rtdc.mdm.uploadarchive.raw/RTDC4062/ "%USERPROFILE%\AppData\Local\Temp\OnboardLogs"\RTDC4062\2017-12-29 --exclude "*" --recursive --include "*20171229*" &amp; "%USERPROFILE%\Documents\GitHub\mrs-test-scripts\Headless Mode &amp; Sideloading\WalkAndUnGZ.bat" "%USERPROFILE%\AppData\Local\Temp\OnboardLogs"\RTDC4062\2017-12-29</v>
      </c>
      <c r="AF135" s="233" t="str">
        <f t="shared" si="44"/>
        <v>"C:\Program Files (x86)\AstroGrep\AstroGrep.exe" /e /r /s /spath="%USERPROFILE%\AppData\Local\Temp\OnboardLogs" /stypes="app*4062*201712290*" /stext=" 02:.+?(?&gt;(PRM\|1\|D)|(KPR)|(KDP)|(train st[a-z]+ moving)|(SYSTEM_STATE:s[a-z]+ state changed)|(Enforcement Action)|(\[TIMEOUT)|(parse_ebi_status: Penalty)|(\|GPPS))"</v>
      </c>
      <c r="AG135" s="243" t="str">
        <f t="shared" si="45"/>
        <v>EC</v>
      </c>
      <c r="AH135" s="235" t="str">
        <f t="shared" si="48"/>
        <v>"%USERPROFILE%\Documents\GitHub\eaglep3\Utilities\RefineRTDCRunTimes.py" --tripid 221-28 --locoid 4062 --swversion DE.1.0.9.0 --startMP 204:539 --initTime 2017-12-28T18:57:53 --startdatetime 2017-12-28T19:00:42 --delay 70 --endMP 204:233288 --enddatetime 2017-12-28T19:36:31 --enforcementcount 0 &gt;&gt;%USERPROFILE%\Documents\GitHub\eaglep3-reporting\EC\2017-12-28-refined-times.txt</v>
      </c>
      <c r="AI135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{"issue":{"subject":"","project_id":79,"tracker_id":40,"status_id":1,"priority_id":2,"assigned_to_id":338,"start_date":"2017-12-28","description":"","custom_fields":[{"id":1,"name":"Subdivision","value":"EC"},{"id":4,"name":"Milepost","value":"23.3288"},{"id":17,"name":"Train ID","value":"221-28"},{"id":16,"name":"Locomotive ID","value":"4062"},{"id":130,"name":"Impact","value":""},{"id":150,"name":"Time of Event (Mountain Time)","value":"19:36:31"},{"id":151,"name":"Denver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0"/>
      <c r="AL135" s="230"/>
      <c r="AM135" s="239" t="str">
        <f t="shared" si="50"/>
        <v>start /low /b %USERPROFILE%\Documents\GitHub\eaglep3\Utilities\DownloadLogsFromS3.py --loco 4062 --day 2017-12-28</v>
      </c>
      <c r="AN135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02:36:31"},{"id":29,"name":"Sharepoint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29" t="str">
        <f t="shared" si="52"/>
        <v>https://d0f6bd738d7f1b3e5a7ca70fe4ff75f0.us-east-1.aws.found.io/app/kibana#/discover/Steve-Slow-Train-Analysis-(2080s-and-2083s)?_g=(refreshInterval:(display:Off,pause:!f,section:0,value:0),time:(from:'2017-12-28T17:57:53-0700',mode:absolute,to:'2017-12-28T20:36:31-0700'))&amp;_a=(columns:!('Message%20ID',Summary),filters:!(),index:'emp_*',interval:auto,query:(query_string:(analyze_wildcard:!t,query:'%22rtdc.l.rtdc.4062%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2" customFormat="1" x14ac:dyDescent="0.25">
      <c r="A136" s="228" t="s">
        <v>880</v>
      </c>
      <c r="B136" s="224">
        <v>4061</v>
      </c>
      <c r="C136" s="226" t="s">
        <v>192</v>
      </c>
      <c r="D136" s="226" t="s">
        <v>480</v>
      </c>
      <c r="E136" s="225">
        <v>43097.829629629632</v>
      </c>
      <c r="F136" s="225">
        <v>43097.831562500003</v>
      </c>
      <c r="G136" s="224">
        <v>65</v>
      </c>
      <c r="H136" s="226" t="s">
        <v>526</v>
      </c>
      <c r="I136" s="225">
        <v>43097.857905092591</v>
      </c>
      <c r="J136" s="224">
        <v>0</v>
      </c>
      <c r="K136" s="236" t="str">
        <f t="shared" si="35"/>
        <v>4061/4062</v>
      </c>
      <c r="L136" s="244" t="str">
        <f>VLOOKUP(A136,'Trips&amp;Operators'!$C$1:$G$99911,5,FALSE)</f>
        <v>ANDERS STEVEN</v>
      </c>
      <c r="M136" s="223">
        <f t="shared" si="36"/>
        <v>2.6342592587752733E-2</v>
      </c>
      <c r="N136" s="224">
        <f t="shared" si="56"/>
        <v>37.933333326363936</v>
      </c>
      <c r="O136" s="224"/>
      <c r="P136" s="224"/>
      <c r="Q136" s="227"/>
      <c r="R136" s="241"/>
      <c r="S136" s="248">
        <f t="shared" si="61"/>
        <v>1</v>
      </c>
      <c r="T136" s="241" t="str">
        <f t="shared" si="39"/>
        <v>Southbound</v>
      </c>
      <c r="U136" s="24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7" t="str">
        <f t="shared" si="40"/>
        <v>https://d0f6bd738d7f1b3e5a7ca70fe4ff75f0.us-east-1.aws.found.io/app/kibana#/discover/Steve-Slow-Train-Analysis-(2080s-and-2083s)?_g=(refreshInterval:(display:Off,pause:!f,section:0,value:0),time:(from:'2017-12-28T18:54:40-0700',mode:absolute,to:'2017-12-28T21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6" s="246" t="str">
        <f>IF(AA136&lt;VLOOKUP(AG136,Variables!$AC$3:$AD$8,2,FALSE),"Y","N")</f>
        <v>N</v>
      </c>
      <c r="X136" s="246">
        <f t="shared" si="60"/>
        <v>1</v>
      </c>
      <c r="Y136" s="246">
        <f t="shared" si="58"/>
        <v>23.2959</v>
      </c>
      <c r="Z136" s="246">
        <f t="shared" si="59"/>
        <v>2.18E-2</v>
      </c>
      <c r="AA136" s="246">
        <f t="shared" si="41"/>
        <v>23.274100000000001</v>
      </c>
      <c r="AB136" s="232" t="e">
        <f>VLOOKUP(A136,Enforcements!$C$7:$K$9,8,0)</f>
        <v>#N/A</v>
      </c>
      <c r="AC136" s="231" t="e">
        <f>VLOOKUP(A136,Enforcements!$C$7:$E$9,3,0)</f>
        <v>#N/A</v>
      </c>
      <c r="AD136" s="242">
        <f t="shared" si="42"/>
        <v>222</v>
      </c>
      <c r="AE136" s="234" t="str">
        <f t="shared" si="43"/>
        <v>aws s3 cp s3://rtdc.mdm.uploadarchive.raw/RTDC4061/ "%USERPROFILE%\AppData\Local\Temp\OnboardLogs"\RTDC4061\2017-12-28 --exclude "*" --recursive --include "*20171228*" &amp; "%USERPROFILE%\Documents\GitHub\mrs-test-scripts\Headless Mode &amp; Sideloading\WalkAndUnGZ.bat" "%USERPROFILE%\AppData\Local\Temp\OnboardLogs"\RTDC4061\2017-12-28 &amp; aws s3 cp s3://rtdc.mdm.uploadarchive.raw/RTDC4061/ "%USERPROFILE%\AppData\Local\Temp\OnboardLogs"\RTDC4061\2017-12-29 --exclude "*" --recursive --include "*20171229*" &amp; "%USERPROFILE%\Documents\GitHub\mrs-test-scripts\Headless Mode &amp; Sideloading\WalkAndUnGZ.bat" "%USERPROFILE%\AppData\Local\Temp\OnboardLogs"\RTDC4061\2017-12-29</v>
      </c>
      <c r="AF136" s="233" t="str">
        <f t="shared" si="44"/>
        <v>"C:\Program Files (x86)\AstroGrep\AstroGrep.exe" /e /r /s /spath="%USERPROFILE%\AppData\Local\Temp\OnboardLogs" /stypes="app*4061*201712290*" /stext=" 03:.+?(?&gt;(PRM\|1\|D)|(KPR)|(KDP)|(train st[a-z]+ moving)|(SYSTEM_STATE:s[a-z]+ state changed)|(Enforcement Action)|(\[TIMEOUT)|(parse_ebi_status: Penalty)|(\|GPPS))"</v>
      </c>
      <c r="AG136" s="243" t="str">
        <f t="shared" si="45"/>
        <v>EC</v>
      </c>
      <c r="AH136" s="235" t="str">
        <f t="shared" si="48"/>
        <v>"%USERPROFILE%\Documents\GitHub\eaglep3\Utilities\RefineRTDCRunTimes.py" --tripid 222-28 --locoid 4061 --swversion DE.1.0.9.0 --startMP 204:232959 --initTime 2017-12-28T19:54:40 --startdatetime 2017-12-28T19:57:27 --delay 65 --endMP 204:218 --enddatetime 2017-12-28T20:35:23 --enforcementcount 0 &gt;&gt;%USERPROFILE%\Documents\GitHub\eaglep3-reporting\EC\2017-12-28-refined-times.txt</v>
      </c>
      <c r="AI136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{"issue":{"subject":"","project_id":79,"tracker_id":40,"status_id":1,"priority_id":2,"assigned_to_id":338,"start_date":"2017-12-28","description":"","custom_fields":[{"id":1,"name":"Subdivision","value":"EC"},{"id":4,"name":"Milepost","value":"0.0218"},{"id":17,"name":"Train ID","value":"222-28"},{"id":16,"name":"Locomotive ID","value":"4061"},{"id":130,"name":"Impact","value":""},{"id":150,"name":"Time of Event (Mountain Time)","value":"20:35:23"},{"id":151,"name":"Denver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0"/>
      <c r="AL136" s="230"/>
      <c r="AM136" s="239" t="str">
        <f t="shared" si="50"/>
        <v>start /low /b %USERPROFILE%\Documents\GitHub\eaglep3\Utilities\DownloadLogsFromS3.py --loco 4061 --day 2017-12-28</v>
      </c>
      <c r="AN136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03:35:23"},{"id":29,"name":"Sharepoint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29" t="str">
        <f t="shared" si="52"/>
        <v>https://d0f6bd738d7f1b3e5a7ca70fe4ff75f0.us-east-1.aws.found.io/app/kibana#/discover/Steve-Slow-Train-Analysis-(2080s-and-2083s)?_g=(refreshInterval:(display:Off,pause:!f,section:0,value:0),time:(from:'2017-12-28T18:54:40-0700',mode:absolute,to:'2017-12-28T21:35:23-0700'))&amp;_a=(columns:!('Message%20ID',Summary),filters:!(),index:'emp_*',interval:auto,query:(query_string:(analyze_wildcard:!t,query:'%22rtdc.l.rtdc.4061%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22" customFormat="1" x14ac:dyDescent="0.25">
      <c r="A137" s="228" t="s">
        <v>877</v>
      </c>
      <c r="B137" s="224">
        <v>4042</v>
      </c>
      <c r="C137" s="226" t="s">
        <v>192</v>
      </c>
      <c r="D137" s="226" t="s">
        <v>637</v>
      </c>
      <c r="E137" s="225">
        <v>43097.807488425926</v>
      </c>
      <c r="F137" s="225">
        <v>43097.812719907408</v>
      </c>
      <c r="G137" s="224">
        <v>63</v>
      </c>
      <c r="H137" s="226" t="s">
        <v>580</v>
      </c>
      <c r="I137" s="225">
        <v>43097.838368055556</v>
      </c>
      <c r="J137" s="224">
        <v>0</v>
      </c>
      <c r="K137" s="236" t="str">
        <f t="shared" si="35"/>
        <v>4041/4042</v>
      </c>
      <c r="L137" s="244" t="str">
        <f>VLOOKUP(A137,'Trips&amp;Operators'!$C$1:$G$99911,5,FALSE)</f>
        <v>LOZA FIDEL</v>
      </c>
      <c r="M137" s="223">
        <f t="shared" si="36"/>
        <v>2.5648148148320615E-2</v>
      </c>
      <c r="N137" s="224">
        <f t="shared" si="56"/>
        <v>36.933333333581686</v>
      </c>
      <c r="O137" s="224"/>
      <c r="P137" s="224"/>
      <c r="Q137" s="227"/>
      <c r="R137" s="241"/>
      <c r="S137" s="248">
        <f t="shared" si="61"/>
        <v>1</v>
      </c>
      <c r="T137" s="241" t="str">
        <f t="shared" si="39"/>
        <v>NorthBound</v>
      </c>
      <c r="U137" s="24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7" t="str">
        <f t="shared" si="40"/>
        <v>https://d0f6bd738d7f1b3e5a7ca70fe4ff75f0.us-east-1.aws.found.io/app/kibana#/discover/Steve-Slow-Train-Analysis-(2080s-and-2083s)?_g=(refreshInterval:(display:Off,pause:!f,section:0,value:0),time:(from:'2017-12-28T18:22:47-0700',mode:absolute,to:'2017-12-28T21:07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7" s="246" t="str">
        <f>IF(AA137&lt;VLOOKUP(AG137,Variables!$AC$3:$AD$8,2,FALSE),"Y","N")</f>
        <v>N</v>
      </c>
      <c r="X137" s="246">
        <f t="shared" si="60"/>
        <v>1</v>
      </c>
      <c r="Y137" s="246">
        <f t="shared" si="58"/>
        <v>5.2900000000000003E-2</v>
      </c>
      <c r="Z137" s="246">
        <f t="shared" si="59"/>
        <v>23.327999999999999</v>
      </c>
      <c r="AA137" s="246">
        <f t="shared" si="41"/>
        <v>23.275099999999998</v>
      </c>
      <c r="AB137" s="232" t="e">
        <f>VLOOKUP(A137,Enforcements!$C$7:$K$9,8,0)</f>
        <v>#N/A</v>
      </c>
      <c r="AC137" s="231" t="e">
        <f>VLOOKUP(A137,Enforcements!$C$7:$E$9,3,0)</f>
        <v>#N/A</v>
      </c>
      <c r="AD137" s="242">
        <f t="shared" si="42"/>
        <v>223</v>
      </c>
      <c r="AE137" s="234" t="str">
        <f t="shared" si="43"/>
        <v>aws s3 cp s3://rtdc.mdm.uploadarchive.raw/RTDC4042/ "%USERPROFILE%\AppData\Local\Temp\OnboardLogs"\RTDC4042\2017-12-28 --exclude "*" --recursive --include "*20171228*" &amp; "%USERPROFILE%\Documents\GitHub\mrs-test-scripts\Headless Mode &amp; Sideloading\WalkAndUnGZ.bat" "%USERPROFILE%\AppData\Local\Temp\OnboardLogs"\RTDC4042\2017-12-28 &amp; aws s3 cp s3://rtdc.mdm.uploadarchive.raw/RTDC4042/ "%USERPROFILE%\AppData\Local\Temp\OnboardLogs"\RTDC4042\2017-12-29 --exclude "*" --recursive --include "*20171229*" &amp; "%USERPROFILE%\Documents\GitHub\mrs-test-scripts\Headless Mode &amp; Sideloading\WalkAndUnGZ.bat" "%USERPROFILE%\AppData\Local\Temp\OnboardLogs"\RTDC4042\2017-12-29</v>
      </c>
      <c r="AF137" s="233" t="str">
        <f t="shared" si="44"/>
        <v>"C:\Program Files (x86)\AstroGrep\AstroGrep.exe" /e /r /s /spath="%USERPROFILE%\AppData\Local\Temp\OnboardLogs" /stypes="app*4042*201712290*" /stext=" 03:.+?(?&gt;(PRM\|1\|D)|(KPR)|(KDP)|(train st[a-z]+ moving)|(SYSTEM_STATE:s[a-z]+ state changed)|(Enforcement Action)|(\[TIMEOUT)|(parse_ebi_status: Penalty)|(\|GPPS))"</v>
      </c>
      <c r="AG137" s="243" t="str">
        <f t="shared" si="45"/>
        <v>EC</v>
      </c>
      <c r="AH137" s="235" t="str">
        <f t="shared" si="48"/>
        <v>"%USERPROFILE%\Documents\GitHub\eaglep3\Utilities\RefineRTDCRunTimes.py" --tripid 223-28 --locoid 4042 --swversion DE.1.0.9.0 --startMP 204:529 --initTime 2017-12-28T19:22:47 --startdatetime 2017-12-28T19:30:19 --delay 63 --endMP 204:233280 --enddatetime 2017-12-28T20:07:15 --enforcementcount 0 &gt;&gt;%USERPROFILE%\Documents\GitHub\eaglep3-reporting\EC\2017-12-28-refined-times.txt</v>
      </c>
      <c r="AI137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{"issue":{"subject":"","project_id":79,"tracker_id":40,"status_id":1,"priority_id":2,"assigned_to_id":338,"start_date":"2017-12-28","description":"","custom_fields":[{"id":1,"name":"Subdivision","value":"EC"},{"id":4,"name":"Milepost","value":"23.328"},{"id":17,"name":"Train ID","value":"223-28"},{"id":16,"name":"Locomotive ID","value":"4042"},{"id":130,"name":"Impact","value":""},{"id":150,"name":"Time of Event (Mountain Time)","value":"20:07:15"},{"id":151,"name":"Denver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230"/>
      <c r="AL137" s="230"/>
      <c r="AM137" s="239" t="str">
        <f t="shared" si="50"/>
        <v>start /low /b %USERPROFILE%\Documents\GitHub\eaglep3\Utilities\DownloadLogsFromS3.py --loco 4042 --day 2017-12-28</v>
      </c>
      <c r="AN137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03:07:15"},{"id":29,"name":"Sharepoint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29" t="str">
        <f t="shared" si="52"/>
        <v>https://d0f6bd738d7f1b3e5a7ca70fe4ff75f0.us-east-1.aws.found.io/app/kibana#/discover/Steve-Slow-Train-Analysis-(2080s-and-2083s)?_g=(refreshInterval:(display:Off,pause:!f,section:0,value:0),time:(from:'2017-12-28T18:22:47-0700',mode:absolute,to:'2017-12-28T21:07:15-0700'))&amp;_a=(columns:!('Message%20ID',Summary),filters:!(),index:'emp_*',interval:auto,query:(query_string:(analyze_wildcard:!t,query:'%22rtdc.l.rtdc.4042%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22" customFormat="1" x14ac:dyDescent="0.25">
      <c r="A138" s="228" t="s">
        <v>883</v>
      </c>
      <c r="B138" s="224">
        <v>4041</v>
      </c>
      <c r="C138" s="226" t="s">
        <v>192</v>
      </c>
      <c r="D138" s="226" t="s">
        <v>986</v>
      </c>
      <c r="E138" s="225">
        <v>43097.84851851852</v>
      </c>
      <c r="F138" s="225">
        <v>43097.852372685185</v>
      </c>
      <c r="G138" s="224">
        <v>55</v>
      </c>
      <c r="H138" s="226" t="s">
        <v>497</v>
      </c>
      <c r="I138" s="225">
        <v>43097.878182870372</v>
      </c>
      <c r="J138" s="224">
        <v>0</v>
      </c>
      <c r="K138" s="236" t="str">
        <f t="shared" si="35"/>
        <v>4041/4042</v>
      </c>
      <c r="L138" s="244" t="str">
        <f>VLOOKUP(A138,'Trips&amp;Operators'!$C$1:$G$99911,5,FALSE)</f>
        <v>LOZA FIDEL</v>
      </c>
      <c r="M138" s="223">
        <f t="shared" si="36"/>
        <v>2.5810185186855961E-2</v>
      </c>
      <c r="N138" s="224">
        <f t="shared" si="56"/>
        <v>37.166666669072583</v>
      </c>
      <c r="O138" s="224"/>
      <c r="P138" s="224"/>
      <c r="Q138" s="227"/>
      <c r="R138" s="241"/>
      <c r="S138" s="248">
        <f t="shared" si="61"/>
        <v>1</v>
      </c>
      <c r="T138" s="241" t="str">
        <f t="shared" si="39"/>
        <v>Southbound</v>
      </c>
      <c r="U138" s="24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7" t="str">
        <f t="shared" si="40"/>
        <v>https://d0f6bd738d7f1b3e5a7ca70fe4ff75f0.us-east-1.aws.found.io/app/kibana#/discover/Steve-Slow-Train-Analysis-(2080s-and-2083s)?_g=(refreshInterval:(display:Off,pause:!f,section:0,value:0),time:(from:'2017-12-28T19:21:52-0700',mode:absolute,to:'2017-12-28T22:04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8" s="246" t="str">
        <f>IF(AA138&lt;VLOOKUP(AG138,Variables!$AC$3:$AD$8,2,FALSE),"Y","N")</f>
        <v>N</v>
      </c>
      <c r="X138" s="246">
        <f t="shared" si="60"/>
        <v>1</v>
      </c>
      <c r="Y138" s="246">
        <f t="shared" si="58"/>
        <v>23.2974</v>
      </c>
      <c r="Z138" s="246">
        <f t="shared" si="59"/>
        <v>2.1600000000000001E-2</v>
      </c>
      <c r="AA138" s="246">
        <f t="shared" si="41"/>
        <v>23.2758</v>
      </c>
      <c r="AB138" s="232" t="e">
        <f>VLOOKUP(A138,Enforcements!$C$7:$K$9,8,0)</f>
        <v>#N/A</v>
      </c>
      <c r="AC138" s="231" t="e">
        <f>VLOOKUP(A138,Enforcements!$C$7:$E$9,3,0)</f>
        <v>#N/A</v>
      </c>
      <c r="AD138" s="242">
        <f t="shared" si="42"/>
        <v>224</v>
      </c>
      <c r="AE138" s="234" t="str">
        <f t="shared" si="43"/>
        <v>aws s3 cp s3://rtdc.mdm.uploadarchive.raw/RTDC4041/ "%USERPROFILE%\AppData\Local\Temp\OnboardLogs"\RTDC4041\2017-12-28 --exclude "*" --recursive --include "*20171228*" &amp; "%USERPROFILE%\Documents\GitHub\mrs-test-scripts\Headless Mode &amp; Sideloading\WalkAndUnGZ.bat" "%USERPROFILE%\AppData\Local\Temp\OnboardLogs"\RTDC4041\2017-12-28 &amp; aws s3 cp s3://rtdc.mdm.uploadarchive.raw/RTDC4041/ "%USERPROFILE%\AppData\Local\Temp\OnboardLogs"\RTDC4041\2017-12-29 --exclude "*" --recursive --include "*20171229*" &amp; "%USERPROFILE%\Documents\GitHub\mrs-test-scripts\Headless Mode &amp; Sideloading\WalkAndUnGZ.bat" "%USERPROFILE%\AppData\Local\Temp\OnboardLogs"\RTDC4041\2017-12-29</v>
      </c>
      <c r="AF138" s="233" t="str">
        <f t="shared" si="44"/>
        <v>"C:\Program Files (x86)\AstroGrep\AstroGrep.exe" /e /r /s /spath="%USERPROFILE%\AppData\Local\Temp\OnboardLogs" /stypes="app*4041*201712290*" /stext=" 04:.+?(?&gt;(PRM\|1\|D)|(KPR)|(KDP)|(train st[a-z]+ moving)|(SYSTEM_STATE:s[a-z]+ state changed)|(Enforcement Action)|(\[TIMEOUT)|(parse_ebi_status: Penalty)|(\|GPPS))"</v>
      </c>
      <c r="AG138" s="243" t="str">
        <f t="shared" si="45"/>
        <v>EC</v>
      </c>
      <c r="AH138" s="235" t="str">
        <f t="shared" si="48"/>
        <v>"%USERPROFILE%\Documents\GitHub\eaglep3\Utilities\RefineRTDCRunTimes.py" --tripid 224-28 --locoid 4041 --swversion DE.1.0.9.0 --startMP 204:232974 --initTime 2017-12-28T20:21:52 --startdatetime 2017-12-28T20:27:25 --delay 55 --endMP 204:216 --enddatetime 2017-12-28T21:04:35 --enforcementcount 0 &gt;&gt;%USERPROFILE%\Documents\GitHub\eaglep3-reporting\EC\2017-12-28-refined-times.txt</v>
      </c>
      <c r="AI138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{"issue":{"subject":"","project_id":79,"tracker_id":40,"status_id":1,"priority_id":2,"assigned_to_id":338,"start_date":"2017-12-28","description":"","custom_fields":[{"id":1,"name":"Subdivision","value":"EC"},{"id":4,"name":"Milepost","value":"0.0216"},{"id":17,"name":"Train ID","value":"224-28"},{"id":16,"name":"Locomotive ID","value":"4041"},{"id":130,"name":"Impact","value":""},{"id":150,"name":"Time of Event (Mountain Time)","value":"21:04:35"},{"id":151,"name":"Denver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0"/>
      <c r="AL138" s="230"/>
      <c r="AM138" s="239" t="str">
        <f t="shared" si="50"/>
        <v>start /low /b %USERPROFILE%\Documents\GitHub\eaglep3\Utilities\DownloadLogsFromS3.py --loco 4041 --day 2017-12-28</v>
      </c>
      <c r="AN138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04:04:35"},{"id":29,"name":"Sharepoint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29" t="str">
        <f t="shared" si="52"/>
        <v>https://d0f6bd738d7f1b3e5a7ca70fe4ff75f0.us-east-1.aws.found.io/app/kibana#/discover/Steve-Slow-Train-Analysis-(2080s-and-2083s)?_g=(refreshInterval:(display:Off,pause:!f,section:0,value:0),time:(from:'2017-12-28T19:21:52-0700',mode:absolute,to:'2017-12-28T22:04:35-0700'))&amp;_a=(columns:!('Message%20ID',Summary),filters:!(),index:'emp_*',interval:auto,query:(query_string:(analyze_wildcard:!t,query:'%22rtdc.l.rtdc.4041%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2" customFormat="1" x14ac:dyDescent="0.25">
      <c r="A139" s="228" t="s">
        <v>879</v>
      </c>
      <c r="B139" s="224">
        <v>4014</v>
      </c>
      <c r="C139" s="226" t="s">
        <v>192</v>
      </c>
      <c r="D139" s="226" t="s">
        <v>921</v>
      </c>
      <c r="E139" s="225">
        <v>43097.826469907406</v>
      </c>
      <c r="F139" s="225">
        <v>43097.833460648151</v>
      </c>
      <c r="G139" s="224">
        <v>67</v>
      </c>
      <c r="H139" s="226" t="s">
        <v>951</v>
      </c>
      <c r="I139" s="225">
        <v>43097.857534722221</v>
      </c>
      <c r="J139" s="224">
        <v>0</v>
      </c>
      <c r="K139" s="236" t="str">
        <f t="shared" si="35"/>
        <v>4013/4014</v>
      </c>
      <c r="L139" s="244" t="str">
        <f>VLOOKUP(A139,'Trips&amp;Operators'!$C$1:$G$99911,5,FALSE)</f>
        <v>ELBAUM MIKE</v>
      </c>
      <c r="M139" s="223">
        <f t="shared" si="36"/>
        <v>2.4074074070085771E-2</v>
      </c>
      <c r="N139" s="224">
        <f t="shared" si="56"/>
        <v>34.666666660923511</v>
      </c>
      <c r="O139" s="224"/>
      <c r="P139" s="224"/>
      <c r="Q139" s="227"/>
      <c r="R139" s="241"/>
      <c r="S139" s="248">
        <f t="shared" si="61"/>
        <v>1</v>
      </c>
      <c r="T139" s="241" t="str">
        <f t="shared" si="39"/>
        <v>NorthBound</v>
      </c>
      <c r="U139" s="24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7" t="str">
        <f t="shared" si="40"/>
        <v>https://d0f6bd738d7f1b3e5a7ca70fe4ff75f0.us-east-1.aws.found.io/app/kibana#/discover/Steve-Slow-Train-Analysis-(2080s-and-2083s)?_g=(refreshInterval:(display:Off,pause:!f,section:0,value:0),time:(from:'2017-12-28T18:50:07-0700',mode:absolute,to:'2017-12-28T21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9" s="246" t="str">
        <f>IF(AA139&lt;VLOOKUP(AG139,Variables!$AC$3:$AD$8,2,FALSE),"Y","N")</f>
        <v>N</v>
      </c>
      <c r="X139" s="246">
        <f t="shared" si="60"/>
        <v>1</v>
      </c>
      <c r="Y139" s="246">
        <f t="shared" si="58"/>
        <v>5.6399999999999999E-2</v>
      </c>
      <c r="Z139" s="246">
        <f t="shared" si="59"/>
        <v>23.328800000000001</v>
      </c>
      <c r="AA139" s="246">
        <f t="shared" si="41"/>
        <v>23.272400000000001</v>
      </c>
      <c r="AB139" s="232" t="e">
        <f>VLOOKUP(A139,Enforcements!$C$7:$K$9,8,0)</f>
        <v>#N/A</v>
      </c>
      <c r="AC139" s="231" t="e">
        <f>VLOOKUP(A139,Enforcements!$C$7:$E$9,3,0)</f>
        <v>#N/A</v>
      </c>
      <c r="AD139" s="242">
        <f t="shared" si="42"/>
        <v>225</v>
      </c>
      <c r="AE139" s="234" t="str">
        <f t="shared" si="43"/>
        <v>aws s3 cp s3://rtdc.mdm.uploadarchive.raw/RTDC4014/ "%USERPROFILE%\AppData\Local\Temp\OnboardLogs"\RTDC4014\2017-12-28 --exclude "*" --recursive --include "*20171228*" &amp; "%USERPROFILE%\Documents\GitHub\mrs-test-scripts\Headless Mode &amp; Sideloading\WalkAndUnGZ.bat" "%USERPROFILE%\AppData\Local\Temp\OnboardLogs"\RTDC4014\2017-12-28 &amp; aws s3 cp s3://rtdc.mdm.uploadarchive.raw/RTDC4014/ "%USERPROFILE%\AppData\Local\Temp\OnboardLogs"\RTDC4014\2017-12-29 --exclude "*" --recursive --include "*20171229*" &amp; "%USERPROFILE%\Documents\GitHub\mrs-test-scripts\Headless Mode &amp; Sideloading\WalkAndUnGZ.bat" "%USERPROFILE%\AppData\Local\Temp\OnboardLogs"\RTDC4014\2017-12-29</v>
      </c>
      <c r="AF139" s="233" t="str">
        <f t="shared" si="44"/>
        <v>"C:\Program Files (x86)\AstroGrep\AstroGrep.exe" /e /r /s /spath="%USERPROFILE%\AppData\Local\Temp\OnboardLogs" /stypes="app*4014*201712290*" /stext=" 03:.+?(?&gt;(PRM\|1\|D)|(KPR)|(KDP)|(train st[a-z]+ moving)|(SYSTEM_STATE:s[a-z]+ state changed)|(Enforcement Action)|(\[TIMEOUT)|(parse_ebi_status: Penalty)|(\|GPPS))"</v>
      </c>
      <c r="AG139" s="243" t="str">
        <f t="shared" si="45"/>
        <v>EC</v>
      </c>
      <c r="AH139" s="235" t="str">
        <f t="shared" si="48"/>
        <v>"%USERPROFILE%\Documents\GitHub\eaglep3\Utilities\RefineRTDCRunTimes.py" --tripid 225-28 --locoid 4014 --swversion DE.1.0.9.0 --startMP 204:564 --initTime 2017-12-28T19:50:07 --startdatetime 2017-12-28T20:00:11 --delay 67 --endMP 204:233288 --enddatetime 2017-12-28T20:34:51 --enforcementcount 0 &gt;&gt;%USERPROFILE%\Documents\GitHub\eaglep3-reporting\EC\2017-12-28-refined-times.txt</v>
      </c>
      <c r="AI139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{"issue":{"subject":"","project_id":79,"tracker_id":40,"status_id":1,"priority_id":2,"assigned_to_id":338,"start_date":"2017-12-28","description":"","custom_fields":[{"id":1,"name":"Subdivision","value":"EC"},{"id":4,"name":"Milepost","value":"23.3288"},{"id":17,"name":"Train ID","value":"225-28"},{"id":16,"name":"Locomotive ID","value":"4014"},{"id":130,"name":"Impact","value":""},{"id":150,"name":"Time of Event (Mountain Time)","value":"20:34:51"},{"id":151,"name":"Denver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0"/>
      <c r="AL139" s="230"/>
      <c r="AM139" s="239" t="str">
        <f t="shared" si="50"/>
        <v>start /low /b %USERPROFILE%\Documents\GitHub\eaglep3\Utilities\DownloadLogsFromS3.py --loco 4014 --day 2017-12-28</v>
      </c>
      <c r="AN139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03:34:51"},{"id":29,"name":"Sharepoint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29" t="str">
        <f t="shared" si="52"/>
        <v>https://d0f6bd738d7f1b3e5a7ca70fe4ff75f0.us-east-1.aws.found.io/app/kibana#/discover/Steve-Slow-Train-Analysis-(2080s-and-2083s)?_g=(refreshInterval:(display:Off,pause:!f,section:0,value:0),time:(from:'2017-12-28T18:50:07-0700',mode:absolute,to:'2017-12-28T21:34:51-0700'))&amp;_a=(columns:!('Message%20ID',Summary),filters:!(),index:'emp_*',interval:auto,query:(query_string:(analyze_wildcard:!t,query:'%22rtdc.l.rtdc.4014%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28" t="s">
        <v>886</v>
      </c>
      <c r="B140" s="224">
        <v>4013</v>
      </c>
      <c r="C140" s="226" t="s">
        <v>192</v>
      </c>
      <c r="D140" s="226" t="s">
        <v>928</v>
      </c>
      <c r="E140" s="225">
        <v>43097.858923611115</v>
      </c>
      <c r="F140" s="225">
        <v>43097.873217592591</v>
      </c>
      <c r="G140" s="224">
        <v>60</v>
      </c>
      <c r="H140" s="226" t="s">
        <v>987</v>
      </c>
      <c r="I140" s="225">
        <v>43097.898946759262</v>
      </c>
      <c r="J140" s="224">
        <v>0</v>
      </c>
      <c r="K140" s="236" t="str">
        <f t="shared" si="35"/>
        <v>4013/4014</v>
      </c>
      <c r="L140" s="244" t="str">
        <f>VLOOKUP(A140,'Trips&amp;Operators'!$C$1:$G$99911,5,FALSE)</f>
        <v>ELBAUM MIKE</v>
      </c>
      <c r="M140" s="223">
        <f t="shared" si="36"/>
        <v>2.5729166671226267E-2</v>
      </c>
      <c r="N140" s="224">
        <f t="shared" si="56"/>
        <v>37.050000006565824</v>
      </c>
      <c r="O140" s="224"/>
      <c r="P140" s="224"/>
      <c r="Q140" s="227"/>
      <c r="R140" s="241"/>
      <c r="S140" s="248">
        <f t="shared" si="61"/>
        <v>1</v>
      </c>
      <c r="T140" s="241" t="str">
        <f t="shared" si="39"/>
        <v>Southbound</v>
      </c>
      <c r="U140" s="24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7" t="str">
        <f t="shared" si="40"/>
        <v>https://d0f6bd738d7f1b3e5a7ca70fe4ff75f0.us-east-1.aws.found.io/app/kibana#/discover/Steve-Slow-Train-Analysis-(2080s-and-2083s)?_g=(refreshInterval:(display:Off,pause:!f,section:0,value:0),time:(from:'2017-12-28T19:36:51-0700',mode:absolute,to:'2017-12-28T22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0" s="246" t="str">
        <f>IF(AA140&lt;VLOOKUP(AG140,Variables!$AC$3:$AD$8,2,FALSE),"Y","N")</f>
        <v>N</v>
      </c>
      <c r="X140" s="246">
        <f t="shared" si="60"/>
        <v>1</v>
      </c>
      <c r="Y140" s="246">
        <f t="shared" si="58"/>
        <v>23.2973</v>
      </c>
      <c r="Z140" s="246">
        <f t="shared" si="59"/>
        <v>2.69E-2</v>
      </c>
      <c r="AA140" s="246">
        <f t="shared" si="41"/>
        <v>23.270399999999999</v>
      </c>
      <c r="AB140" s="232" t="e">
        <f>VLOOKUP(A140,Enforcements!$C$7:$K$9,8,0)</f>
        <v>#N/A</v>
      </c>
      <c r="AC140" s="231" t="e">
        <f>VLOOKUP(A140,Enforcements!$C$7:$E$9,3,0)</f>
        <v>#N/A</v>
      </c>
      <c r="AD140" s="242">
        <f t="shared" si="42"/>
        <v>226</v>
      </c>
      <c r="AE140" s="234" t="str">
        <f t="shared" si="43"/>
        <v>aws s3 cp s3://rtdc.mdm.uploadarchive.raw/RTDC4013/ "%USERPROFILE%\AppData\Local\Temp\OnboardLogs"\RTDC4013\2017-12-28 --exclude "*" --recursive --include "*20171228*" &amp; "%USERPROFILE%\Documents\GitHub\mrs-test-scripts\Headless Mode &amp; Sideloading\WalkAndUnGZ.bat" "%USERPROFILE%\AppData\Local\Temp\OnboardLogs"\RTDC4013\2017-12-28 &amp; aws s3 cp s3://rtdc.mdm.uploadarchive.raw/RTDC4013/ "%USERPROFILE%\AppData\Local\Temp\OnboardLogs"\RTDC4013\2017-12-29 --exclude "*" --recursive --include "*20171229*" &amp; "%USERPROFILE%\Documents\GitHub\mrs-test-scripts\Headless Mode &amp; Sideloading\WalkAndUnGZ.bat" "%USERPROFILE%\AppData\Local\Temp\OnboardLogs"\RTDC4013\2017-12-29</v>
      </c>
      <c r="AF140" s="233" t="str">
        <f t="shared" si="44"/>
        <v>"C:\Program Files (x86)\AstroGrep\AstroGrep.exe" /e /r /s /spath="%USERPROFILE%\AppData\Local\Temp\OnboardLogs" /stypes="app*4013*201712290*" /stext=" 04:.+?(?&gt;(PRM\|1\|D)|(KPR)|(KDP)|(train st[a-z]+ moving)|(SYSTEM_STATE:s[a-z]+ state changed)|(Enforcement Action)|(\[TIMEOUT)|(parse_ebi_status: Penalty)|(\|GPPS))"</v>
      </c>
      <c r="AG140" s="243" t="str">
        <f t="shared" si="45"/>
        <v>EC</v>
      </c>
      <c r="AH140" s="235" t="str">
        <f t="shared" si="48"/>
        <v>"%USERPROFILE%\Documents\GitHub\eaglep3\Utilities\RefineRTDCRunTimes.py" --tripid 226-28 --locoid 4013 --swversion DE.1.0.9.0 --startMP 204:232973 --initTime 2017-12-28T20:36:51 --startdatetime 2017-12-28T20:57:26 --delay 60 --endMP 204:269 --enddatetime 2017-12-28T21:34:29 --enforcementcount 0 &gt;&gt;%USERPROFILE%\Documents\GitHub\eaglep3-reporting\EC\2017-12-28-refined-times.txt</v>
      </c>
      <c r="AI140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{"issue":{"subject":"","project_id":79,"tracker_id":40,"status_id":1,"priority_id":2,"assigned_to_id":338,"start_date":"2017-12-28","description":"","custom_fields":[{"id":1,"name":"Subdivision","value":"EC"},{"id":4,"name":"Milepost","value":"0.0269"},{"id":17,"name":"Train ID","value":"226-28"},{"id":16,"name":"Locomotive ID","value":"4013"},{"id":130,"name":"Impact","value":""},{"id":150,"name":"Time of Event (Mountain Time)","value":"21:34:29"},{"id":151,"name":"Denver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2"/>
      <c r="AK140" s="230"/>
      <c r="AL140" s="230"/>
      <c r="AM140" s="239" t="str">
        <f t="shared" si="50"/>
        <v>start /low /b %USERPROFILE%\Documents\GitHub\eaglep3\Utilities\DownloadLogsFromS3.py --loco 4013 --day 2017-12-28</v>
      </c>
      <c r="AN140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04:34:29"},{"id":29,"name":"Sharepoint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29" t="str">
        <f t="shared" si="52"/>
        <v>https://d0f6bd738d7f1b3e5a7ca70fe4ff75f0.us-east-1.aws.found.io/app/kibana#/discover/Steve-Slow-Train-Analysis-(2080s-and-2083s)?_g=(refreshInterval:(display:Off,pause:!f,section:0,value:0),time:(from:'2017-12-28T19:36:51-0700',mode:absolute,to:'2017-12-28T22:34:29-0700'))&amp;_a=(columns:!('Message%20ID',Summary),filters:!(),index:'emp_*',interval:auto,query:(query_string:(analyze_wildcard:!t,query:'%22rtdc.l.rtdc.4013%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28" t="s">
        <v>884</v>
      </c>
      <c r="B141" s="224">
        <v>4064</v>
      </c>
      <c r="C141" s="226" t="s">
        <v>192</v>
      </c>
      <c r="D141" s="226" t="s">
        <v>522</v>
      </c>
      <c r="E141" s="225">
        <v>43097.848611111112</v>
      </c>
      <c r="F141" s="225">
        <v>43097.854756944442</v>
      </c>
      <c r="G141" s="224">
        <v>115</v>
      </c>
      <c r="H141" s="226" t="s">
        <v>988</v>
      </c>
      <c r="I141" s="225">
        <v>43097.880243055559</v>
      </c>
      <c r="J141" s="224">
        <v>0</v>
      </c>
      <c r="K141" s="236" t="str">
        <f t="shared" ref="K141:K204" si="62">IF(ISEVEN(B141),(B141-1)&amp;"/"&amp;B141,B141&amp;"/"&amp;(B141+1))</f>
        <v>4063/4064</v>
      </c>
      <c r="L141" s="244" t="str">
        <f>VLOOKUP(A141,'Trips&amp;Operators'!$C$1:$G$99911,5,FALSE)</f>
        <v>NICHOLSON WESLEY</v>
      </c>
      <c r="M141" s="223">
        <f t="shared" ref="M141:M204" si="63">I141-F141</f>
        <v>2.5486111117061228E-2</v>
      </c>
      <c r="N141" s="224">
        <f t="shared" si="56"/>
        <v>36.700000008568168</v>
      </c>
      <c r="O141" s="224"/>
      <c r="P141" s="224"/>
      <c r="Q141" s="227"/>
      <c r="R141" s="241"/>
      <c r="S141" s="248">
        <f t="shared" si="61"/>
        <v>1</v>
      </c>
      <c r="T141" s="241" t="str">
        <f t="shared" ref="T141:T204" si="64">IF(ISEVEN(LEFT(AD141,4)),"Southbound","NorthBound")</f>
        <v>NorthBound</v>
      </c>
      <c r="U141" s="24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7" t="str">
        <f t="shared" ref="V141:V204" si="6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-28T19:22:00-0700',mode:absolute,to:'2017-12-28T22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1" s="246" t="str">
        <f>IF(AA141&lt;VLOOKUP(AG141,Variables!$AC$3:$AD$8,2,FALSE),"Y","N")</f>
        <v>N</v>
      </c>
      <c r="X141" s="246">
        <f t="shared" si="60"/>
        <v>1</v>
      </c>
      <c r="Y141" s="246">
        <f t="shared" si="58"/>
        <v>5.2600000000000001E-2</v>
      </c>
      <c r="Z141" s="246">
        <f t="shared" si="59"/>
        <v>23.319600000000001</v>
      </c>
      <c r="AA141" s="246">
        <f t="shared" ref="AA141:AA204" si="66">ABS(Z141-Y141)</f>
        <v>23.266999999999999</v>
      </c>
      <c r="AB141" s="232" t="e">
        <f>VLOOKUP(A141,Enforcements!$C$7:$K$9,8,0)</f>
        <v>#N/A</v>
      </c>
      <c r="AC141" s="231" t="e">
        <f>VLOOKUP(A141,Enforcements!$C$7:$E$9,3,0)</f>
        <v>#N/A</v>
      </c>
      <c r="AD141" s="242">
        <f t="shared" ref="AD141:AD204" si="67">VALUE(LEFT(A141,LEN(A141)-3))</f>
        <v>227</v>
      </c>
      <c r="AE141" s="234" t="str">
        <f t="shared" ref="AE141:AE204" si="6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s3://rtdc.mdm.uploadarchive.raw/RTDC4064/ "%USERPROFILE%\AppData\Local\Temp\OnboardLogs"\RTDC4064\2017-12-28 --exclude "*" --recursive --include "*20171228*" &amp; "%USERPROFILE%\Documents\GitHub\mrs-test-scripts\Headless Mode &amp; Sideloading\WalkAndUnGZ.bat" "%USERPROFILE%\AppData\Local\Temp\OnboardLogs"\RTDC4064\2017-12-28 &amp; aws s3 cp s3://rtdc.mdm.uploadarchive.raw/RTDC4064/ "%USERPROFILE%\AppData\Local\Temp\OnboardLogs"\RTDC4064\2017-12-29 --exclude "*" --recursive --include "*20171229*" &amp; "%USERPROFILE%\Documents\GitHub\mrs-test-scripts\Headless Mode &amp; Sideloading\WalkAndUnGZ.bat" "%USERPROFILE%\AppData\Local\Temp\OnboardLogs"\RTDC4064\2017-12-29</v>
      </c>
      <c r="AF141" s="233" t="str">
        <f t="shared" ref="AF141:AF204" si="69">astrogrep_path&amp;" /e /r /s /spath="&amp;search_path&amp;" /stypes=""app*"&amp;B141&amp;"*"&amp;TEXT(I141-utc_offset/24,"YYYYMMDD")&amp;LEFT(TEXT(I141-utc_offset/24,"HH"),1)&amp;"*"" /stext="" "&amp;TEXT(I141-utc_offset/24,"HH")&amp;search_regexp&amp;""""</f>
        <v>"C:\Program Files (x86)\AstroGrep\AstroGrep.exe" /e /r /s /spath="%USERPROFILE%\AppData\Local\Temp\OnboardLogs" /stypes="app*4064*201712290*" /stext=" 04:.+?(?&gt;(PRM\|1\|D)|(KPR)|(KDP)|(train st[a-z]+ moving)|(SYSTEM_STATE:s[a-z]+ state changed)|(Enforcement Action)|(\[TIMEOUT)|(parse_ebi_status: Penalty)|(\|GPPS))"</v>
      </c>
      <c r="AG141" s="243" t="str">
        <f t="shared" ref="AG141:AG204" si="70">DetSubdiv(A141)</f>
        <v>EC</v>
      </c>
      <c r="AH141" s="235" t="str">
        <f t="shared" si="48"/>
        <v>"%USERPROFILE%\Documents\GitHub\eaglep3\Utilities\RefineRTDCRunTimes.py" --tripid 227-28 --locoid 4064 --swversion DE.1.0.9.0 --startMP 204:526 --initTime 2017-12-28T20:22:00 --startdatetime 2017-12-28T20:30:51 --delay 115 --endMP 204:233196 --enddatetime 2017-12-28T21:07:33 --enforcementcount 0 &gt;&gt;%USERPROFILE%\Documents\GitHub\eaglep3-reporting\EC\2017-12-28-refined-times.txt</v>
      </c>
      <c r="AI141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{"issue":{"subject":"","project_id":79,"tracker_id":40,"status_id":1,"priority_id":2,"assigned_to_id":338,"start_date":"2017-12-28","description":"","custom_fields":[{"id":1,"name":"Subdivision","value":"EC"},{"id":4,"name":"Milepost","value":"23.3196"},{"id":17,"name":"Train ID","value":"227-28"},{"id":16,"name":"Locomotive ID","value":"4064"},{"id":130,"name":"Impact","value":""},{"id":150,"name":"Time of Event (Mountain Time)","value":"21:07:33"},{"id":151,"name":"Denver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2"/>
      <c r="AK141" s="230"/>
      <c r="AL141" s="230"/>
      <c r="AM141" s="239" t="str">
        <f t="shared" si="50"/>
        <v>start /low /b %USERPROFILE%\Documents\GitHub\eaglep3\Utilities\DownloadLogsFromS3.py --loco 4064 --day 2017-12-28</v>
      </c>
      <c r="AN141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04:07:33"},{"id":29,"name":"Sharepoint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29" t="str">
        <f t="shared" si="52"/>
        <v>https://d0f6bd738d7f1b3e5a7ca70fe4ff75f0.us-east-1.aws.found.io/app/kibana#/discover/Steve-Slow-Train-Analysis-(2080s-and-2083s)?_g=(refreshInterval:(display:Off,pause:!f,section:0,value:0),time:(from:'2017-12-28T19:22:00-0700',mode:absolute,to:'2017-12-28T22:07:33-0700'))&amp;_a=(columns:!('Message%20ID',Summary),filters:!(),index:'emp_*',interval:auto,query:(query_string:(analyze_wildcard:!t,query:'%22rtdc.l.rtdc.4064%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28" t="s">
        <v>889</v>
      </c>
      <c r="B142" s="224">
        <v>4063</v>
      </c>
      <c r="C142" s="226" t="s">
        <v>192</v>
      </c>
      <c r="D142" s="226" t="s">
        <v>989</v>
      </c>
      <c r="E142" s="225">
        <v>43097.88622685185</v>
      </c>
      <c r="F142" s="225">
        <v>43097.895486111112</v>
      </c>
      <c r="G142" s="224">
        <v>85</v>
      </c>
      <c r="H142" s="226" t="s">
        <v>653</v>
      </c>
      <c r="I142" s="225">
        <v>43097.923981481479</v>
      </c>
      <c r="J142" s="224">
        <v>0</v>
      </c>
      <c r="K142" s="236" t="str">
        <f t="shared" si="62"/>
        <v>4063/4064</v>
      </c>
      <c r="L142" s="244" t="str">
        <f>VLOOKUP(A142,'Trips&amp;Operators'!$C$1:$G$99911,5,FALSE)</f>
        <v>NICHOLSON WESLEY</v>
      </c>
      <c r="M142" s="223">
        <f t="shared" si="63"/>
        <v>2.8495370366727002E-2</v>
      </c>
      <c r="N142" s="224">
        <f t="shared" si="56"/>
        <v>41.033333328086883</v>
      </c>
      <c r="O142" s="224"/>
      <c r="P142" s="224"/>
      <c r="Q142" s="227"/>
      <c r="R142" s="241"/>
      <c r="S142" s="248">
        <f t="shared" si="61"/>
        <v>1</v>
      </c>
      <c r="T142" s="241" t="str">
        <f t="shared" si="64"/>
        <v>Southbound</v>
      </c>
      <c r="U142" s="24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7" t="str">
        <f t="shared" si="65"/>
        <v>https://d0f6bd738d7f1b3e5a7ca70fe4ff75f0.us-east-1.aws.found.io/app/kibana#/discover/Steve-Slow-Train-Analysis-(2080s-and-2083s)?_g=(refreshInterval:(display:Off,pause:!f,section:0,value:0),time:(from:'2017-12-28T20:16:10-0700',mode:absolute,to:'2017-12-28T23:10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2" s="246" t="str">
        <f>IF(AA142&lt;VLOOKUP(AG142,Variables!$AC$3:$AD$8,2,FALSE),"Y","N")</f>
        <v>N</v>
      </c>
      <c r="X142" s="246">
        <f t="shared" si="60"/>
        <v>1</v>
      </c>
      <c r="Y142" s="246">
        <f t="shared" si="58"/>
        <v>23.2879</v>
      </c>
      <c r="Z142" s="246">
        <f t="shared" si="59"/>
        <v>2.29E-2</v>
      </c>
      <c r="AA142" s="246">
        <f t="shared" si="66"/>
        <v>23.265000000000001</v>
      </c>
      <c r="AB142" s="232" t="e">
        <f>VLOOKUP(A142,Enforcements!$C$7:$K$9,8,0)</f>
        <v>#N/A</v>
      </c>
      <c r="AC142" s="231" t="e">
        <f>VLOOKUP(A142,Enforcements!$C$7:$E$9,3,0)</f>
        <v>#N/A</v>
      </c>
      <c r="AD142" s="242">
        <f t="shared" si="67"/>
        <v>228</v>
      </c>
      <c r="AE142" s="234" t="str">
        <f t="shared" si="68"/>
        <v>aws s3 cp s3://rtdc.mdm.uploadarchive.raw/RTDC4063/ "%USERPROFILE%\AppData\Local\Temp\OnboardLogs"\RTDC4063\2017-12-28 --exclude "*" --recursive --include "*20171228*" &amp; "%USERPROFILE%\Documents\GitHub\mrs-test-scripts\Headless Mode &amp; Sideloading\WalkAndUnGZ.bat" "%USERPROFILE%\AppData\Local\Temp\OnboardLogs"\RTDC4063\2017-12-28 &amp; aws s3 cp s3://rtdc.mdm.uploadarchive.raw/RTDC4063/ "%USERPROFILE%\AppData\Local\Temp\OnboardLogs"\RTDC4063\2017-12-29 --exclude "*" --recursive --include "*20171229*" &amp; "%USERPROFILE%\Documents\GitHub\mrs-test-scripts\Headless Mode &amp; Sideloading\WalkAndUnGZ.bat" "%USERPROFILE%\AppData\Local\Temp\OnboardLogs"\RTDC4063\2017-12-29</v>
      </c>
      <c r="AF142" s="233" t="str">
        <f t="shared" si="69"/>
        <v>"C:\Program Files (x86)\AstroGrep\AstroGrep.exe" /e /r /s /spath="%USERPROFILE%\AppData\Local\Temp\OnboardLogs" /stypes="app*4063*201712290*" /stext=" 05:.+?(?&gt;(PRM\|1\|D)|(KPR)|(KDP)|(train st[a-z]+ moving)|(SYSTEM_STATE:s[a-z]+ state changed)|(Enforcement Action)|(\[TIMEOUT)|(parse_ebi_status: Penalty)|(\|GPPS))"</v>
      </c>
      <c r="AG142" s="243" t="str">
        <f t="shared" si="70"/>
        <v>EC</v>
      </c>
      <c r="AH142" s="235" t="str">
        <f t="shared" si="48"/>
        <v>"%USERPROFILE%\Documents\GitHub\eaglep3\Utilities\RefineRTDCRunTimes.py" --tripid 228-28 --locoid 4063 --swversion DE.1.0.9.0 --startMP 204:232879 --initTime 2017-12-28T21:16:10 --startdatetime 2017-12-28T21:29:30 --delay 85 --endMP 204:229 --enddatetime 2017-12-28T22:10:32 --enforcementcount 0 &gt;&gt;%USERPROFILE%\Documents\GitHub\eaglep3-reporting\EC\2017-12-28-refined-times.txt</v>
      </c>
      <c r="AI142" s="237" t="str">
        <f t="shared" si="49"/>
        <v>echo {"issue":{"subject":"","project_id":79,"tracker_id":40,"status_id":1,"priority_id":2,"assigned_to_id":338,"start_date":"2017-12-28","description":"","custom_fields":[{"id":1,"name":"Subdivision","value":"EC"},{"id":4,"name":"Milepost","value":"0.0229"},{"id":17,"name":"Train ID","value":"228-28"},{"id":16,"name":"Locomotive ID","value":"4063"},{"id":130,"name":"Impact","value":""},{"id":150,"name":"Time of Event (Mountain Time)","value":"22:10:32"},{"id":151,"name":"Denver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2"/>
      <c r="AK142" s="230"/>
      <c r="AL142" s="230"/>
      <c r="AM142" s="239" t="str">
        <f t="shared" si="50"/>
        <v>start /low /b %USERPROFILE%\Documents\GitHub\eaglep3\Utilities\DownloadLogsFromS3.py --loco 4063 --day 2017-12-28</v>
      </c>
      <c r="AN142" s="240" t="str">
        <f t="shared" si="51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05:10:32"},{"id":29,"name":"Sharepoint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29" t="str">
        <f t="shared" si="52"/>
        <v>https://d0f6bd738d7f1b3e5a7ca70fe4ff75f0.us-east-1.aws.found.io/app/kibana#/discover/Steve-Slow-Train-Analysis-(2080s-and-2083s)?_g=(refreshInterval:(display:Off,pause:!f,section:0,value:0),time:(from:'2017-12-28T20:16:10-0700',mode:absolute,to:'2017-12-28T23:10:32-0700'))&amp;_a=(columns:!('Message%20ID',Summary),filters:!(),index:'emp_*',interval:auto,query:(query_string:(analyze_wildcard:!t,query:'%22rtdc.l.rtdc.4063%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28" t="s">
        <v>887</v>
      </c>
      <c r="B143" s="224">
        <v>4062</v>
      </c>
      <c r="C143" s="226" t="s">
        <v>192</v>
      </c>
      <c r="D143" s="226" t="s">
        <v>543</v>
      </c>
      <c r="E143" s="225">
        <v>43097.872060185182</v>
      </c>
      <c r="F143" s="225">
        <v>43097.875208333331</v>
      </c>
      <c r="G143" s="224">
        <v>59</v>
      </c>
      <c r="H143" s="226" t="s">
        <v>636</v>
      </c>
      <c r="I143" s="225">
        <v>43097.900185185186</v>
      </c>
      <c r="J143" s="224">
        <v>0</v>
      </c>
      <c r="K143" s="236" t="str">
        <f t="shared" si="62"/>
        <v>4061/4062</v>
      </c>
      <c r="L143" s="244" t="str">
        <f>VLOOKUP(A143,'Trips&amp;Operators'!$C$1:$G$99911,5,FALSE)</f>
        <v>ANDERS STEVEN</v>
      </c>
      <c r="M143" s="223">
        <f t="shared" si="63"/>
        <v>2.4976851855171844E-2</v>
      </c>
      <c r="N143" s="224">
        <f t="shared" si="56"/>
        <v>35.966666671447456</v>
      </c>
      <c r="O143" s="224"/>
      <c r="P143" s="224"/>
      <c r="Q143" s="227"/>
      <c r="R143" s="241"/>
      <c r="S143" s="248">
        <f t="shared" si="61"/>
        <v>1</v>
      </c>
      <c r="T143" s="241" t="str">
        <f t="shared" si="64"/>
        <v>NorthBound</v>
      </c>
      <c r="U143" s="24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7" t="str">
        <f t="shared" si="65"/>
        <v>https://d0f6bd738d7f1b3e5a7ca70fe4ff75f0.us-east-1.aws.found.io/app/kibana#/discover/Steve-Slow-Train-Analysis-(2080s-and-2083s)?_g=(refreshInterval:(display:Off,pause:!f,section:0,value:0),time:(from:'2017-12-28T19:55:46-0700',mode:absolute,to:'2017-12-28T22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3" s="246" t="str">
        <f>IF(AA143&lt;VLOOKUP(AG143,Variables!$AC$3:$AD$8,2,FALSE),"Y","N")</f>
        <v>N</v>
      </c>
      <c r="X143" s="246">
        <f t="shared" si="60"/>
        <v>1</v>
      </c>
      <c r="Y143" s="246">
        <f t="shared" ref="Y143:Y174" si="71">RIGHT(D143,LEN(D143)-4)/10000</f>
        <v>5.4199999999999998E-2</v>
      </c>
      <c r="Z143" s="246">
        <f t="shared" ref="Z143:Z174" si="72">RIGHT(H143,LEN(H143)-4)/10000</f>
        <v>23.3276</v>
      </c>
      <c r="AA143" s="246">
        <f t="shared" si="66"/>
        <v>23.273399999999999</v>
      </c>
      <c r="AB143" s="232" t="e">
        <f>VLOOKUP(A143,Enforcements!$C$7:$K$9,8,0)</f>
        <v>#N/A</v>
      </c>
      <c r="AC143" s="231" t="e">
        <f>VLOOKUP(A143,Enforcements!$C$7:$E$9,3,0)</f>
        <v>#N/A</v>
      </c>
      <c r="AD143" s="242">
        <f t="shared" si="67"/>
        <v>229</v>
      </c>
      <c r="AE143" s="234" t="str">
        <f t="shared" si="68"/>
        <v>aws s3 cp s3://rtdc.mdm.uploadarchive.raw/RTDC4062/ "%USERPROFILE%\AppData\Local\Temp\OnboardLogs"\RTDC4062\2017-12-28 --exclude "*" --recursive --include "*20171228*" &amp; "%USERPROFILE%\Documents\GitHub\mrs-test-scripts\Headless Mode &amp; Sideloading\WalkAndUnGZ.bat" "%USERPROFILE%\AppData\Local\Temp\OnboardLogs"\RTDC4062\2017-12-28 &amp; aws s3 cp s3://rtdc.mdm.uploadarchive.raw/RTDC4062/ "%USERPROFILE%\AppData\Local\Temp\OnboardLogs"\RTDC4062\2017-12-29 --exclude "*" --recursive --include "*20171229*" &amp; "%USERPROFILE%\Documents\GitHub\mrs-test-scripts\Headless Mode &amp; Sideloading\WalkAndUnGZ.bat" "%USERPROFILE%\AppData\Local\Temp\OnboardLogs"\RTDC4062\2017-12-29</v>
      </c>
      <c r="AF143" s="233" t="str">
        <f t="shared" si="69"/>
        <v>"C:\Program Files (x86)\AstroGrep\AstroGrep.exe" /e /r /s /spath="%USERPROFILE%\AppData\Local\Temp\OnboardLogs" /stypes="app*4062*201712290*" /stext=" 04:.+?(?&gt;(PRM\|1\|D)|(KPR)|(KDP)|(train st[a-z]+ moving)|(SYSTEM_STATE:s[a-z]+ state changed)|(Enforcement Action)|(\[TIMEOUT)|(parse_ebi_status: Penalty)|(\|GPPS))"</v>
      </c>
      <c r="AG143" s="243" t="str">
        <f t="shared" si="70"/>
        <v>EC</v>
      </c>
      <c r="AH143" s="235" t="str">
        <f t="shared" ref="AH143:AH205" si="73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229-28 --locoid 4062 --swversion DE.1.0.9.0 --startMP 204:542 --initTime 2017-12-28T20:55:46 --startdatetime 2017-12-28T21:00:18 --delay 59 --endMP 204:233276 --enddatetime 2017-12-28T21:36:16 --enforcementcount 0 &gt;&gt;%USERPROFILE%\Documents\GitHub\eaglep3-reporting\EC\2017-12-28-refined-times.txt</v>
      </c>
      <c r="AI143" s="237" t="str">
        <f t="shared" ref="AI143:AI205" si="74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{"issue":{"subject":"","project_id":79,"tracker_id":40,"status_id":1,"priority_id":2,"assigned_to_id":338,"start_date":"2017-12-28","description":"","custom_fields":[{"id":1,"name":"Subdivision","value":"EC"},{"id":4,"name":"Milepost","value":"23.3276"},{"id":17,"name":"Train ID","value":"229-28"},{"id":16,"name":"Locomotive ID","value":"4062"},{"id":130,"name":"Impact","value":""},{"id":150,"name":"Time of Event (Mountain Time)","value":"21:36:16"},{"id":151,"name":"Denver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2"/>
      <c r="AK143" s="230"/>
      <c r="AL143" s="230"/>
      <c r="AM143" s="239" t="str">
        <f t="shared" ref="AM143:AM205" si="75">"start /low /b "&amp;dls3logs&amp;" --loco "&amp;B143&amp;" --day "&amp;TEXT(F143,"YYYY-MM-DD")</f>
        <v>start /low /b %USERPROFILE%\Documents\GitHub\eaglep3\Utilities\DownloadLogsFromS3.py --loco 4062 --day 2017-12-28</v>
      </c>
      <c r="AN143" s="240" t="str">
        <f t="shared" ref="AN143:AN205" si="76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04:36:16"},{"id":29,"name":"Sharepoint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29" t="str">
        <f t="shared" ref="AO143:AO205" si="77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-28T19:55:46-0700',mode:absolute,to:'2017-12-28T22:36:16-0700'))&amp;_a=(columns:!('Message%20ID',Summary),filters:!(),index:'emp_*',interval:auto,query:(query_string:(analyze_wildcard:!t,query:'%22rtdc.l.rtdc.4062%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28" t="s">
        <v>692</v>
      </c>
      <c r="B144" s="224">
        <v>4061</v>
      </c>
      <c r="C144" s="226" t="s">
        <v>192</v>
      </c>
      <c r="D144" s="226" t="s">
        <v>542</v>
      </c>
      <c r="E144" s="225">
        <v>43097.912847222222</v>
      </c>
      <c r="F144" s="225">
        <v>43097.914826388886</v>
      </c>
      <c r="G144" s="224">
        <v>58</v>
      </c>
      <c r="H144" s="226" t="s">
        <v>990</v>
      </c>
      <c r="I144" s="225">
        <v>43097.941967592589</v>
      </c>
      <c r="J144" s="224">
        <v>0</v>
      </c>
      <c r="K144" s="236" t="str">
        <f t="shared" si="62"/>
        <v>4061/4062</v>
      </c>
      <c r="L144" s="244" t="str">
        <f>VLOOKUP(A144,'Trips&amp;Operators'!$C$1:$G$99911,5,FALSE)</f>
        <v>ANDERS STEVEN</v>
      </c>
      <c r="M144" s="223">
        <f t="shared" si="63"/>
        <v>2.7141203703649808E-2</v>
      </c>
      <c r="N144" s="224">
        <f t="shared" si="56"/>
        <v>39.083333333255723</v>
      </c>
      <c r="O144" s="224"/>
      <c r="P144" s="224"/>
      <c r="Q144" s="227"/>
      <c r="R144" s="241"/>
      <c r="S144" s="248">
        <f t="shared" si="61"/>
        <v>1</v>
      </c>
      <c r="T144" s="241" t="str">
        <f t="shared" si="64"/>
        <v>Southbound</v>
      </c>
      <c r="U144" s="24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7" t="str">
        <f t="shared" si="65"/>
        <v>https://d0f6bd738d7f1b3e5a7ca70fe4ff75f0.us-east-1.aws.found.io/app/kibana#/discover/Steve-Slow-Train-Analysis-(2080s-and-2083s)?_g=(refreshInterval:(display:Off,pause:!f,section:0,value:0),time:(from:'2017-12-28T20:54:30-0700',mode:absolute,to:'2017-12-28T23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4" s="246" t="str">
        <f>IF(AA144&lt;VLOOKUP(AG144,Variables!$AC$3:$AD$8,2,FALSE),"Y","N")</f>
        <v>N</v>
      </c>
      <c r="X144" s="246">
        <f t="shared" si="60"/>
        <v>1</v>
      </c>
      <c r="Y144" s="246">
        <f t="shared" si="71"/>
        <v>23.295500000000001</v>
      </c>
      <c r="Z144" s="246">
        <f t="shared" si="72"/>
        <v>2.4E-2</v>
      </c>
      <c r="AA144" s="246">
        <f t="shared" si="66"/>
        <v>23.2715</v>
      </c>
      <c r="AB144" s="232" t="str">
        <f>VLOOKUP(A144,Enforcements!$C$7:$K$9,8,0)</f>
        <v>Bulletin (2)</v>
      </c>
      <c r="AC144" s="231" t="str">
        <f>VLOOKUP(A144,Enforcements!$C$7:$E$9,3,0)</f>
        <v>GRADE CROSSING</v>
      </c>
      <c r="AD144" s="242">
        <f t="shared" si="67"/>
        <v>230</v>
      </c>
      <c r="AE144" s="234" t="str">
        <f t="shared" si="68"/>
        <v>aws s3 cp s3://rtdc.mdm.uploadarchive.raw/RTDC4061/ "%USERPROFILE%\AppData\Local\Temp\OnboardLogs"\RTDC4061\2017-12-28 --exclude "*" --recursive --include "*20171228*" &amp; "%USERPROFILE%\Documents\GitHub\mrs-test-scripts\Headless Mode &amp; Sideloading\WalkAndUnGZ.bat" "%USERPROFILE%\AppData\Local\Temp\OnboardLogs"\RTDC4061\2017-12-28 &amp; aws s3 cp s3://rtdc.mdm.uploadarchive.raw/RTDC4061/ "%USERPROFILE%\AppData\Local\Temp\OnboardLogs"\RTDC4061\2017-12-29 --exclude "*" --recursive --include "*20171229*" &amp; "%USERPROFILE%\Documents\GitHub\mrs-test-scripts\Headless Mode &amp; Sideloading\WalkAndUnGZ.bat" "%USERPROFILE%\AppData\Local\Temp\OnboardLogs"\RTDC4061\2017-12-29</v>
      </c>
      <c r="AF144" s="233" t="str">
        <f t="shared" si="69"/>
        <v>"C:\Program Files (x86)\AstroGrep\AstroGrep.exe" /e /r /s /spath="%USERPROFILE%\AppData\Local\Temp\OnboardLogs" /stypes="app*4061*201712290*" /stext=" 05:.+?(?&gt;(PRM\|1\|D)|(KPR)|(KDP)|(train st[a-z]+ moving)|(SYSTEM_STATE:s[a-z]+ state changed)|(Enforcement Action)|(\[TIMEOUT)|(parse_ebi_status: Penalty)|(\|GPPS))"</v>
      </c>
      <c r="AG144" s="243" t="str">
        <f t="shared" si="70"/>
        <v>EC</v>
      </c>
      <c r="AH144" s="235" t="str">
        <f t="shared" si="73"/>
        <v>"%USERPROFILE%\Documents\GitHub\eaglep3\Utilities\RefineRTDCRunTimes.py" --tripid 230-28 --locoid 4061 --swversion DE.1.0.9.0 --startMP 204:232955 --initTime 2017-12-28T21:54:30 --startdatetime 2017-12-28T21:57:21 --delay 58 --endMP 204:240 --enddatetime 2017-12-28T22:36:26 --enforcementcount 0 &gt;&gt;%USERPROFILE%\Documents\GitHub\eaglep3-reporting\EC\2017-12-28-refined-times.txt</v>
      </c>
      <c r="AI144" s="237" t="str">
        <f t="shared" si="74"/>
        <v>echo {"issue":{"subject":"","project_id":79,"tracker_id":40,"status_id":1,"priority_id":2,"assigned_to_id":338,"start_date":"2017-12-28","description":"","custom_fields":[{"id":1,"name":"Subdivision","value":"EC"},{"id":4,"name":"Milepost","value":"0.024"},{"id":17,"name":"Train ID","value":"230-28"},{"id":16,"name":"Locomotive ID","value":"4061"},{"id":130,"name":"Impact","value":""},{"id":150,"name":"Time of Event (Mountain Time)","value":"22:36:26"},{"id":151,"name":"Denver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2"/>
      <c r="AK144" s="230"/>
      <c r="AL144" s="230"/>
      <c r="AM144" s="239" t="str">
        <f t="shared" si="75"/>
        <v>start /low /b %USERPROFILE%\Documents\GitHub\eaglep3\Utilities\DownloadLogsFromS3.py --loco 4061 --day 2017-12-28</v>
      </c>
      <c r="AN144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05:36:26"},{"id":29,"name":"Sharepoint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29" t="str">
        <f t="shared" si="77"/>
        <v>https://d0f6bd738d7f1b3e5a7ca70fe4ff75f0.us-east-1.aws.found.io/app/kibana#/discover/Steve-Slow-Train-Analysis-(2080s-and-2083s)?_g=(refreshInterval:(display:Off,pause:!f,section:0,value:0),time:(from:'2017-12-28T20:54:30-0700',mode:absolute,to:'2017-12-28T23:36:26-0700'))&amp;_a=(columns:!('Message%20ID',Summary),filters:!(),index:'emp_*',interval:auto,query:(query_string:(analyze_wildcard:!t,query:'%22rtdc.l.rtdc.4061%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2" customFormat="1" x14ac:dyDescent="0.25">
      <c r="A145" s="228" t="s">
        <v>888</v>
      </c>
      <c r="B145" s="224">
        <v>4042</v>
      </c>
      <c r="C145" s="226" t="s">
        <v>192</v>
      </c>
      <c r="D145" s="226" t="s">
        <v>474</v>
      </c>
      <c r="E145" s="225">
        <v>43097.880231481482</v>
      </c>
      <c r="F145" s="225">
        <v>43097.89607638889</v>
      </c>
      <c r="G145" s="224">
        <v>83</v>
      </c>
      <c r="H145" s="226" t="s">
        <v>521</v>
      </c>
      <c r="I145" s="225">
        <v>43097.920925925922</v>
      </c>
      <c r="J145" s="224">
        <v>0</v>
      </c>
      <c r="K145" s="236" t="str">
        <f t="shared" si="62"/>
        <v>4041/4042</v>
      </c>
      <c r="L145" s="244" t="str">
        <f>VLOOKUP(A145,'Trips&amp;Operators'!$C$1:$G$99911,5,FALSE)</f>
        <v>LOZA FIDEL</v>
      </c>
      <c r="M145" s="223">
        <f t="shared" si="63"/>
        <v>2.4849537032423541E-2</v>
      </c>
      <c r="N145" s="224">
        <f t="shared" si="56"/>
        <v>35.783333326689899</v>
      </c>
      <c r="O145" s="224"/>
      <c r="P145" s="224"/>
      <c r="Q145" s="227"/>
      <c r="R145" s="241"/>
      <c r="S145" s="248">
        <f t="shared" si="61"/>
        <v>1</v>
      </c>
      <c r="T145" s="241" t="str">
        <f t="shared" si="64"/>
        <v>NorthBound</v>
      </c>
      <c r="U145" s="24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7" t="str">
        <f t="shared" si="65"/>
        <v>https://d0f6bd738d7f1b3e5a7ca70fe4ff75f0.us-east-1.aws.found.io/app/kibana#/discover/Steve-Slow-Train-Analysis-(2080s-and-2083s)?_g=(refreshInterval:(display:Off,pause:!f,section:0,value:0),time:(from:'2017-12-28T20:07:32-0700',mode:absolute,to:'2017-12-28T23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5" s="246" t="str">
        <f>IF(AA145&lt;VLOOKUP(AG145,Variables!$AC$3:$AD$8,2,FALSE),"Y","N")</f>
        <v>N</v>
      </c>
      <c r="X145" s="246">
        <f t="shared" si="60"/>
        <v>1</v>
      </c>
      <c r="Y145" s="246">
        <f t="shared" si="71"/>
        <v>5.1700000000000003E-2</v>
      </c>
      <c r="Z145" s="246">
        <f t="shared" si="72"/>
        <v>23.3264</v>
      </c>
      <c r="AA145" s="246">
        <f t="shared" si="66"/>
        <v>23.274699999999999</v>
      </c>
      <c r="AB145" s="232" t="e">
        <f>VLOOKUP(A145,Enforcements!$C$7:$K$9,8,0)</f>
        <v>#N/A</v>
      </c>
      <c r="AC145" s="231" t="e">
        <f>VLOOKUP(A145,Enforcements!$C$7:$E$9,3,0)</f>
        <v>#N/A</v>
      </c>
      <c r="AD145" s="242">
        <f t="shared" si="67"/>
        <v>231</v>
      </c>
      <c r="AE145" s="234" t="str">
        <f t="shared" si="68"/>
        <v>aws s3 cp s3://rtdc.mdm.uploadarchive.raw/RTDC4042/ "%USERPROFILE%\AppData\Local\Temp\OnboardLogs"\RTDC4042\2017-12-28 --exclude "*" --recursive --include "*20171228*" &amp; "%USERPROFILE%\Documents\GitHub\mrs-test-scripts\Headless Mode &amp; Sideloading\WalkAndUnGZ.bat" "%USERPROFILE%\AppData\Local\Temp\OnboardLogs"\RTDC4042\2017-12-28 &amp; aws s3 cp s3://rtdc.mdm.uploadarchive.raw/RTDC4042/ "%USERPROFILE%\AppData\Local\Temp\OnboardLogs"\RTDC4042\2017-12-29 --exclude "*" --recursive --include "*20171229*" &amp; "%USERPROFILE%\Documents\GitHub\mrs-test-scripts\Headless Mode &amp; Sideloading\WalkAndUnGZ.bat" "%USERPROFILE%\AppData\Local\Temp\OnboardLogs"\RTDC4042\2017-12-29</v>
      </c>
      <c r="AF145" s="233" t="str">
        <f t="shared" si="69"/>
        <v>"C:\Program Files (x86)\AstroGrep\AstroGrep.exe" /e /r /s /spath="%USERPROFILE%\AppData\Local\Temp\OnboardLogs" /stypes="app*4042*201712290*" /stext=" 05:.+?(?&gt;(PRM\|1\|D)|(KPR)|(KDP)|(train st[a-z]+ moving)|(SYSTEM_STATE:s[a-z]+ state changed)|(Enforcement Action)|(\[TIMEOUT)|(parse_ebi_status: Penalty)|(\|GPPS))"</v>
      </c>
      <c r="AG145" s="243" t="str">
        <f t="shared" si="70"/>
        <v>EC</v>
      </c>
      <c r="AH145" s="235" t="str">
        <f t="shared" si="73"/>
        <v>"%USERPROFILE%\Documents\GitHub\eaglep3\Utilities\RefineRTDCRunTimes.py" --tripid 231-28 --locoid 4042 --swversion DE.1.0.9.0 --startMP 204:517 --initTime 2017-12-28T21:07:32 --startdatetime 2017-12-28T21:30:21 --delay 83 --endMP 204:233264 --enddatetime 2017-12-28T22:06:08 --enforcementcount 0 &gt;&gt;%USERPROFILE%\Documents\GitHub\eaglep3-reporting\EC\2017-12-28-refined-times.txt</v>
      </c>
      <c r="AI145" s="237" t="str">
        <f t="shared" si="74"/>
        <v>echo {"issue":{"subject":"","project_id":79,"tracker_id":40,"status_id":1,"priority_id":2,"assigned_to_id":338,"start_date":"2017-12-28","description":"","custom_fields":[{"id":1,"name":"Subdivision","value":"EC"},{"id":4,"name":"Milepost","value":"23.3264"},{"id":17,"name":"Train ID","value":"231-28"},{"id":16,"name":"Locomotive ID","value":"4042"},{"id":130,"name":"Impact","value":""},{"id":150,"name":"Time of Event (Mountain Time)","value":"22:06:08"},{"id":151,"name":"Denver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0"/>
      <c r="AL145" s="230"/>
      <c r="AM145" s="239" t="str">
        <f t="shared" si="75"/>
        <v>start /low /b %USERPROFILE%\Documents\GitHub\eaglep3\Utilities\DownloadLogsFromS3.py --loco 4042 --day 2017-12-28</v>
      </c>
      <c r="AN145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05:06:08"},{"id":29,"name":"Sharepoint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29" t="str">
        <f t="shared" si="77"/>
        <v>https://d0f6bd738d7f1b3e5a7ca70fe4ff75f0.us-east-1.aws.found.io/app/kibana#/discover/Steve-Slow-Train-Analysis-(2080s-and-2083s)?_g=(refreshInterval:(display:Off,pause:!f,section:0,value:0),time:(from:'2017-12-28T20:07:32-0700',mode:absolute,to:'2017-12-28T23:06:08-0700'))&amp;_a=(columns:!('Message%20ID',Summary),filters:!(),index:'emp_*',interval:auto,query:(query_string:(analyze_wildcard:!t,query:'%22rtdc.l.rtdc.4042%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2" customFormat="1" x14ac:dyDescent="0.25">
      <c r="A146" s="228" t="s">
        <v>893</v>
      </c>
      <c r="B146" s="224">
        <v>4041</v>
      </c>
      <c r="C146" s="226" t="s">
        <v>192</v>
      </c>
      <c r="D146" s="226" t="s">
        <v>657</v>
      </c>
      <c r="E146" s="225">
        <v>43097.932326388887</v>
      </c>
      <c r="F146" s="225">
        <v>43097.935752314814</v>
      </c>
      <c r="G146" s="224">
        <v>63</v>
      </c>
      <c r="H146" s="226" t="s">
        <v>991</v>
      </c>
      <c r="I146" s="225">
        <v>43097.961898148147</v>
      </c>
      <c r="J146" s="224">
        <v>0</v>
      </c>
      <c r="K146" s="236" t="str">
        <f t="shared" si="62"/>
        <v>4041/4042</v>
      </c>
      <c r="L146" s="244" t="str">
        <f>VLOOKUP(A146,'Trips&amp;Operators'!$C$1:$G$99911,5,FALSE)</f>
        <v>LOZA FIDEL</v>
      </c>
      <c r="M146" s="223">
        <f t="shared" si="63"/>
        <v>2.6145833333430346E-2</v>
      </c>
      <c r="N146" s="224">
        <f t="shared" si="56"/>
        <v>37.650000000139698</v>
      </c>
      <c r="O146" s="224"/>
      <c r="P146" s="224"/>
      <c r="Q146" s="227"/>
      <c r="R146" s="241"/>
      <c r="S146" s="248">
        <f t="shared" si="61"/>
        <v>1</v>
      </c>
      <c r="T146" s="241" t="str">
        <f t="shared" si="64"/>
        <v>Southbound</v>
      </c>
      <c r="U146" s="24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7" t="str">
        <f t="shared" si="65"/>
        <v>https://d0f6bd738d7f1b3e5a7ca70fe4ff75f0.us-east-1.aws.found.io/app/kibana#/discover/Steve-Slow-Train-Analysis-(2080s-and-2083s)?_g=(refreshInterval:(display:Off,pause:!f,section:0,value:0),time:(from:'2017-12-28T21:22:33-0700',mode:absolute,to:'2017-12-29T00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6" s="246" t="str">
        <f>IF(AA146&lt;VLOOKUP(AG146,Variables!$AC$3:$AD$8,2,FALSE),"Y","N")</f>
        <v>N</v>
      </c>
      <c r="X146" s="246">
        <f t="shared" ref="X146:X180" si="78">VALUE(LEFT(AD146,4))-VALUE(LEFT(AD145,4))</f>
        <v>1</v>
      </c>
      <c r="Y146" s="246">
        <f t="shared" si="71"/>
        <v>23.295100000000001</v>
      </c>
      <c r="Z146" s="246">
        <f t="shared" si="72"/>
        <v>2.58E-2</v>
      </c>
      <c r="AA146" s="246">
        <f t="shared" si="66"/>
        <v>23.269300000000001</v>
      </c>
      <c r="AB146" s="232" t="e">
        <f>VLOOKUP(A146,Enforcements!$C$7:$K$9,8,0)</f>
        <v>#N/A</v>
      </c>
      <c r="AC146" s="231" t="e">
        <f>VLOOKUP(A146,Enforcements!$C$7:$E$9,3,0)</f>
        <v>#N/A</v>
      </c>
      <c r="AD146" s="242">
        <f t="shared" si="67"/>
        <v>232</v>
      </c>
      <c r="AE146" s="234" t="str">
        <f t="shared" si="68"/>
        <v>aws s3 cp s3://rtdc.mdm.uploadarchive.raw/RTDC4041/ "%USERPROFILE%\AppData\Local\Temp\OnboardLogs"\RTDC4041\2017-12-28 --exclude "*" --recursive --include "*20171228*" &amp; "%USERPROFILE%\Documents\GitHub\mrs-test-scripts\Headless Mode &amp; Sideloading\WalkAndUnGZ.bat" "%USERPROFILE%\AppData\Local\Temp\OnboardLogs"\RTDC4041\2017-12-28 &amp; aws s3 cp s3://rtdc.mdm.uploadarchive.raw/RTDC4041/ "%USERPROFILE%\AppData\Local\Temp\OnboardLogs"\RTDC4041\2017-12-29 --exclude "*" --recursive --include "*20171229*" &amp; "%USERPROFILE%\Documents\GitHub\mrs-test-scripts\Headless Mode &amp; Sideloading\WalkAndUnGZ.bat" "%USERPROFILE%\AppData\Local\Temp\OnboardLogs"\RTDC4041\2017-12-29</v>
      </c>
      <c r="AF146" s="233" t="str">
        <f t="shared" si="69"/>
        <v>"C:\Program Files (x86)\AstroGrep\AstroGrep.exe" /e /r /s /spath="%USERPROFILE%\AppData\Local\Temp\OnboardLogs" /stypes="app*4041*201712290*" /stext=" 06:.+?(?&gt;(PRM\|1\|D)|(KPR)|(KDP)|(train st[a-z]+ moving)|(SYSTEM_STATE:s[a-z]+ state changed)|(Enforcement Action)|(\[TIMEOUT)|(parse_ebi_status: Penalty)|(\|GPPS))"</v>
      </c>
      <c r="AG146" s="243" t="str">
        <f t="shared" si="70"/>
        <v>EC</v>
      </c>
      <c r="AH146" s="235" t="str">
        <f t="shared" si="73"/>
        <v>"%USERPROFILE%\Documents\GitHub\eaglep3\Utilities\RefineRTDCRunTimes.py" --tripid 232-28 --locoid 4041 --swversion DE.1.0.9.0 --startMP 204:232951 --initTime 2017-12-28T22:22:33 --startdatetime 2017-12-28T22:27:29 --delay 63 --endMP 204:258 --enddatetime 2017-12-28T23:05:08 --enforcementcount 0 &gt;&gt;%USERPROFILE%\Documents\GitHub\eaglep3-reporting\EC\2017-12-28-refined-times.txt</v>
      </c>
      <c r="AI146" s="237" t="str">
        <f t="shared" si="74"/>
        <v>echo {"issue":{"subject":"","project_id":79,"tracker_id":40,"status_id":1,"priority_id":2,"assigned_to_id":338,"start_date":"2017-12-28","description":"","custom_fields":[{"id":1,"name":"Subdivision","value":"EC"},{"id":4,"name":"Milepost","value":"0.0258"},{"id":17,"name":"Train ID","value":"232-28"},{"id":16,"name":"Locomotive ID","value":"4041"},{"id":130,"name":"Impact","value":""},{"id":150,"name":"Time of Event (Mountain Time)","value":"23:05:08"},{"id":151,"name":"Denver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0"/>
      <c r="AL146" s="230"/>
      <c r="AM146" s="239" t="str">
        <f t="shared" si="75"/>
        <v>start /low /b %USERPROFILE%\Documents\GitHub\eaglep3\Utilities\DownloadLogsFromS3.py --loco 4041 --day 2017-12-28</v>
      </c>
      <c r="AN146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06:05:08"},{"id":29,"name":"Sharepoint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29" t="str">
        <f t="shared" si="77"/>
        <v>https://d0f6bd738d7f1b3e5a7ca70fe4ff75f0.us-east-1.aws.found.io/app/kibana#/discover/Steve-Slow-Train-Analysis-(2080s-and-2083s)?_g=(refreshInterval:(display:Off,pause:!f,section:0,value:0),time:(from:'2017-12-28T21:22:33-0700',mode:absolute,to:'2017-12-29T00:05:08-0700'))&amp;_a=(columns:!('Message%20ID',Summary),filters:!(),index:'emp_*',interval:auto,query:(query_string:(analyze_wildcard:!t,query:'%22rtdc.l.rtdc.4041%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2" customFormat="1" x14ac:dyDescent="0.25">
      <c r="A147" s="228" t="s">
        <v>694</v>
      </c>
      <c r="B147" s="224">
        <v>4014</v>
      </c>
      <c r="C147" s="226" t="s">
        <v>192</v>
      </c>
      <c r="D147" s="226" t="s">
        <v>964</v>
      </c>
      <c r="E147" s="225">
        <v>43097.900520833333</v>
      </c>
      <c r="F147" s="225">
        <v>43097.916805555556</v>
      </c>
      <c r="G147" s="224">
        <v>51</v>
      </c>
      <c r="H147" s="226" t="s">
        <v>638</v>
      </c>
      <c r="I147" s="225">
        <v>43097.94259259259</v>
      </c>
      <c r="J147" s="224">
        <v>0</v>
      </c>
      <c r="K147" s="236" t="str">
        <f t="shared" si="62"/>
        <v>4013/4014</v>
      </c>
      <c r="L147" s="244" t="str">
        <f>VLOOKUP(A147,'Trips&amp;Operators'!$C$1:$G$99911,5,FALSE)</f>
        <v>ELBAUM MIKE</v>
      </c>
      <c r="M147" s="223">
        <f t="shared" si="63"/>
        <v>2.5787037033296656E-2</v>
      </c>
      <c r="N147" s="224">
        <f t="shared" si="56"/>
        <v>37.133333327947184</v>
      </c>
      <c r="O147" s="224"/>
      <c r="P147" s="224"/>
      <c r="Q147" s="227"/>
      <c r="R147" s="241"/>
      <c r="S147" s="248">
        <f t="shared" si="61"/>
        <v>1</v>
      </c>
      <c r="T147" s="241" t="str">
        <f t="shared" si="64"/>
        <v>NorthBound</v>
      </c>
      <c r="U147" s="24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7" t="str">
        <f t="shared" si="65"/>
        <v>https://d0f6bd738d7f1b3e5a7ca70fe4ff75f0.us-east-1.aws.found.io/app/kibana#/discover/Steve-Slow-Train-Analysis-(2080s-and-2083s)?_g=(refreshInterval:(display:Off,pause:!f,section:0,value:0),time:(from:'2017-12-28T20:36:45-0700',mode:absolute,to:'2017-12-28T23:37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7" s="246" t="str">
        <f>IF(AA147&lt;VLOOKUP(AG147,Variables!$AC$3:$AD$8,2,FALSE),"Y","N")</f>
        <v>N</v>
      </c>
      <c r="X147" s="246">
        <f t="shared" si="78"/>
        <v>1</v>
      </c>
      <c r="Y147" s="246">
        <f t="shared" si="71"/>
        <v>5.6800000000000003E-2</v>
      </c>
      <c r="Z147" s="246">
        <f t="shared" si="72"/>
        <v>23.330500000000001</v>
      </c>
      <c r="AA147" s="246">
        <f t="shared" si="66"/>
        <v>23.273700000000002</v>
      </c>
      <c r="AB147" s="232" t="e">
        <f>VLOOKUP(A147,Enforcements!$C$7:$K$9,8,0)</f>
        <v>#N/A</v>
      </c>
      <c r="AC147" s="231" t="e">
        <f>VLOOKUP(A147,Enforcements!$C$7:$E$9,3,0)</f>
        <v>#N/A</v>
      </c>
      <c r="AD147" s="242">
        <f t="shared" si="67"/>
        <v>233</v>
      </c>
      <c r="AE147" s="234" t="str">
        <f t="shared" si="68"/>
        <v>aws s3 cp s3://rtdc.mdm.uploadarchive.raw/RTDC4014/ "%USERPROFILE%\AppData\Local\Temp\OnboardLogs"\RTDC4014\2017-12-28 --exclude "*" --recursive --include "*20171228*" &amp; "%USERPROFILE%\Documents\GitHub\mrs-test-scripts\Headless Mode &amp; Sideloading\WalkAndUnGZ.bat" "%USERPROFILE%\AppData\Local\Temp\OnboardLogs"\RTDC4014\2017-12-28 &amp; aws s3 cp s3://rtdc.mdm.uploadarchive.raw/RTDC4014/ "%USERPROFILE%\AppData\Local\Temp\OnboardLogs"\RTDC4014\2017-12-29 --exclude "*" --recursive --include "*20171229*" &amp; "%USERPROFILE%\Documents\GitHub\mrs-test-scripts\Headless Mode &amp; Sideloading\WalkAndUnGZ.bat" "%USERPROFILE%\AppData\Local\Temp\OnboardLogs"\RTDC4014\2017-12-29</v>
      </c>
      <c r="AF147" s="233" t="str">
        <f t="shared" si="69"/>
        <v>"C:\Program Files (x86)\AstroGrep\AstroGrep.exe" /e /r /s /spath="%USERPROFILE%\AppData\Local\Temp\OnboardLogs" /stypes="app*4014*201712290*" /stext=" 05:.+?(?&gt;(PRM\|1\|D)|(KPR)|(KDP)|(train st[a-z]+ moving)|(SYSTEM_STATE:s[a-z]+ state changed)|(Enforcement Action)|(\[TIMEOUT)|(parse_ebi_status: Penalty)|(\|GPPS))"</v>
      </c>
      <c r="AG147" s="243" t="str">
        <f t="shared" si="70"/>
        <v>EC</v>
      </c>
      <c r="AH147" s="235" t="str">
        <f t="shared" si="73"/>
        <v>"%USERPROFILE%\Documents\GitHub\eaglep3\Utilities\RefineRTDCRunTimes.py" --tripid 233-28 --locoid 4014 --swversion DE.1.0.9.0 --startMP 204:568 --initTime 2017-12-28T21:36:45 --startdatetime 2017-12-28T22:00:12 --delay 51 --endMP 204:233305 --enddatetime 2017-12-28T22:37:20 --enforcementcount 0 &gt;&gt;%USERPROFILE%\Documents\GitHub\eaglep3-reporting\EC\2017-12-28-refined-times.txt</v>
      </c>
      <c r="AI147" s="237" t="str">
        <f t="shared" si="74"/>
        <v>echo {"issue":{"subject":"","project_id":79,"tracker_id":40,"status_id":1,"priority_id":2,"assigned_to_id":338,"start_date":"2017-12-28","description":"","custom_fields":[{"id":1,"name":"Subdivision","value":"EC"},{"id":4,"name":"Milepost","value":"23.3305"},{"id":17,"name":"Train ID","value":"233-28"},{"id":16,"name":"Locomotive ID","value":"4014"},{"id":130,"name":"Impact","value":""},{"id":150,"name":"Time of Event (Mountain Time)","value":"22:37:20"},{"id":151,"name":"Denver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0"/>
      <c r="AL147" s="230"/>
      <c r="AM147" s="239" t="str">
        <f t="shared" si="75"/>
        <v>start /low /b %USERPROFILE%\Documents\GitHub\eaglep3\Utilities\DownloadLogsFromS3.py --loco 4014 --day 2017-12-28</v>
      </c>
      <c r="AN147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05:37:20"},{"id":29,"name":"Sharepoint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29" t="str">
        <f t="shared" si="77"/>
        <v>https://d0f6bd738d7f1b3e5a7ca70fe4ff75f0.us-east-1.aws.found.io/app/kibana#/discover/Steve-Slow-Train-Analysis-(2080s-and-2083s)?_g=(refreshInterval:(display:Off,pause:!f,section:0,value:0),time:(from:'2017-12-28T20:36:45-0700',mode:absolute,to:'2017-12-28T23:37:20-0700'))&amp;_a=(columns:!('Message%20ID',Summary),filters:!(),index:'emp_*',interval:auto,query:(query_string:(analyze_wildcard:!t,query:'%22rtdc.l.rtdc.4014%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2" customFormat="1" x14ac:dyDescent="0.25">
      <c r="A148" s="228" t="s">
        <v>895</v>
      </c>
      <c r="B148" s="224">
        <v>4013</v>
      </c>
      <c r="C148" s="226" t="s">
        <v>192</v>
      </c>
      <c r="D148" s="226" t="s">
        <v>585</v>
      </c>
      <c r="E148" s="225">
        <v>43097.946550925924</v>
      </c>
      <c r="F148" s="225">
        <v>43097.956400462965</v>
      </c>
      <c r="G148" s="224">
        <v>49</v>
      </c>
      <c r="H148" s="226" t="s">
        <v>992</v>
      </c>
      <c r="I148" s="225">
        <v>43097.983437499999</v>
      </c>
      <c r="J148" s="224">
        <v>0</v>
      </c>
      <c r="K148" s="236" t="str">
        <f t="shared" si="62"/>
        <v>4013/4014</v>
      </c>
      <c r="L148" s="244" t="str">
        <f>VLOOKUP(A148,'Trips&amp;Operators'!$C$1:$G$99911,5,FALSE)</f>
        <v>ELBAUM MIKE</v>
      </c>
      <c r="M148" s="223">
        <f t="shared" si="63"/>
        <v>2.7037037034460809E-2</v>
      </c>
      <c r="N148" s="224">
        <f t="shared" si="56"/>
        <v>38.933333329623565</v>
      </c>
      <c r="O148" s="224"/>
      <c r="P148" s="224"/>
      <c r="Q148" s="227"/>
      <c r="R148" s="241"/>
      <c r="S148" s="248">
        <f t="shared" si="61"/>
        <v>1</v>
      </c>
      <c r="T148" s="241" t="str">
        <f t="shared" si="64"/>
        <v>Southbound</v>
      </c>
      <c r="U148" s="24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7" t="str">
        <f t="shared" si="65"/>
        <v>https://d0f6bd738d7f1b3e5a7ca70fe4ff75f0.us-east-1.aws.found.io/app/kibana#/discover/Steve-Slow-Train-Analysis-(2080s-and-2083s)?_g=(refreshInterval:(display:Off,pause:!f,section:0,value:0),time:(from:'2017-12-28T21:43:02-0700',mode:absolute,to:'2017-12-29T00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8" s="246" t="str">
        <f>IF(AA148&lt;VLOOKUP(AG148,Variables!$AC$3:$AD$8,2,FALSE),"Y","N")</f>
        <v>N</v>
      </c>
      <c r="X148" s="246">
        <f t="shared" si="78"/>
        <v>1</v>
      </c>
      <c r="Y148" s="246">
        <f t="shared" si="71"/>
        <v>23.298200000000001</v>
      </c>
      <c r="Z148" s="246">
        <f t="shared" si="72"/>
        <v>2.7099999999999999E-2</v>
      </c>
      <c r="AA148" s="246">
        <f t="shared" si="66"/>
        <v>23.271100000000001</v>
      </c>
      <c r="AB148" s="232" t="e">
        <f>VLOOKUP(A148,Enforcements!$C$7:$K$9,8,0)</f>
        <v>#N/A</v>
      </c>
      <c r="AC148" s="231" t="e">
        <f>VLOOKUP(A148,Enforcements!$C$7:$E$9,3,0)</f>
        <v>#N/A</v>
      </c>
      <c r="AD148" s="242">
        <f t="shared" si="67"/>
        <v>234</v>
      </c>
      <c r="AE148" s="234" t="str">
        <f t="shared" si="68"/>
        <v>aws s3 cp s3://rtdc.mdm.uploadarchive.raw/RTDC4013/ "%USERPROFILE%\AppData\Local\Temp\OnboardLogs"\RTDC4013\2017-12-28 --exclude "*" --recursive --include "*20171228*" &amp; "%USERPROFILE%\Documents\GitHub\mrs-test-scripts\Headless Mode &amp; Sideloading\WalkAndUnGZ.bat" "%USERPROFILE%\AppData\Local\Temp\OnboardLogs"\RTDC4013\2017-12-28 &amp; aws s3 cp s3://rtdc.mdm.uploadarchive.raw/RTDC4013/ "%USERPROFILE%\AppData\Local\Temp\OnboardLogs"\RTDC4013\2017-12-29 --exclude "*" --recursive --include "*20171229*" &amp; "%USERPROFILE%\Documents\GitHub\mrs-test-scripts\Headless Mode &amp; Sideloading\WalkAndUnGZ.bat" "%USERPROFILE%\AppData\Local\Temp\OnboardLogs"\RTDC4013\2017-12-29</v>
      </c>
      <c r="AF148" s="233" t="str">
        <f t="shared" si="69"/>
        <v>"C:\Program Files (x86)\AstroGrep\AstroGrep.exe" /e /r /s /spath="%USERPROFILE%\AppData\Local\Temp\OnboardLogs" /stypes="app*4013*201712290*" /stext=" 06:.+?(?&gt;(PRM\|1\|D)|(KPR)|(KDP)|(train st[a-z]+ moving)|(SYSTEM_STATE:s[a-z]+ state changed)|(Enforcement Action)|(\[TIMEOUT)|(parse_ebi_status: Penalty)|(\|GPPS))"</v>
      </c>
      <c r="AG148" s="243" t="str">
        <f t="shared" si="70"/>
        <v>EC</v>
      </c>
      <c r="AH148" s="235" t="str">
        <f t="shared" si="73"/>
        <v>"%USERPROFILE%\Documents\GitHub\eaglep3\Utilities\RefineRTDCRunTimes.py" --tripid 234-28 --locoid 4013 --swversion DE.1.0.9.0 --startMP 204:232982 --initTime 2017-12-28T22:43:02 --startdatetime 2017-12-28T22:57:13 --delay 49 --endMP 204:271 --enddatetime 2017-12-28T23:36:09 --enforcementcount 0 &gt;&gt;%USERPROFILE%\Documents\GitHub\eaglep3-reporting\EC\2017-12-28-refined-times.txt</v>
      </c>
      <c r="AI148" s="237" t="str">
        <f t="shared" si="74"/>
        <v>echo {"issue":{"subject":"","project_id":79,"tracker_id":40,"status_id":1,"priority_id":2,"assigned_to_id":338,"start_date":"2017-12-28","description":"","custom_fields":[{"id":1,"name":"Subdivision","value":"EC"},{"id":4,"name":"Milepost","value":"0.0271"},{"id":17,"name":"Train ID","value":"234-28"},{"id":16,"name":"Locomotive ID","value":"4013"},{"id":130,"name":"Impact","value":""},{"id":150,"name":"Time of Event (Mountain Time)","value":"23:36:09"},{"id":151,"name":"Denver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0"/>
      <c r="AL148" s="230"/>
      <c r="AM148" s="239" t="str">
        <f t="shared" si="75"/>
        <v>start /low /b %USERPROFILE%\Documents\GitHub\eaglep3\Utilities\DownloadLogsFromS3.py --loco 4013 --day 2017-12-28</v>
      </c>
      <c r="AN148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06:36:09"},{"id":29,"name":"Sharepoint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29" t="str">
        <f t="shared" si="77"/>
        <v>https://d0f6bd738d7f1b3e5a7ca70fe4ff75f0.us-east-1.aws.found.io/app/kibana#/discover/Steve-Slow-Train-Analysis-(2080s-and-2083s)?_g=(refreshInterval:(display:Off,pause:!f,section:0,value:0),time:(from:'2017-12-28T21:43:02-0700',mode:absolute,to:'2017-12-29T00:36:09-0700'))&amp;_a=(columns:!('Message%20ID',Summary),filters:!(),index:'emp_*',interval:auto,query:(query_string:(analyze_wildcard:!t,query:'%22rtdc.l.rtdc.4013%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228" t="s">
        <v>892</v>
      </c>
      <c r="B149" s="224">
        <v>4064</v>
      </c>
      <c r="C149" s="226" t="s">
        <v>192</v>
      </c>
      <c r="D149" s="226" t="s">
        <v>492</v>
      </c>
      <c r="E149" s="225">
        <v>43097.929016203707</v>
      </c>
      <c r="F149" s="225">
        <v>43097.938287037039</v>
      </c>
      <c r="G149" s="224">
        <v>75</v>
      </c>
      <c r="H149" s="226" t="s">
        <v>993</v>
      </c>
      <c r="I149" s="225">
        <v>43097.964583333334</v>
      </c>
      <c r="J149" s="224">
        <v>0</v>
      </c>
      <c r="K149" s="236" t="str">
        <f t="shared" si="62"/>
        <v>4063/4064</v>
      </c>
      <c r="L149" s="244" t="str">
        <f>VLOOKUP(A149,'Trips&amp;Operators'!$C$1:$G$99911,5,FALSE)</f>
        <v>NICHOLSON WESLEY</v>
      </c>
      <c r="M149" s="223">
        <f t="shared" si="63"/>
        <v>2.6296296295186039E-2</v>
      </c>
      <c r="N149" s="224">
        <f t="shared" si="56"/>
        <v>37.866666665067896</v>
      </c>
      <c r="O149" s="224"/>
      <c r="P149" s="224"/>
      <c r="Q149" s="227"/>
      <c r="R149" s="241"/>
      <c r="S149" s="248">
        <f t="shared" si="61"/>
        <v>1</v>
      </c>
      <c r="T149" s="241" t="str">
        <f t="shared" si="64"/>
        <v>NorthBound</v>
      </c>
      <c r="U149" s="24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7" t="str">
        <f t="shared" si="65"/>
        <v>https://d0f6bd738d7f1b3e5a7ca70fe4ff75f0.us-east-1.aws.found.io/app/kibana#/discover/Steve-Slow-Train-Analysis-(2080s-and-2083s)?_g=(refreshInterval:(display:Off,pause:!f,section:0,value:0),time:(from:'2017-12-28T21:17:47-0700',mode:absolute,to:'2017-12-29T00:09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9" s="246" t="str">
        <f>IF(AA149&lt;VLOOKUP(AG149,Variables!$AC$3:$AD$8,2,FALSE),"Y","N")</f>
        <v>N</v>
      </c>
      <c r="X149" s="246">
        <f t="shared" si="78"/>
        <v>1</v>
      </c>
      <c r="Y149" s="246">
        <f t="shared" si="71"/>
        <v>5.3100000000000001E-2</v>
      </c>
      <c r="Z149" s="246">
        <f t="shared" si="72"/>
        <v>23.318100000000001</v>
      </c>
      <c r="AA149" s="246">
        <f t="shared" si="66"/>
        <v>23.265000000000001</v>
      </c>
      <c r="AB149" s="232" t="e">
        <f>VLOOKUP(A149,Enforcements!$C$7:$K$9,8,0)</f>
        <v>#N/A</v>
      </c>
      <c r="AC149" s="231" t="e">
        <f>VLOOKUP(A149,Enforcements!$C$7:$E$9,3,0)</f>
        <v>#N/A</v>
      </c>
      <c r="AD149" s="242">
        <f t="shared" si="67"/>
        <v>235</v>
      </c>
      <c r="AE149" s="234" t="str">
        <f t="shared" si="68"/>
        <v>aws s3 cp s3://rtdc.mdm.uploadarchive.raw/RTDC4064/ "%USERPROFILE%\AppData\Local\Temp\OnboardLogs"\RTDC4064\2017-12-28 --exclude "*" --recursive --include "*20171228*" &amp; "%USERPROFILE%\Documents\GitHub\mrs-test-scripts\Headless Mode &amp; Sideloading\WalkAndUnGZ.bat" "%USERPROFILE%\AppData\Local\Temp\OnboardLogs"\RTDC4064\2017-12-28 &amp; aws s3 cp s3://rtdc.mdm.uploadarchive.raw/RTDC4064/ "%USERPROFILE%\AppData\Local\Temp\OnboardLogs"\RTDC4064\2017-12-29 --exclude "*" --recursive --include "*20171229*" &amp; "%USERPROFILE%\Documents\GitHub\mrs-test-scripts\Headless Mode &amp; Sideloading\WalkAndUnGZ.bat" "%USERPROFILE%\AppData\Local\Temp\OnboardLogs"\RTDC4064\2017-12-29</v>
      </c>
      <c r="AF149" s="233" t="str">
        <f t="shared" si="69"/>
        <v>"C:\Program Files (x86)\AstroGrep\AstroGrep.exe" /e /r /s /spath="%USERPROFILE%\AppData\Local\Temp\OnboardLogs" /stypes="app*4064*201712290*" /stext=" 06:.+?(?&gt;(PRM\|1\|D)|(KPR)|(KDP)|(train st[a-z]+ moving)|(SYSTEM_STATE:s[a-z]+ state changed)|(Enforcement Action)|(\[TIMEOUT)|(parse_ebi_status: Penalty)|(\|GPPS))"</v>
      </c>
      <c r="AG149" s="243" t="str">
        <f t="shared" si="70"/>
        <v>EC</v>
      </c>
      <c r="AH149" s="235" t="str">
        <f t="shared" si="73"/>
        <v>"%USERPROFILE%\Documents\GitHub\eaglep3\Utilities\RefineRTDCRunTimes.py" --tripid 235-28 --locoid 4064 --swversion DE.1.0.9.0 --startMP 204:531 --initTime 2017-12-28T22:17:47 --startdatetime 2017-12-28T22:31:08 --delay 75 --endMP 204:233181 --enddatetime 2017-12-28T23:09:00 --enforcementcount 0 &gt;&gt;%USERPROFILE%\Documents\GitHub\eaglep3-reporting\EC\2017-12-28-refined-times.txt</v>
      </c>
      <c r="AI149" s="237" t="str">
        <f t="shared" si="74"/>
        <v>echo {"issue":{"subject":"","project_id":79,"tracker_id":40,"status_id":1,"priority_id":2,"assigned_to_id":338,"start_date":"2017-12-28","description":"","custom_fields":[{"id":1,"name":"Subdivision","value":"EC"},{"id":4,"name":"Milepost","value":"23.3181"},{"id":17,"name":"Train ID","value":"235-28"},{"id":16,"name":"Locomotive ID","value":"4064"},{"id":130,"name":"Impact","value":""},{"id":150,"name":"Time of Event (Mountain Time)","value":"23:09:00"},{"id":151,"name":"Denver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2"/>
      <c r="AK149" s="230"/>
      <c r="AL149" s="230"/>
      <c r="AM149" s="239" t="str">
        <f t="shared" si="75"/>
        <v>start /low /b %USERPROFILE%\Documents\GitHub\eaglep3\Utilities\DownloadLogsFromS3.py --loco 4064 --day 2017-12-28</v>
      </c>
      <c r="AN149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06:09:00"},{"id":29,"name":"Sharepoint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29" t="str">
        <f t="shared" si="77"/>
        <v>https://d0f6bd738d7f1b3e5a7ca70fe4ff75f0.us-east-1.aws.found.io/app/kibana#/discover/Steve-Slow-Train-Analysis-(2080s-and-2083s)?_g=(refreshInterval:(display:Off,pause:!f,section:0,value:0),time:(from:'2017-12-28T21:17:47-0700',mode:absolute,to:'2017-12-29T00:09:00-0700'))&amp;_a=(columns:!('Message%20ID',Summary),filters:!(),index:'emp_*',interval:auto,query:(query_string:(analyze_wildcard:!t,query:'%22rtdc.l.rtdc.4064%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228" t="s">
        <v>897</v>
      </c>
      <c r="B150" s="224">
        <v>4063</v>
      </c>
      <c r="C150" s="226" t="s">
        <v>192</v>
      </c>
      <c r="D150" s="226" t="s">
        <v>994</v>
      </c>
      <c r="E150" s="225">
        <v>43097.972256944442</v>
      </c>
      <c r="F150" s="225">
        <v>43097.977743055555</v>
      </c>
      <c r="G150" s="224">
        <v>61</v>
      </c>
      <c r="H150" s="226" t="s">
        <v>654</v>
      </c>
      <c r="I150" s="225">
        <v>43098.007847222223</v>
      </c>
      <c r="J150" s="224">
        <v>0</v>
      </c>
      <c r="K150" s="236" t="str">
        <f t="shared" si="62"/>
        <v>4063/4064</v>
      </c>
      <c r="L150" s="244" t="str">
        <f>VLOOKUP(A150,'Trips&amp;Operators'!$C$1:$G$99911,5,FALSE)</f>
        <v>NICHOLSON WESLEY</v>
      </c>
      <c r="M150" s="223">
        <f t="shared" si="63"/>
        <v>3.0104166668024845E-2</v>
      </c>
      <c r="N150" s="224">
        <f t="shared" si="56"/>
        <v>43.350000001955777</v>
      </c>
      <c r="O150" s="224"/>
      <c r="P150" s="224"/>
      <c r="Q150" s="227"/>
      <c r="R150" s="241"/>
      <c r="S150" s="248">
        <f t="shared" si="61"/>
        <v>1</v>
      </c>
      <c r="T150" s="241" t="str">
        <f t="shared" si="64"/>
        <v>Southbound</v>
      </c>
      <c r="U150" s="24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7" t="str">
        <f t="shared" si="65"/>
        <v>https://d0f6bd738d7f1b3e5a7ca70fe4ff75f0.us-east-1.aws.found.io/app/kibana#/discover/Steve-Slow-Train-Analysis-(2080s-and-2083s)?_g=(refreshInterval:(display:Off,pause:!f,section:0,value:0),time:(from:'2017-12-28T22:20:03-0700',mode:absolute,to:'2017-12-29T01:11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0" s="246" t="str">
        <f>IF(AA150&lt;VLOOKUP(AG150,Variables!$AC$3:$AD$8,2,FALSE),"Y","N")</f>
        <v>N</v>
      </c>
      <c r="X150" s="246">
        <f t="shared" si="78"/>
        <v>1</v>
      </c>
      <c r="Y150" s="246">
        <f t="shared" si="71"/>
        <v>23.287199999999999</v>
      </c>
      <c r="Z150" s="246">
        <f t="shared" si="72"/>
        <v>2.3800000000000002E-2</v>
      </c>
      <c r="AA150" s="246">
        <f t="shared" si="66"/>
        <v>23.263399999999997</v>
      </c>
      <c r="AB150" s="232" t="e">
        <f>VLOOKUP(A150,Enforcements!$C$7:$K$9,8,0)</f>
        <v>#N/A</v>
      </c>
      <c r="AC150" s="231" t="e">
        <f>VLOOKUP(A150,Enforcements!$C$7:$E$9,3,0)</f>
        <v>#N/A</v>
      </c>
      <c r="AD150" s="242">
        <f t="shared" si="67"/>
        <v>236</v>
      </c>
      <c r="AE150" s="234" t="str">
        <f t="shared" si="68"/>
        <v>aws s3 cp s3://rtdc.mdm.uploadarchive.raw/RTDC4063/ "%USERPROFILE%\AppData\Local\Temp\OnboardLogs"\RTDC4063\2017-12-28 --exclude "*" --recursive --include "*20171228*" &amp; "%USERPROFILE%\Documents\GitHub\mrs-test-scripts\Headless Mode &amp; Sideloading\WalkAndUnGZ.bat" "%USERPROFILE%\AppData\Local\Temp\OnboardLogs"\RTDC4063\2017-12-28 &amp; aws s3 cp s3://rtdc.mdm.uploadarchive.raw/RTDC4063/ "%USERPROFILE%\AppData\Local\Temp\OnboardLogs"\RTDC4063\2017-12-29 --exclude "*" --recursive --include "*20171229*" &amp; "%USERPROFILE%\Documents\GitHub\mrs-test-scripts\Headless Mode &amp; Sideloading\WalkAndUnGZ.bat" "%USERPROFILE%\AppData\Local\Temp\OnboardLogs"\RTDC4063\2017-12-29</v>
      </c>
      <c r="AF150" s="233" t="str">
        <f t="shared" si="69"/>
        <v>"C:\Program Files (x86)\AstroGrep\AstroGrep.exe" /e /r /s /spath="%USERPROFILE%\AppData\Local\Temp\OnboardLogs" /stypes="app*4063*201712290*" /stext=" 07:.+?(?&gt;(PRM\|1\|D)|(KPR)|(KDP)|(train st[a-z]+ moving)|(SYSTEM_STATE:s[a-z]+ state changed)|(Enforcement Action)|(\[TIMEOUT)|(parse_ebi_status: Penalty)|(\|GPPS))"</v>
      </c>
      <c r="AG150" s="243" t="str">
        <f t="shared" si="70"/>
        <v>EC</v>
      </c>
      <c r="AH150" s="235" t="str">
        <f t="shared" si="73"/>
        <v>"%USERPROFILE%\Documents\GitHub\eaglep3\Utilities\RefineRTDCRunTimes.py" --tripid 236-28 --locoid 4063 --swversion DE.1.0.9.0 --startMP 204:232872 --initTime 2017-12-28T23:20:03 --startdatetime 2017-12-28T23:27:57 --delay 61 --endMP 204:238 --enddatetime 2017-12-29T00:11:18 --enforcementcount 0 &gt;&gt;%USERPROFILE%\Documents\GitHub\eaglep3-reporting\EC\2017-12-28-refined-times.txt</v>
      </c>
      <c r="AI150" s="237" t="str">
        <f t="shared" si="74"/>
        <v>echo {"issue":{"subject":"","project_id":79,"tracker_id":40,"status_id":1,"priority_id":2,"assigned_to_id":338,"start_date":"2017-12-29","description":"","custom_fields":[{"id":1,"name":"Subdivision","value":"EC"},{"id":4,"name":"Milepost","value":"0.0238"},{"id":17,"name":"Train ID","value":"236-28"},{"id":16,"name":"Locomotive ID","value":"4063"},{"id":130,"name":"Impact","value":""},{"id":150,"name":"Time of Event (Mountain Time)","value":"00:11:18"},{"id":151,"name":"Denver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2"/>
      <c r="AK150" s="230"/>
      <c r="AL150" s="230"/>
      <c r="AM150" s="239" t="str">
        <f t="shared" si="75"/>
        <v>start /low /b %USERPROFILE%\Documents\GitHub\eaglep3\Utilities\DownloadLogsFromS3.py --loco 4063 --day 2017-12-28</v>
      </c>
      <c r="AN150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07:11:18"},{"id":29,"name":"Sharepoint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29" t="str">
        <f t="shared" si="77"/>
        <v>https://d0f6bd738d7f1b3e5a7ca70fe4ff75f0.us-east-1.aws.found.io/app/kibana#/discover/Steve-Slow-Train-Analysis-(2080s-and-2083s)?_g=(refreshInterval:(display:Off,pause:!f,section:0,value:0),time:(from:'2017-12-28T22:20:03-0700',mode:absolute,to:'2017-12-29T01:11:18-0700'))&amp;_a=(columns:!('Message%20ID',Summary),filters:!(),index:'emp_*',interval:auto,query:(query_string:(analyze_wildcard:!t,query:'%22rtdc.l.rtdc.4063%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2" customFormat="1" x14ac:dyDescent="0.25">
      <c r="A151" s="228" t="s">
        <v>695</v>
      </c>
      <c r="B151" s="224">
        <v>4062</v>
      </c>
      <c r="C151" s="226" t="s">
        <v>192</v>
      </c>
      <c r="D151" s="226" t="s">
        <v>637</v>
      </c>
      <c r="E151" s="225">
        <v>43097.956018518518</v>
      </c>
      <c r="F151" s="225">
        <v>43097.959143518521</v>
      </c>
      <c r="G151" s="224">
        <v>116</v>
      </c>
      <c r="H151" s="226" t="s">
        <v>995</v>
      </c>
      <c r="I151" s="225">
        <v>43097.974733796298</v>
      </c>
      <c r="J151" s="224">
        <v>0</v>
      </c>
      <c r="K151" s="236" t="str">
        <f t="shared" si="62"/>
        <v>4061/4062</v>
      </c>
      <c r="L151" s="244" t="str">
        <f>VLOOKUP(A151,'Trips&amp;Operators'!$C$1:$G$99911,5,FALSE)</f>
        <v>ANDERS STEVEN</v>
      </c>
      <c r="M151" s="223">
        <f t="shared" si="63"/>
        <v>1.5590277776937E-2</v>
      </c>
      <c r="N151" s="224"/>
      <c r="O151" s="224"/>
      <c r="P151" s="224">
        <f>24*60*SUM($M151:$M151)</f>
        <v>22.449999998789281</v>
      </c>
      <c r="Q151" s="227"/>
      <c r="R151" s="241" t="s">
        <v>463</v>
      </c>
      <c r="S151" s="248">
        <f t="shared" si="61"/>
        <v>1</v>
      </c>
      <c r="T151" s="241" t="str">
        <f t="shared" si="64"/>
        <v>NorthBound</v>
      </c>
      <c r="U151" s="24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7" t="str">
        <f t="shared" si="65"/>
        <v>https://d0f6bd738d7f1b3e5a7ca70fe4ff75f0.us-east-1.aws.found.io/app/kibana#/discover/Steve-Slow-Train-Analysis-(2080s-and-2083s)?_g=(refreshInterval:(display:Off,pause:!f,section:0,value:0),time:(from:'2017-12-28T21:56:40-0700',mode:absolute,to:'2017-12-29T00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1" s="246" t="str">
        <f>IF(AA151&lt;VLOOKUP(AG151,Variables!$AC$3:$AD$8,2,FALSE),"Y","N")</f>
        <v>Y</v>
      </c>
      <c r="X151" s="246">
        <f t="shared" si="78"/>
        <v>1</v>
      </c>
      <c r="Y151" s="246">
        <f t="shared" si="71"/>
        <v>5.2900000000000003E-2</v>
      </c>
      <c r="Z151" s="246">
        <f t="shared" si="72"/>
        <v>12.7456</v>
      </c>
      <c r="AA151" s="246">
        <f t="shared" si="66"/>
        <v>12.6927</v>
      </c>
      <c r="AB151" s="232" t="e">
        <f>VLOOKUP(A151,Enforcements!$C$7:$K$9,8,0)</f>
        <v>#N/A</v>
      </c>
      <c r="AC151" s="231" t="e">
        <f>VLOOKUP(A151,Enforcements!$C$7:$E$9,3,0)</f>
        <v>#N/A</v>
      </c>
      <c r="AD151" s="242">
        <f t="shared" si="67"/>
        <v>237</v>
      </c>
      <c r="AE151" s="234" t="str">
        <f t="shared" si="68"/>
        <v>aws s3 cp s3://rtdc.mdm.uploadarchive.raw/RTDC4062/ "%USERPROFILE%\AppData\Local\Temp\OnboardLogs"\RTDC4062\2017-12-28 --exclude "*" --recursive --include "*20171228*" &amp; "%USERPROFILE%\Documents\GitHub\mrs-test-scripts\Headless Mode &amp; Sideloading\WalkAndUnGZ.bat" "%USERPROFILE%\AppData\Local\Temp\OnboardLogs"\RTDC4062\2017-12-28 &amp; aws s3 cp s3://rtdc.mdm.uploadarchive.raw/RTDC4062/ "%USERPROFILE%\AppData\Local\Temp\OnboardLogs"\RTDC4062\2017-12-29 --exclude "*" --recursive --include "*20171229*" &amp; "%USERPROFILE%\Documents\GitHub\mrs-test-scripts\Headless Mode &amp; Sideloading\WalkAndUnGZ.bat" "%USERPROFILE%\AppData\Local\Temp\OnboardLogs"\RTDC4062\2017-12-29</v>
      </c>
      <c r="AF151" s="233" t="str">
        <f t="shared" si="69"/>
        <v>"C:\Program Files (x86)\AstroGrep\AstroGrep.exe" /e /r /s /spath="%USERPROFILE%\AppData\Local\Temp\OnboardLogs" /stypes="app*4062*201712290*" /stext=" 06:.+?(?&gt;(PRM\|1\|D)|(KPR)|(KDP)|(train st[a-z]+ moving)|(SYSTEM_STATE:s[a-z]+ state changed)|(Enforcement Action)|(\[TIMEOUT)|(parse_ebi_status: Penalty)|(\|GPPS))"</v>
      </c>
      <c r="AG151" s="243" t="str">
        <f t="shared" si="70"/>
        <v>EC</v>
      </c>
      <c r="AH151" s="235" t="str">
        <f t="shared" si="73"/>
        <v>"%USERPROFILE%\Documents\GitHub\eaglep3\Utilities\RefineRTDCRunTimes.py" --tripid 237-28 --locoid 4062 --swversion DE.1.0.9.0 --startMP 204:529 --initTime 2017-12-28T22:56:40 --startdatetime 2017-12-28T23:01:10 --delay 116 --endMP 204:127456 --enddatetime 2017-12-28T23:23:37 --enforcementcount 0 &gt;&gt;%USERPROFILE%\Documents\GitHub\eaglep3-reporting\EC\2017-12-28-refined-times.txt</v>
      </c>
      <c r="AI151" s="237" t="str">
        <f t="shared" si="74"/>
        <v>echo {"issue":{"subject":"Wi-MAX data drop","project_id":79,"tracker_id":40,"status_id":1,"priority_id":2,"assigned_to_id":338,"start_date":"2017-12-28","description":"","custom_fields":[{"id":1,"name":"Subdivision","value":"EC"},{"id":4,"name":"Milepost","value":"12.7456"},{"id":17,"name":"Train ID","value":"237-28"},{"id":16,"name":"Locomotive ID","value":"4062"},{"id":130,"name":"Impact","value":""},{"id":150,"name":"Time of Event (Mountain Time)","value":"23:23:37"},{"id":151,"name":"Denver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0"/>
      <c r="AL151" s="230"/>
      <c r="AM151" s="239" t="str">
        <f t="shared" si="75"/>
        <v>start /low /b %USERPROFILE%\Documents\GitHub\eaglep3\Utilities\DownloadLogsFromS3.py --loco 4062 --day 2017-12-28</v>
      </c>
      <c r="AN151" s="240" t="str">
        <f t="shared" si="76"/>
        <v>echo {"issue":{"subject":"Wi-MAX data drop","project_id":30,"tracker_id":4,"status_id":1,"priority_id":1,"assigned_to_id":10,"start_date":"2017-12-29","description":"","custom_fields":[{"id":30,"name":"Category","value":"Issue"},{"id":3,"name":"Functional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06:23:37"},{"id":29,"name":"Sharepoint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29" t="str">
        <f t="shared" si="77"/>
        <v>https://d0f6bd738d7f1b3e5a7ca70fe4ff75f0.us-east-1.aws.found.io/app/kibana#/discover/Steve-Slow-Train-Analysis-(2080s-and-2083s)?_g=(refreshInterval:(display:Off,pause:!f,section:0,value:0),time:(from:'2017-12-28T21:56:40-0700',mode:absolute,to:'2017-12-29T00:23:37-0700'))&amp;_a=(columns:!('Message%20ID',Summary),filters:!(),index:'emp_*',interval:auto,query:(query_string:(analyze_wildcard:!t,query:'%22rtdc.l.rtdc.4062%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228" t="s">
        <v>900</v>
      </c>
      <c r="B152" s="224">
        <v>4061</v>
      </c>
      <c r="C152" s="226" t="s">
        <v>192</v>
      </c>
      <c r="D152" s="226" t="s">
        <v>656</v>
      </c>
      <c r="E152" s="225">
        <v>43097.993275462963</v>
      </c>
      <c r="F152" s="225">
        <v>43097.998229166667</v>
      </c>
      <c r="G152" s="224">
        <v>90</v>
      </c>
      <c r="H152" s="226" t="s">
        <v>996</v>
      </c>
      <c r="I152" s="225">
        <v>43098.025821759256</v>
      </c>
      <c r="J152" s="224">
        <v>0</v>
      </c>
      <c r="K152" s="236" t="str">
        <f t="shared" si="62"/>
        <v>4061/4062</v>
      </c>
      <c r="L152" s="244" t="str">
        <f>VLOOKUP(A152,'Trips&amp;Operators'!$C$1:$G$99911,5,FALSE)</f>
        <v>ANDERS STEVEN</v>
      </c>
      <c r="M152" s="223">
        <f t="shared" si="63"/>
        <v>2.7592592588916887E-2</v>
      </c>
      <c r="N152" s="224">
        <f t="shared" ref="N152:N183" si="79">24*60*SUM($M152:$M152)</f>
        <v>39.733333328040317</v>
      </c>
      <c r="O152" s="224"/>
      <c r="P152" s="224"/>
      <c r="Q152" s="227"/>
      <c r="R152" s="241"/>
      <c r="S152" s="248">
        <f t="shared" si="61"/>
        <v>1</v>
      </c>
      <c r="T152" s="241" t="str">
        <f t="shared" si="64"/>
        <v>Southbound</v>
      </c>
      <c r="U152" s="24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7" t="str">
        <f t="shared" si="65"/>
        <v>https://d0f6bd738d7f1b3e5a7ca70fe4ff75f0.us-east-1.aws.found.io/app/kibana#/discover/Steve-Slow-Train-Analysis-(2080s-and-2083s)?_g=(refreshInterval:(display:Off,pause:!f,section:0,value:0),time:(from:'2017-12-28T22:50:19-0700',mode:absolute,to:'2017-12-29T01:37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2" s="246" t="str">
        <f>IF(AA152&lt;VLOOKUP(AG152,Variables!$AC$3:$AD$8,2,FALSE),"Y","N")</f>
        <v>N</v>
      </c>
      <c r="X152" s="246">
        <f t="shared" si="78"/>
        <v>1</v>
      </c>
      <c r="Y152" s="246">
        <f t="shared" si="71"/>
        <v>23.2944</v>
      </c>
      <c r="Z152" s="246">
        <f t="shared" si="72"/>
        <v>2.3400000000000001E-2</v>
      </c>
      <c r="AA152" s="246">
        <f t="shared" si="66"/>
        <v>23.271000000000001</v>
      </c>
      <c r="AB152" s="232" t="e">
        <f>VLOOKUP(A152,Enforcements!$C$7:$K$9,8,0)</f>
        <v>#N/A</v>
      </c>
      <c r="AC152" s="231" t="e">
        <f>VLOOKUP(A152,Enforcements!$C$7:$E$9,3,0)</f>
        <v>#N/A</v>
      </c>
      <c r="AD152" s="242">
        <f t="shared" si="67"/>
        <v>238</v>
      </c>
      <c r="AE152" s="234" t="str">
        <f t="shared" si="68"/>
        <v>aws s3 cp s3://rtdc.mdm.uploadarchive.raw/RTDC4061/ "%USERPROFILE%\AppData\Local\Temp\OnboardLogs"\RTDC4061\2017-12-28 --exclude "*" --recursive --include "*20171228*" &amp; "%USERPROFILE%\Documents\GitHub\mrs-test-scripts\Headless Mode &amp; Sideloading\WalkAndUnGZ.bat" "%USERPROFILE%\AppData\Local\Temp\OnboardLogs"\RTDC4061\2017-12-28 &amp; aws s3 cp s3://rtdc.mdm.uploadarchive.raw/RTDC4061/ "%USERPROFILE%\AppData\Local\Temp\OnboardLogs"\RTDC4061\2017-12-29 --exclude "*" --recursive --include "*20171229*" &amp; "%USERPROFILE%\Documents\GitHub\mrs-test-scripts\Headless Mode &amp; Sideloading\WalkAndUnGZ.bat" "%USERPROFILE%\AppData\Local\Temp\OnboardLogs"\RTDC4061\2017-12-29</v>
      </c>
      <c r="AF152" s="233" t="str">
        <f t="shared" si="69"/>
        <v>"C:\Program Files (x86)\AstroGrep\AstroGrep.exe" /e /r /s /spath="%USERPROFILE%\AppData\Local\Temp\OnboardLogs" /stypes="app*4061*201712290*" /stext=" 07:.+?(?&gt;(PRM\|1\|D)|(KPR)|(KDP)|(train st[a-z]+ moving)|(SYSTEM_STATE:s[a-z]+ state changed)|(Enforcement Action)|(\[TIMEOUT)|(parse_ebi_status: Penalty)|(\|GPPS))"</v>
      </c>
      <c r="AG152" s="243" t="str">
        <f t="shared" si="70"/>
        <v>EC</v>
      </c>
      <c r="AH152" s="235" t="str">
        <f t="shared" si="73"/>
        <v>"%USERPROFILE%\Documents\GitHub\eaglep3\Utilities\RefineRTDCRunTimes.py" --tripid 238-28 --locoid 4061 --swversion DE.1.0.9.0 --startMP 204:232944 --initTime 2017-12-28T23:50:19 --startdatetime 2017-12-28T23:57:27 --delay 90 --endMP 204:234 --enddatetime 2017-12-29T00:37:11 --enforcementcount 0 &gt;&gt;%USERPROFILE%\Documents\GitHub\eaglep3-reporting\EC\2017-12-28-refined-times.txt</v>
      </c>
      <c r="AI152" s="237" t="str">
        <f t="shared" si="74"/>
        <v>echo {"issue":{"subject":"","project_id":79,"tracker_id":40,"status_id":1,"priority_id":2,"assigned_to_id":338,"start_date":"2017-12-29","description":"","custom_fields":[{"id":1,"name":"Subdivision","value":"EC"},{"id":4,"name":"Milepost","value":"0.0234"},{"id":17,"name":"Train ID","value":"238-28"},{"id":16,"name":"Locomotive ID","value":"4061"},{"id":130,"name":"Impact","value":""},{"id":150,"name":"Time of Event (Mountain Time)","value":"00:37:11"},{"id":151,"name":"Denver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2"/>
      <c r="AK152" s="230"/>
      <c r="AL152" s="230"/>
      <c r="AM152" s="239" t="str">
        <f t="shared" si="75"/>
        <v>start /low /b %USERPROFILE%\Documents\GitHub\eaglep3\Utilities\DownloadLogsFromS3.py --loco 4061 --day 2017-12-28</v>
      </c>
      <c r="AN152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07:37:11"},{"id":29,"name":"Sharepoint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29" t="str">
        <f t="shared" si="77"/>
        <v>https://d0f6bd738d7f1b3e5a7ca70fe4ff75f0.us-east-1.aws.found.io/app/kibana#/discover/Steve-Slow-Train-Analysis-(2080s-and-2083s)?_g=(refreshInterval:(display:Off,pause:!f,section:0,value:0),time:(from:'2017-12-28T22:50:19-0700',mode:absolute,to:'2017-12-29T01:37:11-0700'))&amp;_a=(columns:!('Message%20ID',Summary),filters:!(),index:'emp_*',interval:auto,query:(query_string:(analyze_wildcard:!t,query:'%22rtdc.l.rtdc.4061%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228" t="s">
        <v>898</v>
      </c>
      <c r="B153" s="224">
        <v>4042</v>
      </c>
      <c r="C153" s="226" t="s">
        <v>192</v>
      </c>
      <c r="D153" s="226" t="s">
        <v>624</v>
      </c>
      <c r="E153" s="225">
        <v>43097.977199074077</v>
      </c>
      <c r="F153" s="225">
        <v>43097.979375000003</v>
      </c>
      <c r="G153" s="224">
        <v>52</v>
      </c>
      <c r="H153" s="226" t="s">
        <v>629</v>
      </c>
      <c r="I153" s="225">
        <v>43098.003564814811</v>
      </c>
      <c r="J153" s="224">
        <v>0</v>
      </c>
      <c r="K153" s="236" t="str">
        <f t="shared" si="62"/>
        <v>4041/4042</v>
      </c>
      <c r="L153" s="244" t="str">
        <f>VLOOKUP(A153,'Trips&amp;Operators'!$C$1:$G$99911,5,FALSE)</f>
        <v>LOZA FIDEL</v>
      </c>
      <c r="M153" s="223">
        <f t="shared" si="63"/>
        <v>2.4189814808778465E-2</v>
      </c>
      <c r="N153" s="224">
        <f t="shared" si="79"/>
        <v>34.833333324640989</v>
      </c>
      <c r="O153" s="224"/>
      <c r="P153" s="224"/>
      <c r="Q153" s="227"/>
      <c r="R153" s="241"/>
      <c r="S153" s="248">
        <f t="shared" si="61"/>
        <v>1</v>
      </c>
      <c r="T153" s="241" t="str">
        <f t="shared" si="64"/>
        <v>NorthBound</v>
      </c>
      <c r="U153" s="24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7" t="str">
        <f t="shared" si="65"/>
        <v>https://d0f6bd738d7f1b3e5a7ca70fe4ff75f0.us-east-1.aws.found.io/app/kibana#/discover/Steve-Slow-Train-Analysis-(2080s-and-2083s)?_g=(refreshInterval:(display:Off,pause:!f,section:0,value:0),time:(from:'2017-12-28T22:27:10-0700',mode:absolute,to:'2017-12-29T01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3" s="246" t="str">
        <f>IF(AA153&lt;VLOOKUP(AG153,Variables!$AC$3:$AD$8,2,FALSE),"Y","N")</f>
        <v>N</v>
      </c>
      <c r="X153" s="246">
        <f t="shared" si="78"/>
        <v>1</v>
      </c>
      <c r="Y153" s="246">
        <f t="shared" si="71"/>
        <v>5.3499999999999999E-2</v>
      </c>
      <c r="Z153" s="246">
        <f t="shared" si="72"/>
        <v>23.331199999999999</v>
      </c>
      <c r="AA153" s="246">
        <f t="shared" si="66"/>
        <v>23.277699999999999</v>
      </c>
      <c r="AB153" s="232" t="e">
        <f>VLOOKUP(A153,Enforcements!$C$7:$K$9,8,0)</f>
        <v>#N/A</v>
      </c>
      <c r="AC153" s="231" t="e">
        <f>VLOOKUP(A153,Enforcements!$C$7:$E$9,3,0)</f>
        <v>#N/A</v>
      </c>
      <c r="AD153" s="242">
        <f t="shared" si="67"/>
        <v>239</v>
      </c>
      <c r="AE153" s="234" t="str">
        <f t="shared" si="68"/>
        <v>aws s3 cp s3://rtdc.mdm.uploadarchive.raw/RTDC4042/ "%USERPROFILE%\AppData\Local\Temp\OnboardLogs"\RTDC4042\2017-12-28 --exclude "*" --recursive --include "*20171228*" &amp; "%USERPROFILE%\Documents\GitHub\mrs-test-scripts\Headless Mode &amp; Sideloading\WalkAndUnGZ.bat" "%USERPROFILE%\AppData\Local\Temp\OnboardLogs"\RTDC4042\2017-12-28 &amp; aws s3 cp s3://rtdc.mdm.uploadarchive.raw/RTDC4042/ "%USERPROFILE%\AppData\Local\Temp\OnboardLogs"\RTDC4042\2017-12-29 --exclude "*" --recursive --include "*20171229*" &amp; "%USERPROFILE%\Documents\GitHub\mrs-test-scripts\Headless Mode &amp; Sideloading\WalkAndUnGZ.bat" "%USERPROFILE%\AppData\Local\Temp\OnboardLogs"\RTDC4042\2017-12-29</v>
      </c>
      <c r="AF153" s="233" t="str">
        <f t="shared" si="69"/>
        <v>"C:\Program Files (x86)\AstroGrep\AstroGrep.exe" /e /r /s /spath="%USERPROFILE%\AppData\Local\Temp\OnboardLogs" /stypes="app*4042*201712290*" /stext=" 07:.+?(?&gt;(PRM\|1\|D)|(KPR)|(KDP)|(train st[a-z]+ moving)|(SYSTEM_STATE:s[a-z]+ state changed)|(Enforcement Action)|(\[TIMEOUT)|(parse_ebi_status: Penalty)|(\|GPPS))"</v>
      </c>
      <c r="AG153" s="243" t="str">
        <f t="shared" si="70"/>
        <v>EC</v>
      </c>
      <c r="AH153" s="235" t="str">
        <f t="shared" si="73"/>
        <v>"%USERPROFILE%\Documents\GitHub\eaglep3\Utilities\RefineRTDCRunTimes.py" --tripid 239-28 --locoid 4042 --swversion DE.1.0.9.0 --startMP 204:535 --initTime 2017-12-28T23:27:10 --startdatetime 2017-12-28T23:30:18 --delay 52 --endMP 204:233312 --enddatetime 2017-12-29T00:05:08 --enforcementcount 0 &gt;&gt;%USERPROFILE%\Documents\GitHub\eaglep3-reporting\EC\2017-12-28-refined-times.txt</v>
      </c>
      <c r="AI153" s="237" t="str">
        <f t="shared" si="74"/>
        <v>echo {"issue":{"subject":"","project_id":79,"tracker_id":40,"status_id":1,"priority_id":2,"assigned_to_id":338,"start_date":"2017-12-29","description":"","custom_fields":[{"id":1,"name":"Subdivision","value":"EC"},{"id":4,"name":"Milepost","value":"23.3312"},{"id":17,"name":"Train ID","value":"239-28"},{"id":16,"name":"Locomotive ID","value":"4042"},{"id":130,"name":"Impact","value":""},{"id":150,"name":"Time of Event (Mountain Time)","value":"00:05:08"},{"id":151,"name":"Denver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2"/>
      <c r="AK153" s="230"/>
      <c r="AL153" s="230"/>
      <c r="AM153" s="239" t="str">
        <f t="shared" si="75"/>
        <v>start /low /b %USERPROFILE%\Documents\GitHub\eaglep3\Utilities\DownloadLogsFromS3.py --loco 4042 --day 2017-12-28</v>
      </c>
      <c r="AN153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07:05:08"},{"id":29,"name":"Sharepoint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29" t="str">
        <f t="shared" si="77"/>
        <v>https://d0f6bd738d7f1b3e5a7ca70fe4ff75f0.us-east-1.aws.found.io/app/kibana#/discover/Steve-Slow-Train-Analysis-(2080s-and-2083s)?_g=(refreshInterval:(display:Off,pause:!f,section:0,value:0),time:(from:'2017-12-28T22:27:10-0700',mode:absolute,to:'2017-12-29T01:05:08-0700'))&amp;_a=(columns:!('Message%20ID',Summary),filters:!(),index:'emp_*',interval:auto,query:(query_string:(analyze_wildcard:!t,query:'%22rtdc.l.rtdc.4042%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2" customFormat="1" x14ac:dyDescent="0.25">
      <c r="A154" s="228" t="s">
        <v>901</v>
      </c>
      <c r="B154" s="224">
        <v>4041</v>
      </c>
      <c r="C154" s="226" t="s">
        <v>192</v>
      </c>
      <c r="D154" s="226" t="s">
        <v>618</v>
      </c>
      <c r="E154" s="225">
        <v>43098.016041666669</v>
      </c>
      <c r="F154" s="225">
        <v>43098.01903935185</v>
      </c>
      <c r="G154" s="224">
        <v>95</v>
      </c>
      <c r="H154" s="226" t="s">
        <v>527</v>
      </c>
      <c r="I154" s="225">
        <v>43098.044814814813</v>
      </c>
      <c r="J154" s="224">
        <v>0</v>
      </c>
      <c r="K154" s="236" t="str">
        <f t="shared" si="62"/>
        <v>4041/4042</v>
      </c>
      <c r="L154" s="244" t="str">
        <f>VLOOKUP(A154,'Trips&amp;Operators'!$C$1:$G$99911,5,FALSE)</f>
        <v>LOZA FIDEL</v>
      </c>
      <c r="M154" s="223">
        <f t="shared" si="63"/>
        <v>2.5775462963792961E-2</v>
      </c>
      <c r="N154" s="224">
        <f t="shared" si="79"/>
        <v>37.116666667861864</v>
      </c>
      <c r="O154" s="224"/>
      <c r="P154" s="224"/>
      <c r="Q154" s="227"/>
      <c r="R154" s="241"/>
      <c r="S154" s="248">
        <f t="shared" si="61"/>
        <v>1</v>
      </c>
      <c r="T154" s="241" t="str">
        <f t="shared" si="64"/>
        <v>Southbound</v>
      </c>
      <c r="U154" s="24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7" t="str">
        <f t="shared" si="65"/>
        <v>https://d0f6bd738d7f1b3e5a7ca70fe4ff75f0.us-east-1.aws.found.io/app/kibana#/discover/Steve-Slow-Train-Analysis-(2080s-and-2083s)?_g=(refreshInterval:(display:Off,pause:!f,section:0,value:0),time:(from:'2017-12-28T23:23:06-0700',mode:absolute,to:'2017-12-29T02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4" s="246" t="str">
        <f>IF(AA154&lt;VLOOKUP(AG154,Variables!$AC$3:$AD$8,2,FALSE),"Y","N")</f>
        <v>N</v>
      </c>
      <c r="X154" s="246">
        <f t="shared" si="78"/>
        <v>1</v>
      </c>
      <c r="Y154" s="246">
        <f t="shared" si="71"/>
        <v>23.295000000000002</v>
      </c>
      <c r="Z154" s="246">
        <f t="shared" si="72"/>
        <v>2.2700000000000001E-2</v>
      </c>
      <c r="AA154" s="246">
        <f t="shared" si="66"/>
        <v>23.272300000000001</v>
      </c>
      <c r="AB154" s="232" t="e">
        <f>VLOOKUP(A154,Enforcements!$C$7:$K$9,8,0)</f>
        <v>#N/A</v>
      </c>
      <c r="AC154" s="231" t="e">
        <f>VLOOKUP(A154,Enforcements!$C$7:$E$9,3,0)</f>
        <v>#N/A</v>
      </c>
      <c r="AD154" s="242">
        <f t="shared" si="67"/>
        <v>240</v>
      </c>
      <c r="AE154" s="234" t="str">
        <f t="shared" si="68"/>
        <v>aws s3 cp s3://rtdc.mdm.uploadarchive.raw/RTDC4041/ "%USERPROFILE%\AppData\Local\Temp\OnboardLogs"\RTDC4041\2017-12-29 --exclude "*" --recursive --include "*20171229*" &amp; "%USERPROFILE%\Documents\GitHub\mrs-test-scripts\Headless Mode &amp; Sideloading\WalkAndUnGZ.bat" "%USERPROFILE%\AppData\Local\Temp\OnboardLogs"\RTDC4041\2017-12-29 &amp; aws s3 cp s3://rtdc.mdm.uploadarchive.raw/RTDC4041/ "%USERPROFILE%\AppData\Local\Temp\OnboardLogs"\RTDC4041\2017-12-30 --exclude "*" --recursive --include "*20171230*" &amp; "%USERPROFILE%\Documents\GitHub\mrs-test-scripts\Headless Mode &amp; Sideloading\WalkAndUnGZ.bat" "%USERPROFILE%\AppData\Local\Temp\OnboardLogs"\RTDC4041\2017-12-30</v>
      </c>
      <c r="AF154" s="233" t="str">
        <f t="shared" si="69"/>
        <v>"C:\Program Files (x86)\AstroGrep\AstroGrep.exe" /e /r /s /spath="%USERPROFILE%\AppData\Local\Temp\OnboardLogs" /stypes="app*4041*201712290*" /stext=" 08:.+?(?&gt;(PRM\|1\|D)|(KPR)|(KDP)|(train st[a-z]+ moving)|(SYSTEM_STATE:s[a-z]+ state changed)|(Enforcement Action)|(\[TIMEOUT)|(parse_ebi_status: Penalty)|(\|GPPS))"</v>
      </c>
      <c r="AG154" s="243" t="str">
        <f t="shared" si="70"/>
        <v>EC</v>
      </c>
      <c r="AH154" s="235" t="str">
        <f t="shared" si="73"/>
        <v>"%USERPROFILE%\Documents\GitHub\eaglep3\Utilities\RefineRTDCRunTimes.py" --tripid 240-28 --locoid 4041 --swversion DE.1.0.9.0 --startMP 204:232950 --initTime 2017-12-29T00:23:06 --startdatetime 2017-12-29T00:27:25 --delay 95 --endMP 204:227 --enddatetime 2017-12-29T01:04:32 --enforcementcount 0 &gt;&gt;%USERPROFILE%\Documents\GitHub\eaglep3-reporting\EC\2017-12-28-refined-times.txt</v>
      </c>
      <c r="AI154" s="237" t="str">
        <f t="shared" si="74"/>
        <v>echo {"issue":{"subject":"","project_id":79,"tracker_id":40,"status_id":1,"priority_id":2,"assigned_to_id":338,"start_date":"2017-12-29","description":"","custom_fields":[{"id":1,"name":"Subdivision","value":"EC"},{"id":4,"name":"Milepost","value":"0.0227"},{"id":17,"name":"Train ID","value":"240-28"},{"id":16,"name":"Locomotive ID","value":"4041"},{"id":130,"name":"Impact","value":""},{"id":150,"name":"Time of Event (Mountain Time)","value":"01:04:32"},{"id":151,"name":"Denver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0"/>
      <c r="AL154" s="230"/>
      <c r="AM154" s="239" t="str">
        <f t="shared" si="75"/>
        <v>start /low /b %USERPROFILE%\Documents\GitHub\eaglep3\Utilities\DownloadLogsFromS3.py --loco 4041 --day 2017-12-29</v>
      </c>
      <c r="AN154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08:04:32"},{"id":29,"name":"Sharepoint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29" t="str">
        <f t="shared" si="77"/>
        <v>https://d0f6bd738d7f1b3e5a7ca70fe4ff75f0.us-east-1.aws.found.io/app/kibana#/discover/Steve-Slow-Train-Analysis-(2080s-and-2083s)?_g=(refreshInterval:(display:Off,pause:!f,section:0,value:0),time:(from:'2017-12-28T23:23:06-0700',mode:absolute,to:'2017-12-29T02:04:32-0700'))&amp;_a=(columns:!('Message%20ID',Summary),filters:!(),index:'emp_*',interval:auto,query:(query_string:(analyze_wildcard:!t,query:'%22rtdc.l.rtdc.4041%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2" customFormat="1" x14ac:dyDescent="0.25">
      <c r="A155" s="228" t="s">
        <v>899</v>
      </c>
      <c r="B155" s="224">
        <v>4014</v>
      </c>
      <c r="C155" s="226" t="s">
        <v>192</v>
      </c>
      <c r="D155" s="226" t="s">
        <v>581</v>
      </c>
      <c r="E155" s="225">
        <v>43097.987800925926</v>
      </c>
      <c r="F155" s="225">
        <v>43098.000150462962</v>
      </c>
      <c r="G155" s="224">
        <v>49</v>
      </c>
      <c r="H155" s="226" t="s">
        <v>636</v>
      </c>
      <c r="I155" s="225">
        <v>43098.024189814816</v>
      </c>
      <c r="J155" s="224">
        <v>0</v>
      </c>
      <c r="K155" s="236" t="str">
        <f t="shared" si="62"/>
        <v>4013/4014</v>
      </c>
      <c r="L155" s="244" t="str">
        <f>VLOOKUP(A155,'Trips&amp;Operators'!$C$1:$G$99911,5,FALSE)</f>
        <v>ELBAUM MIKE</v>
      </c>
      <c r="M155" s="223">
        <f t="shared" si="63"/>
        <v>2.4039351854298729E-2</v>
      </c>
      <c r="N155" s="224">
        <f t="shared" si="79"/>
        <v>34.61666667019017</v>
      </c>
      <c r="O155" s="224"/>
      <c r="P155" s="224"/>
      <c r="Q155" s="227"/>
      <c r="R155" s="241"/>
      <c r="S155" s="248">
        <f t="shared" si="61"/>
        <v>1</v>
      </c>
      <c r="T155" s="241" t="str">
        <f t="shared" si="64"/>
        <v>NorthBound</v>
      </c>
      <c r="U155" s="24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7" t="str">
        <f t="shared" si="65"/>
        <v>https://d0f6bd738d7f1b3e5a7ca70fe4ff75f0.us-east-1.aws.found.io/app/kibana#/discover/Steve-Slow-Train-Analysis-(2080s-and-2083s)?_g=(refreshInterval:(display:Off,pause:!f,section:0,value:0),time:(from:'2017-12-28T22:42:26-0700',mode:absolute,to:'2017-12-29T01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5" s="246" t="str">
        <f>IF(AA155&lt;VLOOKUP(AG155,Variables!$AC$3:$AD$8,2,FALSE),"Y","N")</f>
        <v>N</v>
      </c>
      <c r="X155" s="246">
        <f t="shared" si="78"/>
        <v>1</v>
      </c>
      <c r="Y155" s="246">
        <f t="shared" si="71"/>
        <v>5.62E-2</v>
      </c>
      <c r="Z155" s="246">
        <f t="shared" si="72"/>
        <v>23.3276</v>
      </c>
      <c r="AA155" s="246">
        <f t="shared" si="66"/>
        <v>23.2714</v>
      </c>
      <c r="AB155" s="232" t="e">
        <f>VLOOKUP(A155,Enforcements!$C$7:$K$9,8,0)</f>
        <v>#N/A</v>
      </c>
      <c r="AC155" s="231" t="e">
        <f>VLOOKUP(A155,Enforcements!$C$7:$E$9,3,0)</f>
        <v>#N/A</v>
      </c>
      <c r="AD155" s="242">
        <f t="shared" si="67"/>
        <v>241</v>
      </c>
      <c r="AE155" s="234" t="str">
        <f t="shared" si="68"/>
        <v>aws s3 cp s3://rtdc.mdm.uploadarchive.raw/RTDC4014/ "%USERPROFILE%\AppData\Local\Temp\OnboardLogs"\RTDC4014\2017-12-29 --exclude "*" --recursive --include "*20171229*" &amp; "%USERPROFILE%\Documents\GitHub\mrs-test-scripts\Headless Mode &amp; Sideloading\WalkAndUnGZ.bat" "%USERPROFILE%\AppData\Local\Temp\OnboardLogs"\RTDC4014\2017-12-29 &amp; aws s3 cp s3://rtdc.mdm.uploadarchive.raw/RTDC4014/ "%USERPROFILE%\AppData\Local\Temp\OnboardLogs"\RTDC4014\2017-12-30 --exclude "*" --recursive --include "*20171230*" &amp; "%USERPROFILE%\Documents\GitHub\mrs-test-scripts\Headless Mode &amp; Sideloading\WalkAndUnGZ.bat" "%USERPROFILE%\AppData\Local\Temp\OnboardLogs"\RTDC4014\2017-12-30</v>
      </c>
      <c r="AF155" s="233" t="str">
        <f t="shared" si="69"/>
        <v>"C:\Program Files (x86)\AstroGrep\AstroGrep.exe" /e /r /s /spath="%USERPROFILE%\AppData\Local\Temp\OnboardLogs" /stypes="app*4014*201712290*" /stext=" 07:.+?(?&gt;(PRM\|1\|D)|(KPR)|(KDP)|(train st[a-z]+ moving)|(SYSTEM_STATE:s[a-z]+ state changed)|(Enforcement Action)|(\[TIMEOUT)|(parse_ebi_status: Penalty)|(\|GPPS))"</v>
      </c>
      <c r="AG155" s="243" t="str">
        <f t="shared" si="70"/>
        <v>EC</v>
      </c>
      <c r="AH155" s="235" t="str">
        <f t="shared" si="73"/>
        <v>"%USERPROFILE%\Documents\GitHub\eaglep3\Utilities\RefineRTDCRunTimes.py" --tripid 241-28 --locoid 4014 --swversion DE.1.0.9.0 --startMP 204:562 --initTime 2017-12-28T23:42:26 --startdatetime 2017-12-29T00:00:13 --delay 49 --endMP 204:233276 --enddatetime 2017-12-29T00:34:50 --enforcementcount 0 &gt;&gt;%USERPROFILE%\Documents\GitHub\eaglep3-reporting\EC\2017-12-28-refined-times.txt</v>
      </c>
      <c r="AI155" s="237" t="str">
        <f t="shared" si="74"/>
        <v>echo {"issue":{"subject":"","project_id":79,"tracker_id":40,"status_id":1,"priority_id":2,"assigned_to_id":338,"start_date":"2017-12-29","description":"","custom_fields":[{"id":1,"name":"Subdivision","value":"EC"},{"id":4,"name":"Milepost","value":"23.3276"},{"id":17,"name":"Train ID","value":"241-28"},{"id":16,"name":"Locomotive ID","value":"4014"},{"id":130,"name":"Impact","value":""},{"id":150,"name":"Time of Event (Mountain Time)","value":"00:34:50"},{"id":151,"name":"Denver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0"/>
      <c r="AL155" s="230"/>
      <c r="AM155" s="239" t="str">
        <f t="shared" si="75"/>
        <v>start /low /b %USERPROFILE%\Documents\GitHub\eaglep3\Utilities\DownloadLogsFromS3.py --loco 4014 --day 2017-12-29</v>
      </c>
      <c r="AN155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07:34:50"},{"id":29,"name":"Sharepoint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29" t="str">
        <f t="shared" si="77"/>
        <v>https://d0f6bd738d7f1b3e5a7ca70fe4ff75f0.us-east-1.aws.found.io/app/kibana#/discover/Steve-Slow-Train-Analysis-(2080s-and-2083s)?_g=(refreshInterval:(display:Off,pause:!f,section:0,value:0),time:(from:'2017-12-28T22:42:26-0700',mode:absolute,to:'2017-12-29T01:34:50-0700'))&amp;_a=(columns:!('Message%20ID',Summary),filters:!(),index:'emp_*',interval:auto,query:(query_string:(analyze_wildcard:!t,query:'%22rtdc.l.rtdc.4014%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2" customFormat="1" x14ac:dyDescent="0.25">
      <c r="A156" s="228" t="s">
        <v>903</v>
      </c>
      <c r="B156" s="224">
        <v>4013</v>
      </c>
      <c r="C156" s="226" t="s">
        <v>192</v>
      </c>
      <c r="D156" s="226" t="s">
        <v>997</v>
      </c>
      <c r="E156" s="225">
        <v>43098.025891203702</v>
      </c>
      <c r="F156" s="225">
        <v>43098.039722222224</v>
      </c>
      <c r="G156" s="224">
        <v>56</v>
      </c>
      <c r="H156" s="226" t="s">
        <v>998</v>
      </c>
      <c r="I156" s="225">
        <v>43098.065208333333</v>
      </c>
      <c r="J156" s="224">
        <v>0</v>
      </c>
      <c r="K156" s="236" t="str">
        <f t="shared" si="62"/>
        <v>4013/4014</v>
      </c>
      <c r="L156" s="244" t="str">
        <f>VLOOKUP(A156,'Trips&amp;Operators'!$C$1:$G$99911,5,FALSE)</f>
        <v>ELBAUM MIKE</v>
      </c>
      <c r="M156" s="223">
        <f t="shared" si="63"/>
        <v>2.548611110978527E-2</v>
      </c>
      <c r="N156" s="224">
        <f t="shared" si="79"/>
        <v>36.699999998090789</v>
      </c>
      <c r="O156" s="224"/>
      <c r="P156" s="224"/>
      <c r="Q156" s="227"/>
      <c r="R156" s="241"/>
      <c r="S156" s="248">
        <f t="shared" si="61"/>
        <v>1</v>
      </c>
      <c r="T156" s="241" t="str">
        <f t="shared" si="64"/>
        <v>Southbound</v>
      </c>
      <c r="U156" s="24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7" t="str">
        <f t="shared" si="65"/>
        <v>https://d0f6bd738d7f1b3e5a7ca70fe4ff75f0.us-east-1.aws.found.io/app/kibana#/discover/Steve-Slow-Train-Analysis-(2080s-and-2083s)?_g=(refreshInterval:(display:Off,pause:!f,section:0,value:0),time:(from:'2017-12-28T23:37:17-0700',mode:absolute,to:'2017-12-29T02:33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6" s="246" t="str">
        <f>IF(AA156&lt;VLOOKUP(AG156,Variables!$AC$3:$AD$8,2,FALSE),"Y","N")</f>
        <v>N</v>
      </c>
      <c r="X156" s="246">
        <f t="shared" si="78"/>
        <v>1</v>
      </c>
      <c r="Y156" s="246">
        <f t="shared" si="71"/>
        <v>23.3003</v>
      </c>
      <c r="Z156" s="246">
        <f t="shared" si="72"/>
        <v>2.8299999999999999E-2</v>
      </c>
      <c r="AA156" s="246">
        <f t="shared" si="66"/>
        <v>23.271999999999998</v>
      </c>
      <c r="AB156" s="232" t="e">
        <f>VLOOKUP(A156,Enforcements!$C$7:$K$9,8,0)</f>
        <v>#N/A</v>
      </c>
      <c r="AC156" s="231" t="e">
        <f>VLOOKUP(A156,Enforcements!$C$7:$E$9,3,0)</f>
        <v>#N/A</v>
      </c>
      <c r="AD156" s="242">
        <f t="shared" si="67"/>
        <v>242</v>
      </c>
      <c r="AE156" s="234" t="str">
        <f t="shared" si="68"/>
        <v>aws s3 cp s3://rtdc.mdm.uploadarchive.raw/RTDC4013/ "%USERPROFILE%\AppData\Local\Temp\OnboardLogs"\RTDC4013\2017-12-29 --exclude "*" --recursive --include "*20171229*" &amp; "%USERPROFILE%\Documents\GitHub\mrs-test-scripts\Headless Mode &amp; Sideloading\WalkAndUnGZ.bat" "%USERPROFILE%\AppData\Local\Temp\OnboardLogs"\RTDC4013\2017-12-29 &amp; aws s3 cp s3://rtdc.mdm.uploadarchive.raw/RTDC4013/ "%USERPROFILE%\AppData\Local\Temp\OnboardLogs"\RTDC4013\2017-12-30 --exclude "*" --recursive --include "*20171230*" &amp; "%USERPROFILE%\Documents\GitHub\mrs-test-scripts\Headless Mode &amp; Sideloading\WalkAndUnGZ.bat" "%USERPROFILE%\AppData\Local\Temp\OnboardLogs"\RTDC4013\2017-12-30</v>
      </c>
      <c r="AF156" s="233" t="str">
        <f t="shared" si="69"/>
        <v>"C:\Program Files (x86)\AstroGrep\AstroGrep.exe" /e /r /s /spath="%USERPROFILE%\AppData\Local\Temp\OnboardLogs" /stypes="app*4013*201712290*" /stext=" 08:.+?(?&gt;(PRM\|1\|D)|(KPR)|(KDP)|(train st[a-z]+ moving)|(SYSTEM_STATE:s[a-z]+ state changed)|(Enforcement Action)|(\[TIMEOUT)|(parse_ebi_status: Penalty)|(\|GPPS))"</v>
      </c>
      <c r="AG156" s="243" t="str">
        <f t="shared" si="70"/>
        <v>EC</v>
      </c>
      <c r="AH156" s="235" t="str">
        <f t="shared" si="73"/>
        <v>"%USERPROFILE%\Documents\GitHub\eaglep3\Utilities\RefineRTDCRunTimes.py" --tripid 242-28 --locoid 4013 --swversion DE.1.0.9.0 --startMP 204:233003 --initTime 2017-12-29T00:37:17 --startdatetime 2017-12-29T00:57:12 --delay 56 --endMP 204:283 --enddatetime 2017-12-29T01:33:54 --enforcementcount 0 &gt;&gt;%USERPROFILE%\Documents\GitHub\eaglep3-reporting\EC\2017-12-28-refined-times.txt</v>
      </c>
      <c r="AI156" s="237" t="str">
        <f t="shared" si="74"/>
        <v>echo {"issue":{"subject":"","project_id":79,"tracker_id":40,"status_id":1,"priority_id":2,"assigned_to_id":338,"start_date":"2017-12-29","description":"","custom_fields":[{"id":1,"name":"Subdivision","value":"EC"},{"id":4,"name":"Milepost","value":"0.0283"},{"id":17,"name":"Train ID","value":"242-28"},{"id":16,"name":"Locomotive ID","value":"4013"},{"id":130,"name":"Impact","value":""},{"id":150,"name":"Time of Event (Mountain Time)","value":"01:33:54"},{"id":151,"name":"Denver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0"/>
      <c r="AL156" s="230"/>
      <c r="AM156" s="239" t="str">
        <f t="shared" si="75"/>
        <v>start /low /b %USERPROFILE%\Documents\GitHub\eaglep3\Utilities\DownloadLogsFromS3.py --loco 4013 --day 2017-12-29</v>
      </c>
      <c r="AN156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08:33:54"},{"id":29,"name":"Sharepoint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29" t="str">
        <f t="shared" si="77"/>
        <v>https://d0f6bd738d7f1b3e5a7ca70fe4ff75f0.us-east-1.aws.found.io/app/kibana#/discover/Steve-Slow-Train-Analysis-(2080s-and-2083s)?_g=(refreshInterval:(display:Off,pause:!f,section:0,value:0),time:(from:'2017-12-28T23:37:17-0700',mode:absolute,to:'2017-12-29T02:33:54-0700'))&amp;_a=(columns:!('Message%20ID',Summary),filters:!(),index:'emp_*',interval:auto,query:(query_string:(analyze_wildcard:!t,query:'%22rtdc.l.rtdc.4013%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2" customFormat="1" x14ac:dyDescent="0.25">
      <c r="A157" s="228" t="s">
        <v>902</v>
      </c>
      <c r="B157" s="224">
        <v>4064</v>
      </c>
      <c r="C157" s="226" t="s">
        <v>192</v>
      </c>
      <c r="D157" s="226" t="s">
        <v>999</v>
      </c>
      <c r="E157" s="225">
        <v>43098.018113425926</v>
      </c>
      <c r="F157" s="225">
        <v>43098.021157407406</v>
      </c>
      <c r="G157" s="224">
        <v>96</v>
      </c>
      <c r="H157" s="226" t="s">
        <v>1000</v>
      </c>
      <c r="I157" s="225">
        <v>43098.046851851854</v>
      </c>
      <c r="J157" s="224">
        <v>0</v>
      </c>
      <c r="K157" s="236" t="str">
        <f t="shared" si="62"/>
        <v>4063/4064</v>
      </c>
      <c r="L157" s="244" t="str">
        <f>VLOOKUP(A157,'Trips&amp;Operators'!$C$1:$G$99911,5,FALSE)</f>
        <v>NICHOLSON WESLEY</v>
      </c>
      <c r="M157" s="223">
        <f t="shared" si="63"/>
        <v>2.5694444448163267E-2</v>
      </c>
      <c r="N157" s="224">
        <f t="shared" si="79"/>
        <v>37.000000005355105</v>
      </c>
      <c r="O157" s="224"/>
      <c r="P157" s="224"/>
      <c r="Q157" s="227"/>
      <c r="R157" s="241"/>
      <c r="S157" s="248">
        <f t="shared" si="61"/>
        <v>1</v>
      </c>
      <c r="T157" s="241" t="str">
        <f t="shared" si="64"/>
        <v>NorthBound</v>
      </c>
      <c r="U157" s="24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7" t="str">
        <f t="shared" si="65"/>
        <v>https://d0f6bd738d7f1b3e5a7ca70fe4ff75f0.us-east-1.aws.found.io/app/kibana#/discover/Steve-Slow-Train-Analysis-(2080s-and-2083s)?_g=(refreshInterval:(display:Off,pause:!f,section:0,value:0),time:(from:'2017-12-28T23:26:05-0700',mode:absolute,to:'2017-12-29T02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7" s="246" t="str">
        <f>IF(AA157&lt;VLOOKUP(AG157,Variables!$AC$3:$AD$8,2,FALSE),"Y","N")</f>
        <v>N</v>
      </c>
      <c r="X157" s="246">
        <f t="shared" si="78"/>
        <v>1</v>
      </c>
      <c r="Y157" s="246">
        <f t="shared" si="71"/>
        <v>5.3699999999999998E-2</v>
      </c>
      <c r="Z157" s="246">
        <f t="shared" si="72"/>
        <v>23.3172</v>
      </c>
      <c r="AA157" s="246">
        <f t="shared" si="66"/>
        <v>23.263500000000001</v>
      </c>
      <c r="AB157" s="232" t="e">
        <f>VLOOKUP(A157,Enforcements!$C$7:$K$9,8,0)</f>
        <v>#N/A</v>
      </c>
      <c r="AC157" s="231" t="e">
        <f>VLOOKUP(A157,Enforcements!$C$7:$E$9,3,0)</f>
        <v>#N/A</v>
      </c>
      <c r="AD157" s="242">
        <f t="shared" si="67"/>
        <v>243</v>
      </c>
      <c r="AE157" s="234" t="str">
        <f t="shared" si="68"/>
        <v>aws s3 cp s3://rtdc.mdm.uploadarchive.raw/RTDC4064/ "%USERPROFILE%\AppData\Local\Temp\OnboardLogs"\RTDC4064\2017-12-29 --exclude "*" --recursive --include "*20171229*" &amp; "%USERPROFILE%\Documents\GitHub\mrs-test-scripts\Headless Mode &amp; Sideloading\WalkAndUnGZ.bat" "%USERPROFILE%\AppData\Local\Temp\OnboardLogs"\RTDC4064\2017-12-29 &amp; aws s3 cp s3://rtdc.mdm.uploadarchive.raw/RTDC4064/ "%USERPROFILE%\AppData\Local\Temp\OnboardLogs"\RTDC4064\2017-12-30 --exclude "*" --recursive --include "*20171230*" &amp; "%USERPROFILE%\Documents\GitHub\mrs-test-scripts\Headless Mode &amp; Sideloading\WalkAndUnGZ.bat" "%USERPROFILE%\AppData\Local\Temp\OnboardLogs"\RTDC4064\2017-12-30</v>
      </c>
      <c r="AF157" s="233" t="str">
        <f t="shared" si="69"/>
        <v>"C:\Program Files (x86)\AstroGrep\AstroGrep.exe" /e /r /s /spath="%USERPROFILE%\AppData\Local\Temp\OnboardLogs" /stypes="app*4064*201712290*" /stext=" 08:.+?(?&gt;(PRM\|1\|D)|(KPR)|(KDP)|(train st[a-z]+ moving)|(SYSTEM_STATE:s[a-z]+ state changed)|(Enforcement Action)|(\[TIMEOUT)|(parse_ebi_status: Penalty)|(\|GPPS))"</v>
      </c>
      <c r="AG157" s="243" t="str">
        <f t="shared" si="70"/>
        <v>EC</v>
      </c>
      <c r="AH157" s="235" t="str">
        <f t="shared" si="73"/>
        <v>"%USERPROFILE%\Documents\GitHub\eaglep3\Utilities\RefineRTDCRunTimes.py" --tripid 243-28 --locoid 4064 --swversion DE.1.0.9.0 --startMP 204:537 --initTime 2017-12-29T00:26:05 --startdatetime 2017-12-29T00:30:28 --delay 96 --endMP 204:233172 --enddatetime 2017-12-29T01:07:28 --enforcementcount 0 &gt;&gt;%USERPROFILE%\Documents\GitHub\eaglep3-reporting\EC\2017-12-28-refined-times.txt</v>
      </c>
      <c r="AI157" s="237" t="str">
        <f t="shared" si="74"/>
        <v>echo {"issue":{"subject":"","project_id":79,"tracker_id":40,"status_id":1,"priority_id":2,"assigned_to_id":338,"start_date":"2017-12-29","description":"","custom_fields":[{"id":1,"name":"Subdivision","value":"EC"},{"id":4,"name":"Milepost","value":"23.3172"},{"id":17,"name":"Train ID","value":"243-28"},{"id":16,"name":"Locomotive ID","value":"4064"},{"id":130,"name":"Impact","value":""},{"id":150,"name":"Time of Event (Mountain Time)","value":"01:07:28"},{"id":151,"name":"Denver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0"/>
      <c r="AL157" s="230"/>
      <c r="AM157" s="239" t="str">
        <f t="shared" si="75"/>
        <v>start /low /b %USERPROFILE%\Documents\GitHub\eaglep3\Utilities\DownloadLogsFromS3.py --loco 4064 --day 2017-12-29</v>
      </c>
      <c r="AN157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08:07:28"},{"id":29,"name":"Sharepoint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29" t="str">
        <f t="shared" si="77"/>
        <v>https://d0f6bd738d7f1b3e5a7ca70fe4ff75f0.us-east-1.aws.found.io/app/kibana#/discover/Steve-Slow-Train-Analysis-(2080s-and-2083s)?_g=(refreshInterval:(display:Off,pause:!f,section:0,value:0),time:(from:'2017-12-28T23:26:05-0700',mode:absolute,to:'2017-12-29T02:07:28-0700'))&amp;_a=(columns:!('Message%20ID',Summary),filters:!(),index:'emp_*',interval:auto,query:(query_string:(analyze_wildcard:!t,query:'%22rtdc.l.rtdc.4064%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228" t="s">
        <v>906</v>
      </c>
      <c r="B158" s="224">
        <v>4063</v>
      </c>
      <c r="C158" s="226" t="s">
        <v>192</v>
      </c>
      <c r="D158" s="226" t="s">
        <v>628</v>
      </c>
      <c r="E158" s="225">
        <v>43098.053877314815</v>
      </c>
      <c r="F158" s="225">
        <v>43098.061157407406</v>
      </c>
      <c r="G158" s="224">
        <v>87</v>
      </c>
      <c r="H158" s="226" t="s">
        <v>1001</v>
      </c>
      <c r="I158" s="225">
        <v>43098.089178240742</v>
      </c>
      <c r="J158" s="224">
        <v>0</v>
      </c>
      <c r="K158" s="236" t="str">
        <f t="shared" si="62"/>
        <v>4063/4064</v>
      </c>
      <c r="L158" s="244" t="str">
        <f>VLOOKUP(A158,'Trips&amp;Operators'!$C$1:$G$99911,5,FALSE)</f>
        <v>NICHOLSON WESLEY</v>
      </c>
      <c r="M158" s="223">
        <f t="shared" si="63"/>
        <v>2.8020833335176576E-2</v>
      </c>
      <c r="N158" s="224">
        <f t="shared" si="79"/>
        <v>40.350000002654269</v>
      </c>
      <c r="O158" s="224"/>
      <c r="P158" s="224"/>
      <c r="Q158" s="227"/>
      <c r="R158" s="241"/>
      <c r="S158" s="248">
        <f t="shared" si="61"/>
        <v>1</v>
      </c>
      <c r="T158" s="241" t="str">
        <f t="shared" si="64"/>
        <v>Southbound</v>
      </c>
      <c r="U158" s="24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7" t="str">
        <f t="shared" si="65"/>
        <v>https://d0f6bd738d7f1b3e5a7ca70fe4ff75f0.us-east-1.aws.found.io/app/kibana#/discover/Steve-Slow-Train-Analysis-(2080s-and-2083s)?_g=(refreshInterval:(display:Off,pause:!f,section:0,value:0),time:(from:'2017-12-29T00:17:35-0700',mode:absolute,to:'2017-12-29T03:08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8" s="246" t="str">
        <f>IF(AA158&lt;VLOOKUP(AG158,Variables!$AC$3:$AD$8,2,FALSE),"Y","N")</f>
        <v>N</v>
      </c>
      <c r="X158" s="246">
        <f t="shared" si="78"/>
        <v>1</v>
      </c>
      <c r="Y158" s="246">
        <f t="shared" si="71"/>
        <v>23.2867</v>
      </c>
      <c r="Z158" s="246">
        <f t="shared" si="72"/>
        <v>1.3100000000000001E-2</v>
      </c>
      <c r="AA158" s="246">
        <f t="shared" si="66"/>
        <v>23.273599999999998</v>
      </c>
      <c r="AB158" s="232" t="e">
        <f>VLOOKUP(A158,Enforcements!$C$7:$K$9,8,0)</f>
        <v>#N/A</v>
      </c>
      <c r="AC158" s="231" t="e">
        <f>VLOOKUP(A158,Enforcements!$C$7:$E$9,3,0)</f>
        <v>#N/A</v>
      </c>
      <c r="AD158" s="242">
        <f t="shared" si="67"/>
        <v>244</v>
      </c>
      <c r="AE158" s="234" t="str">
        <f t="shared" si="68"/>
        <v>aws s3 cp s3://rtdc.mdm.uploadarchive.raw/RTDC4063/ "%USERPROFILE%\AppData\Local\Temp\OnboardLogs"\RTDC4063\2017-12-29 --exclude "*" --recursive --include "*20171229*" &amp; "%USERPROFILE%\Documents\GitHub\mrs-test-scripts\Headless Mode &amp; Sideloading\WalkAndUnGZ.bat" "%USERPROFILE%\AppData\Local\Temp\OnboardLogs"\RTDC4063\2017-12-29 &amp; aws s3 cp s3://rtdc.mdm.uploadarchive.raw/RTDC4063/ "%USERPROFILE%\AppData\Local\Temp\OnboardLogs"\RTDC4063\2017-12-30 --exclude "*" --recursive --include "*20171230*" &amp; "%USERPROFILE%\Documents\GitHub\mrs-test-scripts\Headless Mode &amp; Sideloading\WalkAndUnGZ.bat" "%USERPROFILE%\AppData\Local\Temp\OnboardLogs"\RTDC4063\2017-12-30</v>
      </c>
      <c r="AF158" s="233" t="str">
        <f t="shared" si="69"/>
        <v>"C:\Program Files (x86)\AstroGrep\AstroGrep.exe" /e /r /s /spath="%USERPROFILE%\AppData\Local\Temp\OnboardLogs" /stypes="app*4063*201712290*" /stext=" 09:.+?(?&gt;(PRM\|1\|D)|(KPR)|(KDP)|(train st[a-z]+ moving)|(SYSTEM_STATE:s[a-z]+ state changed)|(Enforcement Action)|(\[TIMEOUT)|(parse_ebi_status: Penalty)|(\|GPPS))"</v>
      </c>
      <c r="AG158" s="243" t="str">
        <f t="shared" si="70"/>
        <v>EC</v>
      </c>
      <c r="AH158" s="235" t="str">
        <f t="shared" si="73"/>
        <v>"%USERPROFILE%\Documents\GitHub\eaglep3\Utilities\RefineRTDCRunTimes.py" --tripid 244-28 --locoid 4063 --swversion DE.1.0.9.0 --startMP 204:232867 --initTime 2017-12-29T01:17:35 --startdatetime 2017-12-29T01:28:04 --delay 87 --endMP 204:131 --enddatetime 2017-12-29T02:08:25 --enforcementcount 0 &gt;&gt;%USERPROFILE%\Documents\GitHub\eaglep3-reporting\EC\2017-12-28-refined-times.txt</v>
      </c>
      <c r="AI158" s="237" t="str">
        <f t="shared" si="74"/>
        <v>echo {"issue":{"subject":"","project_id":79,"tracker_id":40,"status_id":1,"priority_id":2,"assigned_to_id":338,"start_date":"2017-12-29","description":"","custom_fields":[{"id":1,"name":"Subdivision","value":"EC"},{"id":4,"name":"Milepost","value":"0.0131"},{"id":17,"name":"Train ID","value":"244-28"},{"id":16,"name":"Locomotive ID","value":"4063"},{"id":130,"name":"Impact","value":""},{"id":150,"name":"Time of Event (Mountain Time)","value":"02:08:25"},{"id":151,"name":"Denver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2"/>
      <c r="AK158" s="230"/>
      <c r="AL158" s="230"/>
      <c r="AM158" s="239" t="str">
        <f t="shared" si="75"/>
        <v>start /low /b %USERPROFILE%\Documents\GitHub\eaglep3\Utilities\DownloadLogsFromS3.py --loco 4063 --day 2017-12-29</v>
      </c>
      <c r="AN158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09:08:25"},{"id":29,"name":"Sharepoint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29" t="str">
        <f t="shared" si="77"/>
        <v>https://d0f6bd738d7f1b3e5a7ca70fe4ff75f0.us-east-1.aws.found.io/app/kibana#/discover/Steve-Slow-Train-Analysis-(2080s-and-2083s)?_g=(refreshInterval:(display:Off,pause:!f,section:0,value:0),time:(from:'2017-12-29T00:17:35-0700',mode:absolute,to:'2017-12-29T03:08:25-0700'))&amp;_a=(columns:!('Message%20ID',Summary),filters:!(),index:'emp_*',interval:auto,query:(query_string:(analyze_wildcard:!t,query:'%22rtdc.l.rtdc.4063%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2" customFormat="1" x14ac:dyDescent="0.25">
      <c r="A159" s="228" t="s">
        <v>718</v>
      </c>
      <c r="B159" s="224">
        <v>4015</v>
      </c>
      <c r="C159" s="226" t="s">
        <v>192</v>
      </c>
      <c r="D159" s="226" t="s">
        <v>1019</v>
      </c>
      <c r="E159" s="225">
        <v>43097.210752314815</v>
      </c>
      <c r="F159" s="225">
        <v>43097.212534722225</v>
      </c>
      <c r="G159" s="224">
        <v>64</v>
      </c>
      <c r="H159" s="226" t="s">
        <v>594</v>
      </c>
      <c r="I159" s="225">
        <v>43097.226365740738</v>
      </c>
      <c r="J159" s="224">
        <v>0</v>
      </c>
      <c r="K159" s="236" t="str">
        <f t="shared" si="62"/>
        <v>4015/4016</v>
      </c>
      <c r="L159" s="244" t="str">
        <f>VLOOKUP(A159,'Trips&amp;Operators'!$C$1:$G$99911,5,FALSE)</f>
        <v>LOPES KIMBERLY</v>
      </c>
      <c r="M159" s="223">
        <f t="shared" si="63"/>
        <v>1.3831018513883464E-2</v>
      </c>
      <c r="N159" s="224">
        <f t="shared" si="79"/>
        <v>19.916666659992188</v>
      </c>
      <c r="O159" s="224"/>
      <c r="P159" s="224"/>
      <c r="Q159" s="227"/>
      <c r="R159" s="241"/>
      <c r="S159" s="248">
        <f t="shared" si="61"/>
        <v>1</v>
      </c>
      <c r="T159" s="241" t="str">
        <f t="shared" si="64"/>
        <v>Southbound</v>
      </c>
      <c r="U159" s="24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7" t="str">
        <f t="shared" si="65"/>
        <v>https://d0f6bd738d7f1b3e5a7ca70fe4ff75f0.us-east-1.aws.found.io/app/kibana#/discover/Steve-Slow-Train-Analysis-(2080s-and-2083s)?_g=(refreshInterval:(display:Off,pause:!f,section:0,value:0),time:(from:'2017-12-28T04:03:29-0700',mode:absolute,to:'2017-12-28T06:25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9" s="246" t="str">
        <f>IF(AA159&lt;VLOOKUP(AG159,Variables!$AC$3:$AD$8,2,FALSE),"Y","N")</f>
        <v>N</v>
      </c>
      <c r="X159" s="246">
        <f t="shared" si="78"/>
        <v>556</v>
      </c>
      <c r="Y159" s="246">
        <f t="shared" si="71"/>
        <v>5.8634000000000004</v>
      </c>
      <c r="Z159" s="246">
        <f t="shared" si="72"/>
        <v>1.4200000000000001E-2</v>
      </c>
      <c r="AA159" s="246">
        <f t="shared" si="66"/>
        <v>5.8492000000000006</v>
      </c>
      <c r="AB159" s="232" t="e">
        <f>VLOOKUP(A159,Enforcements!$C$7:$K$9,8,0)</f>
        <v>#N/A</v>
      </c>
      <c r="AC159" s="231" t="e">
        <f>VLOOKUP(A159,Enforcements!$C$7:$E$9,3,0)</f>
        <v>#N/A</v>
      </c>
      <c r="AD159" s="242">
        <f t="shared" si="67"/>
        <v>800</v>
      </c>
      <c r="AE159" s="234" t="str">
        <f t="shared" si="68"/>
        <v>aws s3 cp s3://rtdc.mdm.uploadarchive.raw/RTDC4015/ "%USERPROFILE%\AppData\Local\Temp\OnboardLogs"\RTDC4015\2017-12-28 --exclude "*" --recursive --include "*20171228*" &amp; "%USERPROFILE%\Documents\GitHub\mrs-test-scripts\Headless Mode &amp; Sideloading\WalkAndUnGZ.bat" "%USERPROFILE%\AppData\Local\Temp\OnboardLogs"\RTDC4015\2017-12-28 &amp; aws s3 cp s3://rtdc.mdm.uploadarchive.raw/RTDC4015/ "%USERPROFILE%\AppData\Local\Temp\OnboardLogs"\RTDC4015\2017-12-29 --exclude "*" --recursive --include "*20171229*" &amp; "%USERPROFILE%\Documents\GitHub\mrs-test-scripts\Headless Mode &amp; Sideloading\WalkAndUnGZ.bat" "%USERPROFILE%\AppData\Local\Temp\OnboardLogs"\RTDC4015\2017-12-29</v>
      </c>
      <c r="AF159" s="233" t="str">
        <f t="shared" si="69"/>
        <v>"C:\Program Files (x86)\AstroGrep\AstroGrep.exe" /e /r /s /spath="%USERPROFILE%\AppData\Local\Temp\OnboardLogs" /stypes="app*4015*201712281*" /stext=" 12:.+?(?&gt;(PRM\|1\|D)|(KPR)|(KDP)|(train st[a-z]+ moving)|(SYSTEM_STATE:s[a-z]+ state changed)|(Enforcement Action)|(\[TIMEOUT)|(parse_ebi_status: Penalty)|(\|GPPS))"</v>
      </c>
      <c r="AG159" s="243" t="str">
        <f t="shared" si="70"/>
        <v>NW</v>
      </c>
      <c r="AH159" s="235" t="str">
        <f t="shared" si="73"/>
        <v>"%USERPROFILE%\Documents\GitHub\eaglep3\Utilities\RefineRTDCRunTimes.py" --tripid 800-28 --locoid 4015 --swversion DE.1.0.9.0 --startMP 300:58634 --initTime 2017-12-28T05:03:29 --startdatetime 2017-12-28T05:06:03 --delay 64 --endMP 204:142 --enddatetime 2017-12-28T05:25:58 --enforcementcount 0 &gt;&gt;%USERPROFILE%\Documents\GitHub\eaglep3-reporting\EC\2017-12-28-refined-times.txt</v>
      </c>
      <c r="AI159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{"issue":{"subject":"","project_id":79,"tracker_id":40,"status_id":1,"priority_id":2,"assigned_to_id":338,"start_date":"2017-12-28","description":"","custom_fields":[{"id":1,"name":"Subdivision","value":"NW"},{"id":4,"name":"Milepost","value":"0.0142"},{"id":17,"name":"Train ID","value":"800-28"},{"id":16,"name":"Locomotive ID","value":"4015"},{"id":130,"name":"Impact","value":""},{"id":150,"name":"Time of Event (Mountain Time)","value":"05:25:58"},{"id":151,"name":"Denver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0"/>
      <c r="AL159" s="230"/>
      <c r="AM159" s="239" t="str">
        <f t="shared" si="75"/>
        <v>start /low /b %USERPROFILE%\Documents\GitHub\eaglep3\Utilities\DownloadLogsFromS3.py --loco 4015 --day 2017-12-28</v>
      </c>
      <c r="AN159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12:25:58"},{"id":29,"name":"Sharepoint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29" t="str">
        <f t="shared" si="77"/>
        <v>https://d0f6bd738d7f1b3e5a7ca70fe4ff75f0.us-east-1.aws.found.io/app/kibana#/discover/Steve-Slow-Train-Analysis-(2080s-and-2083s)?_g=(refreshInterval:(display:Off,pause:!f,section:0,value:0),time:(from:'2017-12-28T04:03:29-0700',mode:absolute,to:'2017-12-28T06:25:58-0700'))&amp;_a=(columns:!('Message%20ID',Summary),filters:!(),index:'emp_*',interval:auto,query:(query_string:(analyze_wildcard:!t,query:'%22rtdc.l.rtdc.4015%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2" customFormat="1" x14ac:dyDescent="0.25">
      <c r="A160" s="228" t="s">
        <v>722</v>
      </c>
      <c r="B160" s="224">
        <v>4016</v>
      </c>
      <c r="C160" s="226" t="s">
        <v>192</v>
      </c>
      <c r="D160" s="226" t="s">
        <v>1020</v>
      </c>
      <c r="E160" s="225">
        <v>43097.227881944447</v>
      </c>
      <c r="F160" s="225">
        <v>43097.235590277778</v>
      </c>
      <c r="G160" s="224">
        <v>56</v>
      </c>
      <c r="H160" s="226" t="s">
        <v>1021</v>
      </c>
      <c r="I160" s="225">
        <v>43097.245520833334</v>
      </c>
      <c r="J160" s="224">
        <v>0</v>
      </c>
      <c r="K160" s="236" t="str">
        <f t="shared" si="62"/>
        <v>4015/4016</v>
      </c>
      <c r="L160" s="244" t="str">
        <f>VLOOKUP(A160,'Trips&amp;Operators'!$C$1:$G$99911,5,FALSE)</f>
        <v>LOPES KIMBERLY</v>
      </c>
      <c r="M160" s="223">
        <f t="shared" si="63"/>
        <v>9.930555555911269E-3</v>
      </c>
      <c r="N160" s="224">
        <f t="shared" si="79"/>
        <v>14.300000000512227</v>
      </c>
      <c r="O160" s="224"/>
      <c r="P160" s="224"/>
      <c r="Q160" s="227"/>
      <c r="R160" s="241"/>
      <c r="S160" s="248">
        <f t="shared" si="61"/>
        <v>1</v>
      </c>
      <c r="T160" s="241" t="str">
        <f t="shared" si="64"/>
        <v>NorthBound</v>
      </c>
      <c r="U160" s="24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7" t="str">
        <f t="shared" si="65"/>
        <v>https://d0f6bd738d7f1b3e5a7ca70fe4ff75f0.us-east-1.aws.found.io/app/kibana#/discover/Steve-Slow-Train-Analysis-(2080s-and-2083s)?_g=(refreshInterval:(display:Off,pause:!f,section:0,value:0),time:(from:'2017-12-28T04:28:09-0700',mode:absolute,to:'2017-12-28T06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0" s="246" t="str">
        <f>IF(AA160&lt;VLOOKUP(AG160,Variables!$AC$3:$AD$8,2,FALSE),"Y","N")</f>
        <v>N</v>
      </c>
      <c r="X160" s="246">
        <f t="shared" si="78"/>
        <v>1</v>
      </c>
      <c r="Y160" s="246">
        <f t="shared" si="71"/>
        <v>4.48E-2</v>
      </c>
      <c r="Z160" s="246">
        <f t="shared" si="72"/>
        <v>5.8952</v>
      </c>
      <c r="AA160" s="246">
        <f t="shared" si="66"/>
        <v>5.8503999999999996</v>
      </c>
      <c r="AB160" s="232" t="e">
        <f>VLOOKUP(A160,Enforcements!$C$7:$K$9,8,0)</f>
        <v>#N/A</v>
      </c>
      <c r="AC160" s="231" t="e">
        <f>VLOOKUP(A160,Enforcements!$C$7:$E$9,3,0)</f>
        <v>#N/A</v>
      </c>
      <c r="AD160" s="242">
        <f t="shared" si="67"/>
        <v>801</v>
      </c>
      <c r="AE160" s="234" t="str">
        <f t="shared" si="68"/>
        <v>aws s3 cp s3://rtdc.mdm.uploadarchive.raw/RTDC4016/ "%USERPROFILE%\AppData\Local\Temp\OnboardLogs"\RTDC4016\2017-12-28 --exclude "*" --recursive --include "*20171228*" &amp; "%USERPROFILE%\Documents\GitHub\mrs-test-scripts\Headless Mode &amp; Sideloading\WalkAndUnGZ.bat" "%USERPROFILE%\AppData\Local\Temp\OnboardLogs"\RTDC4016\2017-12-28 &amp; aws s3 cp s3://rtdc.mdm.uploadarchive.raw/RTDC4016/ "%USERPROFILE%\AppData\Local\Temp\OnboardLogs"\RTDC4016\2017-12-29 --exclude "*" --recursive --include "*20171229*" &amp; "%USERPROFILE%\Documents\GitHub\mrs-test-scripts\Headless Mode &amp; Sideloading\WalkAndUnGZ.bat" "%USERPROFILE%\AppData\Local\Temp\OnboardLogs"\RTDC4016\2017-12-29</v>
      </c>
      <c r="AF160" s="233" t="str">
        <f t="shared" si="69"/>
        <v>"C:\Program Files (x86)\AstroGrep\AstroGrep.exe" /e /r /s /spath="%USERPROFILE%\AppData\Local\Temp\OnboardLogs" /stypes="app*4016*201712281*" /stext=" 12:.+?(?&gt;(PRM\|1\|D)|(KPR)|(KDP)|(train st[a-z]+ moving)|(SYSTEM_STATE:s[a-z]+ state changed)|(Enforcement Action)|(\[TIMEOUT)|(parse_ebi_status: Penalty)|(\|GPPS))"</v>
      </c>
      <c r="AG160" s="243" t="str">
        <f t="shared" si="70"/>
        <v>NW</v>
      </c>
      <c r="AH160" s="235" t="str">
        <f t="shared" si="73"/>
        <v>"%USERPROFILE%\Documents\GitHub\eaglep3\Utilities\RefineRTDCRunTimes.py" --tripid 801-28 --locoid 4016 --swversion DE.1.0.9.0 --startMP 204:448 --initTime 2017-12-28T05:28:09 --startdatetime 2017-12-28T05:39:15 --delay 56 --endMP 300:58952 --enddatetime 2017-12-28T05:53:33 --enforcementcount 0 &gt;&gt;%USERPROFILE%\Documents\GitHub\eaglep3-reporting\EC\2017-12-28-refined-times.txt</v>
      </c>
      <c r="AI160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{"issue":{"subject":"","project_id":79,"tracker_id":40,"status_id":1,"priority_id":2,"assigned_to_id":338,"start_date":"2017-12-28","description":"","custom_fields":[{"id":1,"name":"Subdivision","value":"NW"},{"id":4,"name":"Milepost","value":"5.8952"},{"id":17,"name":"Train ID","value":"801-28"},{"id":16,"name":"Locomotive ID","value":"4016"},{"id":130,"name":"Impact","value":""},{"id":150,"name":"Time of Event (Mountain Time)","value":"05:53:33"},{"id":151,"name":"Denver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0"/>
      <c r="AL160" s="230"/>
      <c r="AM160" s="239" t="str">
        <f t="shared" si="75"/>
        <v>start /low /b %USERPROFILE%\Documents\GitHub\eaglep3\Utilities\DownloadLogsFromS3.py --loco 4016 --day 2017-12-28</v>
      </c>
      <c r="AN160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12:53:33"},{"id":29,"name":"Sharepoint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29" t="str">
        <f t="shared" si="77"/>
        <v>https://d0f6bd738d7f1b3e5a7ca70fe4ff75f0.us-east-1.aws.found.io/app/kibana#/discover/Steve-Slow-Train-Analysis-(2080s-and-2083s)?_g=(refreshInterval:(display:Off,pause:!f,section:0,value:0),time:(from:'2017-12-28T04:28:09-0700',mode:absolute,to:'2017-12-28T06:53:33-0700'))&amp;_a=(columns:!('Message%20ID',Summary),filters:!(),index:'emp_*',interval:auto,query:(query_string:(analyze_wildcard:!t,query:'%22rtdc.l.rtdc.4016%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2" customFormat="1" x14ac:dyDescent="0.25">
      <c r="A161" s="228" t="s">
        <v>730</v>
      </c>
      <c r="B161" s="224">
        <v>4015</v>
      </c>
      <c r="C161" s="226" t="s">
        <v>192</v>
      </c>
      <c r="D161" s="226" t="s">
        <v>1022</v>
      </c>
      <c r="E161" s="225">
        <v>43097.246701388889</v>
      </c>
      <c r="F161" s="225">
        <v>43097.248715277776</v>
      </c>
      <c r="G161" s="224">
        <v>55</v>
      </c>
      <c r="H161" s="226" t="s">
        <v>1023</v>
      </c>
      <c r="I161" s="225">
        <v>43097.266076388885</v>
      </c>
      <c r="J161" s="224">
        <v>0</v>
      </c>
      <c r="K161" s="236" t="str">
        <f t="shared" si="62"/>
        <v>4015/4016</v>
      </c>
      <c r="L161" s="244" t="str">
        <f>VLOOKUP(A161,'Trips&amp;Operators'!$C$1:$G$99911,5,FALSE)</f>
        <v>LOPES KIMBERLY</v>
      </c>
      <c r="M161" s="223">
        <f t="shared" si="63"/>
        <v>1.7361111109494232E-2</v>
      </c>
      <c r="N161" s="224">
        <f t="shared" si="79"/>
        <v>24.999999997671694</v>
      </c>
      <c r="O161" s="224"/>
      <c r="P161" s="224"/>
      <c r="Q161" s="227"/>
      <c r="R161" s="241"/>
      <c r="S161" s="248">
        <f t="shared" si="61"/>
        <v>1</v>
      </c>
      <c r="T161" s="241" t="str">
        <f t="shared" si="64"/>
        <v>Southbound</v>
      </c>
      <c r="U161" s="24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7" t="str">
        <f t="shared" si="65"/>
        <v>https://d0f6bd738d7f1b3e5a7ca70fe4ff75f0.us-east-1.aws.found.io/app/kibana#/discover/Steve-Slow-Train-Analysis-(2080s-and-2083s)?_g=(refreshInterval:(display:Off,pause:!f,section:0,value:0),time:(from:'2017-12-28T04:55:15-0700',mode:absolute,to:'2017-12-28T07:23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1" s="246" t="str">
        <f>IF(AA161&lt;VLOOKUP(AG161,Variables!$AC$3:$AD$8,2,FALSE),"Y","N")</f>
        <v>Y</v>
      </c>
      <c r="X161" s="246">
        <f t="shared" si="78"/>
        <v>1</v>
      </c>
      <c r="Y161" s="246">
        <f t="shared" si="71"/>
        <v>5.8643000000000001</v>
      </c>
      <c r="Z161" s="246">
        <f t="shared" si="72"/>
        <v>0.45519999999999999</v>
      </c>
      <c r="AA161" s="246">
        <f t="shared" si="66"/>
        <v>5.4091000000000005</v>
      </c>
      <c r="AB161" s="232" t="e">
        <f>VLOOKUP(A161,Enforcements!$C$7:$K$9,8,0)</f>
        <v>#N/A</v>
      </c>
      <c r="AC161" s="231" t="e">
        <f>VLOOKUP(A161,Enforcements!$C$7:$E$9,3,0)</f>
        <v>#N/A</v>
      </c>
      <c r="AD161" s="242">
        <f t="shared" si="67"/>
        <v>802</v>
      </c>
      <c r="AE161" s="234" t="str">
        <f t="shared" si="68"/>
        <v>aws s3 cp s3://rtdc.mdm.uploadarchive.raw/RTDC4015/ "%USERPROFILE%\AppData\Local\Temp\OnboardLogs"\RTDC4015\2017-12-28 --exclude "*" --recursive --include "*20171228*" &amp; "%USERPROFILE%\Documents\GitHub\mrs-test-scripts\Headless Mode &amp; Sideloading\WalkAndUnGZ.bat" "%USERPROFILE%\AppData\Local\Temp\OnboardLogs"\RTDC4015\2017-12-28 &amp; aws s3 cp s3://rtdc.mdm.uploadarchive.raw/RTDC4015/ "%USERPROFILE%\AppData\Local\Temp\OnboardLogs"\RTDC4015\2017-12-29 --exclude "*" --recursive --include "*20171229*" &amp; "%USERPROFILE%\Documents\GitHub\mrs-test-scripts\Headless Mode &amp; Sideloading\WalkAndUnGZ.bat" "%USERPROFILE%\AppData\Local\Temp\OnboardLogs"\RTDC4015\2017-12-29</v>
      </c>
      <c r="AF161" s="233" t="str">
        <f t="shared" si="69"/>
        <v>"C:\Program Files (x86)\AstroGrep\AstroGrep.exe" /e /r /s /spath="%USERPROFILE%\AppData\Local\Temp\OnboardLogs" /stypes="app*4015*201712281*" /stext=" 13:.+?(?&gt;(PRM\|1\|D)|(KPR)|(KDP)|(train st[a-z]+ moving)|(SYSTEM_STATE:s[a-z]+ state changed)|(Enforcement Action)|(\[TIMEOUT)|(parse_ebi_status: Penalty)|(\|GPPS))"</v>
      </c>
      <c r="AG161" s="243" t="str">
        <f t="shared" si="70"/>
        <v>NW</v>
      </c>
      <c r="AH161" s="235" t="str">
        <f t="shared" si="73"/>
        <v>"%USERPROFILE%\Documents\GitHub\eaglep3\Utilities\RefineRTDCRunTimes.py" --tripid 802-28 --locoid 4015 --swversion DE.1.0.9.0 --startMP 300:58643 --initTime 2017-12-28T05:55:15 --startdatetime 2017-12-28T05:58:09 --delay 55 --endMP 204:4552 --enddatetime 2017-12-28T06:23:09 --enforcementcount 0 &gt;&gt;%USERPROFILE%\Documents\GitHub\eaglep3-reporting\EC\2017-12-28-refined-times.txt</v>
      </c>
      <c r="AI161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{"issue":{"subject":"","project_id":79,"tracker_id":40,"status_id":1,"priority_id":2,"assigned_to_id":338,"start_date":"2017-12-28","description":"","custom_fields":[{"id":1,"name":"Subdivision","value":"NW"},{"id":4,"name":"Milepost","value":"0.4552"},{"id":17,"name":"Train ID","value":"802-28"},{"id":16,"name":"Locomotive ID","value":"4015"},{"id":130,"name":"Impact","value":""},{"id":150,"name":"Time of Event (Mountain Time)","value":"06:23:09"},{"id":151,"name":"Denver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0"/>
      <c r="AL161" s="230"/>
      <c r="AM161" s="239" t="str">
        <f t="shared" si="75"/>
        <v>start /low /b %USERPROFILE%\Documents\GitHub\eaglep3\Utilities\DownloadLogsFromS3.py --loco 4015 --day 2017-12-28</v>
      </c>
      <c r="AN161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13:23:09"},{"id":29,"name":"Sharepoint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29" t="str">
        <f t="shared" si="77"/>
        <v>https://d0f6bd738d7f1b3e5a7ca70fe4ff75f0.us-east-1.aws.found.io/app/kibana#/discover/Steve-Slow-Train-Analysis-(2080s-and-2083s)?_g=(refreshInterval:(display:Off,pause:!f,section:0,value:0),time:(from:'2017-12-28T04:55:15-0700',mode:absolute,to:'2017-12-28T07:23:09-0700'))&amp;_a=(columns:!('Message%20ID',Summary),filters:!(),index:'emp_*',interval:auto,query:(query_string:(analyze_wildcard:!t,query:'%22rtdc.l.rtdc.4015%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2" customFormat="1" x14ac:dyDescent="0.25">
      <c r="A162" s="228" t="s">
        <v>731</v>
      </c>
      <c r="B162" s="224">
        <v>4018</v>
      </c>
      <c r="C162" s="226" t="s">
        <v>192</v>
      </c>
      <c r="D162" s="226" t="s">
        <v>1024</v>
      </c>
      <c r="E162" s="225">
        <v>43097.250844907408</v>
      </c>
      <c r="F162" s="225">
        <v>43097.256412037037</v>
      </c>
      <c r="G162" s="224">
        <v>58</v>
      </c>
      <c r="H162" s="226" t="s">
        <v>1025</v>
      </c>
      <c r="I162" s="225">
        <v>43097.266851851855</v>
      </c>
      <c r="J162" s="224">
        <v>0</v>
      </c>
      <c r="K162" s="236" t="str">
        <f t="shared" si="62"/>
        <v>4017/4018</v>
      </c>
      <c r="L162" s="244" t="str">
        <f>VLOOKUP(A162,'Trips&amp;Operators'!$C$1:$G$99911,5,FALSE)</f>
        <v>FORTUNATO FRANK</v>
      </c>
      <c r="M162" s="223">
        <f t="shared" si="63"/>
        <v>1.0439814817800652E-2</v>
      </c>
      <c r="N162" s="224">
        <f t="shared" si="79"/>
        <v>15.033333337632939</v>
      </c>
      <c r="O162" s="224"/>
      <c r="P162" s="224"/>
      <c r="Q162" s="227"/>
      <c r="R162" s="241"/>
      <c r="S162" s="248">
        <f t="shared" si="61"/>
        <v>1</v>
      </c>
      <c r="T162" s="241" t="str">
        <f t="shared" si="64"/>
        <v>NorthBound</v>
      </c>
      <c r="U162" s="24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7" t="str">
        <f t="shared" si="65"/>
        <v>https://d0f6bd738d7f1b3e5a7ca70fe4ff75f0.us-east-1.aws.found.io/app/kibana#/discover/Steve-Slow-Train-Analysis-(2080s-and-2083s)?_g=(refreshInterval:(display:Off,pause:!f,section:0,value:0),time:(from:'2017-12-28T05:01:13-0700',mode:absolute,to:'2017-12-28T07:24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2" s="246" t="str">
        <f>IF(AA162&lt;VLOOKUP(AG162,Variables!$AC$3:$AD$8,2,FALSE),"Y","N")</f>
        <v>N</v>
      </c>
      <c r="X162" s="246">
        <f t="shared" si="78"/>
        <v>1</v>
      </c>
      <c r="Y162" s="246">
        <f t="shared" si="71"/>
        <v>4.6800000000000001E-2</v>
      </c>
      <c r="Z162" s="246">
        <f t="shared" si="72"/>
        <v>5.8982000000000001</v>
      </c>
      <c r="AA162" s="246">
        <f t="shared" si="66"/>
        <v>5.8513999999999999</v>
      </c>
      <c r="AB162" s="232" t="e">
        <f>VLOOKUP(A162,Enforcements!$C$7:$K$9,8,0)</f>
        <v>#N/A</v>
      </c>
      <c r="AC162" s="231" t="e">
        <f>VLOOKUP(A162,Enforcements!$C$7:$E$9,3,0)</f>
        <v>#N/A</v>
      </c>
      <c r="AD162" s="242">
        <f t="shared" si="67"/>
        <v>803</v>
      </c>
      <c r="AE162" s="234" t="str">
        <f t="shared" si="68"/>
        <v>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 &amp; 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</v>
      </c>
      <c r="AF162" s="233" t="str">
        <f t="shared" si="69"/>
        <v>"C:\Program Files (x86)\AstroGrep\AstroGrep.exe" /e /r /s /spath="%USERPROFILE%\AppData\Local\Temp\OnboardLogs" /stypes="app*4018*201712281*" /stext=" 13:.+?(?&gt;(PRM\|1\|D)|(KPR)|(KDP)|(train st[a-z]+ moving)|(SYSTEM_STATE:s[a-z]+ state changed)|(Enforcement Action)|(\[TIMEOUT)|(parse_ebi_status: Penalty)|(\|GPPS))"</v>
      </c>
      <c r="AG162" s="243" t="str">
        <f t="shared" si="70"/>
        <v>NW</v>
      </c>
      <c r="AH162" s="235" t="str">
        <f t="shared" si="73"/>
        <v>"%USERPROFILE%\Documents\GitHub\eaglep3\Utilities\RefineRTDCRunTimes.py" --tripid 803-28 --locoid 4018 --swversion DE.1.0.9.0 --startMP 204:468 --initTime 2017-12-28T06:01:13 --startdatetime 2017-12-28T06:09:14 --delay 58 --endMP 300:58982 --enddatetime 2017-12-28T06:24:16 --enforcementcount 0 &gt;&gt;%USERPROFILE%\Documents\GitHub\eaglep3-reporting\EC\2017-12-28-refined-times.txt</v>
      </c>
      <c r="AI162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{"issue":{"subject":"","project_id":79,"tracker_id":40,"status_id":1,"priority_id":2,"assigned_to_id":338,"start_date":"2017-12-28","description":"","custom_fields":[{"id":1,"name":"Subdivision","value":"NW"},{"id":4,"name":"Milepost","value":"5.8982"},{"id":17,"name":"Train ID","value":"803-28"},{"id":16,"name":"Locomotive ID","value":"4018"},{"id":130,"name":"Impact","value":""},{"id":150,"name":"Time of Event (Mountain Time)","value":"06:24:16"},{"id":151,"name":"Denver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0"/>
      <c r="AL162" s="230"/>
      <c r="AM162" s="239" t="str">
        <f t="shared" si="75"/>
        <v>start /low /b %USERPROFILE%\Documents\GitHub\eaglep3\Utilities\DownloadLogsFromS3.py --loco 4018 --day 2017-12-28</v>
      </c>
      <c r="AN162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13:24:16"},{"id":29,"name":"Sharepoint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29" t="str">
        <f t="shared" si="77"/>
        <v>https://d0f6bd738d7f1b3e5a7ca70fe4ff75f0.us-east-1.aws.found.io/app/kibana#/discover/Steve-Slow-Train-Analysis-(2080s-and-2083s)?_g=(refreshInterval:(display:Off,pause:!f,section:0,value:0),time:(from:'2017-12-28T05:01:13-0700',mode:absolute,to:'2017-12-28T07:24:16-0700'))&amp;_a=(columns:!('Message%20ID',Summary),filters:!(),index:'emp_*',interval:auto,query:(query_string:(analyze_wildcard:!t,query:'%22rtdc.l.rtdc.4018%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2" customFormat="1" x14ac:dyDescent="0.25">
      <c r="A163" s="228" t="s">
        <v>738</v>
      </c>
      <c r="B163" s="224">
        <v>4017</v>
      </c>
      <c r="C163" s="226" t="s">
        <v>192</v>
      </c>
      <c r="D163" s="226" t="s">
        <v>1026</v>
      </c>
      <c r="E163" s="225">
        <v>43097.268125000002</v>
      </c>
      <c r="F163" s="225">
        <v>43097.279166666667</v>
      </c>
      <c r="G163" s="224">
        <v>52</v>
      </c>
      <c r="H163" s="226" t="s">
        <v>549</v>
      </c>
      <c r="I163" s="225">
        <v>43097.288472222222</v>
      </c>
      <c r="J163" s="224">
        <v>0</v>
      </c>
      <c r="K163" s="236" t="str">
        <f t="shared" si="62"/>
        <v>4017/4018</v>
      </c>
      <c r="L163" s="244" t="str">
        <f>VLOOKUP(A163,'Trips&amp;Operators'!$C$1:$G$99911,5,FALSE)</f>
        <v>FORTUNATO FRANK</v>
      </c>
      <c r="M163" s="223">
        <f t="shared" si="63"/>
        <v>9.3055555553291924E-3</v>
      </c>
      <c r="N163" s="224">
        <f t="shared" si="79"/>
        <v>13.399999999674037</v>
      </c>
      <c r="O163" s="224"/>
      <c r="P163" s="224"/>
      <c r="Q163" s="227"/>
      <c r="R163" s="241"/>
      <c r="S163" s="248">
        <f t="shared" si="61"/>
        <v>1</v>
      </c>
      <c r="T163" s="241" t="str">
        <f t="shared" si="64"/>
        <v>Southbound</v>
      </c>
      <c r="U163" s="24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7" t="str">
        <f t="shared" si="65"/>
        <v>https://d0f6bd738d7f1b3e5a7ca70fe4ff75f0.us-east-1.aws.found.io/app/kibana#/discover/Steve-Slow-Train-Analysis-(2080s-and-2083s)?_g=(refreshInterval:(display:Off,pause:!f,section:0,value:0),time:(from:'2017-12-28T05:26:06-0700',mode:absolute,to:'2017-12-28T07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3" s="246" t="str">
        <f>IF(AA163&lt;VLOOKUP(AG163,Variables!$AC$3:$AD$8,2,FALSE),"Y","N")</f>
        <v>N</v>
      </c>
      <c r="X163" s="246">
        <f t="shared" si="78"/>
        <v>1</v>
      </c>
      <c r="Y163" s="246">
        <f t="shared" si="71"/>
        <v>5.8667999999999996</v>
      </c>
      <c r="Z163" s="246">
        <f t="shared" si="72"/>
        <v>1.55E-2</v>
      </c>
      <c r="AA163" s="246">
        <f t="shared" si="66"/>
        <v>5.8512999999999993</v>
      </c>
      <c r="AB163" s="232" t="e">
        <f>VLOOKUP(A163,Enforcements!$C$7:$K$9,8,0)</f>
        <v>#N/A</v>
      </c>
      <c r="AC163" s="231" t="e">
        <f>VLOOKUP(A163,Enforcements!$C$7:$E$9,3,0)</f>
        <v>#N/A</v>
      </c>
      <c r="AD163" s="242">
        <f t="shared" si="67"/>
        <v>804</v>
      </c>
      <c r="AE163" s="234" t="str">
        <f t="shared" si="68"/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AF163" s="233" t="str">
        <f t="shared" si="69"/>
        <v>"C:\Program Files (x86)\AstroGrep\AstroGrep.exe" /e /r /s /spath="%USERPROFILE%\AppData\Local\Temp\OnboardLogs" /stypes="app*4017*201712281*" /stext=" 13:.+?(?&gt;(PRM\|1\|D)|(KPR)|(KDP)|(train st[a-z]+ moving)|(SYSTEM_STATE:s[a-z]+ state changed)|(Enforcement Action)|(\[TIMEOUT)|(parse_ebi_status: Penalty)|(\|GPPS))"</v>
      </c>
      <c r="AG163" s="243" t="str">
        <f t="shared" si="70"/>
        <v>NW</v>
      </c>
      <c r="AH163" s="235" t="str">
        <f t="shared" si="73"/>
        <v>"%USERPROFILE%\Documents\GitHub\eaglep3\Utilities\RefineRTDCRunTimes.py" --tripid 804-28 --locoid 4017 --swversion DE.1.0.9.0 --startMP 300:58668 --initTime 2017-12-28T06:26:06 --startdatetime 2017-12-28T06:42:00 --delay 52 --endMP 204:155 --enddatetime 2017-12-28T06:55:24 --enforcementcount 0 &gt;&gt;%USERPROFILE%\Documents\GitHub\eaglep3-reporting\EC\2017-12-28-refined-times.txt</v>
      </c>
      <c r="AI163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{"issue":{"subject":"","project_id":79,"tracker_id":40,"status_id":1,"priority_id":2,"assigned_to_id":338,"start_date":"2017-12-28","description":"","custom_fields":[{"id":1,"name":"Subdivision","value":"NW"},{"id":4,"name":"Milepost","value":"0.0155"},{"id":17,"name":"Train ID","value":"804-28"},{"id":16,"name":"Locomotive ID","value":"4017"},{"id":130,"name":"Impact","value":""},{"id":150,"name":"Time of Event (Mountain Time)","value":"06:55:24"},{"id":151,"name":"Denver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0"/>
      <c r="AL163" s="230"/>
      <c r="AM163" s="239" t="str">
        <f t="shared" si="75"/>
        <v>start /low /b %USERPROFILE%\Documents\GitHub\eaglep3\Utilities\DownloadLogsFromS3.py --loco 4017 --day 2017-12-28</v>
      </c>
      <c r="AN163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29" t="str">
        <f t="shared" si="77"/>
        <v>https://d0f6bd738d7f1b3e5a7ca70fe4ff75f0.us-east-1.aws.found.io/app/kibana#/discover/Steve-Slow-Train-Analysis-(2080s-and-2083s)?_g=(refreshInterval:(display:Off,pause:!f,section:0,value:0),time:(from:'2017-12-28T05:26:06-0700',mode:absolute,to:'2017-12-28T07:55:24-0700'))&amp;_a=(columns:!('Message%20ID',Summary),filters:!(),index:'emp_*',interval:auto,query:(query_string:(analyze_wildcard:!t,query:'%22rtdc.l.rtdc.4017%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228" t="s">
        <v>739</v>
      </c>
      <c r="B164" s="224">
        <v>4016</v>
      </c>
      <c r="C164" s="226" t="s">
        <v>192</v>
      </c>
      <c r="D164" s="226" t="s">
        <v>1027</v>
      </c>
      <c r="E164" s="225">
        <v>43097.272916666669</v>
      </c>
      <c r="F164" s="225">
        <v>43097.277499999997</v>
      </c>
      <c r="G164" s="224">
        <v>57</v>
      </c>
      <c r="H164" s="226" t="s">
        <v>1028</v>
      </c>
      <c r="I164" s="225">
        <v>43097.287627314814</v>
      </c>
      <c r="J164" s="224">
        <v>0</v>
      </c>
      <c r="K164" s="236" t="str">
        <f t="shared" si="62"/>
        <v>4015/4016</v>
      </c>
      <c r="L164" s="244" t="str">
        <f>VLOOKUP(A164,'Trips&amp;Operators'!$C$1:$G$99911,5,FALSE)</f>
        <v>LOPES KIMBERLY</v>
      </c>
      <c r="M164" s="223">
        <f t="shared" si="63"/>
        <v>1.0127314817509614E-2</v>
      </c>
      <c r="N164" s="224">
        <f t="shared" si="79"/>
        <v>14.583333337213844</v>
      </c>
      <c r="O164" s="224"/>
      <c r="P164" s="224"/>
      <c r="Q164" s="227"/>
      <c r="R164" s="241"/>
      <c r="S164" s="248">
        <f t="shared" si="61"/>
        <v>1</v>
      </c>
      <c r="T164" s="241" t="str">
        <f t="shared" si="64"/>
        <v>NorthBound</v>
      </c>
      <c r="U164" s="24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7" t="str">
        <f t="shared" si="65"/>
        <v>https://d0f6bd738d7f1b3e5a7ca70fe4ff75f0.us-east-1.aws.found.io/app/kibana#/discover/Steve-Slow-Train-Analysis-(2080s-and-2083s)?_g=(refreshInterval:(display:Off,pause:!f,section:0,value:0),time:(from:'2017-12-28T05:33:00-0700',mode:absolute,to:'2017-12-28T07:54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4" s="246" t="str">
        <f>IF(AA164&lt;VLOOKUP(AG164,Variables!$AC$3:$AD$8,2,FALSE),"Y","N")</f>
        <v>N</v>
      </c>
      <c r="X164" s="246">
        <f t="shared" si="78"/>
        <v>1</v>
      </c>
      <c r="Y164" s="246">
        <f t="shared" si="71"/>
        <v>3.7199999999999997E-2</v>
      </c>
      <c r="Z164" s="246">
        <f t="shared" si="72"/>
        <v>5.8979999999999997</v>
      </c>
      <c r="AA164" s="246">
        <f t="shared" si="66"/>
        <v>5.8607999999999993</v>
      </c>
      <c r="AB164" s="232" t="e">
        <f>VLOOKUP(A164,Enforcements!$C$7:$K$9,8,0)</f>
        <v>#N/A</v>
      </c>
      <c r="AC164" s="231" t="e">
        <f>VLOOKUP(A164,Enforcements!$C$7:$E$9,3,0)</f>
        <v>#N/A</v>
      </c>
      <c r="AD164" s="242">
        <f t="shared" si="67"/>
        <v>805</v>
      </c>
      <c r="AE164" s="234" t="str">
        <f t="shared" si="68"/>
        <v>aws s3 cp s3://rtdc.mdm.uploadarchive.raw/RTDC4016/ "%USERPROFILE%\AppData\Local\Temp\OnboardLogs"\RTDC4016\2017-12-28 --exclude "*" --recursive --include "*20171228*" &amp; "%USERPROFILE%\Documents\GitHub\mrs-test-scripts\Headless Mode &amp; Sideloading\WalkAndUnGZ.bat" "%USERPROFILE%\AppData\Local\Temp\OnboardLogs"\RTDC4016\2017-12-28 &amp; aws s3 cp s3://rtdc.mdm.uploadarchive.raw/RTDC4016/ "%USERPROFILE%\AppData\Local\Temp\OnboardLogs"\RTDC4016\2017-12-29 --exclude "*" --recursive --include "*20171229*" &amp; "%USERPROFILE%\Documents\GitHub\mrs-test-scripts\Headless Mode &amp; Sideloading\WalkAndUnGZ.bat" "%USERPROFILE%\AppData\Local\Temp\OnboardLogs"\RTDC4016\2017-12-29</v>
      </c>
      <c r="AF164" s="233" t="str">
        <f t="shared" si="69"/>
        <v>"C:\Program Files (x86)\AstroGrep\AstroGrep.exe" /e /r /s /spath="%USERPROFILE%\AppData\Local\Temp\OnboardLogs" /stypes="app*4016*201712281*" /stext=" 13:.+?(?&gt;(PRM\|1\|D)|(KPR)|(KDP)|(train st[a-z]+ moving)|(SYSTEM_STATE:s[a-z]+ state changed)|(Enforcement Action)|(\[TIMEOUT)|(parse_ebi_status: Penalty)|(\|GPPS))"</v>
      </c>
      <c r="AG164" s="243" t="str">
        <f t="shared" si="70"/>
        <v>NW</v>
      </c>
      <c r="AH164" s="235" t="str">
        <f t="shared" si="73"/>
        <v>"%USERPROFILE%\Documents\GitHub\eaglep3\Utilities\RefineRTDCRunTimes.py" --tripid 805-28 --locoid 4016 --swversion DE.1.0.9.0 --startMP 204:372 --initTime 2017-12-28T06:33:00 --startdatetime 2017-12-28T06:39:36 --delay 57 --endMP 300:58980 --enddatetime 2017-12-28T06:54:11 --enforcementcount 0 &gt;&gt;%USERPROFILE%\Documents\GitHub\eaglep3-reporting\EC\2017-12-28-refined-times.txt</v>
      </c>
      <c r="AI164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{"issue":{"subject":"","project_id":79,"tracker_id":40,"status_id":1,"priority_id":2,"assigned_to_id":338,"start_date":"2017-12-28","description":"","custom_fields":[{"id":1,"name":"Subdivision","value":"NW"},{"id":4,"name":"Milepost","value":"5.898"},{"id":17,"name":"Train ID","value":"805-28"},{"id":16,"name":"Locomotive ID","value":"4016"},{"id":130,"name":"Impact","value":""},{"id":150,"name":"Time of Event (Mountain Time)","value":"06:54:11"},{"id":151,"name":"Denver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2"/>
      <c r="AK164" s="230"/>
      <c r="AL164" s="230"/>
      <c r="AM164" s="239" t="str">
        <f t="shared" si="75"/>
        <v>start /low /b %USERPROFILE%\Documents\GitHub\eaglep3\Utilities\DownloadLogsFromS3.py --loco 4016 --day 2017-12-28</v>
      </c>
      <c r="AN164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13:54:11"},{"id":29,"name":"Sharepoint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29" t="str">
        <f t="shared" si="77"/>
        <v>https://d0f6bd738d7f1b3e5a7ca70fe4ff75f0.us-east-1.aws.found.io/app/kibana#/discover/Steve-Slow-Train-Analysis-(2080s-and-2083s)?_g=(refreshInterval:(display:Off,pause:!f,section:0,value:0),time:(from:'2017-12-28T05:33:00-0700',mode:absolute,to:'2017-12-28T07:54:11-0700'))&amp;_a=(columns:!('Message%20ID',Summary),filters:!(),index:'emp_*',interval:auto,query:(query_string:(analyze_wildcard:!t,query:'%22rtdc.l.rtdc.4016%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28" t="s">
        <v>677</v>
      </c>
      <c r="B165" s="224">
        <v>4015</v>
      </c>
      <c r="C165" s="226" t="s">
        <v>192</v>
      </c>
      <c r="D165" s="226" t="s">
        <v>1026</v>
      </c>
      <c r="E165" s="225">
        <v>43097.28875</v>
      </c>
      <c r="F165" s="225">
        <v>43097.3</v>
      </c>
      <c r="G165" s="224">
        <v>53</v>
      </c>
      <c r="H165" s="226" t="s">
        <v>550</v>
      </c>
      <c r="I165" s="225">
        <v>43097.30976851852</v>
      </c>
      <c r="J165" s="224">
        <v>0</v>
      </c>
      <c r="K165" s="236" t="str">
        <f t="shared" si="62"/>
        <v>4015/4016</v>
      </c>
      <c r="L165" s="244" t="str">
        <f>VLOOKUP(A165,'Trips&amp;Operators'!$C$1:$G$99911,5,FALSE)</f>
        <v>LOPES KIMBERLY</v>
      </c>
      <c r="M165" s="223">
        <f t="shared" si="63"/>
        <v>9.7685185173759237E-3</v>
      </c>
      <c r="N165" s="224">
        <f t="shared" si="79"/>
        <v>14.06666666502133</v>
      </c>
      <c r="O165" s="224"/>
      <c r="P165" s="224"/>
      <c r="Q165" s="227"/>
      <c r="R165" s="241"/>
      <c r="S165" s="248">
        <f t="shared" si="61"/>
        <v>1</v>
      </c>
      <c r="T165" s="241" t="str">
        <f t="shared" si="64"/>
        <v>Southbound</v>
      </c>
      <c r="U165" s="24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7" t="str">
        <f t="shared" si="65"/>
        <v>https://d0f6bd738d7f1b3e5a7ca70fe4ff75f0.us-east-1.aws.found.io/app/kibana#/discover/Steve-Slow-Train-Analysis-(2080s-and-2083s)?_g=(refreshInterval:(display:Off,pause:!f,section:0,value:0),time:(from:'2017-12-28T05:55:48-0700',mode:absolute,to:'2017-12-28T08:26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5" s="246" t="str">
        <f>IF(AA165&lt;VLOOKUP(AG165,Variables!$AC$3:$AD$8,2,FALSE),"Y","N")</f>
        <v>N</v>
      </c>
      <c r="X165" s="246">
        <f t="shared" si="78"/>
        <v>1</v>
      </c>
      <c r="Y165" s="246">
        <f t="shared" si="71"/>
        <v>5.8667999999999996</v>
      </c>
      <c r="Z165" s="246">
        <f t="shared" si="72"/>
        <v>1.5299999999999999E-2</v>
      </c>
      <c r="AA165" s="246">
        <f t="shared" si="66"/>
        <v>5.8514999999999997</v>
      </c>
      <c r="AB165" s="232" t="e">
        <f>VLOOKUP(A165,Enforcements!$C$7:$K$9,8,0)</f>
        <v>#N/A</v>
      </c>
      <c r="AC165" s="231" t="e">
        <f>VLOOKUP(A165,Enforcements!$C$7:$E$9,3,0)</f>
        <v>#N/A</v>
      </c>
      <c r="AD165" s="242">
        <f t="shared" si="67"/>
        <v>806</v>
      </c>
      <c r="AE165" s="234" t="str">
        <f t="shared" si="68"/>
        <v>aws s3 cp s3://rtdc.mdm.uploadarchive.raw/RTDC4015/ "%USERPROFILE%\AppData\Local\Temp\OnboardLogs"\RTDC4015\2017-12-28 --exclude "*" --recursive --include "*20171228*" &amp; "%USERPROFILE%\Documents\GitHub\mrs-test-scripts\Headless Mode &amp; Sideloading\WalkAndUnGZ.bat" "%USERPROFILE%\AppData\Local\Temp\OnboardLogs"\RTDC4015\2017-12-28 &amp; aws s3 cp s3://rtdc.mdm.uploadarchive.raw/RTDC4015/ "%USERPROFILE%\AppData\Local\Temp\OnboardLogs"\RTDC4015\2017-12-29 --exclude "*" --recursive --include "*20171229*" &amp; "%USERPROFILE%\Documents\GitHub\mrs-test-scripts\Headless Mode &amp; Sideloading\WalkAndUnGZ.bat" "%USERPROFILE%\AppData\Local\Temp\OnboardLogs"\RTDC4015\2017-12-29</v>
      </c>
      <c r="AF165" s="233" t="str">
        <f t="shared" si="69"/>
        <v>"C:\Program Files (x86)\AstroGrep\AstroGrep.exe" /e /r /s /spath="%USERPROFILE%\AppData\Local\Temp\OnboardLogs" /stypes="app*4015*201712281*" /stext=" 14:.+?(?&gt;(PRM\|1\|D)|(KPR)|(KDP)|(train st[a-z]+ moving)|(SYSTEM_STATE:s[a-z]+ state changed)|(Enforcement Action)|(\[TIMEOUT)|(parse_ebi_status: Penalty)|(\|GPPS))"</v>
      </c>
      <c r="AG165" s="243" t="str">
        <f t="shared" si="70"/>
        <v>NW</v>
      </c>
      <c r="AH165" s="235" t="str">
        <f t="shared" si="73"/>
        <v>"%USERPROFILE%\Documents\GitHub\eaglep3\Utilities\RefineRTDCRunTimes.py" --tripid 806-28 --locoid 4015 --swversion DE.1.0.9.0 --startMP 300:58668 --initTime 2017-12-28T06:55:48 --startdatetime 2017-12-28T07:12:00 --delay 53 --endMP 204:153 --enddatetime 2017-12-28T07:26:04 --enforcementcount 0 &gt;&gt;%USERPROFILE%\Documents\GitHub\eaglep3-reporting\EC\2017-12-28-refined-times.txt</v>
      </c>
      <c r="AI165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{"issue":{"subject":"","project_id":79,"tracker_id":40,"status_id":1,"priority_id":2,"assigned_to_id":338,"start_date":"2017-12-28","description":"","custom_fields":[{"id":1,"name":"Subdivision","value":"NW"},{"id":4,"name":"Milepost","value":"0.0153"},{"id":17,"name":"Train ID","value":"806-28"},{"id":16,"name":"Locomotive ID","value":"4015"},{"id":130,"name":"Impact","value":""},{"id":150,"name":"Time of Event (Mountain Time)","value":"07:26:04"},{"id":151,"name":"Denver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2"/>
      <c r="AK165" s="230"/>
      <c r="AL165" s="230"/>
      <c r="AM165" s="239" t="str">
        <f t="shared" si="75"/>
        <v>start /low /b %USERPROFILE%\Documents\GitHub\eaglep3\Utilities\DownloadLogsFromS3.py --loco 4015 --day 2017-12-28</v>
      </c>
      <c r="AN165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14:26:04"},{"id":29,"name":"Sharepoint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29" t="str">
        <f t="shared" si="77"/>
        <v>https://d0f6bd738d7f1b3e5a7ca70fe4ff75f0.us-east-1.aws.found.io/app/kibana#/discover/Steve-Slow-Train-Analysis-(2080s-and-2083s)?_g=(refreshInterval:(display:Off,pause:!f,section:0,value:0),time:(from:'2017-12-28T05:55:48-0700',mode:absolute,to:'2017-12-28T08:26:04-0700'))&amp;_a=(columns:!('Message%20ID',Summary),filters:!(),index:'emp_*',interval:auto,query:(query_string:(analyze_wildcard:!t,query:'%22rtdc.l.rtdc.4015%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228" t="s">
        <v>744</v>
      </c>
      <c r="B166" s="224">
        <v>4018</v>
      </c>
      <c r="C166" s="226" t="s">
        <v>192</v>
      </c>
      <c r="D166" s="226" t="s">
        <v>1029</v>
      </c>
      <c r="E166" s="225">
        <v>43097.289953703701</v>
      </c>
      <c r="F166" s="225">
        <v>43097.298078703701</v>
      </c>
      <c r="G166" s="224">
        <v>47</v>
      </c>
      <c r="H166" s="226" t="s">
        <v>1030</v>
      </c>
      <c r="I166" s="225">
        <v>43097.308564814812</v>
      </c>
      <c r="J166" s="224">
        <v>0</v>
      </c>
      <c r="K166" s="236" t="str">
        <f t="shared" si="62"/>
        <v>4017/4018</v>
      </c>
      <c r="L166" s="244" t="str">
        <f>VLOOKUP(A166,'Trips&amp;Operators'!$C$1:$G$99911,5,FALSE)</f>
        <v>FORTUNATO FRANK</v>
      </c>
      <c r="M166" s="223">
        <f t="shared" si="63"/>
        <v>1.0486111110367347E-2</v>
      </c>
      <c r="N166" s="224">
        <f t="shared" si="79"/>
        <v>15.099999998928979</v>
      </c>
      <c r="O166" s="224"/>
      <c r="P166" s="224"/>
      <c r="Q166" s="227"/>
      <c r="R166" s="241"/>
      <c r="S166" s="248">
        <f t="shared" si="61"/>
        <v>1</v>
      </c>
      <c r="T166" s="241" t="str">
        <f t="shared" si="64"/>
        <v>NorthBound</v>
      </c>
      <c r="U166" s="24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7" t="str">
        <f t="shared" si="65"/>
        <v>https://d0f6bd738d7f1b3e5a7ca70fe4ff75f0.us-east-1.aws.found.io/app/kibana#/discover/Steve-Slow-Train-Analysis-(2080s-and-2083s)?_g=(refreshInterval:(display:Off,pause:!f,section:0,value:0),time:(from:'2017-12-28T05:57:32-0700',mode:absolute,to:'2017-12-28T08:24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6" s="246" t="str">
        <f>IF(AA166&lt;VLOOKUP(AG166,Variables!$AC$3:$AD$8,2,FALSE),"Y","N")</f>
        <v>N</v>
      </c>
      <c r="X166" s="246">
        <f t="shared" si="78"/>
        <v>1</v>
      </c>
      <c r="Y166" s="246">
        <f t="shared" si="71"/>
        <v>4.41E-2</v>
      </c>
      <c r="Z166" s="246">
        <f t="shared" si="72"/>
        <v>5.8975</v>
      </c>
      <c r="AA166" s="246">
        <f t="shared" si="66"/>
        <v>5.8533999999999997</v>
      </c>
      <c r="AB166" s="232" t="e">
        <f>VLOOKUP(A166,Enforcements!$C$7:$K$9,8,0)</f>
        <v>#N/A</v>
      </c>
      <c r="AC166" s="231" t="e">
        <f>VLOOKUP(A166,Enforcements!$C$7:$E$9,3,0)</f>
        <v>#N/A</v>
      </c>
      <c r="AD166" s="242">
        <f t="shared" si="67"/>
        <v>807</v>
      </c>
      <c r="AE166" s="234" t="str">
        <f t="shared" si="68"/>
        <v>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 &amp; 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</v>
      </c>
      <c r="AF166" s="233" t="str">
        <f t="shared" si="69"/>
        <v>"C:\Program Files (x86)\AstroGrep\AstroGrep.exe" /e /r /s /spath="%USERPROFILE%\AppData\Local\Temp\OnboardLogs" /stypes="app*4018*201712281*" /stext=" 14:.+?(?&gt;(PRM\|1\|D)|(KPR)|(KDP)|(train st[a-z]+ moving)|(SYSTEM_STATE:s[a-z]+ state changed)|(Enforcement Action)|(\[TIMEOUT)|(parse_ebi_status: Penalty)|(\|GPPS))"</v>
      </c>
      <c r="AG166" s="243" t="str">
        <f t="shared" si="70"/>
        <v>NW</v>
      </c>
      <c r="AH166" s="235" t="str">
        <f t="shared" si="73"/>
        <v>"%USERPROFILE%\Documents\GitHub\eaglep3\Utilities\RefineRTDCRunTimes.py" --tripid 807-28 --locoid 4018 --swversion DE.1.0.9.0 --startMP 204:441 --initTime 2017-12-28T06:57:32 --startdatetime 2017-12-28T07:09:14 --delay 47 --endMP 300:58975 --enddatetime 2017-12-28T07:24:20 --enforcementcount 0 &gt;&gt;%USERPROFILE%\Documents\GitHub\eaglep3-reporting\EC\2017-12-28-refined-times.txt</v>
      </c>
      <c r="AI166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{"issue":{"subject":"","project_id":79,"tracker_id":40,"status_id":1,"priority_id":2,"assigned_to_id":338,"start_date":"2017-12-28","description":"","custom_fields":[{"id":1,"name":"Subdivision","value":"NW"},{"id":4,"name":"Milepost","value":"5.8975"},{"id":17,"name":"Train ID","value":"807-28"},{"id":16,"name":"Locomotive ID","value":"4018"},{"id":130,"name":"Impact","value":""},{"id":150,"name":"Time of Event (Mountain Time)","value":"07:24:20"},{"id":151,"name":"Denver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2"/>
      <c r="AK166" s="230"/>
      <c r="AL166" s="230"/>
      <c r="AM166" s="239" t="str">
        <f t="shared" si="75"/>
        <v>start /low /b %USERPROFILE%\Documents\GitHub\eaglep3\Utilities\DownloadLogsFromS3.py --loco 4018 --day 2017-12-28</v>
      </c>
      <c r="AN166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14:24:20"},{"id":29,"name":"Sharepoint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29" t="str">
        <f t="shared" si="77"/>
        <v>https://d0f6bd738d7f1b3e5a7ca70fe4ff75f0.us-east-1.aws.found.io/app/kibana#/discover/Steve-Slow-Train-Analysis-(2080s-and-2083s)?_g=(refreshInterval:(display:Off,pause:!f,section:0,value:0),time:(from:'2017-12-28T05:57:32-0700',mode:absolute,to:'2017-12-28T08:24:20-0700'))&amp;_a=(columns:!('Message%20ID',Summary),filters:!(),index:'emp_*',interval:auto,query:(query_string:(analyze_wildcard:!t,query:'%22rtdc.l.rtdc.4018%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2" customFormat="1" x14ac:dyDescent="0.25">
      <c r="A167" s="228" t="s">
        <v>748</v>
      </c>
      <c r="B167" s="224">
        <v>4017</v>
      </c>
      <c r="C167" s="226" t="s">
        <v>192</v>
      </c>
      <c r="D167" s="226" t="s">
        <v>1026</v>
      </c>
      <c r="E167" s="225">
        <v>43097.310011574074</v>
      </c>
      <c r="F167" s="225">
        <v>43097.320833333331</v>
      </c>
      <c r="G167" s="224">
        <v>56</v>
      </c>
      <c r="H167" s="226" t="s">
        <v>499</v>
      </c>
      <c r="I167" s="225">
        <v>43097.33016203704</v>
      </c>
      <c r="J167" s="224">
        <v>0</v>
      </c>
      <c r="K167" s="236" t="str">
        <f t="shared" si="62"/>
        <v>4017/4018</v>
      </c>
      <c r="L167" s="244" t="str">
        <f>VLOOKUP(A167,'Trips&amp;Operators'!$C$1:$G$99911,5,FALSE)</f>
        <v>FORTUNATO FRANK</v>
      </c>
      <c r="M167" s="223">
        <f t="shared" si="63"/>
        <v>9.3287037088884972E-3</v>
      </c>
      <c r="N167" s="224">
        <f t="shared" si="79"/>
        <v>13.433333340799436</v>
      </c>
      <c r="O167" s="224"/>
      <c r="P167" s="224"/>
      <c r="Q167" s="227"/>
      <c r="R167" s="241"/>
      <c r="S167" s="248">
        <f t="shared" ref="S167:S198" si="80">1/IF(AG167="EC",12,1)*SUM(U167:U167)</f>
        <v>1</v>
      </c>
      <c r="T167" s="241" t="str">
        <f t="shared" si="64"/>
        <v>Southbound</v>
      </c>
      <c r="U167" s="24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7" t="str">
        <f t="shared" si="65"/>
        <v>https://d0f6bd738d7f1b3e5a7ca70fe4ff75f0.us-east-1.aws.found.io/app/kibana#/discover/Steve-Slow-Train-Analysis-(2080s-and-2083s)?_g=(refreshInterval:(display:Off,pause:!f,section:0,value:0),time:(from:'2017-12-28T06:26:25-0700',mode:absolute,to:'2017-12-28T08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7" s="246" t="str">
        <f>IF(AA167&lt;VLOOKUP(AG167,Variables!$AC$3:$AD$8,2,FALSE),"Y","N")</f>
        <v>N</v>
      </c>
      <c r="X167" s="246">
        <f t="shared" si="78"/>
        <v>1</v>
      </c>
      <c r="Y167" s="246">
        <f t="shared" si="71"/>
        <v>5.8667999999999996</v>
      </c>
      <c r="Z167" s="246">
        <f t="shared" si="72"/>
        <v>1.49E-2</v>
      </c>
      <c r="AA167" s="246">
        <f t="shared" si="66"/>
        <v>5.8518999999999997</v>
      </c>
      <c r="AB167" s="232" t="e">
        <f>VLOOKUP(A167,Enforcements!$C$7:$K$9,8,0)</f>
        <v>#N/A</v>
      </c>
      <c r="AC167" s="231" t="e">
        <f>VLOOKUP(A167,Enforcements!$C$7:$E$9,3,0)</f>
        <v>#N/A</v>
      </c>
      <c r="AD167" s="242">
        <f t="shared" si="67"/>
        <v>808</v>
      </c>
      <c r="AE167" s="234" t="str">
        <f t="shared" si="68"/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AF167" s="233" t="str">
        <f t="shared" si="69"/>
        <v>"C:\Program Files (x86)\AstroGrep\AstroGrep.exe" /e /r /s /spath="%USERPROFILE%\AppData\Local\Temp\OnboardLogs" /stypes="app*4017*201712281*" /stext=" 14:.+?(?&gt;(PRM\|1\|D)|(KPR)|(KDP)|(train st[a-z]+ moving)|(SYSTEM_STATE:s[a-z]+ state changed)|(Enforcement Action)|(\[TIMEOUT)|(parse_ebi_status: Penalty)|(\|GPPS))"</v>
      </c>
      <c r="AG167" s="243" t="str">
        <f t="shared" si="70"/>
        <v>NW</v>
      </c>
      <c r="AH167" s="235" t="str">
        <f t="shared" si="73"/>
        <v>"%USERPROFILE%\Documents\GitHub\eaglep3\Utilities\RefineRTDCRunTimes.py" --tripid 808-28 --locoid 4017 --swversion DE.1.0.9.0 --startMP 300:58668 --initTime 2017-12-28T07:26:25 --startdatetime 2017-12-28T07:42:00 --delay 56 --endMP 204:149 --enddatetime 2017-12-28T07:55:26 --enforcementcount 0 &gt;&gt;%USERPROFILE%\Documents\GitHub\eaglep3-reporting\EC\2017-12-28-refined-times.txt</v>
      </c>
      <c r="AI167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{"issue":{"subject":"","project_id":79,"tracker_id":40,"status_id":1,"priority_id":2,"assigned_to_id":338,"start_date":"2017-12-28","description":"","custom_fields":[{"id":1,"name":"Subdivision","value":"NW"},{"id":4,"name":"Milepost","value":"0.0149"},{"id":17,"name":"Train ID","value":"808-28"},{"id":16,"name":"Locomotive ID","value":"4017"},{"id":130,"name":"Impact","value":""},{"id":150,"name":"Time of Event (Mountain Time)","value":"07:55:26"},{"id":151,"name":"Denver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0"/>
      <c r="AL167" s="230"/>
      <c r="AM167" s="239" t="str">
        <f t="shared" si="75"/>
        <v>start /low /b %USERPROFILE%\Documents\GitHub\eaglep3\Utilities\DownloadLogsFromS3.py --loco 4017 --day 2017-12-28</v>
      </c>
      <c r="AN167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14:55:26"},{"id":29,"name":"Sharepoint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29" t="str">
        <f t="shared" si="77"/>
        <v>https://d0f6bd738d7f1b3e5a7ca70fe4ff75f0.us-east-1.aws.found.io/app/kibana#/discover/Steve-Slow-Train-Analysis-(2080s-and-2083s)?_g=(refreshInterval:(display:Off,pause:!f,section:0,value:0),time:(from:'2017-12-28T06:26:25-0700',mode:absolute,to:'2017-12-28T08:55:26-0700'))&amp;_a=(columns:!('Message%20ID',Summary),filters:!(),index:'emp_*',interval:auto,query:(query_string:(analyze_wildcard:!t,query:'%22rtdc.l.rtdc.4017%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2" customFormat="1" x14ac:dyDescent="0.25">
      <c r="A168" s="228" t="s">
        <v>678</v>
      </c>
      <c r="B168" s="224">
        <v>4016</v>
      </c>
      <c r="C168" s="226" t="s">
        <v>192</v>
      </c>
      <c r="D168" s="226" t="s">
        <v>1020</v>
      </c>
      <c r="E168" s="225">
        <v>43097.311053240737</v>
      </c>
      <c r="F168" s="225">
        <v>43097.318935185183</v>
      </c>
      <c r="G168" s="224">
        <v>54</v>
      </c>
      <c r="H168" s="226" t="s">
        <v>663</v>
      </c>
      <c r="I168" s="225">
        <v>43097.328831018516</v>
      </c>
      <c r="J168" s="224">
        <v>0</v>
      </c>
      <c r="K168" s="236" t="str">
        <f t="shared" si="62"/>
        <v>4015/4016</v>
      </c>
      <c r="L168" s="244" t="str">
        <f>VLOOKUP(A168,'Trips&amp;Operators'!$C$1:$G$99911,5,FALSE)</f>
        <v>LOPES KIMBERLY</v>
      </c>
      <c r="M168" s="223">
        <f t="shared" si="63"/>
        <v>9.8958333328482695E-3</v>
      </c>
      <c r="N168" s="224">
        <f t="shared" si="79"/>
        <v>14.249999999301508</v>
      </c>
      <c r="O168" s="224"/>
      <c r="P168" s="224"/>
      <c r="Q168" s="227"/>
      <c r="R168" s="241"/>
      <c r="S168" s="248">
        <f t="shared" si="80"/>
        <v>1</v>
      </c>
      <c r="T168" s="241" t="str">
        <f t="shared" si="64"/>
        <v>NorthBound</v>
      </c>
      <c r="U168" s="24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7" t="str">
        <f t="shared" si="65"/>
        <v>https://d0f6bd738d7f1b3e5a7ca70fe4ff75f0.us-east-1.aws.found.io/app/kibana#/discover/Steve-Slow-Train-Analysis-(2080s-and-2083s)?_g=(refreshInterval:(display:Off,pause:!f,section:0,value:0),time:(from:'2017-12-28T06:27:55-0700',mode:absolute,to:'2017-12-28T08:53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8" s="246" t="str">
        <f>IF(AA168&lt;VLOOKUP(AG168,Variables!$AC$3:$AD$8,2,FALSE),"Y","N")</f>
        <v>N</v>
      </c>
      <c r="X168" s="246">
        <f t="shared" si="78"/>
        <v>1</v>
      </c>
      <c r="Y168" s="246">
        <f t="shared" si="71"/>
        <v>4.48E-2</v>
      </c>
      <c r="Z168" s="246">
        <f t="shared" si="72"/>
        <v>5.8956</v>
      </c>
      <c r="AA168" s="246">
        <f t="shared" si="66"/>
        <v>5.8507999999999996</v>
      </c>
      <c r="AB168" s="232" t="e">
        <f>VLOOKUP(A168,Enforcements!$C$7:$K$9,8,0)</f>
        <v>#N/A</v>
      </c>
      <c r="AC168" s="231" t="e">
        <f>VLOOKUP(A168,Enforcements!$C$7:$E$9,3,0)</f>
        <v>#N/A</v>
      </c>
      <c r="AD168" s="242">
        <f t="shared" si="67"/>
        <v>809</v>
      </c>
      <c r="AE168" s="234" t="str">
        <f t="shared" si="68"/>
        <v>aws s3 cp s3://rtdc.mdm.uploadarchive.raw/RTDC4016/ "%USERPROFILE%\AppData\Local\Temp\OnboardLogs"\RTDC4016\2017-12-28 --exclude "*" --recursive --include "*20171228*" &amp; "%USERPROFILE%\Documents\GitHub\mrs-test-scripts\Headless Mode &amp; Sideloading\WalkAndUnGZ.bat" "%USERPROFILE%\AppData\Local\Temp\OnboardLogs"\RTDC4016\2017-12-28 &amp; aws s3 cp s3://rtdc.mdm.uploadarchive.raw/RTDC4016/ "%USERPROFILE%\AppData\Local\Temp\OnboardLogs"\RTDC4016\2017-12-29 --exclude "*" --recursive --include "*20171229*" &amp; "%USERPROFILE%\Documents\GitHub\mrs-test-scripts\Headless Mode &amp; Sideloading\WalkAndUnGZ.bat" "%USERPROFILE%\AppData\Local\Temp\OnboardLogs"\RTDC4016\2017-12-29</v>
      </c>
      <c r="AF168" s="233" t="str">
        <f t="shared" si="69"/>
        <v>"C:\Program Files (x86)\AstroGrep\AstroGrep.exe" /e /r /s /spath="%USERPROFILE%\AppData\Local\Temp\OnboardLogs" /stypes="app*4016*201712281*" /stext=" 14:.+?(?&gt;(PRM\|1\|D)|(KPR)|(KDP)|(train st[a-z]+ moving)|(SYSTEM_STATE:s[a-z]+ state changed)|(Enforcement Action)|(\[TIMEOUT)|(parse_ebi_status: Penalty)|(\|GPPS))"</v>
      </c>
      <c r="AG168" s="243" t="str">
        <f t="shared" si="70"/>
        <v>NW</v>
      </c>
      <c r="AH168" s="235" t="str">
        <f t="shared" si="73"/>
        <v>"%USERPROFILE%\Documents\GitHub\eaglep3\Utilities\RefineRTDCRunTimes.py" --tripid 809-28 --locoid 4016 --swversion DE.1.0.9.0 --startMP 204:448 --initTime 2017-12-28T07:27:55 --startdatetime 2017-12-28T07:39:16 --delay 54 --endMP 300:58956 --enddatetime 2017-12-28T07:53:31 --enforcementcount 0 &gt;&gt;%USERPROFILE%\Documents\GitHub\eaglep3-reporting\EC\2017-12-28-refined-times.txt</v>
      </c>
      <c r="AI168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{"issue":{"subject":"","project_id":79,"tracker_id":40,"status_id":1,"priority_id":2,"assigned_to_id":338,"start_date":"2017-12-28","description":"","custom_fields":[{"id":1,"name":"Subdivision","value":"NW"},{"id":4,"name":"Milepost","value":"5.8956"},{"id":17,"name":"Train ID","value":"809-28"},{"id":16,"name":"Locomotive ID","value":"4016"},{"id":130,"name":"Impact","value":""},{"id":150,"name":"Time of Event (Mountain Time)","value":"07:53:31"},{"id":151,"name":"Denver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0"/>
      <c r="AL168" s="230"/>
      <c r="AM168" s="239" t="str">
        <f t="shared" si="75"/>
        <v>start /low /b %USERPROFILE%\Documents\GitHub\eaglep3\Utilities\DownloadLogsFromS3.py --loco 4016 --day 2017-12-28</v>
      </c>
      <c r="AN168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14:53:31"},{"id":29,"name":"Sharepoint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29" t="str">
        <f t="shared" si="77"/>
        <v>https://d0f6bd738d7f1b3e5a7ca70fe4ff75f0.us-east-1.aws.found.io/app/kibana#/discover/Steve-Slow-Train-Analysis-(2080s-and-2083s)?_g=(refreshInterval:(display:Off,pause:!f,section:0,value:0),time:(from:'2017-12-28T06:27:55-0700',mode:absolute,to:'2017-12-28T08:53:31-0700'))&amp;_a=(columns:!('Message%20ID',Summary),filters:!(),index:'emp_*',interval:auto,query:(query_string:(analyze_wildcard:!t,query:'%22rtdc.l.rtdc.4016%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2" customFormat="1" x14ac:dyDescent="0.25">
      <c r="A169" s="228" t="s">
        <v>753</v>
      </c>
      <c r="B169" s="224">
        <v>4015</v>
      </c>
      <c r="C169" s="226" t="s">
        <v>192</v>
      </c>
      <c r="D169" s="226" t="s">
        <v>598</v>
      </c>
      <c r="E169" s="225">
        <v>43097.330613425926</v>
      </c>
      <c r="F169" s="225">
        <v>43097.341666666667</v>
      </c>
      <c r="G169" s="224">
        <v>64</v>
      </c>
      <c r="H169" s="226" t="s">
        <v>593</v>
      </c>
      <c r="I169" s="225">
        <v>43097.350729166668</v>
      </c>
      <c r="J169" s="224">
        <v>0</v>
      </c>
      <c r="K169" s="236" t="str">
        <f t="shared" si="62"/>
        <v>4015/4016</v>
      </c>
      <c r="L169" s="244" t="str">
        <f>VLOOKUP(A169,'Trips&amp;Operators'!$C$1:$G$99911,5,FALSE)</f>
        <v>LOPES KIMBERLY</v>
      </c>
      <c r="M169" s="223">
        <f t="shared" si="63"/>
        <v>9.0625000011641532E-3</v>
      </c>
      <c r="N169" s="224">
        <f t="shared" si="79"/>
        <v>13.050000001676381</v>
      </c>
      <c r="O169" s="224"/>
      <c r="P169" s="224"/>
      <c r="Q169" s="227"/>
      <c r="R169" s="241"/>
      <c r="S169" s="248">
        <f t="shared" si="80"/>
        <v>1</v>
      </c>
      <c r="T169" s="241" t="str">
        <f t="shared" si="64"/>
        <v>Southbound</v>
      </c>
      <c r="U169" s="24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7" t="str">
        <f t="shared" si="65"/>
        <v>https://d0f6bd738d7f1b3e5a7ca70fe4ff75f0.us-east-1.aws.found.io/app/kibana#/discover/Steve-Slow-Train-Analysis-(2080s-and-2083s)?_g=(refreshInterval:(display:Off,pause:!f,section:0,value:0),time:(from:'2017-12-28T06:56:05-0700',mode:absolute,to:'2017-12-28T09:25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9" s="246" t="str">
        <f>IF(AA169&lt;VLOOKUP(AG169,Variables!$AC$3:$AD$8,2,FALSE),"Y","N")</f>
        <v>N</v>
      </c>
      <c r="X169" s="246">
        <f t="shared" si="78"/>
        <v>1</v>
      </c>
      <c r="Y169" s="246">
        <f t="shared" si="71"/>
        <v>5.8648999999999996</v>
      </c>
      <c r="Z169" s="246">
        <f t="shared" si="72"/>
        <v>1.6199999999999999E-2</v>
      </c>
      <c r="AA169" s="246">
        <f t="shared" si="66"/>
        <v>5.8486999999999991</v>
      </c>
      <c r="AB169" s="232" t="e">
        <f>VLOOKUP(A169,Enforcements!$C$7:$K$9,8,0)</f>
        <v>#N/A</v>
      </c>
      <c r="AC169" s="231" t="e">
        <f>VLOOKUP(A169,Enforcements!$C$7:$E$9,3,0)</f>
        <v>#N/A</v>
      </c>
      <c r="AD169" s="242">
        <f t="shared" si="67"/>
        <v>810</v>
      </c>
      <c r="AE169" s="234" t="str">
        <f t="shared" si="68"/>
        <v>aws s3 cp s3://rtdc.mdm.uploadarchive.raw/RTDC4015/ "%USERPROFILE%\AppData\Local\Temp\OnboardLogs"\RTDC4015\2017-12-28 --exclude "*" --recursive --include "*20171228*" &amp; "%USERPROFILE%\Documents\GitHub\mrs-test-scripts\Headless Mode &amp; Sideloading\WalkAndUnGZ.bat" "%USERPROFILE%\AppData\Local\Temp\OnboardLogs"\RTDC4015\2017-12-28 &amp; aws s3 cp s3://rtdc.mdm.uploadarchive.raw/RTDC4015/ "%USERPROFILE%\AppData\Local\Temp\OnboardLogs"\RTDC4015\2017-12-29 --exclude "*" --recursive --include "*20171229*" &amp; "%USERPROFILE%\Documents\GitHub\mrs-test-scripts\Headless Mode &amp; Sideloading\WalkAndUnGZ.bat" "%USERPROFILE%\AppData\Local\Temp\OnboardLogs"\RTDC4015\2017-12-29</v>
      </c>
      <c r="AF169" s="233" t="str">
        <f t="shared" si="69"/>
        <v>"C:\Program Files (x86)\AstroGrep\AstroGrep.exe" /e /r /s /spath="%USERPROFILE%\AppData\Local\Temp\OnboardLogs" /stypes="app*4015*201712281*" /stext=" 15:.+?(?&gt;(PRM\|1\|D)|(KPR)|(KDP)|(train st[a-z]+ moving)|(SYSTEM_STATE:s[a-z]+ state changed)|(Enforcement Action)|(\[TIMEOUT)|(parse_ebi_status: Penalty)|(\|GPPS))"</v>
      </c>
      <c r="AG169" s="243" t="str">
        <f t="shared" si="70"/>
        <v>NW</v>
      </c>
      <c r="AH169" s="235" t="str">
        <f t="shared" si="73"/>
        <v>"%USERPROFILE%\Documents\GitHub\eaglep3\Utilities\RefineRTDCRunTimes.py" --tripid 810-28 --locoid 4015 --swversion DE.1.0.9.0 --startMP 300:58649 --initTime 2017-12-28T07:56:05 --startdatetime 2017-12-28T08:12:00 --delay 64 --endMP 204:162 --enddatetime 2017-12-28T08:25:03 --enforcementcount 0 &gt;&gt;%USERPROFILE%\Documents\GitHub\eaglep3-reporting\EC\2017-12-28-refined-times.txt</v>
      </c>
      <c r="AI169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{"issue":{"subject":"","project_id":79,"tracker_id":40,"status_id":1,"priority_id":2,"assigned_to_id":338,"start_date":"2017-12-28","description":"","custom_fields":[{"id":1,"name":"Subdivision","value":"NW"},{"id":4,"name":"Milepost","value":"0.0162"},{"id":17,"name":"Train ID","value":"810-28"},{"id":16,"name":"Locomotive ID","value":"4015"},{"id":130,"name":"Impact","value":""},{"id":150,"name":"Time of Event (Mountain Time)","value":"08:25:03"},{"id":151,"name":"Denver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0"/>
      <c r="AL169" s="230"/>
      <c r="AM169" s="239" t="str">
        <f t="shared" si="75"/>
        <v>start /low /b %USERPROFILE%\Documents\GitHub\eaglep3\Utilities\DownloadLogsFromS3.py --loco 4015 --day 2017-12-28</v>
      </c>
      <c r="AN169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15:25:03"},{"id":29,"name":"Sharepoint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29" t="str">
        <f t="shared" si="77"/>
        <v>https://d0f6bd738d7f1b3e5a7ca70fe4ff75f0.us-east-1.aws.found.io/app/kibana#/discover/Steve-Slow-Train-Analysis-(2080s-and-2083s)?_g=(refreshInterval:(display:Off,pause:!f,section:0,value:0),time:(from:'2017-12-28T06:56:05-0700',mode:absolute,to:'2017-12-28T09:25:03-0700'))&amp;_a=(columns:!('Message%20ID',Summary),filters:!(),index:'emp_*',interval:auto,query:(query_string:(analyze_wildcard:!t,query:'%22rtdc.l.rtdc.4015%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2" customFormat="1" x14ac:dyDescent="0.25">
      <c r="A170" s="228" t="s">
        <v>679</v>
      </c>
      <c r="B170" s="224">
        <v>4018</v>
      </c>
      <c r="C170" s="226" t="s">
        <v>192</v>
      </c>
      <c r="D170" s="226" t="s">
        <v>502</v>
      </c>
      <c r="E170" s="225">
        <v>43097.331886574073</v>
      </c>
      <c r="F170" s="225">
        <v>43097.339733796296</v>
      </c>
      <c r="G170" s="224">
        <v>58</v>
      </c>
      <c r="H170" s="226" t="s">
        <v>1031</v>
      </c>
      <c r="I170" s="225">
        <v>43097.350370370368</v>
      </c>
      <c r="J170" s="224">
        <v>0</v>
      </c>
      <c r="K170" s="236" t="str">
        <f t="shared" si="62"/>
        <v>4017/4018</v>
      </c>
      <c r="L170" s="244" t="str">
        <f>VLOOKUP(A170,'Trips&amp;Operators'!$C$1:$G$99911,5,FALSE)</f>
        <v>FORTUNATO FRANK</v>
      </c>
      <c r="M170" s="223">
        <f t="shared" si="63"/>
        <v>1.063657407212304E-2</v>
      </c>
      <c r="N170" s="224">
        <f t="shared" si="79"/>
        <v>15.316666663857177</v>
      </c>
      <c r="O170" s="224"/>
      <c r="P170" s="224"/>
      <c r="Q170" s="227"/>
      <c r="R170" s="241"/>
      <c r="S170" s="248">
        <f t="shared" si="80"/>
        <v>1</v>
      </c>
      <c r="T170" s="241" t="str">
        <f t="shared" si="64"/>
        <v>NorthBound</v>
      </c>
      <c r="U170" s="24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7" t="str">
        <f t="shared" si="65"/>
        <v>https://d0f6bd738d7f1b3e5a7ca70fe4ff75f0.us-east-1.aws.found.io/app/kibana#/discover/Steve-Slow-Train-Analysis-(2080s-and-2083s)?_g=(refreshInterval:(display:Off,pause:!f,section:0,value:0),time:(from:'2017-12-28T06:57:55-0700',mode:absolute,to:'2017-12-28T09:24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0" s="246" t="str">
        <f>IF(AA170&lt;VLOOKUP(AG170,Variables!$AC$3:$AD$8,2,FALSE),"Y","N")</f>
        <v>N</v>
      </c>
      <c r="X170" s="246">
        <f t="shared" si="78"/>
        <v>1</v>
      </c>
      <c r="Y170" s="246">
        <f t="shared" si="71"/>
        <v>4.4600000000000001E-2</v>
      </c>
      <c r="Z170" s="246">
        <f t="shared" si="72"/>
        <v>5.8983999999999996</v>
      </c>
      <c r="AA170" s="246">
        <f t="shared" si="66"/>
        <v>5.8537999999999997</v>
      </c>
      <c r="AB170" s="232" t="e">
        <f>VLOOKUP(A170,Enforcements!$C$7:$K$9,8,0)</f>
        <v>#N/A</v>
      </c>
      <c r="AC170" s="231" t="e">
        <f>VLOOKUP(A170,Enforcements!$C$7:$E$9,3,0)</f>
        <v>#N/A</v>
      </c>
      <c r="AD170" s="242">
        <f t="shared" si="67"/>
        <v>811</v>
      </c>
      <c r="AE170" s="234" t="str">
        <f t="shared" si="68"/>
        <v>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 &amp; 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</v>
      </c>
      <c r="AF170" s="233" t="str">
        <f t="shared" si="69"/>
        <v>"C:\Program Files (x86)\AstroGrep\AstroGrep.exe" /e /r /s /spath="%USERPROFILE%\AppData\Local\Temp\OnboardLogs" /stypes="app*4018*201712281*" /stext=" 15:.+?(?&gt;(PRM\|1\|D)|(KPR)|(KDP)|(train st[a-z]+ moving)|(SYSTEM_STATE:s[a-z]+ state changed)|(Enforcement Action)|(\[TIMEOUT)|(parse_ebi_status: Penalty)|(\|GPPS))"</v>
      </c>
      <c r="AG170" s="243" t="str">
        <f t="shared" si="70"/>
        <v>NW</v>
      </c>
      <c r="AH170" s="235" t="str">
        <f t="shared" si="73"/>
        <v>"%USERPROFILE%\Documents\GitHub\eaglep3\Utilities\RefineRTDCRunTimes.py" --tripid 811-28 --locoid 4018 --swversion DE.1.0.9.0 --startMP 204:446 --initTime 2017-12-28T07:57:55 --startdatetime 2017-12-28T08:09:13 --delay 58 --endMP 300:58984 --enddatetime 2017-12-28T08:24:32 --enforcementcount 0 &gt;&gt;%USERPROFILE%\Documents\GitHub\eaglep3-reporting\EC\2017-12-28-refined-times.txt</v>
      </c>
      <c r="AI170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{"issue":{"subject":"","project_id":79,"tracker_id":40,"status_id":1,"priority_id":2,"assigned_to_id":338,"start_date":"2017-12-28","description":"","custom_fields":[{"id":1,"name":"Subdivision","value":"NW"},{"id":4,"name":"Milepost","value":"5.8984"},{"id":17,"name":"Train ID","value":"811-28"},{"id":16,"name":"Locomotive ID","value":"4018"},{"id":130,"name":"Impact","value":""},{"id":150,"name":"Time of Event (Mountain Time)","value":"08:24:32"},{"id":151,"name":"Denver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0"/>
      <c r="AL170" s="230"/>
      <c r="AM170" s="239" t="str">
        <f t="shared" si="75"/>
        <v>start /low /b %USERPROFILE%\Documents\GitHub\eaglep3\Utilities\DownloadLogsFromS3.py --loco 4018 --day 2017-12-28</v>
      </c>
      <c r="AN170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15:24:32"},{"id":29,"name":"Sharepoint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29" t="str">
        <f t="shared" si="77"/>
        <v>https://d0f6bd738d7f1b3e5a7ca70fe4ff75f0.us-east-1.aws.found.io/app/kibana#/discover/Steve-Slow-Train-Analysis-(2080s-and-2083s)?_g=(refreshInterval:(display:Off,pause:!f,section:0,value:0),time:(from:'2017-12-28T06:57:55-0700',mode:absolute,to:'2017-12-28T09:24:32-0700'))&amp;_a=(columns:!('Message%20ID',Summary),filters:!(),index:'emp_*',interval:auto,query:(query_string:(analyze_wildcard:!t,query:'%22rtdc.l.rtdc.4018%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28" t="s">
        <v>758</v>
      </c>
      <c r="B171" s="224">
        <v>4017</v>
      </c>
      <c r="C171" s="226" t="s">
        <v>192</v>
      </c>
      <c r="D171" s="226" t="s">
        <v>592</v>
      </c>
      <c r="E171" s="225">
        <v>43097.351724537039</v>
      </c>
      <c r="F171" s="225">
        <v>43097.362500000003</v>
      </c>
      <c r="G171" s="224">
        <v>52</v>
      </c>
      <c r="H171" s="226" t="s">
        <v>672</v>
      </c>
      <c r="I171" s="225">
        <v>43097.37158564815</v>
      </c>
      <c r="J171" s="224">
        <v>0</v>
      </c>
      <c r="K171" s="236" t="str">
        <f t="shared" si="62"/>
        <v>4017/4018</v>
      </c>
      <c r="L171" s="244" t="str">
        <f>VLOOKUP(A171,'Trips&amp;Operators'!$C$1:$G$99911,5,FALSE)</f>
        <v>FORTUNATO FRANK</v>
      </c>
      <c r="M171" s="223">
        <f t="shared" si="63"/>
        <v>9.0856481474475004E-3</v>
      </c>
      <c r="N171" s="224">
        <f t="shared" si="79"/>
        <v>13.083333332324401</v>
      </c>
      <c r="O171" s="224"/>
      <c r="P171" s="224"/>
      <c r="Q171" s="227"/>
      <c r="R171" s="241"/>
      <c r="S171" s="248">
        <f t="shared" si="80"/>
        <v>1</v>
      </c>
      <c r="T171" s="241" t="str">
        <f t="shared" si="64"/>
        <v>Southbound</v>
      </c>
      <c r="U171" s="24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7" t="str">
        <f t="shared" si="65"/>
        <v>https://d0f6bd738d7f1b3e5a7ca70fe4ff75f0.us-east-1.aws.found.io/app/kibana#/discover/Steve-Slow-Train-Analysis-(2080s-and-2083s)?_g=(refreshInterval:(display:Off,pause:!f,section:0,value:0),time:(from:'2017-12-28T07:26:29-0700',mode:absolute,to:'2017-12-28T09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1" s="246" t="str">
        <f>IF(AA171&lt;VLOOKUP(AG171,Variables!$AC$3:$AD$8,2,FALSE),"Y","N")</f>
        <v>N</v>
      </c>
      <c r="X171" s="246">
        <f t="shared" si="78"/>
        <v>1</v>
      </c>
      <c r="Y171" s="246">
        <f t="shared" si="71"/>
        <v>5.8672000000000004</v>
      </c>
      <c r="Z171" s="246">
        <f t="shared" si="72"/>
        <v>1.4800000000000001E-2</v>
      </c>
      <c r="AA171" s="246">
        <f t="shared" si="66"/>
        <v>5.8524000000000003</v>
      </c>
      <c r="AB171" s="232" t="e">
        <f>VLOOKUP(A171,Enforcements!$C$7:$K$9,8,0)</f>
        <v>#N/A</v>
      </c>
      <c r="AC171" s="231" t="e">
        <f>VLOOKUP(A171,Enforcements!$C$7:$E$9,3,0)</f>
        <v>#N/A</v>
      </c>
      <c r="AD171" s="242">
        <f t="shared" si="67"/>
        <v>812</v>
      </c>
      <c r="AE171" s="234" t="str">
        <f t="shared" si="68"/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AF171" s="233" t="str">
        <f t="shared" si="69"/>
        <v>"C:\Program Files (x86)\AstroGrep\AstroGrep.exe" /e /r /s /spath="%USERPROFILE%\AppData\Local\Temp\OnboardLogs" /stypes="app*4017*201712281*" /stext=" 15:.+?(?&gt;(PRM\|1\|D)|(KPR)|(KDP)|(train st[a-z]+ moving)|(SYSTEM_STATE:s[a-z]+ state changed)|(Enforcement Action)|(\[TIMEOUT)|(parse_ebi_status: Penalty)|(\|GPPS))"</v>
      </c>
      <c r="AG171" s="243" t="str">
        <f t="shared" si="70"/>
        <v>NW</v>
      </c>
      <c r="AH171" s="235" t="str">
        <f t="shared" si="73"/>
        <v>"%USERPROFILE%\Documents\GitHub\eaglep3\Utilities\RefineRTDCRunTimes.py" --tripid 812-28 --locoid 4017 --swversion DE.1.0.9.0 --startMP 300:58672 --initTime 2017-12-28T08:26:29 --startdatetime 2017-12-28T08:42:00 --delay 52 --endMP 204:148 --enddatetime 2017-12-28T08:55:05 --enforcementcount 0 &gt;&gt;%USERPROFILE%\Documents\GitHub\eaglep3-reporting\EC\2017-12-28-refined-times.txt</v>
      </c>
      <c r="AI171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{"issue":{"subject":"","project_id":79,"tracker_id":40,"status_id":1,"priority_id":2,"assigned_to_id":338,"start_date":"2017-12-28","description":"","custom_fields":[{"id":1,"name":"Subdivision","value":"NW"},{"id":4,"name":"Milepost","value":"0.0148"},{"id":17,"name":"Train ID","value":"812-28"},{"id":16,"name":"Locomotive ID","value":"4017"},{"id":130,"name":"Impact","value":""},{"id":150,"name":"Time of Event (Mountain Time)","value":"08:55:05"},{"id":151,"name":"Denver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2"/>
      <c r="AK171" s="230"/>
      <c r="AL171" s="230"/>
      <c r="AM171" s="239" t="str">
        <f t="shared" si="75"/>
        <v>start /low /b %USERPROFILE%\Documents\GitHub\eaglep3\Utilities\DownloadLogsFromS3.py --loco 4017 --day 2017-12-28</v>
      </c>
      <c r="AN171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15:55:05"},{"id":29,"name":"Sharepoint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29" t="str">
        <f t="shared" si="77"/>
        <v>https://d0f6bd738d7f1b3e5a7ca70fe4ff75f0.us-east-1.aws.found.io/app/kibana#/discover/Steve-Slow-Train-Analysis-(2080s-and-2083s)?_g=(refreshInterval:(display:Off,pause:!f,section:0,value:0),time:(from:'2017-12-28T07:26:29-0700',mode:absolute,to:'2017-12-28T09:55:05-0700'))&amp;_a=(columns:!('Message%20ID',Summary),filters:!(),index:'emp_*',interval:auto,query:(query_string:(analyze_wildcard:!t,query:'%22rtdc.l.rtdc.4017%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2" customFormat="1" x14ac:dyDescent="0.25">
      <c r="A172" s="228" t="s">
        <v>763</v>
      </c>
      <c r="B172" s="224">
        <v>4018</v>
      </c>
      <c r="C172" s="226" t="s">
        <v>192</v>
      </c>
      <c r="D172" s="226" t="s">
        <v>530</v>
      </c>
      <c r="E172" s="225">
        <v>43097.372974537036</v>
      </c>
      <c r="F172" s="225">
        <v>43097.381435185183</v>
      </c>
      <c r="G172" s="224">
        <v>50</v>
      </c>
      <c r="H172" s="226" t="s">
        <v>1031</v>
      </c>
      <c r="I172" s="225">
        <v>43097.392256944448</v>
      </c>
      <c r="J172" s="224">
        <v>0</v>
      </c>
      <c r="K172" s="236" t="str">
        <f t="shared" si="62"/>
        <v>4017/4018</v>
      </c>
      <c r="L172" s="244" t="str">
        <f>VLOOKUP(A172,'Trips&amp;Operators'!$C$1:$G$99911,5,FALSE)</f>
        <v>FORTUNATO FRANK</v>
      </c>
      <c r="M172" s="223">
        <f t="shared" si="63"/>
        <v>1.082175926421769E-2</v>
      </c>
      <c r="N172" s="224">
        <f t="shared" si="79"/>
        <v>15.583333340473473</v>
      </c>
      <c r="O172" s="224"/>
      <c r="P172" s="224"/>
      <c r="Q172" s="227"/>
      <c r="R172" s="241"/>
      <c r="S172" s="248">
        <f t="shared" si="80"/>
        <v>1</v>
      </c>
      <c r="T172" s="241" t="str">
        <f t="shared" si="64"/>
        <v>NorthBound</v>
      </c>
      <c r="U172" s="24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7" t="str">
        <f t="shared" si="65"/>
        <v>https://d0f6bd738d7f1b3e5a7ca70fe4ff75f0.us-east-1.aws.found.io/app/kibana#/discover/Steve-Slow-Train-Analysis-(2080s-and-2083s)?_g=(refreshInterval:(display:Off,pause:!f,section:0,value:0),time:(from:'2017-12-28T07:57:05-0700',mode:absolute,to:'2017-12-28T10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2" s="246" t="str">
        <f>IF(AA172&lt;VLOOKUP(AG172,Variables!$AC$3:$AD$8,2,FALSE),"Y","N")</f>
        <v>N</v>
      </c>
      <c r="X172" s="246">
        <f t="shared" si="78"/>
        <v>1</v>
      </c>
      <c r="Y172" s="246">
        <f t="shared" si="71"/>
        <v>4.5499999999999999E-2</v>
      </c>
      <c r="Z172" s="246">
        <f t="shared" si="72"/>
        <v>5.8983999999999996</v>
      </c>
      <c r="AA172" s="246">
        <f t="shared" si="66"/>
        <v>5.8529</v>
      </c>
      <c r="AB172" s="232" t="e">
        <f>VLOOKUP(A172,Enforcements!$C$7:$K$9,8,0)</f>
        <v>#N/A</v>
      </c>
      <c r="AC172" s="231" t="e">
        <f>VLOOKUP(A172,Enforcements!$C$7:$E$9,3,0)</f>
        <v>#N/A</v>
      </c>
      <c r="AD172" s="242">
        <f t="shared" si="67"/>
        <v>813</v>
      </c>
      <c r="AE172" s="234" t="str">
        <f t="shared" si="68"/>
        <v>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 &amp; 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</v>
      </c>
      <c r="AF172" s="233" t="str">
        <f t="shared" si="69"/>
        <v>"C:\Program Files (x86)\AstroGrep\AstroGrep.exe" /e /r /s /spath="%USERPROFILE%\AppData\Local\Temp\OnboardLogs" /stypes="app*4018*201712281*" /stext=" 16:.+?(?&gt;(PRM\|1\|D)|(KPR)|(KDP)|(train st[a-z]+ moving)|(SYSTEM_STATE:s[a-z]+ state changed)|(Enforcement Action)|(\[TIMEOUT)|(parse_ebi_status: Penalty)|(\|GPPS))"</v>
      </c>
      <c r="AG172" s="243" t="str">
        <f t="shared" si="70"/>
        <v>NW</v>
      </c>
      <c r="AH172" s="235" t="str">
        <f t="shared" si="73"/>
        <v>"%USERPROFILE%\Documents\GitHub\eaglep3\Utilities\RefineRTDCRunTimes.py" --tripid 813-28 --locoid 4018 --swversion DE.1.0.9.0 --startMP 204:455 --initTime 2017-12-28T08:57:05 --startdatetime 2017-12-28T09:09:16 --delay 50 --endMP 300:58984 --enddatetime 2017-12-28T09:24:51 --enforcementcount 0 &gt;&gt;%USERPROFILE%\Documents\GitHub\eaglep3-reporting\EC\2017-12-28-refined-times.txt</v>
      </c>
      <c r="AI172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{"issue":{"subject":"","project_id":79,"tracker_id":40,"status_id":1,"priority_id":2,"assigned_to_id":338,"start_date":"2017-12-28","description":"","custom_fields":[{"id":1,"name":"Subdivision","value":"NW"},{"id":4,"name":"Milepost","value":"5.8984"},{"id":17,"name":"Train ID","value":"813-28"},{"id":16,"name":"Locomotive ID","value":"4018"},{"id":130,"name":"Impact","value":""},{"id":150,"name":"Time of Event (Mountain Time)","value":"09:24:51"},{"id":151,"name":"Denver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0"/>
      <c r="AL172" s="230"/>
      <c r="AM172" s="239" t="str">
        <f t="shared" si="75"/>
        <v>start /low /b %USERPROFILE%\Documents\GitHub\eaglep3\Utilities\DownloadLogsFromS3.py --loco 4018 --day 2017-12-28</v>
      </c>
      <c r="AN172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16:24:51"},{"id":29,"name":"Sharepoint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29" t="str">
        <f t="shared" si="77"/>
        <v>https://d0f6bd738d7f1b3e5a7ca70fe4ff75f0.us-east-1.aws.found.io/app/kibana#/discover/Steve-Slow-Train-Analysis-(2080s-and-2083s)?_g=(refreshInterval:(display:Off,pause:!f,section:0,value:0),time:(from:'2017-12-28T07:57:05-0700',mode:absolute,to:'2017-12-28T10:24:51-0700'))&amp;_a=(columns:!('Message%20ID',Summary),filters:!(),index:'emp_*',interval:auto,query:(query_string:(analyze_wildcard:!t,query:'%22rtdc.l.rtdc.4018%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28" t="s">
        <v>769</v>
      </c>
      <c r="B173" s="224">
        <v>4017</v>
      </c>
      <c r="C173" s="226" t="s">
        <v>192</v>
      </c>
      <c r="D173" s="226" t="s">
        <v>1032</v>
      </c>
      <c r="E173" s="225">
        <v>43097.393541666665</v>
      </c>
      <c r="F173" s="225">
        <v>43097.404166666667</v>
      </c>
      <c r="G173" s="224">
        <v>56</v>
      </c>
      <c r="H173" s="226" t="s">
        <v>549</v>
      </c>
      <c r="I173" s="225">
        <v>43097.413240740738</v>
      </c>
      <c r="J173" s="224">
        <v>0</v>
      </c>
      <c r="K173" s="236" t="str">
        <f t="shared" si="62"/>
        <v>4017/4018</v>
      </c>
      <c r="L173" s="244" t="str">
        <f>VLOOKUP(A173,'Trips&amp;Operators'!$C$1:$G$99911,5,FALSE)</f>
        <v>FORTUNATO FRANK</v>
      </c>
      <c r="M173" s="223">
        <f t="shared" si="63"/>
        <v>9.074074070667848E-3</v>
      </c>
      <c r="N173" s="224">
        <f t="shared" si="79"/>
        <v>13.066666661761701</v>
      </c>
      <c r="O173" s="224"/>
      <c r="P173" s="224"/>
      <c r="Q173" s="227"/>
      <c r="R173" s="241"/>
      <c r="S173" s="248">
        <f t="shared" si="80"/>
        <v>1</v>
      </c>
      <c r="T173" s="241" t="str">
        <f t="shared" si="64"/>
        <v>Southbound</v>
      </c>
      <c r="U173" s="24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7" t="str">
        <f t="shared" si="65"/>
        <v>https://d0f6bd738d7f1b3e5a7ca70fe4ff75f0.us-east-1.aws.found.io/app/kibana#/discover/Steve-Slow-Train-Analysis-(2080s-and-2083s)?_g=(refreshInterval:(display:Off,pause:!f,section:0,value:0),time:(from:'2017-12-28T08:26:42-0700',mode:absolute,to:'2017-12-28T10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3" s="246" t="str">
        <f>IF(AA173&lt;VLOOKUP(AG173,Variables!$AC$3:$AD$8,2,FALSE),"Y","N")</f>
        <v>N</v>
      </c>
      <c r="X173" s="246">
        <f t="shared" si="78"/>
        <v>1</v>
      </c>
      <c r="Y173" s="246">
        <f t="shared" si="71"/>
        <v>5.867</v>
      </c>
      <c r="Z173" s="246">
        <f t="shared" si="72"/>
        <v>1.55E-2</v>
      </c>
      <c r="AA173" s="246">
        <f t="shared" si="66"/>
        <v>5.8514999999999997</v>
      </c>
      <c r="AB173" s="232" t="e">
        <f>VLOOKUP(A173,Enforcements!$C$7:$K$9,8,0)</f>
        <v>#N/A</v>
      </c>
      <c r="AC173" s="231" t="e">
        <f>VLOOKUP(A173,Enforcements!$C$7:$E$9,3,0)</f>
        <v>#N/A</v>
      </c>
      <c r="AD173" s="242">
        <f t="shared" si="67"/>
        <v>814</v>
      </c>
      <c r="AE173" s="234" t="str">
        <f t="shared" si="68"/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AF173" s="233" t="str">
        <f t="shared" si="69"/>
        <v>"C:\Program Files (x86)\AstroGrep\AstroGrep.exe" /e /r /s /spath="%USERPROFILE%\AppData\Local\Temp\OnboardLogs" /stypes="app*4017*201712281*" /stext=" 16:.+?(?&gt;(PRM\|1\|D)|(KPR)|(KDP)|(train st[a-z]+ moving)|(SYSTEM_STATE:s[a-z]+ state changed)|(Enforcement Action)|(\[TIMEOUT)|(parse_ebi_status: Penalty)|(\|GPPS))"</v>
      </c>
      <c r="AG173" s="243" t="str">
        <f t="shared" si="70"/>
        <v>NW</v>
      </c>
      <c r="AH173" s="235" t="str">
        <f t="shared" si="73"/>
        <v>"%USERPROFILE%\Documents\GitHub\eaglep3\Utilities\RefineRTDCRunTimes.py" --tripid 814-28 --locoid 4017 --swversion DE.1.0.9.0 --startMP 300:58670 --initTime 2017-12-28T09:26:42 --startdatetime 2017-12-28T09:42:00 --delay 56 --endMP 204:155 --enddatetime 2017-12-28T09:55:04 --enforcementcount 0 &gt;&gt;%USERPROFILE%\Documents\GitHub\eaglep3-reporting\EC\2017-12-28-refined-times.txt</v>
      </c>
      <c r="AI173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{"issue":{"subject":"","project_id":79,"tracker_id":40,"status_id":1,"priority_id":2,"assigned_to_id":338,"start_date":"2017-12-28","description":"","custom_fields":[{"id":1,"name":"Subdivision","value":"NW"},{"id":4,"name":"Milepost","value":"0.0155"},{"id":17,"name":"Train ID","value":"814-28"},{"id":16,"name":"Locomotive ID","value":"4017"},{"id":130,"name":"Impact","value":""},{"id":150,"name":"Time of Event (Mountain Time)","value":"09:55:04"},{"id":151,"name":"Denver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2"/>
      <c r="AK173" s="230"/>
      <c r="AL173" s="230"/>
      <c r="AM173" s="239" t="str">
        <f t="shared" si="75"/>
        <v>start /low /b %USERPROFILE%\Documents\GitHub\eaglep3\Utilities\DownloadLogsFromS3.py --loco 4017 --day 2017-12-28</v>
      </c>
      <c r="AN173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16:55:04"},{"id":29,"name":"Sharepoint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29" t="str">
        <f t="shared" si="77"/>
        <v>https://d0f6bd738d7f1b3e5a7ca70fe4ff75f0.us-east-1.aws.found.io/app/kibana#/discover/Steve-Slow-Train-Analysis-(2080s-and-2083s)?_g=(refreshInterval:(display:Off,pause:!f,section:0,value:0),time:(from:'2017-12-28T08:26:42-0700',mode:absolute,to:'2017-12-28T10:55:04-0700'))&amp;_a=(columns:!('Message%20ID',Summary),filters:!(),index:'emp_*',interval:auto,query:(query_string:(analyze_wildcard:!t,query:'%22rtdc.l.rtdc.4017%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28" t="s">
        <v>683</v>
      </c>
      <c r="B174" s="224">
        <v>4018</v>
      </c>
      <c r="C174" s="226" t="s">
        <v>192</v>
      </c>
      <c r="D174" s="226" t="s">
        <v>667</v>
      </c>
      <c r="E174" s="225">
        <v>43097.414641203701</v>
      </c>
      <c r="F174" s="225">
        <v>43097.423067129632</v>
      </c>
      <c r="G174" s="224">
        <v>49</v>
      </c>
      <c r="H174" s="226" t="s">
        <v>669</v>
      </c>
      <c r="I174" s="225">
        <v>43097.433611111112</v>
      </c>
      <c r="J174" s="224">
        <v>0</v>
      </c>
      <c r="K174" s="236" t="str">
        <f t="shared" si="62"/>
        <v>4017/4018</v>
      </c>
      <c r="L174" s="244" t="str">
        <f>VLOOKUP(A174,'Trips&amp;Operators'!$C$1:$G$99911,5,FALSE)</f>
        <v>FORTUNATO FRANK</v>
      </c>
      <c r="M174" s="223">
        <f t="shared" si="63"/>
        <v>1.0543981479713693E-2</v>
      </c>
      <c r="N174" s="224">
        <f t="shared" si="79"/>
        <v>15.183333330787718</v>
      </c>
      <c r="O174" s="224"/>
      <c r="P174" s="224"/>
      <c r="Q174" s="227"/>
      <c r="R174" s="241"/>
      <c r="S174" s="248">
        <f t="shared" si="80"/>
        <v>1</v>
      </c>
      <c r="T174" s="241" t="str">
        <f t="shared" si="64"/>
        <v>NorthBound</v>
      </c>
      <c r="U174" s="24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7" t="str">
        <f t="shared" si="65"/>
        <v>https://d0f6bd738d7f1b3e5a7ca70fe4ff75f0.us-east-1.aws.found.io/app/kibana#/discover/Steve-Slow-Train-Analysis-(2080s-and-2083s)?_g=(refreshInterval:(display:Off,pause:!f,section:0,value:0),time:(from:'2017-12-28T08:57:05-0700',mode:absolute,to:'2017-12-28T11:24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4" s="246" t="str">
        <f>IF(AA174&lt;VLOOKUP(AG174,Variables!$AC$3:$AD$8,2,FALSE),"Y","N")</f>
        <v>N</v>
      </c>
      <c r="X174" s="246">
        <f t="shared" si="78"/>
        <v>1</v>
      </c>
      <c r="Y174" s="246">
        <f t="shared" si="71"/>
        <v>4.4999999999999998E-2</v>
      </c>
      <c r="Z174" s="246">
        <f t="shared" si="72"/>
        <v>5.8948</v>
      </c>
      <c r="AA174" s="246">
        <f t="shared" si="66"/>
        <v>5.8498000000000001</v>
      </c>
      <c r="AB174" s="232" t="e">
        <f>VLOOKUP(A174,Enforcements!$C$7:$K$9,8,0)</f>
        <v>#N/A</v>
      </c>
      <c r="AC174" s="231" t="e">
        <f>VLOOKUP(A174,Enforcements!$C$7:$E$9,3,0)</f>
        <v>#N/A</v>
      </c>
      <c r="AD174" s="242">
        <f t="shared" si="67"/>
        <v>815</v>
      </c>
      <c r="AE174" s="234" t="str">
        <f t="shared" si="68"/>
        <v>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 &amp; 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</v>
      </c>
      <c r="AF174" s="233" t="str">
        <f t="shared" si="69"/>
        <v>"C:\Program Files (x86)\AstroGrep\AstroGrep.exe" /e /r /s /spath="%USERPROFILE%\AppData\Local\Temp\OnboardLogs" /stypes="app*4018*201712281*" /stext=" 17:.+?(?&gt;(PRM\|1\|D)|(KPR)|(KDP)|(train st[a-z]+ moving)|(SYSTEM_STATE:s[a-z]+ state changed)|(Enforcement Action)|(\[TIMEOUT)|(parse_ebi_status: Penalty)|(\|GPPS))"</v>
      </c>
      <c r="AG174" s="243" t="str">
        <f t="shared" si="70"/>
        <v>NW</v>
      </c>
      <c r="AH174" s="235" t="str">
        <f t="shared" si="73"/>
        <v>"%USERPROFILE%\Documents\GitHub\eaglep3\Utilities\RefineRTDCRunTimes.py" --tripid 815-28 --locoid 4018 --swversion DE.1.0.9.0 --startMP 204:450 --initTime 2017-12-28T09:57:05 --startdatetime 2017-12-28T10:09:13 --delay 49 --endMP 300:58948 --enddatetime 2017-12-28T10:24:24 --enforcementcount 0 &gt;&gt;%USERPROFILE%\Documents\GitHub\eaglep3-reporting\EC\2017-12-28-refined-times.txt</v>
      </c>
      <c r="AI174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{"issue":{"subject":"","project_id":79,"tracker_id":40,"status_id":1,"priority_id":2,"assigned_to_id":338,"start_date":"2017-12-28","description":"","custom_fields":[{"id":1,"name":"Subdivision","value":"NW"},{"id":4,"name":"Milepost","value":"5.8948"},{"id":17,"name":"Train ID","value":"815-28"},{"id":16,"name":"Locomotive ID","value":"4018"},{"id":130,"name":"Impact","value":""},{"id":150,"name":"Time of Event (Mountain Time)","value":"10:24:24"},{"id":151,"name":"Denver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2"/>
      <c r="AK174" s="230"/>
      <c r="AL174" s="230"/>
      <c r="AM174" s="239" t="str">
        <f t="shared" si="75"/>
        <v>start /low /b %USERPROFILE%\Documents\GitHub\eaglep3\Utilities\DownloadLogsFromS3.py --loco 4018 --day 2017-12-28</v>
      </c>
      <c r="AN174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17:24:24"},{"id":29,"name":"Sharepoint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29" t="str">
        <f t="shared" si="77"/>
        <v>https://d0f6bd738d7f1b3e5a7ca70fe4ff75f0.us-east-1.aws.found.io/app/kibana#/discover/Steve-Slow-Train-Analysis-(2080s-and-2083s)?_g=(refreshInterval:(display:Off,pause:!f,section:0,value:0),time:(from:'2017-12-28T08:57:05-0700',mode:absolute,to:'2017-12-28T11:24:24-0700'))&amp;_a=(columns:!('Message%20ID',Summary),filters:!(),index:'emp_*',interval:auto,query:(query_string:(analyze_wildcard:!t,query:'%22rtdc.l.rtdc.4018%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2" customFormat="1" x14ac:dyDescent="0.25">
      <c r="A175" s="228" t="s">
        <v>777</v>
      </c>
      <c r="B175" s="224">
        <v>4017</v>
      </c>
      <c r="C175" s="226" t="s">
        <v>192</v>
      </c>
      <c r="D175" s="226" t="s">
        <v>668</v>
      </c>
      <c r="E175" s="225">
        <v>43097.435613425929</v>
      </c>
      <c r="F175" s="225">
        <v>43097.445833333331</v>
      </c>
      <c r="G175" s="224">
        <v>62</v>
      </c>
      <c r="H175" s="226" t="s">
        <v>550</v>
      </c>
      <c r="I175" s="225">
        <v>43097.454930555556</v>
      </c>
      <c r="J175" s="224">
        <v>0</v>
      </c>
      <c r="K175" s="236" t="str">
        <f t="shared" si="62"/>
        <v>4017/4018</v>
      </c>
      <c r="L175" s="244" t="str">
        <f>VLOOKUP(A175,'Trips&amp;Operators'!$C$1:$G$99911,5,FALSE)</f>
        <v>FORTUNATO FRANK</v>
      </c>
      <c r="M175" s="223">
        <f t="shared" si="63"/>
        <v>9.0972222242271528E-3</v>
      </c>
      <c r="N175" s="224">
        <f t="shared" si="79"/>
        <v>13.1000000028871</v>
      </c>
      <c r="O175" s="224"/>
      <c r="P175" s="224"/>
      <c r="Q175" s="227"/>
      <c r="R175" s="241"/>
      <c r="S175" s="248">
        <f t="shared" si="80"/>
        <v>1</v>
      </c>
      <c r="T175" s="241" t="str">
        <f t="shared" si="64"/>
        <v>Southbound</v>
      </c>
      <c r="U175" s="24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7" t="str">
        <f t="shared" si="65"/>
        <v>https://d0f6bd738d7f1b3e5a7ca70fe4ff75f0.us-east-1.aws.found.io/app/kibana#/discover/Steve-Slow-Train-Analysis-(2080s-and-2083s)?_g=(refreshInterval:(display:Off,pause:!f,section:0,value:0),time:(from:'2017-12-28T09:27:17-0700',mode:absolute,to:'2017-12-28T11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5" s="246" t="str">
        <f>IF(AA175&lt;VLOOKUP(AG175,Variables!$AC$3:$AD$8,2,FALSE),"Y","N")</f>
        <v>N</v>
      </c>
      <c r="X175" s="246">
        <f t="shared" si="78"/>
        <v>1</v>
      </c>
      <c r="Y175" s="246">
        <f t="shared" ref="Y175:Y193" si="81">RIGHT(D175,LEN(D175)-4)/10000</f>
        <v>5.8630000000000004</v>
      </c>
      <c r="Z175" s="246">
        <f t="shared" ref="Z175:Z193" si="82">RIGHT(H175,LEN(H175)-4)/10000</f>
        <v>1.5299999999999999E-2</v>
      </c>
      <c r="AA175" s="246">
        <f t="shared" si="66"/>
        <v>5.8477000000000006</v>
      </c>
      <c r="AB175" s="232" t="e">
        <f>VLOOKUP(A175,Enforcements!$C$7:$K$9,8,0)</f>
        <v>#N/A</v>
      </c>
      <c r="AC175" s="231" t="e">
        <f>VLOOKUP(A175,Enforcements!$C$7:$E$9,3,0)</f>
        <v>#N/A</v>
      </c>
      <c r="AD175" s="242">
        <f t="shared" si="67"/>
        <v>816</v>
      </c>
      <c r="AE175" s="234" t="str">
        <f t="shared" si="68"/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AF175" s="233" t="str">
        <f t="shared" si="69"/>
        <v>"C:\Program Files (x86)\AstroGrep\AstroGrep.exe" /e /r /s /spath="%USERPROFILE%\AppData\Local\Temp\OnboardLogs" /stypes="app*4017*201712281*" /stext=" 17:.+?(?&gt;(PRM\|1\|D)|(KPR)|(KDP)|(train st[a-z]+ moving)|(SYSTEM_STATE:s[a-z]+ state changed)|(Enforcement Action)|(\[TIMEOUT)|(parse_ebi_status: Penalty)|(\|GPPS))"</v>
      </c>
      <c r="AG175" s="243" t="str">
        <f t="shared" si="70"/>
        <v>NW</v>
      </c>
      <c r="AH175" s="235" t="str">
        <f t="shared" si="73"/>
        <v>"%USERPROFILE%\Documents\GitHub\eaglep3\Utilities\RefineRTDCRunTimes.py" --tripid 816-28 --locoid 4017 --swversion DE.1.0.9.0 --startMP 300:58630 --initTime 2017-12-28T10:27:17 --startdatetime 2017-12-28T10:42:00 --delay 62 --endMP 204:153 --enddatetime 2017-12-28T10:55:06 --enforcementcount 0 &gt;&gt;%USERPROFILE%\Documents\GitHub\eaglep3-reporting\EC\2017-12-28-refined-times.txt</v>
      </c>
      <c r="AI175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{"issue":{"subject":"","project_id":79,"tracker_id":40,"status_id":1,"priority_id":2,"assigned_to_id":338,"start_date":"2017-12-28","description":"","custom_fields":[{"id":1,"name":"Subdivision","value":"NW"},{"id":4,"name":"Milepost","value":"0.0153"},{"id":17,"name":"Train ID","value":"816-28"},{"id":16,"name":"Locomotive ID","value":"4017"},{"id":130,"name":"Impact","value":""},{"id":150,"name":"Time of Event (Mountain Time)","value":"10:55:06"},{"id":151,"name":"Denver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0"/>
      <c r="AL175" s="230"/>
      <c r="AM175" s="239" t="str">
        <f t="shared" si="75"/>
        <v>start /low /b %USERPROFILE%\Documents\GitHub\eaglep3\Utilities\DownloadLogsFromS3.py --loco 4017 --day 2017-12-28</v>
      </c>
      <c r="AN175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17:55:06"},{"id":29,"name":"Sharepoint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29" t="str">
        <f t="shared" si="77"/>
        <v>https://d0f6bd738d7f1b3e5a7ca70fe4ff75f0.us-east-1.aws.found.io/app/kibana#/discover/Steve-Slow-Train-Analysis-(2080s-and-2083s)?_g=(refreshInterval:(display:Off,pause:!f,section:0,value:0),time:(from:'2017-12-28T09:27:17-0700',mode:absolute,to:'2017-12-28T11:55:06-0700'))&amp;_a=(columns:!('Message%20ID',Summary),filters:!(),index:'emp_*',interval:auto,query:(query_string:(analyze_wildcard:!t,query:'%22rtdc.l.rtdc.4017%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2" customFormat="1" x14ac:dyDescent="0.25">
      <c r="A176" s="228" t="s">
        <v>783</v>
      </c>
      <c r="B176" s="224">
        <v>4018</v>
      </c>
      <c r="C176" s="226" t="s">
        <v>192</v>
      </c>
      <c r="D176" s="226" t="s">
        <v>568</v>
      </c>
      <c r="E176" s="225">
        <v>43097.456562500003</v>
      </c>
      <c r="F176" s="225">
        <v>43097.464733796296</v>
      </c>
      <c r="G176" s="224">
        <v>58</v>
      </c>
      <c r="H176" s="226" t="s">
        <v>596</v>
      </c>
      <c r="I176" s="225">
        <v>43097.475497685184</v>
      </c>
      <c r="J176" s="224">
        <v>0</v>
      </c>
      <c r="K176" s="236" t="str">
        <f t="shared" si="62"/>
        <v>4017/4018</v>
      </c>
      <c r="L176" s="244" t="str">
        <f>VLOOKUP(A176,'Trips&amp;Operators'!$C$1:$G$99911,5,FALSE)</f>
        <v>FORTUNATO FRANK</v>
      </c>
      <c r="M176" s="223">
        <f t="shared" si="63"/>
        <v>1.0763888887595385E-2</v>
      </c>
      <c r="N176" s="224">
        <f t="shared" si="79"/>
        <v>15.499999998137355</v>
      </c>
      <c r="O176" s="224"/>
      <c r="P176" s="224"/>
      <c r="Q176" s="227"/>
      <c r="R176" s="241"/>
      <c r="S176" s="248">
        <f t="shared" si="80"/>
        <v>1</v>
      </c>
      <c r="T176" s="241" t="str">
        <f t="shared" si="64"/>
        <v>NorthBound</v>
      </c>
      <c r="U176" s="24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7" t="str">
        <f t="shared" si="65"/>
        <v>https://d0f6bd738d7f1b3e5a7ca70fe4ff75f0.us-east-1.aws.found.io/app/kibana#/discover/Steve-Slow-Train-Analysis-(2080s-and-2083s)?_g=(refreshInterval:(display:Off,pause:!f,section:0,value:0),time:(from:'2017-12-28T09:57:27-0700',mode:absolute,to:'2017-12-28T12:24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6" s="246" t="str">
        <f>IF(AA176&lt;VLOOKUP(AG176,Variables!$AC$3:$AD$8,2,FALSE),"Y","N")</f>
        <v>N</v>
      </c>
      <c r="X176" s="246">
        <f t="shared" si="78"/>
        <v>1</v>
      </c>
      <c r="Y176" s="246">
        <f t="shared" si="81"/>
        <v>4.5100000000000001E-2</v>
      </c>
      <c r="Z176" s="246">
        <f t="shared" si="82"/>
        <v>5.8971</v>
      </c>
      <c r="AA176" s="246">
        <f t="shared" si="66"/>
        <v>5.8520000000000003</v>
      </c>
      <c r="AB176" s="232" t="e">
        <f>VLOOKUP(A176,Enforcements!$C$7:$K$9,8,0)</f>
        <v>#N/A</v>
      </c>
      <c r="AC176" s="231" t="e">
        <f>VLOOKUP(A176,Enforcements!$C$7:$E$9,3,0)</f>
        <v>#N/A</v>
      </c>
      <c r="AD176" s="242">
        <f t="shared" si="67"/>
        <v>817</v>
      </c>
      <c r="AE176" s="234" t="str">
        <f t="shared" si="68"/>
        <v>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 &amp; 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</v>
      </c>
      <c r="AF176" s="233" t="str">
        <f t="shared" si="69"/>
        <v>"C:\Program Files (x86)\AstroGrep\AstroGrep.exe" /e /r /s /spath="%USERPROFILE%\AppData\Local\Temp\OnboardLogs" /stypes="app*4018*201712281*" /stext=" 18:.+?(?&gt;(PRM\|1\|D)|(KPR)|(KDP)|(train st[a-z]+ moving)|(SYSTEM_STATE:s[a-z]+ state changed)|(Enforcement Action)|(\[TIMEOUT)|(parse_ebi_status: Penalty)|(\|GPPS))"</v>
      </c>
      <c r="AG176" s="243" t="str">
        <f t="shared" si="70"/>
        <v>NW</v>
      </c>
      <c r="AH176" s="235" t="str">
        <f t="shared" si="73"/>
        <v>"%USERPROFILE%\Documents\GitHub\eaglep3\Utilities\RefineRTDCRunTimes.py" --tripid 817-28 --locoid 4018 --swversion DE.1.0.9.0 --startMP 204:451 --initTime 2017-12-28T10:57:27 --startdatetime 2017-12-28T11:09:13 --delay 58 --endMP 300:58971 --enddatetime 2017-12-28T11:24:43 --enforcementcount 0 &gt;&gt;%USERPROFILE%\Documents\GitHub\eaglep3-reporting\EC\2017-12-28-refined-times.txt</v>
      </c>
      <c r="AI176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{"issue":{"subject":"","project_id":79,"tracker_id":40,"status_id":1,"priority_id":2,"assigned_to_id":338,"start_date":"2017-12-28","description":"","custom_fields":[{"id":1,"name":"Subdivision","value":"NW"},{"id":4,"name":"Milepost","value":"5.8971"},{"id":17,"name":"Train ID","value":"817-28"},{"id":16,"name":"Locomotive ID","value":"4018"},{"id":130,"name":"Impact","value":""},{"id":150,"name":"Time of Event (Mountain Time)","value":"11:24:43"},{"id":151,"name":"Denver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0"/>
      <c r="AL176" s="230"/>
      <c r="AM176" s="239" t="str">
        <f t="shared" si="75"/>
        <v>start /low /b %USERPROFILE%\Documents\GitHub\eaglep3\Utilities\DownloadLogsFromS3.py --loco 4018 --day 2017-12-28</v>
      </c>
      <c r="AN176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18:24:43"},{"id":29,"name":"Sharepoint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29" t="str">
        <f t="shared" si="77"/>
        <v>https://d0f6bd738d7f1b3e5a7ca70fe4ff75f0.us-east-1.aws.found.io/app/kibana#/discover/Steve-Slow-Train-Analysis-(2080s-and-2083s)?_g=(refreshInterval:(display:Off,pause:!f,section:0,value:0),time:(from:'2017-12-28T09:57:27-0700',mode:absolute,to:'2017-12-28T12:24:43-0700'))&amp;_a=(columns:!('Message%20ID',Summary),filters:!(),index:'emp_*',interval:auto,query:(query_string:(analyze_wildcard:!t,query:'%22rtdc.l.rtdc.4018%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2" customFormat="1" x14ac:dyDescent="0.25">
      <c r="A177" s="228" t="s">
        <v>788</v>
      </c>
      <c r="B177" s="224">
        <v>4017</v>
      </c>
      <c r="C177" s="226" t="s">
        <v>192</v>
      </c>
      <c r="D177" s="226" t="s">
        <v>547</v>
      </c>
      <c r="E177" s="225">
        <v>43097.476689814815</v>
      </c>
      <c r="F177" s="225">
        <v>43097.487500000003</v>
      </c>
      <c r="G177" s="224">
        <v>55</v>
      </c>
      <c r="H177" s="226" t="s">
        <v>1033</v>
      </c>
      <c r="I177" s="225">
        <v>43097.496504629627</v>
      </c>
      <c r="J177" s="224">
        <v>0</v>
      </c>
      <c r="K177" s="236" t="str">
        <f t="shared" si="62"/>
        <v>4017/4018</v>
      </c>
      <c r="L177" s="244" t="str">
        <f>VLOOKUP(A177,'Trips&amp;Operators'!$C$1:$G$99911,5,FALSE)</f>
        <v>FORTUNATO FRANK</v>
      </c>
      <c r="M177" s="223">
        <f t="shared" si="63"/>
        <v>9.0046296245418489E-3</v>
      </c>
      <c r="N177" s="224">
        <f t="shared" si="79"/>
        <v>12.966666659340262</v>
      </c>
      <c r="O177" s="224"/>
      <c r="P177" s="224"/>
      <c r="Q177" s="227"/>
      <c r="R177" s="241"/>
      <c r="S177" s="248">
        <f t="shared" si="80"/>
        <v>1</v>
      </c>
      <c r="T177" s="241" t="str">
        <f t="shared" si="64"/>
        <v>Southbound</v>
      </c>
      <c r="U177" s="24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7" t="str">
        <f t="shared" si="65"/>
        <v>https://d0f6bd738d7f1b3e5a7ca70fe4ff75f0.us-east-1.aws.found.io/app/kibana#/discover/Steve-Slow-Train-Analysis-(2080s-and-2083s)?_g=(refreshInterval:(display:Off,pause:!f,section:0,value:0),time:(from:'2017-12-28T10:26:26-0700',mode:absolute,to:'2017-12-28T12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7" s="246" t="str">
        <f>IF(AA177&lt;VLOOKUP(AG177,Variables!$AC$3:$AD$8,2,FALSE),"Y","N")</f>
        <v>N</v>
      </c>
      <c r="X177" s="246">
        <f t="shared" si="78"/>
        <v>1</v>
      </c>
      <c r="Y177" s="246">
        <f t="shared" si="81"/>
        <v>5.8662000000000001</v>
      </c>
      <c r="Z177" s="246">
        <f t="shared" si="82"/>
        <v>1.6400000000000001E-2</v>
      </c>
      <c r="AA177" s="246">
        <f t="shared" si="66"/>
        <v>5.8498000000000001</v>
      </c>
      <c r="AB177" s="232" t="e">
        <f>VLOOKUP(A177,Enforcements!$C$7:$K$9,8,0)</f>
        <v>#N/A</v>
      </c>
      <c r="AC177" s="231" t="e">
        <f>VLOOKUP(A177,Enforcements!$C$7:$E$9,3,0)</f>
        <v>#N/A</v>
      </c>
      <c r="AD177" s="242">
        <f t="shared" si="67"/>
        <v>818</v>
      </c>
      <c r="AE177" s="234" t="str">
        <f t="shared" si="68"/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AF177" s="233" t="str">
        <f t="shared" si="69"/>
        <v>"C:\Program Files (x86)\AstroGrep\AstroGrep.exe" /e /r /s /spath="%USERPROFILE%\AppData\Local\Temp\OnboardLogs" /stypes="app*4017*201712281*" /stext=" 18:.+?(?&gt;(PRM\|1\|D)|(KPR)|(KDP)|(train st[a-z]+ moving)|(SYSTEM_STATE:s[a-z]+ state changed)|(Enforcement Action)|(\[TIMEOUT)|(parse_ebi_status: Penalty)|(\|GPPS))"</v>
      </c>
      <c r="AG177" s="243" t="str">
        <f t="shared" si="70"/>
        <v>NW</v>
      </c>
      <c r="AH177" s="235" t="str">
        <f t="shared" si="73"/>
        <v>"%USERPROFILE%\Documents\GitHub\eaglep3\Utilities\RefineRTDCRunTimes.py" --tripid 818-28 --locoid 4017 --swversion DE.1.0.9.0 --startMP 300:58662 --initTime 2017-12-28T11:26:26 --startdatetime 2017-12-28T11:42:00 --delay 55 --endMP 204:164 --enddatetime 2017-12-28T11:54:58 --enforcementcount 0 &gt;&gt;%USERPROFILE%\Documents\GitHub\eaglep3-reporting\EC\2017-12-28-refined-times.txt</v>
      </c>
      <c r="AI177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{"issue":{"subject":"","project_id":79,"tracker_id":40,"status_id":1,"priority_id":2,"assigned_to_id":338,"start_date":"2017-12-28","description":"","custom_fields":[{"id":1,"name":"Subdivision","value":"NW"},{"id":4,"name":"Milepost","value":"0.0164"},{"id":17,"name":"Train ID","value":"818-28"},{"id":16,"name":"Locomotive ID","value":"4017"},{"id":130,"name":"Impact","value":""},{"id":150,"name":"Time of Event (Mountain Time)","value":"11:54:58"},{"id":151,"name":"Denver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0"/>
      <c r="AL177" s="230"/>
      <c r="AM177" s="239" t="str">
        <f t="shared" si="75"/>
        <v>start /low /b %USERPROFILE%\Documents\GitHub\eaglep3\Utilities\DownloadLogsFromS3.py --loco 4017 --day 2017-12-28</v>
      </c>
      <c r="AN177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18:54:58"},{"id":29,"name":"Sharepoint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29" t="str">
        <f t="shared" si="77"/>
        <v>https://d0f6bd738d7f1b3e5a7ca70fe4ff75f0.us-east-1.aws.found.io/app/kibana#/discover/Steve-Slow-Train-Analysis-(2080s-and-2083s)?_g=(refreshInterval:(display:Off,pause:!f,section:0,value:0),time:(from:'2017-12-28T10:26:26-0700',mode:absolute,to:'2017-12-28T12:54:58-0700'))&amp;_a=(columns:!('Message%20ID',Summary),filters:!(),index:'emp_*',interval:auto,query:(query_string:(analyze_wildcard:!t,query:'%22rtdc.l.rtdc.4017%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22" customFormat="1" x14ac:dyDescent="0.25">
      <c r="A178" s="228" t="s">
        <v>793</v>
      </c>
      <c r="B178" s="224">
        <v>4018</v>
      </c>
      <c r="C178" s="226" t="s">
        <v>192</v>
      </c>
      <c r="D178" s="226" t="s">
        <v>498</v>
      </c>
      <c r="E178" s="225">
        <v>43097.498472222222</v>
      </c>
      <c r="F178" s="225">
        <v>43097.50640046296</v>
      </c>
      <c r="G178" s="224">
        <v>50</v>
      </c>
      <c r="H178" s="226" t="s">
        <v>1034</v>
      </c>
      <c r="I178" s="225">
        <v>43097.517141203702</v>
      </c>
      <c r="J178" s="224">
        <v>0</v>
      </c>
      <c r="K178" s="236" t="str">
        <f t="shared" si="62"/>
        <v>4017/4018</v>
      </c>
      <c r="L178" s="244" t="str">
        <f>VLOOKUP(A178,'Trips&amp;Operators'!$C$1:$G$99911,5,FALSE)</f>
        <v>FORTUNATO FRANK</v>
      </c>
      <c r="M178" s="223">
        <f t="shared" si="63"/>
        <v>1.0740740741312038E-2</v>
      </c>
      <c r="N178" s="224">
        <f t="shared" si="79"/>
        <v>15.466666667489335</v>
      </c>
      <c r="O178" s="224"/>
      <c r="P178" s="224"/>
      <c r="Q178" s="227"/>
      <c r="R178" s="241"/>
      <c r="S178" s="248">
        <f t="shared" si="80"/>
        <v>1</v>
      </c>
      <c r="T178" s="241" t="str">
        <f t="shared" si="64"/>
        <v>NorthBound</v>
      </c>
      <c r="U178" s="24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7" t="str">
        <f t="shared" si="65"/>
        <v>https://d0f6bd738d7f1b3e5a7ca70fe4ff75f0.us-east-1.aws.found.io/app/kibana#/discover/Steve-Slow-Train-Analysis-(2080s-and-2083s)?_g=(refreshInterval:(display:Off,pause:!f,section:0,value:0),time:(from:'2017-12-28T10:57:48-0700',mode:absolute,to:'2017-12-28T13:24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8" s="246" t="str">
        <f>IF(AA178&lt;VLOOKUP(AG178,Variables!$AC$3:$AD$8,2,FALSE),"Y","N")</f>
        <v>N</v>
      </c>
      <c r="X178" s="246">
        <f t="shared" si="78"/>
        <v>1</v>
      </c>
      <c r="Y178" s="246">
        <f t="shared" si="81"/>
        <v>4.4400000000000002E-2</v>
      </c>
      <c r="Z178" s="246">
        <f t="shared" si="82"/>
        <v>5.8978000000000002</v>
      </c>
      <c r="AA178" s="246">
        <f t="shared" si="66"/>
        <v>5.8533999999999997</v>
      </c>
      <c r="AB178" s="232" t="e">
        <f>VLOOKUP(A178,Enforcements!$C$7:$K$9,8,0)</f>
        <v>#N/A</v>
      </c>
      <c r="AC178" s="231" t="e">
        <f>VLOOKUP(A178,Enforcements!$C$7:$E$9,3,0)</f>
        <v>#N/A</v>
      </c>
      <c r="AD178" s="242">
        <f t="shared" si="67"/>
        <v>819</v>
      </c>
      <c r="AE178" s="234" t="str">
        <f t="shared" si="68"/>
        <v>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 &amp; 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</v>
      </c>
      <c r="AF178" s="233" t="str">
        <f t="shared" si="69"/>
        <v>"C:\Program Files (x86)\AstroGrep\AstroGrep.exe" /e /r /s /spath="%USERPROFILE%\AppData\Local\Temp\OnboardLogs" /stypes="app*4018*201712281*" /stext=" 19:.+?(?&gt;(PRM\|1\|D)|(KPR)|(KDP)|(train st[a-z]+ moving)|(SYSTEM_STATE:s[a-z]+ state changed)|(Enforcement Action)|(\[TIMEOUT)|(parse_ebi_status: Penalty)|(\|GPPS))"</v>
      </c>
      <c r="AG178" s="243" t="str">
        <f t="shared" si="70"/>
        <v>NW</v>
      </c>
      <c r="AH178" s="235" t="str">
        <f t="shared" si="73"/>
        <v>"%USERPROFILE%\Documents\GitHub\eaglep3\Utilities\RefineRTDCRunTimes.py" --tripid 819-28 --locoid 4018 --swversion DE.1.0.9.0 --startMP 204:444 --initTime 2017-12-28T11:57:48 --startdatetime 2017-12-28T12:09:13 --delay 50 --endMP 300:58978 --enddatetime 2017-12-28T12:24:41 --enforcementcount 0 &gt;&gt;%USERPROFILE%\Documents\GitHub\eaglep3-reporting\EC\2017-12-28-refined-times.txt</v>
      </c>
      <c r="AI178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{"issue":{"subject":"","project_id":79,"tracker_id":40,"status_id":1,"priority_id":2,"assigned_to_id":338,"start_date":"2017-12-28","description":"","custom_fields":[{"id":1,"name":"Subdivision","value":"NW"},{"id":4,"name":"Milepost","value":"5.8978"},{"id":17,"name":"Train ID","value":"819-28"},{"id":16,"name":"Locomotive ID","value":"4018"},{"id":130,"name":"Impact","value":""},{"id":150,"name":"Time of Event (Mountain Time)","value":"12:24:41"},{"id":151,"name":"Denver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0"/>
      <c r="AL178" s="230"/>
      <c r="AM178" s="239" t="str">
        <f t="shared" si="75"/>
        <v>start /low /b %USERPROFILE%\Documents\GitHub\eaglep3\Utilities\DownloadLogsFromS3.py --loco 4018 --day 2017-12-28</v>
      </c>
      <c r="AN178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19:24:41"},{"id":29,"name":"Sharepoint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29" t="str">
        <f t="shared" si="77"/>
        <v>https://d0f6bd738d7f1b3e5a7ca70fe4ff75f0.us-east-1.aws.found.io/app/kibana#/discover/Steve-Slow-Train-Analysis-(2080s-and-2083s)?_g=(refreshInterval:(display:Off,pause:!f,section:0,value:0),time:(from:'2017-12-28T10:57:48-0700',mode:absolute,to:'2017-12-28T13:24:41-0700'))&amp;_a=(columns:!('Message%20ID',Summary),filters:!(),index:'emp_*',interval:auto,query:(query_string:(analyze_wildcard:!t,query:'%22rtdc.l.rtdc.4018%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2" customFormat="1" x14ac:dyDescent="0.25">
      <c r="A179" s="228" t="s">
        <v>798</v>
      </c>
      <c r="B179" s="224">
        <v>4017</v>
      </c>
      <c r="C179" s="226" t="s">
        <v>192</v>
      </c>
      <c r="D179" s="226" t="s">
        <v>1026</v>
      </c>
      <c r="E179" s="225">
        <v>43097.51898148148</v>
      </c>
      <c r="F179" s="225">
        <v>43097.529166666667</v>
      </c>
      <c r="G179" s="224">
        <v>55</v>
      </c>
      <c r="H179" s="226" t="s">
        <v>550</v>
      </c>
      <c r="I179" s="225">
        <v>43097.538275462961</v>
      </c>
      <c r="J179" s="224">
        <v>0</v>
      </c>
      <c r="K179" s="236" t="str">
        <f t="shared" si="62"/>
        <v>4017/4018</v>
      </c>
      <c r="L179" s="244" t="str">
        <f>VLOOKUP(A179,'Trips&amp;Operators'!$C$1:$G$99911,5,FALSE)</f>
        <v>FORTUNATO FRANK</v>
      </c>
      <c r="M179" s="223">
        <f t="shared" si="63"/>
        <v>9.1087962937308475E-3</v>
      </c>
      <c r="N179" s="224">
        <f t="shared" si="79"/>
        <v>13.11666666297242</v>
      </c>
      <c r="O179" s="224"/>
      <c r="P179" s="224"/>
      <c r="Q179" s="227"/>
      <c r="R179" s="241"/>
      <c r="S179" s="248">
        <f t="shared" si="80"/>
        <v>1</v>
      </c>
      <c r="T179" s="241" t="str">
        <f t="shared" si="64"/>
        <v>Southbound</v>
      </c>
      <c r="U179" s="24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7" t="str">
        <f t="shared" si="65"/>
        <v>https://d0f6bd738d7f1b3e5a7ca70fe4ff75f0.us-east-1.aws.found.io/app/kibana#/discover/Steve-Slow-Train-Analysis-(2080s-and-2083s)?_g=(refreshInterval:(display:Off,pause:!f,section:0,value:0),time:(from:'2017-12-28T11:27:20-0700',mode:absolute,to:'2017-12-28T13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9" s="246" t="str">
        <f>IF(AA179&lt;VLOOKUP(AG179,Variables!$AC$3:$AD$8,2,FALSE),"Y","N")</f>
        <v>N</v>
      </c>
      <c r="X179" s="246">
        <f t="shared" si="78"/>
        <v>1</v>
      </c>
      <c r="Y179" s="246">
        <f t="shared" si="81"/>
        <v>5.8667999999999996</v>
      </c>
      <c r="Z179" s="246">
        <f t="shared" si="82"/>
        <v>1.5299999999999999E-2</v>
      </c>
      <c r="AA179" s="246">
        <f t="shared" si="66"/>
        <v>5.8514999999999997</v>
      </c>
      <c r="AB179" s="232" t="e">
        <f>VLOOKUP(A179,Enforcements!$C$7:$K$9,8,0)</f>
        <v>#N/A</v>
      </c>
      <c r="AC179" s="231" t="e">
        <f>VLOOKUP(A179,Enforcements!$C$7:$E$9,3,0)</f>
        <v>#N/A</v>
      </c>
      <c r="AD179" s="242">
        <f t="shared" si="67"/>
        <v>820</v>
      </c>
      <c r="AE179" s="234" t="str">
        <f t="shared" si="68"/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AF179" s="233" t="str">
        <f t="shared" si="69"/>
        <v>"C:\Program Files (x86)\AstroGrep\AstroGrep.exe" /e /r /s /spath="%USERPROFILE%\AppData\Local\Temp\OnboardLogs" /stypes="app*4017*201712281*" /stext=" 19:.+?(?&gt;(PRM\|1\|D)|(KPR)|(KDP)|(train st[a-z]+ moving)|(SYSTEM_STATE:s[a-z]+ state changed)|(Enforcement Action)|(\[TIMEOUT)|(parse_ebi_status: Penalty)|(\|GPPS))"</v>
      </c>
      <c r="AG179" s="243" t="str">
        <f t="shared" si="70"/>
        <v>NW</v>
      </c>
      <c r="AH179" s="235" t="str">
        <f t="shared" si="73"/>
        <v>"%USERPROFILE%\Documents\GitHub\eaglep3\Utilities\RefineRTDCRunTimes.py" --tripid 820-28 --locoid 4017 --swversion DE.1.0.9.0 --startMP 300:58668 --initTime 2017-12-28T12:27:20 --startdatetime 2017-12-28T12:42:00 --delay 55 --endMP 204:153 --enddatetime 2017-12-28T12:55:07 --enforcementcount 0 &gt;&gt;%USERPROFILE%\Documents\GitHub\eaglep3-reporting\EC\2017-12-28-refined-times.txt</v>
      </c>
      <c r="AI179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{"issue":{"subject":"","project_id":79,"tracker_id":40,"status_id":1,"priority_id":2,"assigned_to_id":338,"start_date":"2017-12-28","description":"","custom_fields":[{"id":1,"name":"Subdivision","value":"NW"},{"id":4,"name":"Milepost","value":"0.0153"},{"id":17,"name":"Train ID","value":"820-28"},{"id":16,"name":"Locomotive ID","value":"4017"},{"id":130,"name":"Impact","value":""},{"id":150,"name":"Time of Event (Mountain Time)","value":"12:55:07"},{"id":151,"name":"Denver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0"/>
      <c r="AL179" s="230"/>
      <c r="AM179" s="239" t="str">
        <f t="shared" si="75"/>
        <v>start /low /b %USERPROFILE%\Documents\GitHub\eaglep3\Utilities\DownloadLogsFromS3.py --loco 4017 --day 2017-12-28</v>
      </c>
      <c r="AN179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19:55:07"},{"id":29,"name":"Sharepoint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29" t="str">
        <f t="shared" si="77"/>
        <v>https://d0f6bd738d7f1b3e5a7ca70fe4ff75f0.us-east-1.aws.found.io/app/kibana#/discover/Steve-Slow-Train-Analysis-(2080s-and-2083s)?_g=(refreshInterval:(display:Off,pause:!f,section:0,value:0),time:(from:'2017-12-28T11:27:20-0700',mode:absolute,to:'2017-12-28T13:55:07-0700'))&amp;_a=(columns:!('Message%20ID',Summary),filters:!(),index:'emp_*',interval:auto,query:(query_string:(analyze_wildcard:!t,query:'%22rtdc.l.rtdc.4017%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2" customFormat="1" x14ac:dyDescent="0.25">
      <c r="A180" s="228" t="s">
        <v>803</v>
      </c>
      <c r="B180" s="224">
        <v>4018</v>
      </c>
      <c r="C180" s="226" t="s">
        <v>192</v>
      </c>
      <c r="D180" s="226" t="s">
        <v>978</v>
      </c>
      <c r="E180" s="225">
        <v>43097.542407407411</v>
      </c>
      <c r="F180" s="225">
        <v>43097.548148148147</v>
      </c>
      <c r="G180" s="224">
        <v>67</v>
      </c>
      <c r="H180" s="226" t="s">
        <v>599</v>
      </c>
      <c r="I180" s="225">
        <v>43097.557337962964</v>
      </c>
      <c r="J180" s="224">
        <v>0</v>
      </c>
      <c r="K180" s="236" t="str">
        <f t="shared" si="62"/>
        <v>4017/4018</v>
      </c>
      <c r="L180" s="244" t="str">
        <f>VLOOKUP(A180,'Trips&amp;Operators'!$C$1:$G$99911,5,FALSE)</f>
        <v>STAMBAUGH JAMES</v>
      </c>
      <c r="M180" s="223">
        <f t="shared" si="63"/>
        <v>9.189814816636499E-3</v>
      </c>
      <c r="N180" s="224">
        <f t="shared" si="79"/>
        <v>13.233333335956559</v>
      </c>
      <c r="O180" s="224"/>
      <c r="P180" s="224"/>
      <c r="Q180" s="227"/>
      <c r="R180" s="241"/>
      <c r="S180" s="248">
        <f t="shared" si="80"/>
        <v>1</v>
      </c>
      <c r="T180" s="241" t="str">
        <f t="shared" si="64"/>
        <v>NorthBound</v>
      </c>
      <c r="U180" s="24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7" t="str">
        <f t="shared" si="65"/>
        <v>https://d0f6bd738d7f1b3e5a7ca70fe4ff75f0.us-east-1.aws.found.io/app/kibana#/discover/Steve-Slow-Train-Analysis-(2080s-and-2083s)?_g=(refreshInterval:(display:Off,pause:!f,section:0,value:0),time:(from:'2017-12-28T12:01:04-0700',mode:absolute,to:'2017-12-28T14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0" s="246" t="str">
        <f>IF(AA180&lt;VLOOKUP(AG180,Variables!$AC$3:$AD$8,2,FALSE),"Y","N")</f>
        <v>N</v>
      </c>
      <c r="X180" s="246">
        <f t="shared" si="78"/>
        <v>1</v>
      </c>
      <c r="Y180" s="246">
        <f t="shared" si="81"/>
        <v>4.3700000000000003E-2</v>
      </c>
      <c r="Z180" s="246">
        <f t="shared" si="82"/>
        <v>5.8936999999999999</v>
      </c>
      <c r="AA180" s="246">
        <f t="shared" si="66"/>
        <v>5.85</v>
      </c>
      <c r="AB180" s="232" t="e">
        <f>VLOOKUP(A180,Enforcements!$C$7:$K$9,8,0)</f>
        <v>#N/A</v>
      </c>
      <c r="AC180" s="231" t="e">
        <f>VLOOKUP(A180,Enforcements!$C$7:$E$9,3,0)</f>
        <v>#N/A</v>
      </c>
      <c r="AD180" s="242">
        <f t="shared" si="67"/>
        <v>821</v>
      </c>
      <c r="AE180" s="234" t="str">
        <f t="shared" si="68"/>
        <v>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 &amp; 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</v>
      </c>
      <c r="AF180" s="233" t="str">
        <f t="shared" si="69"/>
        <v>"C:\Program Files (x86)\AstroGrep\AstroGrep.exe" /e /r /s /spath="%USERPROFILE%\AppData\Local\Temp\OnboardLogs" /stypes="app*4018*201712282*" /stext=" 20:.+?(?&gt;(PRM\|1\|D)|(KPR)|(KDP)|(train st[a-z]+ moving)|(SYSTEM_STATE:s[a-z]+ state changed)|(Enforcement Action)|(\[TIMEOUT)|(parse_ebi_status: Penalty)|(\|GPPS))"</v>
      </c>
      <c r="AG180" s="243" t="str">
        <f t="shared" si="70"/>
        <v>NW</v>
      </c>
      <c r="AH180" s="235" t="str">
        <f t="shared" si="73"/>
        <v>"%USERPROFILE%\Documents\GitHub\eaglep3\Utilities\RefineRTDCRunTimes.py" --tripid 821-28 --locoid 4018 --swversion DE.1.0.9.0 --startMP 204:437 --initTime 2017-12-28T13:01:04 --startdatetime 2017-12-28T13:09:20 --delay 67 --endMP 300:58937 --enddatetime 2017-12-28T13:22:34 --enforcementcount 0 &gt;&gt;%USERPROFILE%\Documents\GitHub\eaglep3-reporting\EC\2017-12-28-refined-times.txt</v>
      </c>
      <c r="AI180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{"issue":{"subject":"","project_id":79,"tracker_id":40,"status_id":1,"priority_id":2,"assigned_to_id":338,"start_date":"2017-12-28","description":"","custom_fields":[{"id":1,"name":"Subdivision","value":"NW"},{"id":4,"name":"Milepost","value":"5.8937"},{"id":17,"name":"Train ID","value":"821-28"},{"id":16,"name":"Locomotive ID","value":"4018"},{"id":130,"name":"Impact","value":""},{"id":150,"name":"Time of Event (Mountain Time)","value":"13:22:34"},{"id":151,"name":"Denver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0"/>
      <c r="AL180" s="230"/>
      <c r="AM180" s="239" t="str">
        <f t="shared" si="75"/>
        <v>start /low /b %USERPROFILE%\Documents\GitHub\eaglep3\Utilities\DownloadLogsFromS3.py --loco 4018 --day 2017-12-28</v>
      </c>
      <c r="AN180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20:22:34"},{"id":29,"name":"Sharepoint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29" t="str">
        <f t="shared" si="77"/>
        <v>https://d0f6bd738d7f1b3e5a7ca70fe4ff75f0.us-east-1.aws.found.io/app/kibana#/discover/Steve-Slow-Train-Analysis-(2080s-and-2083s)?_g=(refreshInterval:(display:Off,pause:!f,section:0,value:0),time:(from:'2017-12-28T12:01:04-0700',mode:absolute,to:'2017-12-28T14:22:34-0700'))&amp;_a=(columns:!('Message%20ID',Summary),filters:!(),index:'emp_*',interval:auto,query:(query_string:(analyze_wildcard:!t,query:'%22rtdc.l.rtdc.4018%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2" customFormat="1" x14ac:dyDescent="0.25">
      <c r="A181" s="228" t="s">
        <v>806</v>
      </c>
      <c r="B181" s="224">
        <v>4017</v>
      </c>
      <c r="C181" s="226" t="s">
        <v>192</v>
      </c>
      <c r="D181" s="226" t="s">
        <v>1035</v>
      </c>
      <c r="E181" s="225">
        <v>43097.569837962961</v>
      </c>
      <c r="F181" s="225">
        <v>43097.571527777778</v>
      </c>
      <c r="G181" s="224">
        <v>42</v>
      </c>
      <c r="H181" s="226" t="s">
        <v>662</v>
      </c>
      <c r="I181" s="225">
        <v>43097.580613425926</v>
      </c>
      <c r="J181" s="224">
        <v>0</v>
      </c>
      <c r="K181" s="236" t="str">
        <f t="shared" si="62"/>
        <v>4017/4018</v>
      </c>
      <c r="L181" s="244" t="str">
        <f>VLOOKUP(A181,'Trips&amp;Operators'!$C$1:$G$99911,5,FALSE)</f>
        <v>STAMBAUGH JAMES</v>
      </c>
      <c r="M181" s="223">
        <f t="shared" si="63"/>
        <v>9.0856481474475004E-3</v>
      </c>
      <c r="N181" s="224">
        <f t="shared" si="79"/>
        <v>13.083333332324401</v>
      </c>
      <c r="O181" s="224"/>
      <c r="P181" s="224"/>
      <c r="Q181" s="227"/>
      <c r="R181" s="241"/>
      <c r="S181" s="248">
        <f t="shared" si="80"/>
        <v>1</v>
      </c>
      <c r="T181" s="241" t="str">
        <f t="shared" si="64"/>
        <v>Southbound</v>
      </c>
      <c r="U181" s="24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7" t="str">
        <f t="shared" si="65"/>
        <v>https://d0f6bd738d7f1b3e5a7ca70fe4ff75f0.us-east-1.aws.found.io/app/kibana#/discover/Steve-Slow-Train-Analysis-(2080s-and-2083s)?_g=(refreshInterval:(display:Off,pause:!f,section:0,value:0),time:(from:'2017-12-28T12:40:34-0700',mode:absolute,to:'2017-12-28T14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1" s="246" t="str">
        <f>IF(AA181&lt;VLOOKUP(AG181,Variables!$AC$3:$AD$8,2,FALSE),"Y","N")</f>
        <v>N</v>
      </c>
      <c r="X181" s="246">
        <f t="shared" ref="X181:X183" si="83">VALUE(LEFT(AD181,4))-VALUE(LEFT(AD180,4))</f>
        <v>1</v>
      </c>
      <c r="Y181" s="246">
        <f t="shared" si="81"/>
        <v>5.7245999999999997</v>
      </c>
      <c r="Z181" s="246">
        <f t="shared" si="82"/>
        <v>1.5100000000000001E-2</v>
      </c>
      <c r="AA181" s="246">
        <f t="shared" si="66"/>
        <v>5.7094999999999994</v>
      </c>
      <c r="AB181" s="232" t="e">
        <f>VLOOKUP(A181,Enforcements!$C$7:$K$9,8,0)</f>
        <v>#N/A</v>
      </c>
      <c r="AC181" s="231" t="e">
        <f>VLOOKUP(A181,Enforcements!$C$7:$E$9,3,0)</f>
        <v>#N/A</v>
      </c>
      <c r="AD181" s="242">
        <f t="shared" si="67"/>
        <v>822</v>
      </c>
      <c r="AE181" s="234" t="str">
        <f t="shared" si="68"/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AF181" s="233" t="str">
        <f t="shared" si="69"/>
        <v>"C:\Program Files (x86)\AstroGrep\AstroGrep.exe" /e /r /s /spath="%USERPROFILE%\AppData\Local\Temp\OnboardLogs" /stypes="app*4017*201712282*" /stext=" 20:.+?(?&gt;(PRM\|1\|D)|(KPR)|(KDP)|(train st[a-z]+ moving)|(SYSTEM_STATE:s[a-z]+ state changed)|(Enforcement Action)|(\[TIMEOUT)|(parse_ebi_status: Penalty)|(\|GPPS))"</v>
      </c>
      <c r="AG181" s="243" t="str">
        <f t="shared" si="70"/>
        <v>NW</v>
      </c>
      <c r="AH181" s="235" t="str">
        <f t="shared" si="73"/>
        <v>"%USERPROFILE%\Documents\GitHub\eaglep3\Utilities\RefineRTDCRunTimes.py" --tripid 822-28 --locoid 4017 --swversion DE.1.0.9.0 --startMP 300:57246 --initTime 2017-12-28T13:40:34 --startdatetime 2017-12-28T13:43:00 --delay 42 --endMP 204:151 --enddatetime 2017-12-28T13:56:05 --enforcementcount 0 &gt;&gt;%USERPROFILE%\Documents\GitHub\eaglep3-reporting\EC\2017-12-28-refined-times.txt</v>
      </c>
      <c r="AI181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{"issue":{"subject":"","project_id":79,"tracker_id":40,"status_id":1,"priority_id":2,"assigned_to_id":338,"start_date":"2017-12-28","description":"","custom_fields":[{"id":1,"name":"Subdivision","value":"NW"},{"id":4,"name":"Milepost","value":"0.0151"},{"id":17,"name":"Train ID","value":"822-28"},{"id":16,"name":"Locomotive ID","value":"4017"},{"id":130,"name":"Impact","value":""},{"id":150,"name":"Time of Event (Mountain Time)","value":"13:56:05"},{"id":151,"name":"Denver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0"/>
      <c r="AL181" s="230"/>
      <c r="AM181" s="239" t="str">
        <f t="shared" si="75"/>
        <v>start /low /b %USERPROFILE%\Documents\GitHub\eaglep3\Utilities\DownloadLogsFromS3.py --loco 4017 --day 2017-12-28</v>
      </c>
      <c r="AN181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20:56:05"},{"id":29,"name":"Sharepoint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29" t="str">
        <f t="shared" si="77"/>
        <v>https://d0f6bd738d7f1b3e5a7ca70fe4ff75f0.us-east-1.aws.found.io/app/kibana#/discover/Steve-Slow-Train-Analysis-(2080s-and-2083s)?_g=(refreshInterval:(display:Off,pause:!f,section:0,value:0),time:(from:'2017-12-28T12:40:34-0700',mode:absolute,to:'2017-12-28T14:56:05-0700'))&amp;_a=(columns:!('Message%20ID',Summary),filters:!(),index:'emp_*',interval:auto,query:(query_string:(analyze_wildcard:!t,query:'%22rtdc.l.rtdc.4017%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8" t="s">
        <v>812</v>
      </c>
      <c r="B182" s="224">
        <v>4018</v>
      </c>
      <c r="C182" s="226" t="s">
        <v>192</v>
      </c>
      <c r="D182" s="226" t="s">
        <v>1020</v>
      </c>
      <c r="E182" s="225">
        <v>43097.587048611109</v>
      </c>
      <c r="F182" s="225">
        <v>43097.589837962965</v>
      </c>
      <c r="G182" s="224">
        <v>73</v>
      </c>
      <c r="H182" s="226" t="s">
        <v>1037</v>
      </c>
      <c r="I182" s="225">
        <v>43097.599583333336</v>
      </c>
      <c r="J182" s="224">
        <v>0</v>
      </c>
      <c r="K182" s="236" t="str">
        <f t="shared" si="62"/>
        <v>4017/4018</v>
      </c>
      <c r="L182" s="244" t="str">
        <f>VLOOKUP(A182,'Trips&amp;Operators'!$C$1:$G$99911,5,FALSE)</f>
        <v>STAMBAUGH JAMES</v>
      </c>
      <c r="M182" s="223">
        <f t="shared" si="63"/>
        <v>9.7453703710925765E-3</v>
      </c>
      <c r="N182" s="224">
        <f t="shared" si="79"/>
        <v>14.03333333437331</v>
      </c>
      <c r="O182" s="224"/>
      <c r="P182" s="224"/>
      <c r="Q182" s="227"/>
      <c r="R182" s="241"/>
      <c r="S182" s="248">
        <f t="shared" si="80"/>
        <v>1</v>
      </c>
      <c r="T182" s="241" t="str">
        <f t="shared" si="64"/>
        <v>NorthBound</v>
      </c>
      <c r="U182" s="24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7" t="str">
        <f t="shared" si="65"/>
        <v>https://d0f6bd738d7f1b3e5a7ca70fe4ff75f0.us-east-1.aws.found.io/app/kibana#/discover/Steve-Slow-Train-Analysis-(2080s-and-2083s)?_g=(refreshInterval:(display:Off,pause:!f,section:0,value:0),time:(from:'2017-12-28T13:05:21-0700',mode:absolute,to:'2017-12-28T15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2" s="246" t="str">
        <f>IF(AA182&lt;VLOOKUP(AG182,Variables!$AC$3:$AD$8,2,FALSE),"Y","N")</f>
        <v>N</v>
      </c>
      <c r="X182" s="246">
        <f t="shared" si="83"/>
        <v>1</v>
      </c>
      <c r="Y182" s="246">
        <f t="shared" si="81"/>
        <v>4.48E-2</v>
      </c>
      <c r="Z182" s="246">
        <f t="shared" si="82"/>
        <v>5.8929</v>
      </c>
      <c r="AA182" s="246">
        <f t="shared" si="66"/>
        <v>5.8480999999999996</v>
      </c>
      <c r="AB182" s="232" t="e">
        <f>VLOOKUP(A182,Enforcements!$C$7:$K$9,8,0)</f>
        <v>#N/A</v>
      </c>
      <c r="AC182" s="231" t="e">
        <f>VLOOKUP(A182,Enforcements!$C$7:$E$9,3,0)</f>
        <v>#N/A</v>
      </c>
      <c r="AD182" s="242">
        <f t="shared" si="67"/>
        <v>823</v>
      </c>
      <c r="AE182" s="234" t="str">
        <f t="shared" si="68"/>
        <v>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 &amp; 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</v>
      </c>
      <c r="AF182" s="233" t="str">
        <f t="shared" si="69"/>
        <v>"C:\Program Files (x86)\AstroGrep\AstroGrep.exe" /e /r /s /spath="%USERPROFILE%\AppData\Local\Temp\OnboardLogs" /stypes="app*4018*201712282*" /stext=" 21:.+?(?&gt;(PRM\|1\|D)|(KPR)|(KDP)|(train st[a-z]+ moving)|(SYSTEM_STATE:s[a-z]+ state changed)|(Enforcement Action)|(\[TIMEOUT)|(parse_ebi_status: Penalty)|(\|GPPS))"</v>
      </c>
      <c r="AG182" s="243" t="str">
        <f t="shared" si="70"/>
        <v>NW</v>
      </c>
      <c r="AH182" s="235" t="str">
        <f t="shared" si="73"/>
        <v>"%USERPROFILE%\Documents\GitHub\eaglep3\Utilities\RefineRTDCRunTimes.py" --tripid 823-28 --locoid 4018 --swversion DE.1.0.9.0 --startMP 204:448 --initTime 2017-12-28T14:05:21 --startdatetime 2017-12-28T14:09:22 --delay 73 --endMP 300:58929 --enddatetime 2017-12-28T14:23:24 --enforcementcount 0 &gt;&gt;%USERPROFILE%\Documents\GitHub\eaglep3-reporting\EC\2017-12-28-refined-times.txt</v>
      </c>
      <c r="AI182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{"issue":{"subject":"","project_id":79,"tracker_id":40,"status_id":1,"priority_id":2,"assigned_to_id":338,"start_date":"2017-12-28","description":"","custom_fields":[{"id":1,"name":"Subdivision","value":"NW"},{"id":4,"name":"Milepost","value":"5.8929"},{"id":17,"name":"Train ID","value":"823-28"},{"id":16,"name":"Locomotive ID","value":"4018"},{"id":130,"name":"Impact","value":""},{"id":150,"name":"Time of Event (Mountain Time)","value":"14:23:24"},{"id":151,"name":"Denver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2"/>
      <c r="AK182" s="230"/>
      <c r="AL182" s="230"/>
      <c r="AM182" s="239" t="str">
        <f t="shared" si="75"/>
        <v>start /low /b %USERPROFILE%\Documents\GitHub\eaglep3\Utilities\DownloadLogsFromS3.py --loco 4018 --day 2017-12-28</v>
      </c>
      <c r="AN182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21:23:24"},{"id":29,"name":"Sharepoint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29" t="str">
        <f t="shared" si="77"/>
        <v>https://d0f6bd738d7f1b3e5a7ca70fe4ff75f0.us-east-1.aws.found.io/app/kibana#/discover/Steve-Slow-Train-Analysis-(2080s-and-2083s)?_g=(refreshInterval:(display:Off,pause:!f,section:0,value:0),time:(from:'2017-12-28T13:05:21-0700',mode:absolute,to:'2017-12-28T15:23:24-0700'))&amp;_a=(columns:!('Message%20ID',Summary),filters:!(),index:'emp_*',interval:auto,query:(query_string:(analyze_wildcard:!t,query:'%22rtdc.l.rtdc.4018%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2" customFormat="1" x14ac:dyDescent="0.25">
      <c r="A183" s="228" t="s">
        <v>816</v>
      </c>
      <c r="B183" s="224">
        <v>4017</v>
      </c>
      <c r="C183" s="226" t="s">
        <v>192</v>
      </c>
      <c r="D183" s="226" t="s">
        <v>1036</v>
      </c>
      <c r="E183" s="225">
        <v>43097.601736111108</v>
      </c>
      <c r="F183" s="225">
        <v>43097.612500000003</v>
      </c>
      <c r="G183" s="224">
        <v>56</v>
      </c>
      <c r="H183" s="226" t="s">
        <v>1001</v>
      </c>
      <c r="I183" s="225">
        <v>43097.620972222219</v>
      </c>
      <c r="J183" s="224">
        <v>0</v>
      </c>
      <c r="K183" s="236" t="str">
        <f t="shared" si="62"/>
        <v>4017/4018</v>
      </c>
      <c r="L183" s="244" t="str">
        <f>VLOOKUP(A183,'Trips&amp;Operators'!$C$1:$G$99911,5,FALSE)</f>
        <v>STAMBAUGH JAMES</v>
      </c>
      <c r="M183" s="223">
        <f t="shared" si="63"/>
        <v>8.4722222163691185E-3</v>
      </c>
      <c r="N183" s="224">
        <f t="shared" si="79"/>
        <v>12.199999991571531</v>
      </c>
      <c r="O183" s="224"/>
      <c r="P183" s="224"/>
      <c r="Q183" s="227"/>
      <c r="R183" s="241"/>
      <c r="S183" s="248">
        <f t="shared" si="80"/>
        <v>1</v>
      </c>
      <c r="T183" s="241" t="str">
        <f t="shared" si="64"/>
        <v>Southbound</v>
      </c>
      <c r="U183" s="24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7" t="str">
        <f t="shared" si="65"/>
        <v>https://d0f6bd738d7f1b3e5a7ca70fe4ff75f0.us-east-1.aws.found.io/app/kibana#/discover/Steve-Slow-Train-Analysis-(2080s-and-2083s)?_g=(refreshInterval:(display:Off,pause:!f,section:0,value:0),time:(from:'2017-12-28T13:26:30-0700',mode:absolute,to:'2017-12-28T15:54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3" s="246" t="str">
        <f>IF(AA183&lt;VLOOKUP(AG183,Variables!$AC$3:$AD$8,2,FALSE),"Y","N")</f>
        <v>N</v>
      </c>
      <c r="X183" s="246">
        <f t="shared" si="83"/>
        <v>1</v>
      </c>
      <c r="Y183" s="246">
        <f t="shared" si="81"/>
        <v>5.8613</v>
      </c>
      <c r="Z183" s="246">
        <f t="shared" si="82"/>
        <v>1.3100000000000001E-2</v>
      </c>
      <c r="AA183" s="246">
        <f t="shared" si="66"/>
        <v>5.8482000000000003</v>
      </c>
      <c r="AB183" s="232" t="e">
        <f>VLOOKUP(A183,Enforcements!$C$7:$K$9,8,0)</f>
        <v>#N/A</v>
      </c>
      <c r="AC183" s="231" t="e">
        <f>VLOOKUP(A183,Enforcements!$C$7:$E$9,3,0)</f>
        <v>#N/A</v>
      </c>
      <c r="AD183" s="242">
        <f t="shared" si="67"/>
        <v>824</v>
      </c>
      <c r="AE183" s="234" t="str">
        <f t="shared" si="68"/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AF183" s="233" t="str">
        <f t="shared" si="69"/>
        <v>"C:\Program Files (x86)\AstroGrep\AstroGrep.exe" /e /r /s /spath="%USERPROFILE%\AppData\Local\Temp\OnboardLogs" /stypes="app*4017*201712282*" /stext=" 21:.+?(?&gt;(PRM\|1\|D)|(KPR)|(KDP)|(train st[a-z]+ moving)|(SYSTEM_STATE:s[a-z]+ state changed)|(Enforcement Action)|(\[TIMEOUT)|(parse_ebi_status: Penalty)|(\|GPPS))"</v>
      </c>
      <c r="AG183" s="243" t="str">
        <f t="shared" si="70"/>
        <v>NW</v>
      </c>
      <c r="AH183" s="235" t="str">
        <f t="shared" si="73"/>
        <v>"%USERPROFILE%\Documents\GitHub\eaglep3\Utilities\RefineRTDCRunTimes.py" --tripid 824-28 --locoid 4017 --swversion DE.1.0.9.0 --startMP 300:58613 --initTime 2017-12-28T14:26:30 --startdatetime 2017-12-28T14:42:00 --delay 56 --endMP 204:131 --enddatetime 2017-12-28T14:54:12 --enforcementcount 0 &gt;&gt;%USERPROFILE%\Documents\GitHub\eaglep3-reporting\EC\2017-12-28-refined-times.txt</v>
      </c>
      <c r="AI183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{"issue":{"subject":"","project_id":79,"tracker_id":40,"status_id":1,"priority_id":2,"assigned_to_id":338,"start_date":"2017-12-28","description":"","custom_fields":[{"id":1,"name":"Subdivision","value":"NW"},{"id":4,"name":"Milepost","value":"0.0131"},{"id":17,"name":"Train ID","value":"824-28"},{"id":16,"name":"Locomotive ID","value":"4017"},{"id":130,"name":"Impact","value":""},{"id":150,"name":"Time of Event (Mountain Time)","value":"14:54:12"},{"id":151,"name":"Denver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0"/>
      <c r="AL183" s="230"/>
      <c r="AM183" s="239" t="str">
        <f t="shared" si="75"/>
        <v>start /low /b %USERPROFILE%\Documents\GitHub\eaglep3\Utilities\DownloadLogsFromS3.py --loco 4017 --day 2017-12-28</v>
      </c>
      <c r="AN183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21:54:12"},{"id":29,"name":"Sharepoint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29" t="str">
        <f t="shared" si="77"/>
        <v>https://d0f6bd738d7f1b3e5a7ca70fe4ff75f0.us-east-1.aws.found.io/app/kibana#/discover/Steve-Slow-Train-Analysis-(2080s-and-2083s)?_g=(refreshInterval:(display:Off,pause:!f,section:0,value:0),time:(from:'2017-12-28T13:26:30-0700',mode:absolute,to:'2017-12-28T15:54:12-0700'))&amp;_a=(columns:!('Message%20ID',Summary),filters:!(),index:'emp_*',interval:auto,query:(query_string:(analyze_wildcard:!t,query:'%22rtdc.l.rtdc.4017%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2" customFormat="1" x14ac:dyDescent="0.25">
      <c r="A184" s="228" t="s">
        <v>821</v>
      </c>
      <c r="B184" s="224">
        <v>4018</v>
      </c>
      <c r="C184" s="226" t="s">
        <v>192</v>
      </c>
      <c r="D184" s="226" t="s">
        <v>568</v>
      </c>
      <c r="E184" s="225">
        <v>43097.626956018517</v>
      </c>
      <c r="F184" s="225">
        <v>43097.631608796299</v>
      </c>
      <c r="G184" s="224">
        <v>62</v>
      </c>
      <c r="H184" s="226" t="s">
        <v>1038</v>
      </c>
      <c r="I184" s="225">
        <v>43097.641018518516</v>
      </c>
      <c r="J184" s="224">
        <v>0</v>
      </c>
      <c r="K184" s="236" t="str">
        <f t="shared" si="62"/>
        <v>4017/4018</v>
      </c>
      <c r="L184" s="244" t="str">
        <f>VLOOKUP(A184,'Trips&amp;Operators'!$C$1:$G$99911,5,FALSE)</f>
        <v>STAMBAUGH JAMES</v>
      </c>
      <c r="M184" s="223">
        <f t="shared" si="63"/>
        <v>9.4097222172422335E-3</v>
      </c>
      <c r="N184" s="224">
        <f t="shared" ref="N184:N215" si="84">24*60*SUM($M184:$M184)</f>
        <v>13.549999992828816</v>
      </c>
      <c r="O184" s="224"/>
      <c r="P184" s="224"/>
      <c r="Q184" s="227"/>
      <c r="R184" s="241"/>
      <c r="S184" s="248">
        <f t="shared" si="80"/>
        <v>1</v>
      </c>
      <c r="T184" s="241" t="str">
        <f t="shared" si="64"/>
        <v>NorthBound</v>
      </c>
      <c r="U184" s="24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7" t="str">
        <f t="shared" si="65"/>
        <v>https://d0f6bd738d7f1b3e5a7ca70fe4ff75f0.us-east-1.aws.found.io/app/kibana#/discover/Steve-Slow-Train-Analysis-(2080s-and-2083s)?_g=(refreshInterval:(display:Off,pause:!f,section:0,value:0),time:(from:'2017-12-28T14:02:49-0700',mode:absolute,to:'2017-12-28T16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4" s="246" t="str">
        <f>IF(AA184&lt;VLOOKUP(AG184,Variables!$AC$3:$AD$8,2,FALSE),"Y","N")</f>
        <v>N</v>
      </c>
      <c r="X184" s="246">
        <f t="shared" ref="X184:X193" si="85">VALUE(LEFT(AD184,4))-VALUE(LEFT(AD183,4))</f>
        <v>1</v>
      </c>
      <c r="Y184" s="246">
        <f t="shared" si="81"/>
        <v>4.5100000000000001E-2</v>
      </c>
      <c r="Z184" s="246">
        <f t="shared" si="82"/>
        <v>5.8945999999999996</v>
      </c>
      <c r="AA184" s="246">
        <f t="shared" si="66"/>
        <v>5.8494999999999999</v>
      </c>
      <c r="AB184" s="232" t="e">
        <f>VLOOKUP(A184,Enforcements!$C$7:$K$9,8,0)</f>
        <v>#N/A</v>
      </c>
      <c r="AC184" s="231" t="e">
        <f>VLOOKUP(A184,Enforcements!$C$7:$E$9,3,0)</f>
        <v>#N/A</v>
      </c>
      <c r="AD184" s="242">
        <f t="shared" si="67"/>
        <v>825</v>
      </c>
      <c r="AE184" s="234" t="str">
        <f t="shared" si="68"/>
        <v>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 &amp; 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</v>
      </c>
      <c r="AF184" s="233" t="str">
        <f t="shared" si="69"/>
        <v>"C:\Program Files (x86)\AstroGrep\AstroGrep.exe" /e /r /s /spath="%USERPROFILE%\AppData\Local\Temp\OnboardLogs" /stypes="app*4018*201712282*" /stext=" 22:.+?(?&gt;(PRM\|1\|D)|(KPR)|(KDP)|(train st[a-z]+ moving)|(SYSTEM_STATE:s[a-z]+ state changed)|(Enforcement Action)|(\[TIMEOUT)|(parse_ebi_status: Penalty)|(\|GPPS))"</v>
      </c>
      <c r="AG184" s="243" t="str">
        <f t="shared" si="70"/>
        <v>NW</v>
      </c>
      <c r="AH184" s="235" t="str">
        <f t="shared" si="73"/>
        <v>"%USERPROFILE%\Documents\GitHub\eaglep3\Utilities\RefineRTDCRunTimes.py" --tripid 825-28 --locoid 4018 --swversion DE.1.0.9.0 --startMP 204:451 --initTime 2017-12-28T15:02:49 --startdatetime 2017-12-28T15:09:31 --delay 62 --endMP 300:58946 --enddatetime 2017-12-28T15:23:04 --enforcementcount 0 &gt;&gt;%USERPROFILE%\Documents\GitHub\eaglep3-reporting\EC\2017-12-28-refined-times.txt</v>
      </c>
      <c r="AI184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{"issue":{"subject":"","project_id":79,"tracker_id":40,"status_id":1,"priority_id":2,"assigned_to_id":338,"start_date":"2017-12-28","description":"","custom_fields":[{"id":1,"name":"Subdivision","value":"NW"},{"id":4,"name":"Milepost","value":"5.8946"},{"id":17,"name":"Train ID","value":"825-28"},{"id":16,"name":"Locomotive ID","value":"4018"},{"id":130,"name":"Impact","value":""},{"id":150,"name":"Time of Event (Mountain Time)","value":"15:23:04"},{"id":151,"name":"Denver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0"/>
      <c r="AL184" s="230"/>
      <c r="AM184" s="239" t="str">
        <f t="shared" si="75"/>
        <v>start /low /b %USERPROFILE%\Documents\GitHub\eaglep3\Utilities\DownloadLogsFromS3.py --loco 4018 --day 2017-12-28</v>
      </c>
      <c r="AN184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22:23:04"},{"id":29,"name":"Sharepoint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29" t="str">
        <f t="shared" si="77"/>
        <v>https://d0f6bd738d7f1b3e5a7ca70fe4ff75f0.us-east-1.aws.found.io/app/kibana#/discover/Steve-Slow-Train-Analysis-(2080s-and-2083s)?_g=(refreshInterval:(display:Off,pause:!f,section:0,value:0),time:(from:'2017-12-28T14:02:49-0700',mode:absolute,to:'2017-12-28T16:23:04-0700'))&amp;_a=(columns:!('Message%20ID',Summary),filters:!(),index:'emp_*',interval:auto,query:(query_string:(analyze_wildcard:!t,query:'%22rtdc.l.rtdc.4018%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2" customFormat="1" x14ac:dyDescent="0.25">
      <c r="A185" s="228" t="s">
        <v>824</v>
      </c>
      <c r="B185" s="224">
        <v>4017</v>
      </c>
      <c r="C185" s="226" t="s">
        <v>192</v>
      </c>
      <c r="D185" s="226" t="s">
        <v>532</v>
      </c>
      <c r="E185" s="225">
        <v>43097.642407407409</v>
      </c>
      <c r="F185" s="225">
        <v>43097.654166666667</v>
      </c>
      <c r="G185" s="224">
        <v>59</v>
      </c>
      <c r="H185" s="226" t="s">
        <v>664</v>
      </c>
      <c r="I185" s="225">
        <v>43097.662685185183</v>
      </c>
      <c r="J185" s="224">
        <v>0</v>
      </c>
      <c r="K185" s="236" t="str">
        <f t="shared" si="62"/>
        <v>4017/4018</v>
      </c>
      <c r="L185" s="244" t="str">
        <f>VLOOKUP(A185,'Trips&amp;Operators'!$C$1:$G$99911,5,FALSE)</f>
        <v>STAMBAUGH JAMES</v>
      </c>
      <c r="M185" s="223">
        <f t="shared" si="63"/>
        <v>8.5185185162117705E-3</v>
      </c>
      <c r="N185" s="224">
        <f t="shared" si="84"/>
        <v>12.266666663344949</v>
      </c>
      <c r="O185" s="224"/>
      <c r="P185" s="224"/>
      <c r="Q185" s="227"/>
      <c r="R185" s="241"/>
      <c r="S185" s="248">
        <f t="shared" si="80"/>
        <v>1</v>
      </c>
      <c r="T185" s="241" t="str">
        <f t="shared" si="64"/>
        <v>Southbound</v>
      </c>
      <c r="U185" s="24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7" t="str">
        <f t="shared" si="65"/>
        <v>https://d0f6bd738d7f1b3e5a7ca70fe4ff75f0.us-east-1.aws.found.io/app/kibana#/discover/Steve-Slow-Train-Analysis-(2080s-and-2083s)?_g=(refreshInterval:(display:Off,pause:!f,section:0,value:0),time:(from:'2017-12-28T14:25:04-0700',mode:absolute,to:'2017-12-28T16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5" s="246" t="str">
        <f>IF(AA185&lt;VLOOKUP(AG185,Variables!$AC$3:$AD$8,2,FALSE),"Y","N")</f>
        <v>N</v>
      </c>
      <c r="X185" s="246">
        <f t="shared" si="85"/>
        <v>1</v>
      </c>
      <c r="Y185" s="246">
        <f t="shared" si="81"/>
        <v>5.8619000000000003</v>
      </c>
      <c r="Z185" s="246">
        <f t="shared" si="82"/>
        <v>1.44E-2</v>
      </c>
      <c r="AA185" s="246">
        <f t="shared" si="66"/>
        <v>5.8475000000000001</v>
      </c>
      <c r="AB185" s="232" t="e">
        <f>VLOOKUP(A185,Enforcements!$C$7:$K$9,8,0)</f>
        <v>#N/A</v>
      </c>
      <c r="AC185" s="231" t="e">
        <f>VLOOKUP(A185,Enforcements!$C$7:$E$9,3,0)</f>
        <v>#N/A</v>
      </c>
      <c r="AD185" s="242">
        <f t="shared" si="67"/>
        <v>826</v>
      </c>
      <c r="AE185" s="234" t="str">
        <f t="shared" si="68"/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AF185" s="233" t="str">
        <f t="shared" si="69"/>
        <v>"C:\Program Files (x86)\AstroGrep\AstroGrep.exe" /e /r /s /spath="%USERPROFILE%\AppData\Local\Temp\OnboardLogs" /stypes="app*4017*201712282*" /stext=" 22:.+?(?&gt;(PRM\|1\|D)|(KPR)|(KDP)|(train st[a-z]+ moving)|(SYSTEM_STATE:s[a-z]+ state changed)|(Enforcement Action)|(\[TIMEOUT)|(parse_ebi_status: Penalty)|(\|GPPS))"</v>
      </c>
      <c r="AG185" s="243" t="str">
        <f t="shared" si="70"/>
        <v>NW</v>
      </c>
      <c r="AH185" s="235" t="str">
        <f t="shared" si="73"/>
        <v>"%USERPROFILE%\Documents\GitHub\eaglep3\Utilities\RefineRTDCRunTimes.py" --tripid 826-28 --locoid 4017 --swversion DE.1.0.9.0 --startMP 300:58619 --initTime 2017-12-28T15:25:04 --startdatetime 2017-12-28T15:42:00 --delay 59 --endMP 204:144 --enddatetime 2017-12-28T15:54:16 --enforcementcount 0 &gt;&gt;%USERPROFILE%\Documents\GitHub\eaglep3-reporting\EC\2017-12-28-refined-times.txt</v>
      </c>
      <c r="AI185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{"issue":{"subject":"","project_id":79,"tracker_id":40,"status_id":1,"priority_id":2,"assigned_to_id":338,"start_date":"2017-12-28","description":"","custom_fields":[{"id":1,"name":"Subdivision","value":"NW"},{"id":4,"name":"Milepost","value":"0.0144"},{"id":17,"name":"Train ID","value":"826-28"},{"id":16,"name":"Locomotive ID","value":"4017"},{"id":130,"name":"Impact","value":""},{"id":150,"name":"Time of Event (Mountain Time)","value":"15:54:16"},{"id":151,"name":"Denver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0"/>
      <c r="AL185" s="230"/>
      <c r="AM185" s="239" t="str">
        <f t="shared" si="75"/>
        <v>start /low /b %USERPROFILE%\Documents\GitHub\eaglep3\Utilities\DownloadLogsFromS3.py --loco 4017 --day 2017-12-28</v>
      </c>
      <c r="AN185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22:54:16"},{"id":29,"name":"Sharepoint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29" t="str">
        <f t="shared" si="77"/>
        <v>https://d0f6bd738d7f1b3e5a7ca70fe4ff75f0.us-east-1.aws.found.io/app/kibana#/discover/Steve-Slow-Train-Analysis-(2080s-and-2083s)?_g=(refreshInterval:(display:Off,pause:!f,section:0,value:0),time:(from:'2017-12-28T14:25:04-0700',mode:absolute,to:'2017-12-28T16:54:16-0700'))&amp;_a=(columns:!('Message%20ID',Summary),filters:!(),index:'emp_*',interval:auto,query:(query_string:(analyze_wildcard:!t,query:'%22rtdc.l.rtdc.4017%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2" customFormat="1" x14ac:dyDescent="0.25">
      <c r="A186" s="228" t="s">
        <v>826</v>
      </c>
      <c r="B186" s="224">
        <v>4016</v>
      </c>
      <c r="C186" s="226" t="s">
        <v>192</v>
      </c>
      <c r="D186" s="226" t="s">
        <v>595</v>
      </c>
      <c r="E186" s="225">
        <v>43097.649351851855</v>
      </c>
      <c r="F186" s="225">
        <v>43097.652349537035</v>
      </c>
      <c r="G186" s="224">
        <v>138</v>
      </c>
      <c r="H186" s="226" t="s">
        <v>1039</v>
      </c>
      <c r="I186" s="225">
        <v>43097.662986111114</v>
      </c>
      <c r="J186" s="224">
        <v>0</v>
      </c>
      <c r="K186" s="236" t="str">
        <f t="shared" si="62"/>
        <v>4015/4016</v>
      </c>
      <c r="L186" s="244" t="str">
        <f>VLOOKUP(A186,'Trips&amp;Operators'!$C$1:$G$99911,5,FALSE)</f>
        <v>ZEWDU DEREJE</v>
      </c>
      <c r="M186" s="223">
        <f t="shared" si="63"/>
        <v>1.0636574079398997E-2</v>
      </c>
      <c r="N186" s="224">
        <f t="shared" si="84"/>
        <v>15.316666674334556</v>
      </c>
      <c r="O186" s="224"/>
      <c r="P186" s="224"/>
      <c r="Q186" s="227"/>
      <c r="R186" s="241"/>
      <c r="S186" s="248">
        <f t="shared" si="80"/>
        <v>1</v>
      </c>
      <c r="T186" s="241" t="str">
        <f t="shared" si="64"/>
        <v>NorthBound</v>
      </c>
      <c r="U186" s="24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7" t="str">
        <f t="shared" si="65"/>
        <v>https://d0f6bd738d7f1b3e5a7ca70fe4ff75f0.us-east-1.aws.found.io/app/kibana#/discover/Steve-Slow-Train-Analysis-(2080s-and-2083s)?_g=(refreshInterval:(display:Off,pause:!f,section:0,value:0),time:(from:'2017-12-28T14:35:04-0700',mode:absolute,to:'2017-12-28T16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6" s="246" t="str">
        <f>IF(AA186&lt;VLOOKUP(AG186,Variables!$AC$3:$AD$8,2,FALSE),"Y","N")</f>
        <v>N</v>
      </c>
      <c r="X186" s="246">
        <f t="shared" si="85"/>
        <v>1</v>
      </c>
      <c r="Y186" s="246">
        <f t="shared" si="81"/>
        <v>4.5900000000000003E-2</v>
      </c>
      <c r="Z186" s="246">
        <f t="shared" si="82"/>
        <v>5.8998999999999997</v>
      </c>
      <c r="AA186" s="246">
        <f t="shared" si="66"/>
        <v>5.8540000000000001</v>
      </c>
      <c r="AB186" s="232" t="e">
        <f>VLOOKUP(A186,Enforcements!$C$7:$K$9,8,0)</f>
        <v>#N/A</v>
      </c>
      <c r="AC186" s="231" t="e">
        <f>VLOOKUP(A186,Enforcements!$C$7:$E$9,3,0)</f>
        <v>#N/A</v>
      </c>
      <c r="AD186" s="242">
        <f t="shared" si="67"/>
        <v>827</v>
      </c>
      <c r="AE186" s="234" t="str">
        <f t="shared" si="68"/>
        <v>aws s3 cp s3://rtdc.mdm.uploadarchive.raw/RTDC4016/ "%USERPROFILE%\AppData\Local\Temp\OnboardLogs"\RTDC4016\2017-12-28 --exclude "*" --recursive --include "*20171228*" &amp; "%USERPROFILE%\Documents\GitHub\mrs-test-scripts\Headless Mode &amp; Sideloading\WalkAndUnGZ.bat" "%USERPROFILE%\AppData\Local\Temp\OnboardLogs"\RTDC4016\2017-12-28 &amp; aws s3 cp s3://rtdc.mdm.uploadarchive.raw/RTDC4016/ "%USERPROFILE%\AppData\Local\Temp\OnboardLogs"\RTDC4016\2017-12-29 --exclude "*" --recursive --include "*20171229*" &amp; "%USERPROFILE%\Documents\GitHub\mrs-test-scripts\Headless Mode &amp; Sideloading\WalkAndUnGZ.bat" "%USERPROFILE%\AppData\Local\Temp\OnboardLogs"\RTDC4016\2017-12-29</v>
      </c>
      <c r="AF186" s="233" t="str">
        <f t="shared" si="69"/>
        <v>"C:\Program Files (x86)\AstroGrep\AstroGrep.exe" /e /r /s /spath="%USERPROFILE%\AppData\Local\Temp\OnboardLogs" /stypes="app*4016*201712282*" /stext=" 22:.+?(?&gt;(PRM\|1\|D)|(KPR)|(KDP)|(train st[a-z]+ moving)|(SYSTEM_STATE:s[a-z]+ state changed)|(Enforcement Action)|(\[TIMEOUT)|(parse_ebi_status: Penalty)|(\|GPPS))"</v>
      </c>
      <c r="AG186" s="243" t="str">
        <f t="shared" si="70"/>
        <v>NW</v>
      </c>
      <c r="AH186" s="235" t="str">
        <f t="shared" si="73"/>
        <v>"%USERPROFILE%\Documents\GitHub\eaglep3\Utilities\RefineRTDCRunTimes.py" --tripid 827-28 --locoid 4016 --swversion DE.1.0.9.0 --startMP 204:459 --initTime 2017-12-28T15:35:04 --startdatetime 2017-12-28T15:39:23 --delay 138 --endMP 300:58999 --enddatetime 2017-12-28T15:54:42 --enforcementcount 0 &gt;&gt;%USERPROFILE%\Documents\GitHub\eaglep3-reporting\EC\2017-12-28-refined-times.txt</v>
      </c>
      <c r="AI186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{"issue":{"subject":"","project_id":79,"tracker_id":40,"status_id":1,"priority_id":2,"assigned_to_id":338,"start_date":"2017-12-28","description":"","custom_fields":[{"id":1,"name":"Subdivision","value":"NW"},{"id":4,"name":"Milepost","value":"5.8999"},{"id":17,"name":"Train ID","value":"827-28"},{"id":16,"name":"Locomotive ID","value":"4016"},{"id":130,"name":"Impact","value":""},{"id":150,"name":"Time of Event (Mountain Time)","value":"15:54:42"},{"id":151,"name":"Denver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0"/>
      <c r="AL186" s="230"/>
      <c r="AM186" s="239" t="str">
        <f t="shared" si="75"/>
        <v>start /low /b %USERPROFILE%\Documents\GitHub\eaglep3\Utilities\DownloadLogsFromS3.py --loco 4016 --day 2017-12-28</v>
      </c>
      <c r="AN186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22:54:42"},{"id":29,"name":"Sharepoint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29" t="str">
        <f t="shared" si="77"/>
        <v>https://d0f6bd738d7f1b3e5a7ca70fe4ff75f0.us-east-1.aws.found.io/app/kibana#/discover/Steve-Slow-Train-Analysis-(2080s-and-2083s)?_g=(refreshInterval:(display:Off,pause:!f,section:0,value:0),time:(from:'2017-12-28T14:35:04-0700',mode:absolute,to:'2017-12-28T16:54:42-0700'))&amp;_a=(columns:!('Message%20ID',Summary),filters:!(),index:'emp_*',interval:auto,query:(query_string:(analyze_wildcard:!t,query:'%22rtdc.l.rtdc.4016%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28" t="s">
        <v>831</v>
      </c>
      <c r="B187" s="224">
        <v>4015</v>
      </c>
      <c r="C187" s="226" t="s">
        <v>192</v>
      </c>
      <c r="D187" s="226" t="s">
        <v>670</v>
      </c>
      <c r="E187" s="225">
        <v>43097.664212962962</v>
      </c>
      <c r="F187" s="225">
        <v>43097.675000000003</v>
      </c>
      <c r="G187" s="224">
        <v>79</v>
      </c>
      <c r="H187" s="226" t="s">
        <v>1040</v>
      </c>
      <c r="I187" s="225">
        <v>43097.684398148151</v>
      </c>
      <c r="J187" s="224">
        <v>0</v>
      </c>
      <c r="K187" s="236" t="str">
        <f t="shared" si="62"/>
        <v>4015/4016</v>
      </c>
      <c r="L187" s="244" t="str">
        <f>VLOOKUP(A187,'Trips&amp;Operators'!$C$1:$G$99911,5,FALSE)</f>
        <v>ZEWDU DEREJE</v>
      </c>
      <c r="M187" s="223">
        <f t="shared" si="63"/>
        <v>9.3981481477385387E-3</v>
      </c>
      <c r="N187" s="224">
        <f t="shared" si="84"/>
        <v>13.533333332743496</v>
      </c>
      <c r="O187" s="224"/>
      <c r="P187" s="224"/>
      <c r="Q187" s="227"/>
      <c r="R187" s="241"/>
      <c r="S187" s="248">
        <f t="shared" si="80"/>
        <v>1</v>
      </c>
      <c r="T187" s="241" t="str">
        <f t="shared" si="64"/>
        <v>Southbound</v>
      </c>
      <c r="U187" s="24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7" t="str">
        <f t="shared" si="65"/>
        <v>https://d0f6bd738d7f1b3e5a7ca70fe4ff75f0.us-east-1.aws.found.io/app/kibana#/discover/Steve-Slow-Train-Analysis-(2080s-and-2083s)?_g=(refreshInterval:(display:Off,pause:!f,section:0,value:0),time:(from:'2017-12-28T14:56:28-0700',mode:absolute,to:'2017-12-28T17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7" s="246" t="str">
        <f>IF(AA187&lt;VLOOKUP(AG187,Variables!$AC$3:$AD$8,2,FALSE),"Y","N")</f>
        <v>N</v>
      </c>
      <c r="X187" s="246">
        <f t="shared" si="85"/>
        <v>1</v>
      </c>
      <c r="Y187" s="246">
        <f t="shared" si="81"/>
        <v>5.8682999999999996</v>
      </c>
      <c r="Z187" s="246">
        <f t="shared" si="82"/>
        <v>1.2800000000000001E-2</v>
      </c>
      <c r="AA187" s="246">
        <f t="shared" si="66"/>
        <v>5.8554999999999993</v>
      </c>
      <c r="AB187" s="232" t="e">
        <f>VLOOKUP(A187,Enforcements!$C$7:$K$9,8,0)</f>
        <v>#N/A</v>
      </c>
      <c r="AC187" s="231" t="e">
        <f>VLOOKUP(A187,Enforcements!$C$7:$E$9,3,0)</f>
        <v>#N/A</v>
      </c>
      <c r="AD187" s="242">
        <f t="shared" si="67"/>
        <v>828</v>
      </c>
      <c r="AE187" s="234" t="str">
        <f t="shared" si="68"/>
        <v>aws s3 cp s3://rtdc.mdm.uploadarchive.raw/RTDC4015/ "%USERPROFILE%\AppData\Local\Temp\OnboardLogs"\RTDC4015\2017-12-28 --exclude "*" --recursive --include "*20171228*" &amp; "%USERPROFILE%\Documents\GitHub\mrs-test-scripts\Headless Mode &amp; Sideloading\WalkAndUnGZ.bat" "%USERPROFILE%\AppData\Local\Temp\OnboardLogs"\RTDC4015\2017-12-28 &amp; aws s3 cp s3://rtdc.mdm.uploadarchive.raw/RTDC4015/ "%USERPROFILE%\AppData\Local\Temp\OnboardLogs"\RTDC4015\2017-12-29 --exclude "*" --recursive --include "*20171229*" &amp; "%USERPROFILE%\Documents\GitHub\mrs-test-scripts\Headless Mode &amp; Sideloading\WalkAndUnGZ.bat" "%USERPROFILE%\AppData\Local\Temp\OnboardLogs"\RTDC4015\2017-12-29</v>
      </c>
      <c r="AF187" s="233" t="str">
        <f t="shared" si="69"/>
        <v>"C:\Program Files (x86)\AstroGrep\AstroGrep.exe" /e /r /s /spath="%USERPROFILE%\AppData\Local\Temp\OnboardLogs" /stypes="app*4015*201712282*" /stext=" 23:.+?(?&gt;(PRM\|1\|D)|(KPR)|(KDP)|(train st[a-z]+ moving)|(SYSTEM_STATE:s[a-z]+ state changed)|(Enforcement Action)|(\[TIMEOUT)|(parse_ebi_status: Penalty)|(\|GPPS))"</v>
      </c>
      <c r="AG187" s="243" t="str">
        <f t="shared" si="70"/>
        <v>NW</v>
      </c>
      <c r="AH187" s="235" t="str">
        <f t="shared" si="73"/>
        <v>"%USERPROFILE%\Documents\GitHub\eaglep3\Utilities\RefineRTDCRunTimes.py" --tripid 828-28 --locoid 4015 --swversion DE.1.0.9.0 --startMP 300:58683 --initTime 2017-12-28T15:56:28 --startdatetime 2017-12-28T16:12:00 --delay 79 --endMP 204:128 --enddatetime 2017-12-28T16:25:32 --enforcementcount 0 &gt;&gt;%USERPROFILE%\Documents\GitHub\eaglep3-reporting\EC\2017-12-28-refined-times.txt</v>
      </c>
      <c r="AI187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{"issue":{"subject":"","project_id":79,"tracker_id":40,"status_id":1,"priority_id":2,"assigned_to_id":338,"start_date":"2017-12-28","description":"","custom_fields":[{"id":1,"name":"Subdivision","value":"NW"},{"id":4,"name":"Milepost","value":"0.0128"},{"id":17,"name":"Train ID","value":"828-28"},{"id":16,"name":"Locomotive ID","value":"4015"},{"id":130,"name":"Impact","value":""},{"id":150,"name":"Time of Event (Mountain Time)","value":"16:25:32"},{"id":151,"name":"Denver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2"/>
      <c r="AK187" s="230"/>
      <c r="AL187" s="230"/>
      <c r="AM187" s="239" t="str">
        <f t="shared" si="75"/>
        <v>start /low /b %USERPROFILE%\Documents\GitHub\eaglep3\Utilities\DownloadLogsFromS3.py --loco 4015 --day 2017-12-28</v>
      </c>
      <c r="AN187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23:25:32"},{"id":29,"name":"Sharepoint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29" t="str">
        <f t="shared" si="77"/>
        <v>https://d0f6bd738d7f1b3e5a7ca70fe4ff75f0.us-east-1.aws.found.io/app/kibana#/discover/Steve-Slow-Train-Analysis-(2080s-and-2083s)?_g=(refreshInterval:(display:Off,pause:!f,section:0,value:0),time:(from:'2017-12-28T14:56:28-0700',mode:absolute,to:'2017-12-28T17:25:32-0700'))&amp;_a=(columns:!('Message%20ID',Summary),filters:!(),index:'emp_*',interval:auto,query:(query_string:(analyze_wildcard:!t,query:'%22rtdc.l.rtdc.4015%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2" customFormat="1" x14ac:dyDescent="0.25">
      <c r="A188" s="228" t="s">
        <v>836</v>
      </c>
      <c r="B188" s="224">
        <v>4018</v>
      </c>
      <c r="C188" s="226" t="s">
        <v>192</v>
      </c>
      <c r="D188" s="226" t="s">
        <v>1020</v>
      </c>
      <c r="E188" s="225">
        <v>43097.669687499998</v>
      </c>
      <c r="F188" s="225">
        <v>43097.673344907409</v>
      </c>
      <c r="G188" s="224">
        <v>57</v>
      </c>
      <c r="H188" s="226" t="s">
        <v>1041</v>
      </c>
      <c r="I188" s="225">
        <v>43097.683796296296</v>
      </c>
      <c r="J188" s="224">
        <v>0</v>
      </c>
      <c r="K188" s="236" t="str">
        <f t="shared" si="62"/>
        <v>4017/4018</v>
      </c>
      <c r="L188" s="244" t="str">
        <f>VLOOKUP(A188,'Trips&amp;Operators'!$C$1:$G$99911,5,FALSE)</f>
        <v>STAMBAUGH JAMES</v>
      </c>
      <c r="M188" s="223">
        <f t="shared" si="63"/>
        <v>1.0451388887304347E-2</v>
      </c>
      <c r="N188" s="224">
        <f t="shared" si="84"/>
        <v>15.04999999771826</v>
      </c>
      <c r="O188" s="224"/>
      <c r="P188" s="224"/>
      <c r="Q188" s="227"/>
      <c r="R188" s="241"/>
      <c r="S188" s="248">
        <f t="shared" si="80"/>
        <v>1</v>
      </c>
      <c r="T188" s="241" t="str">
        <f t="shared" si="64"/>
        <v>NorthBound</v>
      </c>
      <c r="U188" s="24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7" t="str">
        <f t="shared" si="65"/>
        <v>https://d0f6bd738d7f1b3e5a7ca70fe4ff75f0.us-east-1.aws.found.io/app/kibana#/discover/Steve-Slow-Train-Analysis-(2080s-and-2083s)?_g=(refreshInterval:(display:Off,pause:!f,section:0,value:0),time:(from:'2017-12-28T15:04:21-0700',mode:absolute,to:'2017-12-28T17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8" s="246" t="str">
        <f>IF(AA188&lt;VLOOKUP(AG188,Variables!$AC$3:$AD$8,2,FALSE),"Y","N")</f>
        <v>N</v>
      </c>
      <c r="X188" s="246">
        <f t="shared" si="85"/>
        <v>1</v>
      </c>
      <c r="Y188" s="246">
        <f t="shared" si="81"/>
        <v>4.48E-2</v>
      </c>
      <c r="Z188" s="246">
        <f t="shared" si="82"/>
        <v>5.8930999999999996</v>
      </c>
      <c r="AA188" s="246">
        <f t="shared" si="66"/>
        <v>5.8482999999999992</v>
      </c>
      <c r="AB188" s="232" t="e">
        <f>VLOOKUP(A188,Enforcements!$C$7:$K$9,8,0)</f>
        <v>#N/A</v>
      </c>
      <c r="AC188" s="231" t="e">
        <f>VLOOKUP(A188,Enforcements!$C$7:$E$9,3,0)</f>
        <v>#N/A</v>
      </c>
      <c r="AD188" s="242">
        <f t="shared" si="67"/>
        <v>829</v>
      </c>
      <c r="AE188" s="234" t="str">
        <f t="shared" si="68"/>
        <v>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 &amp; 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</v>
      </c>
      <c r="AF188" s="233" t="str">
        <f t="shared" si="69"/>
        <v>"C:\Program Files (x86)\AstroGrep\AstroGrep.exe" /e /r /s /spath="%USERPROFILE%\AppData\Local\Temp\OnboardLogs" /stypes="app*4018*201712282*" /stext=" 23:.+?(?&gt;(PRM\|1\|D)|(KPR)|(KDP)|(train st[a-z]+ moving)|(SYSTEM_STATE:s[a-z]+ state changed)|(Enforcement Action)|(\[TIMEOUT)|(parse_ebi_status: Penalty)|(\|GPPS))"</v>
      </c>
      <c r="AG188" s="243" t="str">
        <f t="shared" si="70"/>
        <v>NW</v>
      </c>
      <c r="AH188" s="235" t="str">
        <f t="shared" si="73"/>
        <v>"%USERPROFILE%\Documents\GitHub\eaglep3\Utilities\RefineRTDCRunTimes.py" --tripid 829-28 --locoid 4018 --swversion DE.1.0.9.0 --startMP 204:448 --initTime 2017-12-28T16:04:21 --startdatetime 2017-12-28T16:09:37 --delay 57 --endMP 300:58931 --enddatetime 2017-12-28T16:24:40 --enforcementcount 0 &gt;&gt;%USERPROFILE%\Documents\GitHub\eaglep3-reporting\EC\2017-12-28-refined-times.txt</v>
      </c>
      <c r="AI188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{"issue":{"subject":"","project_id":79,"tracker_id":40,"status_id":1,"priority_id":2,"assigned_to_id":338,"start_date":"2017-12-28","description":"","custom_fields":[{"id":1,"name":"Subdivision","value":"NW"},{"id":4,"name":"Milepost","value":"5.8931"},{"id":17,"name":"Train ID","value":"829-28"},{"id":16,"name":"Locomotive ID","value":"4018"},{"id":130,"name":"Impact","value":""},{"id":150,"name":"Time of Event (Mountain Time)","value":"16:24:40"},{"id":151,"name":"Denver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0"/>
      <c r="AL188" s="230"/>
      <c r="AM188" s="239" t="str">
        <f t="shared" si="75"/>
        <v>start /low /b %USERPROFILE%\Documents\GitHub\eaglep3\Utilities\DownloadLogsFromS3.py --loco 4018 --day 2017-12-28</v>
      </c>
      <c r="AN188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23:24:40"},{"id":29,"name":"Sharepoint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29" t="str">
        <f t="shared" si="77"/>
        <v>https://d0f6bd738d7f1b3e5a7ca70fe4ff75f0.us-east-1.aws.found.io/app/kibana#/discover/Steve-Slow-Train-Analysis-(2080s-and-2083s)?_g=(refreshInterval:(display:Off,pause:!f,section:0,value:0),time:(from:'2017-12-28T15:04:21-0700',mode:absolute,to:'2017-12-28T17:24:40-0700'))&amp;_a=(columns:!('Message%20ID',Summary),filters:!(),index:'emp_*',interval:auto,query:(query_string:(analyze_wildcard:!t,query:'%22rtdc.l.rtdc.4018%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2" customFormat="1" x14ac:dyDescent="0.25">
      <c r="A189" s="228" t="s">
        <v>840</v>
      </c>
      <c r="B189" s="224">
        <v>4017</v>
      </c>
      <c r="C189" s="226" t="s">
        <v>192</v>
      </c>
      <c r="D189" s="226" t="s">
        <v>1042</v>
      </c>
      <c r="E189" s="225">
        <v>43097.684918981482</v>
      </c>
      <c r="F189" s="225">
        <v>43097.695833333331</v>
      </c>
      <c r="G189" s="224">
        <v>72</v>
      </c>
      <c r="H189" s="226" t="s">
        <v>549</v>
      </c>
      <c r="I189" s="225">
        <v>43097.704525462963</v>
      </c>
      <c r="J189" s="224">
        <v>0</v>
      </c>
      <c r="K189" s="236" t="str">
        <f t="shared" si="62"/>
        <v>4017/4018</v>
      </c>
      <c r="L189" s="244" t="str">
        <f>VLOOKUP(A189,'Trips&amp;Operators'!$C$1:$G$99911,5,FALSE)</f>
        <v>STAMBAUGH JAMES</v>
      </c>
      <c r="M189" s="223">
        <f t="shared" si="63"/>
        <v>8.6921296315267682E-3</v>
      </c>
      <c r="N189" s="224">
        <f t="shared" si="84"/>
        <v>12.516666669398546</v>
      </c>
      <c r="O189" s="224"/>
      <c r="P189" s="224"/>
      <c r="Q189" s="227"/>
      <c r="R189" s="241"/>
      <c r="S189" s="248">
        <f t="shared" si="80"/>
        <v>1</v>
      </c>
      <c r="T189" s="241" t="str">
        <f t="shared" si="64"/>
        <v>Southbound</v>
      </c>
      <c r="U189" s="24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7" t="str">
        <f t="shared" si="65"/>
        <v>https://d0f6bd738d7f1b3e5a7ca70fe4ff75f0.us-east-1.aws.found.io/app/kibana#/discover/Steve-Slow-Train-Analysis-(2080s-and-2083s)?_g=(refreshInterval:(display:Off,pause:!f,section:0,value:0),time:(from:'2017-12-28T15:26:17-0700',mode:absolute,to:'2017-12-28T17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9" s="246" t="str">
        <f>IF(AA189&lt;VLOOKUP(AG189,Variables!$AC$3:$AD$8,2,FALSE),"Y","N")</f>
        <v>N</v>
      </c>
      <c r="X189" s="246">
        <f t="shared" si="85"/>
        <v>1</v>
      </c>
      <c r="Y189" s="246">
        <f t="shared" si="81"/>
        <v>5.8616999999999999</v>
      </c>
      <c r="Z189" s="246">
        <f t="shared" si="82"/>
        <v>1.55E-2</v>
      </c>
      <c r="AA189" s="246">
        <f t="shared" si="66"/>
        <v>5.8461999999999996</v>
      </c>
      <c r="AB189" s="232" t="e">
        <f>VLOOKUP(A189,Enforcements!$C$7:$K$9,8,0)</f>
        <v>#N/A</v>
      </c>
      <c r="AC189" s="231" t="e">
        <f>VLOOKUP(A189,Enforcements!$C$7:$E$9,3,0)</f>
        <v>#N/A</v>
      </c>
      <c r="AD189" s="242">
        <f t="shared" si="67"/>
        <v>830</v>
      </c>
      <c r="AE189" s="234" t="str">
        <f t="shared" si="68"/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AF189" s="233" t="str">
        <f t="shared" si="69"/>
        <v>"C:\Program Files (x86)\AstroGrep\AstroGrep.exe" /e /r /s /spath="%USERPROFILE%\AppData\Local\Temp\OnboardLogs" /stypes="app*4017*201712282*" /stext=" 23:.+?(?&gt;(PRM\|1\|D)|(KPR)|(KDP)|(train st[a-z]+ moving)|(SYSTEM_STATE:s[a-z]+ state changed)|(Enforcement Action)|(\[TIMEOUT)|(parse_ebi_status: Penalty)|(\|GPPS))"</v>
      </c>
      <c r="AG189" s="243" t="str">
        <f t="shared" si="70"/>
        <v>NW</v>
      </c>
      <c r="AH189" s="235" t="str">
        <f t="shared" si="73"/>
        <v>"%USERPROFILE%\Documents\GitHub\eaglep3\Utilities\RefineRTDCRunTimes.py" --tripid 830-28 --locoid 4017 --swversion DE.1.0.9.0 --startMP 300:58617 --initTime 2017-12-28T16:26:17 --startdatetime 2017-12-28T16:42:00 --delay 72 --endMP 204:155 --enddatetime 2017-12-28T16:54:31 --enforcementcount 0 &gt;&gt;%USERPROFILE%\Documents\GitHub\eaglep3-reporting\EC\2017-12-28-refined-times.txt</v>
      </c>
      <c r="AI189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{"issue":{"subject":"","project_id":79,"tracker_id":40,"status_id":1,"priority_id":2,"assigned_to_id":338,"start_date":"2017-12-28","description":"","custom_fields":[{"id":1,"name":"Subdivision","value":"NW"},{"id":4,"name":"Milepost","value":"0.0155"},{"id":17,"name":"Train ID","value":"830-28"},{"id":16,"name":"Locomotive ID","value":"4017"},{"id":130,"name":"Impact","value":""},{"id":150,"name":"Time of Event (Mountain Time)","value":"16:54:31"},{"id":151,"name":"Denver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0"/>
      <c r="AL189" s="230"/>
      <c r="AM189" s="239" t="str">
        <f t="shared" si="75"/>
        <v>start /low /b %USERPROFILE%\Documents\GitHub\eaglep3\Utilities\DownloadLogsFromS3.py --loco 4017 --day 2017-12-28</v>
      </c>
      <c r="AN189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23:54:31"},{"id":29,"name":"Sharepoint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29" t="str">
        <f t="shared" si="77"/>
        <v>https://d0f6bd738d7f1b3e5a7ca70fe4ff75f0.us-east-1.aws.found.io/app/kibana#/discover/Steve-Slow-Train-Analysis-(2080s-and-2083s)?_g=(refreshInterval:(display:Off,pause:!f,section:0,value:0),time:(from:'2017-12-28T15:26:17-0700',mode:absolute,to:'2017-12-28T17:54:31-0700'))&amp;_a=(columns:!('Message%20ID',Summary),filters:!(),index:'emp_*',interval:auto,query:(query_string:(analyze_wildcard:!t,query:'%22rtdc.l.rtdc.4017%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28" t="s">
        <v>841</v>
      </c>
      <c r="B190" s="224">
        <v>4016</v>
      </c>
      <c r="C190" s="226" t="s">
        <v>192</v>
      </c>
      <c r="D190" s="226" t="s">
        <v>1043</v>
      </c>
      <c r="E190" s="225">
        <v>43097.690474537034</v>
      </c>
      <c r="F190" s="225">
        <v>43097.693935185183</v>
      </c>
      <c r="G190" s="224">
        <v>61</v>
      </c>
      <c r="H190" s="226" t="s">
        <v>1044</v>
      </c>
      <c r="I190" s="225">
        <v>43097.704560185186</v>
      </c>
      <c r="J190" s="224">
        <v>0</v>
      </c>
      <c r="K190" s="236" t="str">
        <f t="shared" si="62"/>
        <v>4015/4016</v>
      </c>
      <c r="L190" s="244" t="str">
        <f>VLOOKUP(A190,'Trips&amp;Operators'!$C$1:$G$99911,5,FALSE)</f>
        <v>RESPASS AARON</v>
      </c>
      <c r="M190" s="223">
        <f t="shared" si="63"/>
        <v>1.0625000002619345E-2</v>
      </c>
      <c r="N190" s="224">
        <f t="shared" si="84"/>
        <v>15.300000003771856</v>
      </c>
      <c r="O190" s="224"/>
      <c r="P190" s="224"/>
      <c r="Q190" s="227"/>
      <c r="R190" s="241"/>
      <c r="S190" s="248">
        <f t="shared" si="80"/>
        <v>1</v>
      </c>
      <c r="T190" s="241" t="str">
        <f t="shared" si="64"/>
        <v>NorthBound</v>
      </c>
      <c r="U190" s="24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7" t="str">
        <f t="shared" si="65"/>
        <v>https://d0f6bd738d7f1b3e5a7ca70fe4ff75f0.us-east-1.aws.found.io/app/kibana#/discover/Steve-Slow-Train-Analysis-(2080s-and-2083s)?_g=(refreshInterval:(display:Off,pause:!f,section:0,value:0),time:(from:'2017-12-28T15:34:17-0700',mode:absolute,to:'2017-12-28T17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0" s="246" t="str">
        <f>IF(AA190&lt;VLOOKUP(AG190,Variables!$AC$3:$AD$8,2,FALSE),"Y","N")</f>
        <v>N</v>
      </c>
      <c r="X190" s="246">
        <f t="shared" si="85"/>
        <v>1</v>
      </c>
      <c r="Y190" s="246">
        <f t="shared" si="81"/>
        <v>4.2099999999999999E-2</v>
      </c>
      <c r="Z190" s="246">
        <f t="shared" si="82"/>
        <v>5.8924000000000003</v>
      </c>
      <c r="AA190" s="246">
        <f t="shared" si="66"/>
        <v>5.8503000000000007</v>
      </c>
      <c r="AB190" s="232" t="e">
        <f>VLOOKUP(A190,Enforcements!$C$7:$K$9,8,0)</f>
        <v>#N/A</v>
      </c>
      <c r="AC190" s="231" t="e">
        <f>VLOOKUP(A190,Enforcements!$C$7:$E$9,3,0)</f>
        <v>#N/A</v>
      </c>
      <c r="AD190" s="242">
        <f t="shared" si="67"/>
        <v>831</v>
      </c>
      <c r="AE190" s="234" t="str">
        <f t="shared" si="68"/>
        <v>aws s3 cp s3://rtdc.mdm.uploadarchive.raw/RTDC4016/ "%USERPROFILE%\AppData\Local\Temp\OnboardLogs"\RTDC4016\2017-12-28 --exclude "*" --recursive --include "*20171228*" &amp; "%USERPROFILE%\Documents\GitHub\mrs-test-scripts\Headless Mode &amp; Sideloading\WalkAndUnGZ.bat" "%USERPROFILE%\AppData\Local\Temp\OnboardLogs"\RTDC4016\2017-12-28 &amp; aws s3 cp s3://rtdc.mdm.uploadarchive.raw/RTDC4016/ "%USERPROFILE%\AppData\Local\Temp\OnboardLogs"\RTDC4016\2017-12-29 --exclude "*" --recursive --include "*20171229*" &amp; "%USERPROFILE%\Documents\GitHub\mrs-test-scripts\Headless Mode &amp; Sideloading\WalkAndUnGZ.bat" "%USERPROFILE%\AppData\Local\Temp\OnboardLogs"\RTDC4016\2017-12-29</v>
      </c>
      <c r="AF190" s="233" t="str">
        <f t="shared" si="69"/>
        <v>"C:\Program Files (x86)\AstroGrep\AstroGrep.exe" /e /r /s /spath="%USERPROFILE%\AppData\Local\Temp\OnboardLogs" /stypes="app*4016*201712282*" /stext=" 23:.+?(?&gt;(PRM\|1\|D)|(KPR)|(KDP)|(train st[a-z]+ moving)|(SYSTEM_STATE:s[a-z]+ state changed)|(Enforcement Action)|(\[TIMEOUT)|(parse_ebi_status: Penalty)|(\|GPPS))"</v>
      </c>
      <c r="AG190" s="243" t="str">
        <f t="shared" si="70"/>
        <v>NW</v>
      </c>
      <c r="AH190" s="235" t="str">
        <f t="shared" si="73"/>
        <v>"%USERPROFILE%\Documents\GitHub\eaglep3\Utilities\RefineRTDCRunTimes.py" --tripid 831-28 --locoid 4016 --swversion DE.1.0.9.0 --startMP 204:421 --initTime 2017-12-28T16:34:17 --startdatetime 2017-12-28T16:39:16 --delay 61 --endMP 300:58924 --enddatetime 2017-12-28T16:54:34 --enforcementcount 0 &gt;&gt;%USERPROFILE%\Documents\GitHub\eaglep3-reporting\EC\2017-12-28-refined-times.txt</v>
      </c>
      <c r="AI190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{"issue":{"subject":"","project_id":79,"tracker_id":40,"status_id":1,"priority_id":2,"assigned_to_id":338,"start_date":"2017-12-28","description":"","custom_fields":[{"id":1,"name":"Subdivision","value":"NW"},{"id":4,"name":"Milepost","value":"5.8924"},{"id":17,"name":"Train ID","value":"831-28"},{"id":16,"name":"Locomotive ID","value":"4016"},{"id":130,"name":"Impact","value":""},{"id":150,"name":"Time of Event (Mountain Time)","value":"16:54:34"},{"id":151,"name":"Denver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2"/>
      <c r="AK190" s="230"/>
      <c r="AL190" s="230"/>
      <c r="AM190" s="239" t="str">
        <f t="shared" si="75"/>
        <v>start /low /b %USERPROFILE%\Documents\GitHub\eaglep3\Utilities\DownloadLogsFromS3.py --loco 4016 --day 2017-12-28</v>
      </c>
      <c r="AN190" s="240" t="str">
        <f t="shared" si="76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23:54:34"},{"id":29,"name":"Sharepoint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29" t="str">
        <f t="shared" si="77"/>
        <v>https://d0f6bd738d7f1b3e5a7ca70fe4ff75f0.us-east-1.aws.found.io/app/kibana#/discover/Steve-Slow-Train-Analysis-(2080s-and-2083s)?_g=(refreshInterval:(display:Off,pause:!f,section:0,value:0),time:(from:'2017-12-28T15:34:17-0700',mode:absolute,to:'2017-12-28T17:54:34-0700'))&amp;_a=(columns:!('Message%20ID',Summary),filters:!(),index:'emp_*',interval:auto,query:(query_string:(analyze_wildcard:!t,query:'%22rtdc.l.rtdc.4016%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28" t="s">
        <v>845</v>
      </c>
      <c r="B191" s="224">
        <v>4015</v>
      </c>
      <c r="C191" s="226" t="s">
        <v>192</v>
      </c>
      <c r="D191" s="226" t="s">
        <v>1045</v>
      </c>
      <c r="E191" s="225">
        <v>43097.706423611111</v>
      </c>
      <c r="F191" s="225">
        <v>43097.716666666667</v>
      </c>
      <c r="G191" s="224">
        <v>63</v>
      </c>
      <c r="H191" s="226" t="s">
        <v>1046</v>
      </c>
      <c r="I191" s="225">
        <v>43097.725300925929</v>
      </c>
      <c r="J191" s="224">
        <v>0</v>
      </c>
      <c r="K191" s="236" t="str">
        <f t="shared" si="62"/>
        <v>4015/4016</v>
      </c>
      <c r="L191" s="244" t="str">
        <f>VLOOKUP(A191,'Trips&amp;Operators'!$C$1:$G$99911,5,FALSE)</f>
        <v>RESPASS AARON</v>
      </c>
      <c r="M191" s="223">
        <f t="shared" si="63"/>
        <v>8.6342592621804215E-3</v>
      </c>
      <c r="N191" s="224">
        <f t="shared" si="84"/>
        <v>12.433333337539807</v>
      </c>
      <c r="O191" s="224"/>
      <c r="P191" s="224"/>
      <c r="Q191" s="227"/>
      <c r="R191" s="241"/>
      <c r="S191" s="248">
        <f t="shared" si="80"/>
        <v>1</v>
      </c>
      <c r="T191" s="241" t="str">
        <f t="shared" si="64"/>
        <v>Southbound</v>
      </c>
      <c r="U191" s="24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7" t="str">
        <f t="shared" si="65"/>
        <v>https://d0f6bd738d7f1b3e5a7ca70fe4ff75f0.us-east-1.aws.found.io/app/kibana#/discover/Steve-Slow-Train-Analysis-(2080s-and-2083s)?_g=(refreshInterval:(display:Off,pause:!f,section:0,value:0),time:(from:'2017-12-28T15:57:15-0700',mode:absolute,to:'2017-12-28T18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1" s="246" t="str">
        <f>IF(AA191&lt;VLOOKUP(AG191,Variables!$AC$3:$AD$8,2,FALSE),"Y","N")</f>
        <v>N</v>
      </c>
      <c r="X191" s="246">
        <f t="shared" si="85"/>
        <v>1</v>
      </c>
      <c r="Y191" s="246">
        <f t="shared" si="81"/>
        <v>5.86</v>
      </c>
      <c r="Z191" s="246">
        <f t="shared" si="82"/>
        <v>1.35E-2</v>
      </c>
      <c r="AA191" s="246">
        <f t="shared" si="66"/>
        <v>5.8465000000000007</v>
      </c>
      <c r="AB191" s="232" t="e">
        <f>VLOOKUP(A191,Enforcements!$C$7:$K$9,8,0)</f>
        <v>#N/A</v>
      </c>
      <c r="AC191" s="231" t="e">
        <f>VLOOKUP(A191,Enforcements!$C$7:$E$9,3,0)</f>
        <v>#N/A</v>
      </c>
      <c r="AD191" s="242">
        <f t="shared" si="67"/>
        <v>832</v>
      </c>
      <c r="AE191" s="234" t="str">
        <f t="shared" si="68"/>
        <v>aws s3 cp s3://rtdc.mdm.uploadarchive.raw/RTDC4015/ "%USERPROFILE%\AppData\Local\Temp\OnboardLogs"\RTDC4015\2017-12-28 --exclude "*" --recursive --include "*20171228*" &amp; "%USERPROFILE%\Documents\GitHub\mrs-test-scripts\Headless Mode &amp; Sideloading\WalkAndUnGZ.bat" "%USERPROFILE%\AppData\Local\Temp\OnboardLogs"\RTDC4015\2017-12-28 &amp; aws s3 cp s3://rtdc.mdm.uploadarchive.raw/RTDC4015/ "%USERPROFILE%\AppData\Local\Temp\OnboardLogs"\RTDC4015\2017-12-29 --exclude "*" --recursive --include "*20171229*" &amp; "%USERPROFILE%\Documents\GitHub\mrs-test-scripts\Headless Mode &amp; Sideloading\WalkAndUnGZ.bat" "%USERPROFILE%\AppData\Local\Temp\OnboardLogs"\RTDC4015\2017-12-29</v>
      </c>
      <c r="AF191" s="233" t="str">
        <f t="shared" si="69"/>
        <v>"C:\Program Files (x86)\AstroGrep\AstroGrep.exe" /e /r /s /spath="%USERPROFILE%\AppData\Local\Temp\OnboardLogs" /stypes="app*4015*201712290*" /stext=" 00:.+?(?&gt;(PRM\|1\|D)|(KPR)|(KDP)|(train st[a-z]+ moving)|(SYSTEM_STATE:s[a-z]+ state changed)|(Enforcement Action)|(\[TIMEOUT)|(parse_ebi_status: Penalty)|(\|GPPS))"</v>
      </c>
      <c r="AG191" s="243" t="str">
        <f t="shared" si="70"/>
        <v>NW</v>
      </c>
      <c r="AH191" s="235" t="str">
        <f t="shared" si="73"/>
        <v>"%USERPROFILE%\Documents\GitHub\eaglep3\Utilities\RefineRTDCRunTimes.py" --tripid 832-28 --locoid 4015 --swversion DE.1.0.9.0 --startMP 300:58600 --initTime 2017-12-28T16:57:15 --startdatetime 2017-12-28T17:12:00 --delay 63 --endMP 204:135 --enddatetime 2017-12-28T17:24:26 --enforcementcount 0 &gt;&gt;%USERPROFILE%\Documents\GitHub\eaglep3-reporting\EC\2017-12-28-refined-times.txt</v>
      </c>
      <c r="AI191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{"issue":{"subject":"","project_id":79,"tracker_id":40,"status_id":1,"priority_id":2,"assigned_to_id":338,"start_date":"2017-12-28","description":"","custom_fields":[{"id":1,"name":"Subdivision","value":"NW"},{"id":4,"name":"Milepost","value":"0.0135"},{"id":17,"name":"Train ID","value":"832-28"},{"id":16,"name":"Locomotive ID","value":"4015"},{"id":130,"name":"Impact","value":""},{"id":150,"name":"Time of Event (Mountain Time)","value":"17:24:26"},{"id":151,"name":"Denver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2"/>
      <c r="AK191" s="230"/>
      <c r="AL191" s="230"/>
      <c r="AM191" s="239" t="str">
        <f t="shared" si="75"/>
        <v>start /low /b %USERPROFILE%\Documents\GitHub\eaglep3\Utilities\DownloadLogsFromS3.py --loco 4015 --day 2017-12-28</v>
      </c>
      <c r="AN191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00:24:26"},{"id":29,"name":"Sharepoint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29" t="str">
        <f t="shared" si="77"/>
        <v>https://d0f6bd738d7f1b3e5a7ca70fe4ff75f0.us-east-1.aws.found.io/app/kibana#/discover/Steve-Slow-Train-Analysis-(2080s-and-2083s)?_g=(refreshInterval:(display:Off,pause:!f,section:0,value:0),time:(from:'2017-12-28T15:57:15-0700',mode:absolute,to:'2017-12-28T18:24:26-0700'))&amp;_a=(columns:!('Message%20ID',Summary),filters:!(),index:'emp_*',interval:auto,query:(query_string:(analyze_wildcard:!t,query:'%22rtdc.l.rtdc.4015%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2" customFormat="1" x14ac:dyDescent="0.25">
      <c r="A192" s="228" t="s">
        <v>847</v>
      </c>
      <c r="B192" s="224">
        <v>4018</v>
      </c>
      <c r="C192" s="226" t="s">
        <v>192</v>
      </c>
      <c r="D192" s="226" t="s">
        <v>530</v>
      </c>
      <c r="E192" s="225">
        <v>43097.711701388886</v>
      </c>
      <c r="F192" s="225">
        <v>43097.715416666666</v>
      </c>
      <c r="G192" s="224">
        <v>47</v>
      </c>
      <c r="H192" s="226" t="s">
        <v>1047</v>
      </c>
      <c r="I192" s="225">
        <v>43097.725428240738</v>
      </c>
      <c r="J192" s="224">
        <v>0</v>
      </c>
      <c r="K192" s="236" t="str">
        <f t="shared" si="62"/>
        <v>4017/4018</v>
      </c>
      <c r="L192" s="244" t="str">
        <f>VLOOKUP(A192,'Trips&amp;Operators'!$C$1:$G$99911,5,FALSE)</f>
        <v>STAMBAUGH JAMES</v>
      </c>
      <c r="M192" s="223">
        <f t="shared" si="63"/>
        <v>1.0011574071540963E-2</v>
      </c>
      <c r="N192" s="224">
        <f t="shared" si="84"/>
        <v>14.416666663018987</v>
      </c>
      <c r="O192" s="224"/>
      <c r="P192" s="224"/>
      <c r="Q192" s="227"/>
      <c r="R192" s="241"/>
      <c r="S192" s="248">
        <f t="shared" si="80"/>
        <v>1</v>
      </c>
      <c r="T192" s="241" t="str">
        <f t="shared" si="64"/>
        <v>NorthBound</v>
      </c>
      <c r="U192" s="24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7" t="str">
        <f t="shared" si="65"/>
        <v>https://d0f6bd738d7f1b3e5a7ca70fe4ff75f0.us-east-1.aws.found.io/app/kibana#/discover/Steve-Slow-Train-Analysis-(2080s-and-2083s)?_g=(refreshInterval:(display:Off,pause:!f,section:0,value:0),time:(from:'2017-12-28T16:04:51-0700',mode:absolute,to:'2017-12-28T18:24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2" s="246" t="str">
        <f>IF(AA192&lt;VLOOKUP(AG192,Variables!$AC$3:$AD$8,2,FALSE),"Y","N")</f>
        <v>N</v>
      </c>
      <c r="X192" s="246">
        <f t="shared" si="85"/>
        <v>1</v>
      </c>
      <c r="Y192" s="246">
        <f t="shared" si="81"/>
        <v>4.5499999999999999E-2</v>
      </c>
      <c r="Z192" s="246">
        <f t="shared" si="82"/>
        <v>5.8944000000000001</v>
      </c>
      <c r="AA192" s="246">
        <f t="shared" si="66"/>
        <v>5.8489000000000004</v>
      </c>
      <c r="AB192" s="232" t="e">
        <f>VLOOKUP(A192,Enforcements!$C$7:$K$9,8,0)</f>
        <v>#N/A</v>
      </c>
      <c r="AC192" s="231" t="e">
        <f>VLOOKUP(A192,Enforcements!$C$7:$E$9,3,0)</f>
        <v>#N/A</v>
      </c>
      <c r="AD192" s="242">
        <f t="shared" si="67"/>
        <v>833</v>
      </c>
      <c r="AE192" s="234" t="str">
        <f t="shared" si="68"/>
        <v>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 &amp; 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</v>
      </c>
      <c r="AF192" s="233" t="str">
        <f t="shared" si="69"/>
        <v>"C:\Program Files (x86)\AstroGrep\AstroGrep.exe" /e /r /s /spath="%USERPROFILE%\AppData\Local\Temp\OnboardLogs" /stypes="app*4018*201712290*" /stext=" 00:.+?(?&gt;(PRM\|1\|D)|(KPR)|(KDP)|(train st[a-z]+ moving)|(SYSTEM_STATE:s[a-z]+ state changed)|(Enforcement Action)|(\[TIMEOUT)|(parse_ebi_status: Penalty)|(\|GPPS))"</v>
      </c>
      <c r="AG192" s="243" t="str">
        <f t="shared" si="70"/>
        <v>NW</v>
      </c>
      <c r="AH192" s="235" t="str">
        <f t="shared" si="73"/>
        <v>"%USERPROFILE%\Documents\GitHub\eaglep3\Utilities\RefineRTDCRunTimes.py" --tripid 833-28 --locoid 4018 --swversion DE.1.0.9.0 --startMP 204:455 --initTime 2017-12-28T17:04:51 --startdatetime 2017-12-28T17:10:12 --delay 47 --endMP 300:58944 --enddatetime 2017-12-28T17:24:37 --enforcementcount 0 &gt;&gt;%USERPROFILE%\Documents\GitHub\eaglep3-reporting\EC\2017-12-28-refined-times.txt</v>
      </c>
      <c r="AI192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{"issue":{"subject":"","project_id":79,"tracker_id":40,"status_id":1,"priority_id":2,"assigned_to_id":338,"start_date":"2017-12-28","description":"","custom_fields":[{"id":1,"name":"Subdivision","value":"NW"},{"id":4,"name":"Milepost","value":"5.8944"},{"id":17,"name":"Train ID","value":"833-28"},{"id":16,"name":"Locomotive ID","value":"4018"},{"id":130,"name":"Impact","value":""},{"id":150,"name":"Time of Event (Mountain Time)","value":"17:24:37"},{"id":151,"name":"Denver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0"/>
      <c r="AL192" s="230"/>
      <c r="AM192" s="239" t="str">
        <f t="shared" si="75"/>
        <v>start /low /b %USERPROFILE%\Documents\GitHub\eaglep3\Utilities\DownloadLogsFromS3.py --loco 4018 --day 2017-12-28</v>
      </c>
      <c r="AN192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00:24:37"},{"id":29,"name":"Sharepoint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29" t="str">
        <f t="shared" si="77"/>
        <v>https://d0f6bd738d7f1b3e5a7ca70fe4ff75f0.us-east-1.aws.found.io/app/kibana#/discover/Steve-Slow-Train-Analysis-(2080s-and-2083s)?_g=(refreshInterval:(display:Off,pause:!f,section:0,value:0),time:(from:'2017-12-28T16:04:51-0700',mode:absolute,to:'2017-12-28T18:24:37-0700'))&amp;_a=(columns:!('Message%20ID',Summary),filters:!(),index:'emp_*',interval:auto,query:(query_string:(analyze_wildcard:!t,query:'%22rtdc.l.rtdc.4018%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228" t="s">
        <v>852</v>
      </c>
      <c r="B193" s="224">
        <v>4017</v>
      </c>
      <c r="C193" s="226" t="s">
        <v>192</v>
      </c>
      <c r="D193" s="226" t="s">
        <v>1048</v>
      </c>
      <c r="E193" s="225">
        <v>43097.726354166669</v>
      </c>
      <c r="F193" s="225">
        <v>43097.737500000003</v>
      </c>
      <c r="G193" s="224">
        <v>60</v>
      </c>
      <c r="H193" s="226" t="s">
        <v>593</v>
      </c>
      <c r="I193" s="225">
        <v>43097.746099537035</v>
      </c>
      <c r="J193" s="224">
        <v>0</v>
      </c>
      <c r="K193" s="236" t="str">
        <f t="shared" si="62"/>
        <v>4017/4018</v>
      </c>
      <c r="L193" s="244" t="str">
        <f>VLOOKUP(A193,'Trips&amp;Operators'!$C$1:$G$99911,5,FALSE)</f>
        <v>STAMBAUGH JAMES</v>
      </c>
      <c r="M193" s="223">
        <f t="shared" si="63"/>
        <v>8.5995370318414643E-3</v>
      </c>
      <c r="N193" s="224">
        <f t="shared" si="84"/>
        <v>12.383333325851709</v>
      </c>
      <c r="O193" s="224"/>
      <c r="P193" s="224"/>
      <c r="Q193" s="227"/>
      <c r="R193" s="241"/>
      <c r="S193" s="248">
        <f t="shared" si="80"/>
        <v>1</v>
      </c>
      <c r="T193" s="241" t="str">
        <f t="shared" si="64"/>
        <v>Southbound</v>
      </c>
      <c r="U193" s="24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7" t="str">
        <f t="shared" si="65"/>
        <v>https://d0f6bd738d7f1b3e5a7ca70fe4ff75f0.us-east-1.aws.found.io/app/kibana#/discover/Steve-Slow-Train-Analysis-(2080s-and-2083s)?_g=(refreshInterval:(display:Off,pause:!f,section:0,value:0),time:(from:'2017-12-28T16:25:57-0700',mode:absolute,to:'2017-12-28T18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3" s="246" t="str">
        <f>IF(AA193&lt;VLOOKUP(AG193,Variables!$AC$3:$AD$8,2,FALSE),"Y","N")</f>
        <v>N</v>
      </c>
      <c r="X193" s="246">
        <f t="shared" si="85"/>
        <v>1</v>
      </c>
      <c r="Y193" s="246">
        <f t="shared" si="81"/>
        <v>5.8623000000000003</v>
      </c>
      <c r="Z193" s="246">
        <f t="shared" si="82"/>
        <v>1.6199999999999999E-2</v>
      </c>
      <c r="AA193" s="246">
        <f t="shared" si="66"/>
        <v>5.8460999999999999</v>
      </c>
      <c r="AB193" s="232" t="e">
        <f>VLOOKUP(A193,Enforcements!$C$7:$K$9,8,0)</f>
        <v>#N/A</v>
      </c>
      <c r="AC193" s="231" t="e">
        <f>VLOOKUP(A193,Enforcements!$C$7:$E$9,3,0)</f>
        <v>#N/A</v>
      </c>
      <c r="AD193" s="242">
        <f t="shared" si="67"/>
        <v>834</v>
      </c>
      <c r="AE193" s="234" t="str">
        <f t="shared" si="68"/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AF193" s="233" t="str">
        <f t="shared" si="69"/>
        <v>"C:\Program Files (x86)\AstroGrep\AstroGrep.exe" /e /r /s /spath="%USERPROFILE%\AppData\Local\Temp\OnboardLogs" /stypes="app*4017*201712290*" /stext=" 00:.+?(?&gt;(PRM\|1\|D)|(KPR)|(KDP)|(train st[a-z]+ moving)|(SYSTEM_STATE:s[a-z]+ state changed)|(Enforcement Action)|(\[TIMEOUT)|(parse_ebi_status: Penalty)|(\|GPPS))"</v>
      </c>
      <c r="AG193" s="243" t="str">
        <f t="shared" si="70"/>
        <v>NW</v>
      </c>
      <c r="AH193" s="235" t="str">
        <f t="shared" si="73"/>
        <v>"%USERPROFILE%\Documents\GitHub\eaglep3\Utilities\RefineRTDCRunTimes.py" --tripid 834-28 --locoid 4017 --swversion DE.1.0.9.0 --startMP 300:58623 --initTime 2017-12-28T17:25:57 --startdatetime 2017-12-28T17:42:00 --delay 60 --endMP 204:162 --enddatetime 2017-12-28T17:54:23 --enforcementcount 0 &gt;&gt;%USERPROFILE%\Documents\GitHub\eaglep3-reporting\EC\2017-12-28-refined-times.txt</v>
      </c>
      <c r="AI193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{"issue":{"subject":"","project_id":79,"tracker_id":40,"status_id":1,"priority_id":2,"assigned_to_id":338,"start_date":"2017-12-28","description":"","custom_fields":[{"id":1,"name":"Subdivision","value":"NW"},{"id":4,"name":"Milepost","value":"0.0162"},{"id":17,"name":"Train ID","value":"834-28"},{"id":16,"name":"Locomotive ID","value":"4017"},{"id":130,"name":"Impact","value":""},{"id":150,"name":"Time of Event (Mountain Time)","value":"17:54:23"},{"id":151,"name":"Denver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2"/>
      <c r="AK193" s="230"/>
      <c r="AL193" s="230"/>
      <c r="AM193" s="239" t="str">
        <f t="shared" si="75"/>
        <v>start /low /b %USERPROFILE%\Documents\GitHub\eaglep3\Utilities\DownloadLogsFromS3.py --loco 4017 --day 2017-12-28</v>
      </c>
      <c r="AN193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00:54:23"},{"id":29,"name":"Sharepoint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29" t="str">
        <f t="shared" si="77"/>
        <v>https://d0f6bd738d7f1b3e5a7ca70fe4ff75f0.us-east-1.aws.found.io/app/kibana#/discover/Steve-Slow-Train-Analysis-(2080s-and-2083s)?_g=(refreshInterval:(display:Off,pause:!f,section:0,value:0),time:(from:'2017-12-28T16:25:57-0700',mode:absolute,to:'2017-12-28T18:54:23-0700'))&amp;_a=(columns:!('Message%20ID',Summary),filters:!(),index:'emp_*',interval:auto,query:(query_string:(analyze_wildcard:!t,query:'%22rtdc.l.rtdc.4017%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2" customFormat="1" x14ac:dyDescent="0.25">
      <c r="A194" s="228" t="s">
        <v>853</v>
      </c>
      <c r="B194" s="224">
        <v>4016</v>
      </c>
      <c r="C194" s="226" t="s">
        <v>192</v>
      </c>
      <c r="D194" s="226" t="s">
        <v>1048</v>
      </c>
      <c r="E194" s="225">
        <v>43097.726354166669</v>
      </c>
      <c r="F194" s="225">
        <v>43097.735671296294</v>
      </c>
      <c r="G194" s="224">
        <v>60</v>
      </c>
      <c r="H194" s="226" t="s">
        <v>593</v>
      </c>
      <c r="I194" s="225">
        <v>43097.746192129627</v>
      </c>
      <c r="J194" s="224">
        <v>0</v>
      </c>
      <c r="K194" s="236" t="str">
        <f t="shared" si="62"/>
        <v>4015/4016</v>
      </c>
      <c r="L194" s="244" t="str">
        <f>VLOOKUP(A194,'Trips&amp;Operators'!$C$1:$G$99911,5,FALSE)</f>
        <v>RESPASS AARON</v>
      </c>
      <c r="M194" s="223">
        <f t="shared" si="63"/>
        <v>1.0520833333430346E-2</v>
      </c>
      <c r="N194" s="224">
        <f t="shared" si="84"/>
        <v>15.150000000139698</v>
      </c>
      <c r="O194" s="224"/>
      <c r="P194" s="224"/>
      <c r="Q194" s="227"/>
      <c r="R194" s="241"/>
      <c r="S194" s="248">
        <f t="shared" si="80"/>
        <v>1</v>
      </c>
      <c r="T194" s="241" t="str">
        <f t="shared" si="64"/>
        <v>NorthBound</v>
      </c>
      <c r="U194" s="24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7" t="str">
        <f t="shared" si="65"/>
        <v>https://d0f6bd738d7f1b3e5a7ca70fe4ff75f0.us-east-1.aws.found.io/app/kibana#/discover/Steve-Slow-Train-Analysis-(2080s-and-2083s)?_g=(refreshInterval:(display:Off,pause:!f,section:0,value:0),time:(from:'2017-12-28T16:25:57-0700',mode:absolute,to:'2017-12-28T18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4" s="246" t="str">
        <f>IF(AA194&lt;VLOOKUP(AG194,Variables!$AC$3:$AD$8,2,FALSE),"Y","N")</f>
        <v>N</v>
      </c>
      <c r="X194" s="246">
        <f t="shared" ref="X194:X197" si="86">VALUE(LEFT(AD194,4))-VALUE(LEFT(AD193,4))</f>
        <v>1</v>
      </c>
      <c r="Y194" s="246">
        <v>4.5499999999999999E-2</v>
      </c>
      <c r="Z194" s="246">
        <v>5.8944000000000001</v>
      </c>
      <c r="AA194" s="246">
        <f t="shared" si="66"/>
        <v>5.8489000000000004</v>
      </c>
      <c r="AB194" s="232" t="e">
        <f>VLOOKUP(A194,Enforcements!$C$7:$K$9,8,0)</f>
        <v>#N/A</v>
      </c>
      <c r="AC194" s="231" t="e">
        <f>VLOOKUP(A194,Enforcements!$C$7:$E$9,3,0)</f>
        <v>#N/A</v>
      </c>
      <c r="AD194" s="242">
        <f t="shared" si="67"/>
        <v>835</v>
      </c>
      <c r="AE194" s="234" t="str">
        <f t="shared" si="68"/>
        <v>aws s3 cp s3://rtdc.mdm.uploadarchive.raw/RTDC4016/ "%USERPROFILE%\AppData\Local\Temp\OnboardLogs"\RTDC4016\2017-12-28 --exclude "*" --recursive --include "*20171228*" &amp; "%USERPROFILE%\Documents\GitHub\mrs-test-scripts\Headless Mode &amp; Sideloading\WalkAndUnGZ.bat" "%USERPROFILE%\AppData\Local\Temp\OnboardLogs"\RTDC4016\2017-12-28 &amp; aws s3 cp s3://rtdc.mdm.uploadarchive.raw/RTDC4016/ "%USERPROFILE%\AppData\Local\Temp\OnboardLogs"\RTDC4016\2017-12-29 --exclude "*" --recursive --include "*20171229*" &amp; "%USERPROFILE%\Documents\GitHub\mrs-test-scripts\Headless Mode &amp; Sideloading\WalkAndUnGZ.bat" "%USERPROFILE%\AppData\Local\Temp\OnboardLogs"\RTDC4016\2017-12-29</v>
      </c>
      <c r="AF194" s="233" t="str">
        <f t="shared" si="69"/>
        <v>"C:\Program Files (x86)\AstroGrep\AstroGrep.exe" /e /r /s /spath="%USERPROFILE%\AppData\Local\Temp\OnboardLogs" /stypes="app*4016*201712290*" /stext=" 00:.+?(?&gt;(PRM\|1\|D)|(KPR)|(KDP)|(train st[a-z]+ moving)|(SYSTEM_STATE:s[a-z]+ state changed)|(Enforcement Action)|(\[TIMEOUT)|(parse_ebi_status: Penalty)|(\|GPPS))"</v>
      </c>
      <c r="AG194" s="243" t="str">
        <f t="shared" si="70"/>
        <v>NW</v>
      </c>
      <c r="AH194" s="235" t="str">
        <f t="shared" ref="AH194" si="87"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"&amp;J194&amp;IF(outputrefinedruntimes," &gt;&gt;"&amp;RefinedRTDCRunTimesOutputFile,"")</f>
        <v>"%USERPROFILE%\Documents\GitHub\eaglep3\Utilities\RefineRTDCRunTimes.py" --tripid 835-28 --locoid 4016 --swversion DE.1.0.9.0 --startMP 300:58623 --initTime 2017-12-28T17:25:57 --startdatetime 2017-12-28T17:39:22 --delay 60 --endMP 204:162 --enddatetime 2017-12-28T17:54:31 --enforcementcount 0 &gt;&gt;%USERPROFILE%\Documents\GitHub\eaglep3-reporting\EC\2017-12-28-refined-times.txt</v>
      </c>
      <c r="AI194" s="237" t="str">
        <f t="shared" ref="AI194" si="88">"echo {""issue"":{""subject"":"""&amp;R194&amp;""",""project_id"":79,""tracker_id"":40,""status_id"":"&amp;redmine_status&amp;",""priority_id"":"&amp;redmine_priority&amp;",""assigned_to_id"":"&amp;redmine_assignee&amp;",""start_date"":"""&amp;TEXT(I194,"YYYY-mm-dd")&amp;""",""description"":"""&amp;AJ194&amp;""",""custom_fields"":[{""id"":1,""name"":""Subdivision"",""value"":"""&amp;AG194&amp;"""},{""id"":4,""name"":""Milepost"",""value"":"""&amp;Z194&amp;"""},{""id"":17,""name"":""Train ID"",""value"":"""&amp;A194&amp;"""},{""id"":16,""name"":""Locomotive ID"",""value"":"""&amp;B194&amp;"""},{""id"":130,""name"":""Impact"",""value"":"""&amp;AK194&amp;"""},{""id"":150,""name"":""Time of Event (Mountain Time)"",""value"":"""&amp;TEXT(I194,"hh:mm:ss")&amp;"""},{""id"":151,""name"":""Denver Issue ID"",""value"":"""&amp;"""},{""id"":178,""name"":""Operational Impact"",""value"":"""&amp;redmine_op_impact&amp;"""},{""id"":179,""name"":""Denver Segment Assigned"",""value"":"""&amp;AL194&amp;"""}]}}"&amp;"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{"issue":{"subject":"","project_id":79,"tracker_id":40,"status_id":1,"priority_id":2,"assigned_to_id":338,"start_date":"2017-12-28","description":"","custom_fields":[{"id":1,"name":"Subdivision","value":"NW"},{"id":4,"name":"Milepost","value":"5.8944"},{"id":17,"name":"Train ID","value":"835-28"},{"id":16,"name":"Locomotive ID","value":"4016"},{"id":130,"name":"Impact","value":""},{"id":150,"name":"Time of Event (Mountain Time)","value":"17:54:31"},{"id":151,"name":"Denver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0"/>
      <c r="AL194" s="230"/>
      <c r="AM194" s="239" t="str">
        <f t="shared" ref="AM194" si="89">"start /low /b "&amp;dls3logs&amp;" --loco "&amp;B194&amp;" --day "&amp;TEXT(F194,"YYYY-MM-DD")</f>
        <v>start /low /b %USERPROFILE%\Documents\GitHub\eaglep3\Utilities\DownloadLogsFromS3.py --loco 4016 --day 2017-12-28</v>
      </c>
      <c r="AN194" s="240" t="str">
        <f t="shared" ref="AN194" si="90">"echo {""issue"":{""subject"":"""&amp;R194&amp;""",""project_id"":30,""tracker_id"":4,""status_id"":"&amp;redmine_status_wcr&amp;",""priority_id"":"&amp;redmine_priority_wcr&amp;",""assigned_to_id"":"&amp;redmine_assignee_wcr&amp;",""start_date"":"""&amp;TEXT(I194-utc_offset/24,"YYYY-mm-dd")&amp;""",""description"":"""&amp;AJ194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00:54:31"},{"id":29,"name":"Sharepoint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29" t="str">
        <f t="shared" ref="AO194" si="91"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Message%20ID',Summary),filters:!(),index:'emp_*',interval:auto,query:"&amp;"(query_string:(analyze_wildcard:!t,query:'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-28T16:25:57-0700',mode:absolute,to:'2017-12-28T18:54:31-0700'))&amp;_a=(columns:!('Message%20ID',Summary),filters:!(),index:'emp_*',interval:auto,query:(query_string:(analyze_wildcard:!t,query:'%22rtdc.l.rtdc.4016%22')),sort:!(Time.ISO8601,asc))</v>
      </c>
    </row>
    <row r="195" spans="1:91" s="222" customFormat="1" x14ac:dyDescent="0.25">
      <c r="A195" s="228" t="s">
        <v>859</v>
      </c>
      <c r="B195" s="224">
        <v>4015</v>
      </c>
      <c r="C195" s="226" t="s">
        <v>192</v>
      </c>
      <c r="D195" s="226" t="s">
        <v>1049</v>
      </c>
      <c r="E195" s="225">
        <v>43097.748854166668</v>
      </c>
      <c r="F195" s="225">
        <v>43097.758333333331</v>
      </c>
      <c r="G195" s="224">
        <v>81</v>
      </c>
      <c r="H195" s="226" t="s">
        <v>531</v>
      </c>
      <c r="I195" s="225">
        <v>43097.767013888886</v>
      </c>
      <c r="J195" s="224">
        <v>0</v>
      </c>
      <c r="K195" s="236" t="str">
        <f t="shared" si="62"/>
        <v>4015/4016</v>
      </c>
      <c r="L195" s="244" t="str">
        <f>VLOOKUP(A195,'Trips&amp;Operators'!$C$1:$G$99911,5,FALSE)</f>
        <v>RESPASS AARON</v>
      </c>
      <c r="M195" s="223">
        <f t="shared" si="63"/>
        <v>8.6805555547471158E-3</v>
      </c>
      <c r="N195" s="224">
        <f t="shared" si="84"/>
        <v>12.499999998835847</v>
      </c>
      <c r="O195" s="224"/>
      <c r="P195" s="224"/>
      <c r="Q195" s="227"/>
      <c r="R195" s="241"/>
      <c r="S195" s="248">
        <f t="shared" si="80"/>
        <v>1</v>
      </c>
      <c r="T195" s="241" t="str">
        <f t="shared" si="64"/>
        <v>Southbound</v>
      </c>
      <c r="U195" s="24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7" t="str">
        <f t="shared" si="65"/>
        <v>https://d0f6bd738d7f1b3e5a7ca70fe4ff75f0.us-east-1.aws.found.io/app/kibana#/discover/Steve-Slow-Train-Analysis-(2080s-and-2083s)?_g=(refreshInterval:(display:Off,pause:!f,section:0,value:0),time:(from:'2017-12-28T16:58:21-0700',mode:absolute,to:'2017-12-28T19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5" s="246" t="str">
        <f>IF(AA195&lt;VLOOKUP(AG195,Variables!$AC$3:$AD$8,2,FALSE),"Y","N")</f>
        <v>N</v>
      </c>
      <c r="X195" s="246">
        <f t="shared" si="86"/>
        <v>1</v>
      </c>
      <c r="Y195" s="246">
        <f t="shared" ref="Y195:Y232" si="92">RIGHT(D195,LEN(D195)-4)/10000</f>
        <v>5.8628</v>
      </c>
      <c r="Z195" s="246">
        <f t="shared" ref="Z195:Z232" si="93">RIGHT(H195,LEN(H195)-4)/10000</f>
        <v>1.46E-2</v>
      </c>
      <c r="AA195" s="246">
        <f t="shared" si="66"/>
        <v>5.8482000000000003</v>
      </c>
      <c r="AB195" s="232" t="e">
        <f>VLOOKUP(A195,Enforcements!$C$7:$K$9,8,0)</f>
        <v>#N/A</v>
      </c>
      <c r="AC195" s="231" t="e">
        <f>VLOOKUP(A195,Enforcements!$C$7:$E$9,3,0)</f>
        <v>#N/A</v>
      </c>
      <c r="AD195" s="242">
        <f t="shared" si="67"/>
        <v>836</v>
      </c>
      <c r="AE195" s="234" t="str">
        <f t="shared" si="68"/>
        <v>aws s3 cp s3://rtdc.mdm.uploadarchive.raw/RTDC4015/ "%USERPROFILE%\AppData\Local\Temp\OnboardLogs"\RTDC4015\2017-12-28 --exclude "*" --recursive --include "*20171228*" &amp; "%USERPROFILE%\Documents\GitHub\mrs-test-scripts\Headless Mode &amp; Sideloading\WalkAndUnGZ.bat" "%USERPROFILE%\AppData\Local\Temp\OnboardLogs"\RTDC4015\2017-12-28 &amp; aws s3 cp s3://rtdc.mdm.uploadarchive.raw/RTDC4015/ "%USERPROFILE%\AppData\Local\Temp\OnboardLogs"\RTDC4015\2017-12-29 --exclude "*" --recursive --include "*20171229*" &amp; "%USERPROFILE%\Documents\GitHub\mrs-test-scripts\Headless Mode &amp; Sideloading\WalkAndUnGZ.bat" "%USERPROFILE%\AppData\Local\Temp\OnboardLogs"\RTDC4015\2017-12-29</v>
      </c>
      <c r="AF195" s="233" t="str">
        <f t="shared" si="69"/>
        <v>"C:\Program Files (x86)\AstroGrep\AstroGrep.exe" /e /r /s /spath="%USERPROFILE%\AppData\Local\Temp\OnboardLogs" /stypes="app*4015*201712290*" /stext=" 01:.+?(?&gt;(PRM\|1\|D)|(KPR)|(KDP)|(train st[a-z]+ moving)|(SYSTEM_STATE:s[a-z]+ state changed)|(Enforcement Action)|(\[TIMEOUT)|(parse_ebi_status: Penalty)|(\|GPPS))"</v>
      </c>
      <c r="AG195" s="243" t="str">
        <f t="shared" si="70"/>
        <v>NW</v>
      </c>
      <c r="AH195" s="235" t="str">
        <f t="shared" si="73"/>
        <v>"%USERPROFILE%\Documents\GitHub\eaglep3\Utilities\RefineRTDCRunTimes.py" --tripid 836-28 --locoid 4015 --swversion DE.1.0.9.0 --startMP 300:58628 --initTime 2017-12-28T17:58:21 --startdatetime 2017-12-28T18:12:00 --delay 81 --endMP 204:146 --enddatetime 2017-12-28T18:24:30 --enforcementcount 0 &gt;&gt;%USERPROFILE%\Documents\GitHub\eaglep3-reporting\EC\2017-12-28-refined-times.txt</v>
      </c>
      <c r="AI195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{"issue":{"subject":"","project_id":79,"tracker_id":40,"status_id":1,"priority_id":2,"assigned_to_id":338,"start_date":"2017-12-28","description":"","custom_fields":[{"id":1,"name":"Subdivision","value":"NW"},{"id":4,"name":"Milepost","value":"0.0146"},{"id":17,"name":"Train ID","value":"836-28"},{"id":16,"name":"Locomotive ID","value":"4015"},{"id":130,"name":"Impact","value":""},{"id":150,"name":"Time of Event (Mountain Time)","value":"18:24:30"},{"id":151,"name":"Denver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0"/>
      <c r="AL195" s="230"/>
      <c r="AM195" s="239" t="str">
        <f t="shared" si="75"/>
        <v>start /low /b %USERPROFILE%\Documents\GitHub\eaglep3\Utilities\DownloadLogsFromS3.py --loco 4015 --day 2017-12-28</v>
      </c>
      <c r="AN195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01:24:30"},{"id":29,"name":"Sharepoint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29" t="str">
        <f t="shared" si="77"/>
        <v>https://d0f6bd738d7f1b3e5a7ca70fe4ff75f0.us-east-1.aws.found.io/app/kibana#/discover/Steve-Slow-Train-Analysis-(2080s-and-2083s)?_g=(refreshInterval:(display:Off,pause:!f,section:0,value:0),time:(from:'2017-12-28T16:58:21-0700',mode:absolute,to:'2017-12-28T19:24:30-0700'))&amp;_a=(columns:!('Message%20ID',Summary),filters:!(),index:'emp_*',interval:auto,query:(query_string:(analyze_wildcard:!t,query:'%22rtdc.l.rtdc.4015%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2" customFormat="1" x14ac:dyDescent="0.25">
      <c r="A196" s="228" t="s">
        <v>861</v>
      </c>
      <c r="B196" s="224">
        <v>4018</v>
      </c>
      <c r="C196" s="226" t="s">
        <v>192</v>
      </c>
      <c r="D196" s="226" t="s">
        <v>530</v>
      </c>
      <c r="E196" s="225">
        <v>43097.752858796295</v>
      </c>
      <c r="F196" s="225">
        <v>43097.756469907406</v>
      </c>
      <c r="G196" s="224">
        <v>72</v>
      </c>
      <c r="H196" s="226" t="s">
        <v>1050</v>
      </c>
      <c r="I196" s="225">
        <v>43097.766226851854</v>
      </c>
      <c r="J196" s="224">
        <v>0</v>
      </c>
      <c r="K196" s="236" t="str">
        <f t="shared" si="62"/>
        <v>4017/4018</v>
      </c>
      <c r="L196" s="244" t="str">
        <f>VLOOKUP(A196,'Trips&amp;Operators'!$C$1:$G$99911,5,FALSE)</f>
        <v>STAMBAUGH JAMES</v>
      </c>
      <c r="M196" s="223">
        <f t="shared" si="63"/>
        <v>9.7569444478722289E-3</v>
      </c>
      <c r="N196" s="224">
        <f t="shared" si="84"/>
        <v>14.05000000493601</v>
      </c>
      <c r="O196" s="224"/>
      <c r="P196" s="224"/>
      <c r="Q196" s="227"/>
      <c r="R196" s="241"/>
      <c r="S196" s="248">
        <f t="shared" si="80"/>
        <v>1</v>
      </c>
      <c r="T196" s="241" t="str">
        <f t="shared" si="64"/>
        <v>NorthBound</v>
      </c>
      <c r="U196" s="24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7" t="str">
        <f t="shared" si="65"/>
        <v>https://d0f6bd738d7f1b3e5a7ca70fe4ff75f0.us-east-1.aws.found.io/app/kibana#/discover/Steve-Slow-Train-Analysis-(2080s-and-2083s)?_g=(refreshInterval:(display:Off,pause:!f,section:0,value:0),time:(from:'2017-12-28T17:04:07-0700',mode:absolute,to:'2017-12-28T19:23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6" s="246" t="str">
        <f>IF(AA196&lt;VLOOKUP(AG196,Variables!$AC$3:$AD$8,2,FALSE),"Y","N")</f>
        <v>N</v>
      </c>
      <c r="X196" s="246">
        <f t="shared" si="86"/>
        <v>1</v>
      </c>
      <c r="Y196" s="246">
        <f t="shared" si="92"/>
        <v>4.5499999999999999E-2</v>
      </c>
      <c r="Z196" s="246">
        <f t="shared" si="93"/>
        <v>5.8928000000000003</v>
      </c>
      <c r="AA196" s="246">
        <f t="shared" si="66"/>
        <v>5.8473000000000006</v>
      </c>
      <c r="AB196" s="232" t="e">
        <f>VLOOKUP(A196,Enforcements!$C$7:$K$9,8,0)</f>
        <v>#N/A</v>
      </c>
      <c r="AC196" s="231" t="e">
        <f>VLOOKUP(A196,Enforcements!$C$7:$E$9,3,0)</f>
        <v>#N/A</v>
      </c>
      <c r="AD196" s="242">
        <f t="shared" si="67"/>
        <v>837</v>
      </c>
      <c r="AE196" s="234" t="str">
        <f t="shared" si="68"/>
        <v>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 &amp; 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</v>
      </c>
      <c r="AF196" s="233" t="str">
        <f t="shared" si="69"/>
        <v>"C:\Program Files (x86)\AstroGrep\AstroGrep.exe" /e /r /s /spath="%USERPROFILE%\AppData\Local\Temp\OnboardLogs" /stypes="app*4018*201712290*" /stext=" 01:.+?(?&gt;(PRM\|1\|D)|(KPR)|(KDP)|(train st[a-z]+ moving)|(SYSTEM_STATE:s[a-z]+ state changed)|(Enforcement Action)|(\[TIMEOUT)|(parse_ebi_status: Penalty)|(\|GPPS))"</v>
      </c>
      <c r="AG196" s="243" t="str">
        <f t="shared" si="70"/>
        <v>NW</v>
      </c>
      <c r="AH196" s="235" t="str">
        <f t="shared" si="73"/>
        <v>"%USERPROFILE%\Documents\GitHub\eaglep3\Utilities\RefineRTDCRunTimes.py" --tripid 837-28 --locoid 4018 --swversion DE.1.0.9.0 --startMP 204:455 --initTime 2017-12-28T18:04:07 --startdatetime 2017-12-28T18:09:19 --delay 72 --endMP 300:58928 --enddatetime 2017-12-28T18:23:22 --enforcementcount 0 &gt;&gt;%USERPROFILE%\Documents\GitHub\eaglep3-reporting\EC\2017-12-28-refined-times.txt</v>
      </c>
      <c r="AI196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{"issue":{"subject":"","project_id":79,"tracker_id":40,"status_id":1,"priority_id":2,"assigned_to_id":338,"start_date":"2017-12-28","description":"","custom_fields":[{"id":1,"name":"Subdivision","value":"NW"},{"id":4,"name":"Milepost","value":"5.8928"},{"id":17,"name":"Train ID","value":"837-28"},{"id":16,"name":"Locomotive ID","value":"4018"},{"id":130,"name":"Impact","value":""},{"id":150,"name":"Time of Event (Mountain Time)","value":"18:23:22"},{"id":151,"name":"Denver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0"/>
      <c r="AL196" s="230"/>
      <c r="AM196" s="239" t="str">
        <f t="shared" si="75"/>
        <v>start /low /b %USERPROFILE%\Documents\GitHub\eaglep3\Utilities\DownloadLogsFromS3.py --loco 4018 --day 2017-12-28</v>
      </c>
      <c r="AN196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01:23:22"},{"id":29,"name":"Sharepoint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29" t="str">
        <f t="shared" si="77"/>
        <v>https://d0f6bd738d7f1b3e5a7ca70fe4ff75f0.us-east-1.aws.found.io/app/kibana#/discover/Steve-Slow-Train-Analysis-(2080s-and-2083s)?_g=(refreshInterval:(display:Off,pause:!f,section:0,value:0),time:(from:'2017-12-28T17:04:07-0700',mode:absolute,to:'2017-12-28T19:23:22-0700'))&amp;_a=(columns:!('Message%20ID',Summary),filters:!(),index:'emp_*',interval:auto,query:(query_string:(analyze_wildcard:!t,query:'%22rtdc.l.rtdc.4018%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2" customFormat="1" x14ac:dyDescent="0.25">
      <c r="A197" s="228" t="s">
        <v>867</v>
      </c>
      <c r="B197" s="224">
        <v>4017</v>
      </c>
      <c r="C197" s="226" t="s">
        <v>192</v>
      </c>
      <c r="D197" s="226" t="s">
        <v>1051</v>
      </c>
      <c r="E197" s="225">
        <v>43097.767187500001</v>
      </c>
      <c r="F197" s="225">
        <v>43097.779166666667</v>
      </c>
      <c r="G197" s="224">
        <v>54</v>
      </c>
      <c r="H197" s="226" t="s">
        <v>531</v>
      </c>
      <c r="I197" s="225">
        <v>43097.787499999999</v>
      </c>
      <c r="J197" s="224">
        <v>0</v>
      </c>
      <c r="K197" s="236" t="str">
        <f t="shared" si="62"/>
        <v>4017/4018</v>
      </c>
      <c r="L197" s="244" t="str">
        <f>VLOOKUP(A197,'Trips&amp;Operators'!$C$1:$G$99911,5,FALSE)</f>
        <v>STAMBAUGH JAMES</v>
      </c>
      <c r="M197" s="223">
        <f t="shared" si="63"/>
        <v>8.333333331393078E-3</v>
      </c>
      <c r="N197" s="224">
        <f t="shared" si="84"/>
        <v>11.999999997206032</v>
      </c>
      <c r="O197" s="224"/>
      <c r="P197" s="224"/>
      <c r="Q197" s="227"/>
      <c r="R197" s="241"/>
      <c r="S197" s="248">
        <f t="shared" si="80"/>
        <v>1</v>
      </c>
      <c r="T197" s="241" t="str">
        <f t="shared" si="64"/>
        <v>Southbound</v>
      </c>
      <c r="U197" s="24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7" t="str">
        <f t="shared" si="65"/>
        <v>https://d0f6bd738d7f1b3e5a7ca70fe4ff75f0.us-east-1.aws.found.io/app/kibana#/discover/Steve-Slow-Train-Analysis-(2080s-and-2083s)?_g=(refreshInterval:(display:Off,pause:!f,section:0,value:0),time:(from:'2017-12-28T17:24:45-0700',mode:absolute,to:'2017-12-28T19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7" s="246" t="str">
        <f>IF(AA197&lt;VLOOKUP(AG197,Variables!$AC$3:$AD$8,2,FALSE),"Y","N")</f>
        <v>N</v>
      </c>
      <c r="X197" s="246">
        <f t="shared" si="86"/>
        <v>1</v>
      </c>
      <c r="Y197" s="246">
        <f t="shared" si="92"/>
        <v>5.8615000000000004</v>
      </c>
      <c r="Z197" s="246">
        <f t="shared" si="93"/>
        <v>1.46E-2</v>
      </c>
      <c r="AA197" s="246">
        <f t="shared" si="66"/>
        <v>5.8469000000000007</v>
      </c>
      <c r="AB197" s="232" t="e">
        <f>VLOOKUP(A197,Enforcements!$C$7:$K$9,8,0)</f>
        <v>#N/A</v>
      </c>
      <c r="AC197" s="231" t="e">
        <f>VLOOKUP(A197,Enforcements!$C$7:$E$9,3,0)</f>
        <v>#N/A</v>
      </c>
      <c r="AD197" s="242">
        <f t="shared" si="67"/>
        <v>838</v>
      </c>
      <c r="AE197" s="234" t="str">
        <f t="shared" si="68"/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AF197" s="233" t="str">
        <f t="shared" si="69"/>
        <v>"C:\Program Files (x86)\AstroGrep\AstroGrep.exe" /e /r /s /spath="%USERPROFILE%\AppData\Local\Temp\OnboardLogs" /stypes="app*4017*201712290*" /stext=" 01:.+?(?&gt;(PRM\|1\|D)|(KPR)|(KDP)|(train st[a-z]+ moving)|(SYSTEM_STATE:s[a-z]+ state changed)|(Enforcement Action)|(\[TIMEOUT)|(parse_ebi_status: Penalty)|(\|GPPS))"</v>
      </c>
      <c r="AG197" s="243" t="str">
        <f t="shared" si="70"/>
        <v>NW</v>
      </c>
      <c r="AH197" s="235" t="str">
        <f t="shared" si="73"/>
        <v>"%USERPROFILE%\Documents\GitHub\eaglep3\Utilities\RefineRTDCRunTimes.py" --tripid 838-28 --locoid 4017 --swversion DE.1.0.9.0 --startMP 300:58615 --initTime 2017-12-28T18:24:45 --startdatetime 2017-12-28T18:42:00 --delay 54 --endMP 204:146 --enddatetime 2017-12-28T18:54:00 --enforcementcount 0 &gt;&gt;%USERPROFILE%\Documents\GitHub\eaglep3-reporting\EC\2017-12-28-refined-times.txt</v>
      </c>
      <c r="AI197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{"issue":{"subject":"","project_id":79,"tracker_id":40,"status_id":1,"priority_id":2,"assigned_to_id":338,"start_date":"2017-12-28","description":"","custom_fields":[{"id":1,"name":"Subdivision","value":"NW"},{"id":4,"name":"Milepost","value":"0.0146"},{"id":17,"name":"Train ID","value":"838-28"},{"id":16,"name":"Locomotive ID","value":"4017"},{"id":130,"name":"Impact","value":""},{"id":150,"name":"Time of Event (Mountain Time)","value":"18:54:00"},{"id":151,"name":"Denver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0"/>
      <c r="AL197" s="230"/>
      <c r="AM197" s="239" t="str">
        <f t="shared" si="75"/>
        <v>start /low /b %USERPROFILE%\Documents\GitHub\eaglep3\Utilities\DownloadLogsFromS3.py --loco 4017 --day 2017-12-28</v>
      </c>
      <c r="AN197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01:54:00"},{"id":29,"name":"Sharepoint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29" t="str">
        <f t="shared" si="77"/>
        <v>https://d0f6bd738d7f1b3e5a7ca70fe4ff75f0.us-east-1.aws.found.io/app/kibana#/discover/Steve-Slow-Train-Analysis-(2080s-and-2083s)?_g=(refreshInterval:(display:Off,pause:!f,section:0,value:0),time:(from:'2017-12-28T17:24:45-0700',mode:absolute,to:'2017-12-28T19:54:00-0700'))&amp;_a=(columns:!('Message%20ID',Summary),filters:!(),index:'emp_*',interval:auto,query:(query_string:(analyze_wildcard:!t,query:'%22rtdc.l.rtdc.4017%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2" customFormat="1" x14ac:dyDescent="0.25">
      <c r="A198" s="228" t="s">
        <v>868</v>
      </c>
      <c r="B198" s="224">
        <v>4016</v>
      </c>
      <c r="C198" s="226" t="s">
        <v>192</v>
      </c>
      <c r="D198" s="226" t="s">
        <v>498</v>
      </c>
      <c r="E198" s="225">
        <v>43097.775462962964</v>
      </c>
      <c r="F198" s="225">
        <v>43097.777349537035</v>
      </c>
      <c r="G198" s="224">
        <v>69</v>
      </c>
      <c r="H198" s="226" t="s">
        <v>1052</v>
      </c>
      <c r="I198" s="225">
        <v>43097.787615740737</v>
      </c>
      <c r="J198" s="224">
        <v>0</v>
      </c>
      <c r="K198" s="236" t="str">
        <f t="shared" si="62"/>
        <v>4015/4016</v>
      </c>
      <c r="L198" s="244" t="str">
        <f>VLOOKUP(A198,'Trips&amp;Operators'!$C$1:$G$99911,5,FALSE)</f>
        <v>RESPASS AARON</v>
      </c>
      <c r="M198" s="223">
        <f t="shared" si="63"/>
        <v>1.0266203702485655E-2</v>
      </c>
      <c r="N198" s="224">
        <f t="shared" si="84"/>
        <v>14.783333331579342</v>
      </c>
      <c r="O198" s="224"/>
      <c r="P198" s="224"/>
      <c r="Q198" s="227"/>
      <c r="R198" s="241"/>
      <c r="S198" s="248">
        <f t="shared" si="80"/>
        <v>1</v>
      </c>
      <c r="T198" s="241" t="str">
        <f t="shared" si="64"/>
        <v>NorthBound</v>
      </c>
      <c r="U198" s="24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7" t="str">
        <f t="shared" si="65"/>
        <v>https://d0f6bd738d7f1b3e5a7ca70fe4ff75f0.us-east-1.aws.found.io/app/kibana#/discover/Steve-Slow-Train-Analysis-(2080s-and-2083s)?_g=(refreshInterval:(display:Off,pause:!f,section:0,value:0),time:(from:'2017-12-28T17:36:40-0700',mode:absolute,to:'2017-12-28T19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8" s="246" t="str">
        <f>IF(AA198&lt;VLOOKUP(AG198,Variables!$AC$3:$AD$8,2,FALSE),"Y","N")</f>
        <v>N</v>
      </c>
      <c r="X198" s="246">
        <f t="shared" ref="X198:X232" si="94">VALUE(LEFT(AD198,4))-VALUE(LEFT(AD197,4))</f>
        <v>1</v>
      </c>
      <c r="Y198" s="246">
        <f t="shared" si="92"/>
        <v>4.4400000000000002E-2</v>
      </c>
      <c r="Z198" s="246">
        <f t="shared" si="93"/>
        <v>5.8943000000000003</v>
      </c>
      <c r="AA198" s="246">
        <f t="shared" si="66"/>
        <v>5.8498999999999999</v>
      </c>
      <c r="AB198" s="232" t="e">
        <f>VLOOKUP(A198,Enforcements!$C$7:$K$9,8,0)</f>
        <v>#N/A</v>
      </c>
      <c r="AC198" s="231" t="e">
        <f>VLOOKUP(A198,Enforcements!$C$7:$E$9,3,0)</f>
        <v>#N/A</v>
      </c>
      <c r="AD198" s="242">
        <f t="shared" si="67"/>
        <v>839</v>
      </c>
      <c r="AE198" s="234" t="str">
        <f t="shared" si="68"/>
        <v>aws s3 cp s3://rtdc.mdm.uploadarchive.raw/RTDC4016/ "%USERPROFILE%\AppData\Local\Temp\OnboardLogs"\RTDC4016\2017-12-28 --exclude "*" --recursive --include "*20171228*" &amp; "%USERPROFILE%\Documents\GitHub\mrs-test-scripts\Headless Mode &amp; Sideloading\WalkAndUnGZ.bat" "%USERPROFILE%\AppData\Local\Temp\OnboardLogs"\RTDC4016\2017-12-28 &amp; aws s3 cp s3://rtdc.mdm.uploadarchive.raw/RTDC4016/ "%USERPROFILE%\AppData\Local\Temp\OnboardLogs"\RTDC4016\2017-12-29 --exclude "*" --recursive --include "*20171229*" &amp; "%USERPROFILE%\Documents\GitHub\mrs-test-scripts\Headless Mode &amp; Sideloading\WalkAndUnGZ.bat" "%USERPROFILE%\AppData\Local\Temp\OnboardLogs"\RTDC4016\2017-12-29</v>
      </c>
      <c r="AF198" s="233" t="str">
        <f t="shared" si="69"/>
        <v>"C:\Program Files (x86)\AstroGrep\AstroGrep.exe" /e /r /s /spath="%USERPROFILE%\AppData\Local\Temp\OnboardLogs" /stypes="app*4016*201712290*" /stext=" 01:.+?(?&gt;(PRM\|1\|D)|(KPR)|(KDP)|(train st[a-z]+ moving)|(SYSTEM_STATE:s[a-z]+ state changed)|(Enforcement Action)|(\[TIMEOUT)|(parse_ebi_status: Penalty)|(\|GPPS))"</v>
      </c>
      <c r="AG198" s="243" t="str">
        <f t="shared" si="70"/>
        <v>NW</v>
      </c>
      <c r="AH198" s="235" t="str">
        <f t="shared" si="73"/>
        <v>"%USERPROFILE%\Documents\GitHub\eaglep3\Utilities\RefineRTDCRunTimes.py" --tripid 839-28 --locoid 4016 --swversion DE.1.0.9.0 --startMP 204:444 --initTime 2017-12-28T18:36:40 --startdatetime 2017-12-28T18:39:23 --delay 69 --endMP 300:58943 --enddatetime 2017-12-28T18:54:10 --enforcementcount 0 &gt;&gt;%USERPROFILE%\Documents\GitHub\eaglep3-reporting\EC\2017-12-28-refined-times.txt</v>
      </c>
      <c r="AI198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{"issue":{"subject":"","project_id":79,"tracker_id":40,"status_id":1,"priority_id":2,"assigned_to_id":338,"start_date":"2017-12-28","description":"","custom_fields":[{"id":1,"name":"Subdivision","value":"NW"},{"id":4,"name":"Milepost","value":"5.8943"},{"id":17,"name":"Train ID","value":"839-28"},{"id":16,"name":"Locomotive ID","value":"4016"},{"id":130,"name":"Impact","value":""},{"id":150,"name":"Time of Event (Mountain Time)","value":"18:54:10"},{"id":151,"name":"Denver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0"/>
      <c r="AL198" s="230"/>
      <c r="AM198" s="239" t="str">
        <f t="shared" si="75"/>
        <v>start /low /b %USERPROFILE%\Documents\GitHub\eaglep3\Utilities\DownloadLogsFromS3.py --loco 4016 --day 2017-12-28</v>
      </c>
      <c r="AN198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01:54:10"},{"id":29,"name":"Sharepoint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29" t="str">
        <f t="shared" si="77"/>
        <v>https://d0f6bd738d7f1b3e5a7ca70fe4ff75f0.us-east-1.aws.found.io/app/kibana#/discover/Steve-Slow-Train-Analysis-(2080s-and-2083s)?_g=(refreshInterval:(display:Off,pause:!f,section:0,value:0),time:(from:'2017-12-28T17:36:40-0700',mode:absolute,to:'2017-12-28T19:54:10-0700'))&amp;_a=(columns:!('Message%20ID',Summary),filters:!(),index:'emp_*',interval:auto,query:(query_string:(analyze_wildcard:!t,query:'%22rtdc.l.rtdc.4016%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2" customFormat="1" x14ac:dyDescent="0.25">
      <c r="A199" s="228" t="s">
        <v>878</v>
      </c>
      <c r="B199" s="224">
        <v>4017</v>
      </c>
      <c r="C199" s="226" t="s">
        <v>192</v>
      </c>
      <c r="D199" s="226" t="s">
        <v>1053</v>
      </c>
      <c r="E199" s="225">
        <v>43097.807824074072</v>
      </c>
      <c r="F199" s="225">
        <v>43097.820833333331</v>
      </c>
      <c r="G199" s="224">
        <v>51</v>
      </c>
      <c r="H199" s="226" t="s">
        <v>499</v>
      </c>
      <c r="I199" s="225">
        <v>43097.829351851855</v>
      </c>
      <c r="J199" s="224">
        <v>0</v>
      </c>
      <c r="K199" s="236" t="str">
        <f t="shared" si="62"/>
        <v>4017/4018</v>
      </c>
      <c r="L199" s="244" t="str">
        <f>VLOOKUP(A199,'Trips&amp;Operators'!$C$1:$G$99911,5,FALSE)</f>
        <v>STAMBAUGH JAMES</v>
      </c>
      <c r="M199" s="223">
        <f t="shared" si="63"/>
        <v>8.5185185234877281E-3</v>
      </c>
      <c r="N199" s="224">
        <f t="shared" si="84"/>
        <v>12.266666673822328</v>
      </c>
      <c r="O199" s="224"/>
      <c r="P199" s="224"/>
      <c r="Q199" s="227"/>
      <c r="R199" s="241"/>
      <c r="S199" s="248">
        <f t="shared" ref="S199:S232" si="95">1/IF(AG199="EC",12,1)*SUM(U199:U199)</f>
        <v>1</v>
      </c>
      <c r="T199" s="241" t="str">
        <f t="shared" si="64"/>
        <v>Southbound</v>
      </c>
      <c r="U199" s="24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7" t="str">
        <f t="shared" si="65"/>
        <v>https://d0f6bd738d7f1b3e5a7ca70fe4ff75f0.us-east-1.aws.found.io/app/kibana#/discover/Steve-Slow-Train-Analysis-(2080s-and-2083s)?_g=(refreshInterval:(display:Off,pause:!f,section:0,value:0),time:(from:'2017-12-28T18:23:16-0700',mode:absolute,to:'2017-12-28T20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9" s="246" t="str">
        <f>IF(AA199&lt;VLOOKUP(AG199,Variables!$AC$3:$AD$8,2,FALSE),"Y","N")</f>
        <v>N</v>
      </c>
      <c r="X199" s="246">
        <f t="shared" si="94"/>
        <v>1</v>
      </c>
      <c r="Y199" s="246">
        <f t="shared" si="92"/>
        <v>5.8611000000000004</v>
      </c>
      <c r="Z199" s="246">
        <f t="shared" si="93"/>
        <v>1.49E-2</v>
      </c>
      <c r="AA199" s="246">
        <f t="shared" si="66"/>
        <v>5.8462000000000005</v>
      </c>
      <c r="AB199" s="232" t="e">
        <f>VLOOKUP(A199,Enforcements!$C$7:$K$9,8,0)</f>
        <v>#N/A</v>
      </c>
      <c r="AC199" s="231" t="e">
        <f>VLOOKUP(A199,Enforcements!$C$7:$E$9,3,0)</f>
        <v>#N/A</v>
      </c>
      <c r="AD199" s="242">
        <f t="shared" si="67"/>
        <v>840</v>
      </c>
      <c r="AE199" s="234" t="str">
        <f t="shared" si="68"/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AF199" s="233" t="str">
        <f t="shared" si="69"/>
        <v>"C:\Program Files (x86)\AstroGrep\AstroGrep.exe" /e /r /s /spath="%USERPROFILE%\AppData\Local\Temp\OnboardLogs" /stypes="app*4017*201712290*" /stext=" 02:.+?(?&gt;(PRM\|1\|D)|(KPR)|(KDP)|(train st[a-z]+ moving)|(SYSTEM_STATE:s[a-z]+ state changed)|(Enforcement Action)|(\[TIMEOUT)|(parse_ebi_status: Penalty)|(\|GPPS))"</v>
      </c>
      <c r="AG199" s="243" t="str">
        <f t="shared" si="70"/>
        <v>NW</v>
      </c>
      <c r="AH199" s="235" t="str">
        <f t="shared" si="73"/>
        <v>"%USERPROFILE%\Documents\GitHub\eaglep3\Utilities\RefineRTDCRunTimes.py" --tripid 840-28 --locoid 4017 --swversion DE.1.0.9.0 --startMP 300:58611 --initTime 2017-12-28T19:23:16 --startdatetime 2017-12-28T19:42:00 --delay 51 --endMP 204:149 --enddatetime 2017-12-28T19:54:16 --enforcementcount 0 &gt;&gt;%USERPROFILE%\Documents\GitHub\eaglep3-reporting\EC\2017-12-28-refined-times.txt</v>
      </c>
      <c r="AI199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{"issue":{"subject":"","project_id":79,"tracker_id":40,"status_id":1,"priority_id":2,"assigned_to_id":338,"start_date":"2017-12-28","description":"","custom_fields":[{"id":1,"name":"Subdivision","value":"NW"},{"id":4,"name":"Milepost","value":"0.0149"},{"id":17,"name":"Train ID","value":"840-28"},{"id":16,"name":"Locomotive ID","value":"4017"},{"id":130,"name":"Impact","value":""},{"id":150,"name":"Time of Event (Mountain Time)","value":"19:54:16"},{"id":151,"name":"Denver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0"/>
      <c r="AL199" s="230"/>
      <c r="AM199" s="239" t="str">
        <f t="shared" si="75"/>
        <v>start /low /b %USERPROFILE%\Documents\GitHub\eaglep3\Utilities\DownloadLogsFromS3.py --loco 4017 --day 2017-12-28</v>
      </c>
      <c r="AN199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02:54:16"},{"id":29,"name":"Sharepoint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29" t="str">
        <f t="shared" si="77"/>
        <v>https://d0f6bd738d7f1b3e5a7ca70fe4ff75f0.us-east-1.aws.found.io/app/kibana#/discover/Steve-Slow-Train-Analysis-(2080s-and-2083s)?_g=(refreshInterval:(display:Off,pause:!f,section:0,value:0),time:(from:'2017-12-28T18:23:16-0700',mode:absolute,to:'2017-12-28T20:54:16-0700'))&amp;_a=(columns:!('Message%20ID',Summary),filters:!(),index:'emp_*',interval:auto,query:(query_string:(analyze_wildcard:!t,query:'%22rtdc.l.rtdc.4017%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28" t="s">
        <v>875</v>
      </c>
      <c r="B200" s="224">
        <v>4018</v>
      </c>
      <c r="C200" s="226" t="s">
        <v>192</v>
      </c>
      <c r="D200" s="226" t="s">
        <v>500</v>
      </c>
      <c r="E200" s="225">
        <v>43097.794120370374</v>
      </c>
      <c r="F200" s="225">
        <v>43097.79824074074</v>
      </c>
      <c r="G200" s="224">
        <v>50</v>
      </c>
      <c r="H200" s="226" t="s">
        <v>1054</v>
      </c>
      <c r="I200" s="225">
        <v>43097.807071759256</v>
      </c>
      <c r="J200" s="224">
        <v>0</v>
      </c>
      <c r="K200" s="236" t="str">
        <f t="shared" si="62"/>
        <v>4017/4018</v>
      </c>
      <c r="L200" s="244" t="str">
        <f>VLOOKUP(A200,'Trips&amp;Operators'!$C$1:$G$99911,5,FALSE)</f>
        <v>STAMBAUGH JAMES</v>
      </c>
      <c r="M200" s="223">
        <f t="shared" si="63"/>
        <v>8.8310185165028088E-3</v>
      </c>
      <c r="N200" s="224">
        <f t="shared" si="84"/>
        <v>12.716666663764045</v>
      </c>
      <c r="O200" s="224"/>
      <c r="P200" s="224"/>
      <c r="Q200" s="227"/>
      <c r="R200" s="241"/>
      <c r="S200" s="248">
        <f t="shared" si="95"/>
        <v>1</v>
      </c>
      <c r="T200" s="241" t="str">
        <f t="shared" si="64"/>
        <v>NorthBound</v>
      </c>
      <c r="U200" s="24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7" t="str">
        <f t="shared" si="65"/>
        <v>https://d0f6bd738d7f1b3e5a7ca70fe4ff75f0.us-east-1.aws.found.io/app/kibana#/discover/Steve-Slow-Train-Analysis-(2080s-and-2083s)?_g=(refreshInterval:(display:Off,pause:!f,section:0,value:0),time:(from:'2017-12-28T18:03:32-0700',mode:absolute,to:'2017-12-28T20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0" s="246" t="str">
        <f>IF(AA200&lt;VLOOKUP(AG200,Variables!$AC$3:$AD$8,2,FALSE),"Y","N")</f>
        <v>N</v>
      </c>
      <c r="X200" s="246">
        <f t="shared" si="94"/>
        <v>1</v>
      </c>
      <c r="Y200" s="246">
        <f t="shared" si="92"/>
        <v>4.53E-2</v>
      </c>
      <c r="Z200" s="246">
        <f t="shared" si="93"/>
        <v>5.8925999999999998</v>
      </c>
      <c r="AA200" s="246">
        <f t="shared" si="66"/>
        <v>5.8472999999999997</v>
      </c>
      <c r="AB200" s="232" t="e">
        <f>VLOOKUP(A200,Enforcements!$C$7:$K$9,8,0)</f>
        <v>#N/A</v>
      </c>
      <c r="AC200" s="231" t="e">
        <f>VLOOKUP(A200,Enforcements!$C$7:$E$9,3,0)</f>
        <v>#N/A</v>
      </c>
      <c r="AD200" s="242">
        <f t="shared" si="67"/>
        <v>841</v>
      </c>
      <c r="AE200" s="234" t="str">
        <f t="shared" si="68"/>
        <v>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 &amp; 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</v>
      </c>
      <c r="AF200" s="233" t="str">
        <f t="shared" si="69"/>
        <v>"C:\Program Files (x86)\AstroGrep\AstroGrep.exe" /e /r /s /spath="%USERPROFILE%\AppData\Local\Temp\OnboardLogs" /stypes="app*4018*201712290*" /stext=" 02:.+?(?&gt;(PRM\|1\|D)|(KPR)|(KDP)|(train st[a-z]+ moving)|(SYSTEM_STATE:s[a-z]+ state changed)|(Enforcement Action)|(\[TIMEOUT)|(parse_ebi_status: Penalty)|(\|GPPS))"</v>
      </c>
      <c r="AG200" s="243" t="str">
        <f t="shared" si="70"/>
        <v>NW</v>
      </c>
      <c r="AH200" s="235" t="str">
        <f t="shared" si="73"/>
        <v>"%USERPROFILE%\Documents\GitHub\eaglep3\Utilities\RefineRTDCRunTimes.py" --tripid 841-28 --locoid 4018 --swversion DE.1.0.9.0 --startMP 204:453 --initTime 2017-12-28T19:03:32 --startdatetime 2017-12-28T19:09:28 --delay 50 --endMP 300:58926 --enddatetime 2017-12-28T19:22:11 --enforcementcount 0 &gt;&gt;%USERPROFILE%\Documents\GitHub\eaglep3-reporting\EC\2017-12-28-refined-times.txt</v>
      </c>
      <c r="AI200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{"issue":{"subject":"","project_id":79,"tracker_id":40,"status_id":1,"priority_id":2,"assigned_to_id":338,"start_date":"2017-12-28","description":"","custom_fields":[{"id":1,"name":"Subdivision","value":"NW"},{"id":4,"name":"Milepost","value":"5.8926"},{"id":17,"name":"Train ID","value":"841-28"},{"id":16,"name":"Locomotive ID","value":"4018"},{"id":130,"name":"Impact","value":""},{"id":150,"name":"Time of Event (Mountain Time)","value":"19:22:11"},{"id":151,"name":"Denver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2"/>
      <c r="AK200" s="230"/>
      <c r="AL200" s="230"/>
      <c r="AM200" s="239" t="str">
        <f t="shared" si="75"/>
        <v>start /low /b %USERPROFILE%\Documents\GitHub\eaglep3\Utilities\DownloadLogsFromS3.py --loco 4018 --day 2017-12-28</v>
      </c>
      <c r="AN200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02:22:11"},{"id":29,"name":"Sharepoint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29" t="str">
        <f t="shared" si="77"/>
        <v>https://d0f6bd738d7f1b3e5a7ca70fe4ff75f0.us-east-1.aws.found.io/app/kibana#/discover/Steve-Slow-Train-Analysis-(2080s-and-2083s)?_g=(refreshInterval:(display:Off,pause:!f,section:0,value:0),time:(from:'2017-12-28T18:03:32-0700',mode:absolute,to:'2017-12-28T20:22:11-0700'))&amp;_a=(columns:!('Message%20ID',Summary),filters:!(),index:'emp_*',interval:auto,query:(query_string:(analyze_wildcard:!t,query:'%22rtdc.l.rtdc.4018%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2" customFormat="1" x14ac:dyDescent="0.25">
      <c r="A201" s="228" t="s">
        <v>885</v>
      </c>
      <c r="B201" s="224">
        <v>4017</v>
      </c>
      <c r="C201" s="226" t="s">
        <v>192</v>
      </c>
      <c r="D201" s="226" t="s">
        <v>1055</v>
      </c>
      <c r="E201" s="225">
        <v>43097.850219907406</v>
      </c>
      <c r="F201" s="225">
        <v>43097.862500000003</v>
      </c>
      <c r="G201" s="224">
        <v>50</v>
      </c>
      <c r="H201" s="226" t="s">
        <v>1046</v>
      </c>
      <c r="I201" s="225">
        <v>43097.870775462965</v>
      </c>
      <c r="J201" s="224">
        <v>0</v>
      </c>
      <c r="K201" s="236" t="str">
        <f t="shared" si="62"/>
        <v>4017/4018</v>
      </c>
      <c r="L201" s="244" t="str">
        <f>VLOOKUP(A201,'Trips&amp;Operators'!$C$1:$G$99911,5,FALSE)</f>
        <v>STAMBAUGH JAMES</v>
      </c>
      <c r="M201" s="223">
        <f t="shared" si="63"/>
        <v>8.2754629620467313E-3</v>
      </c>
      <c r="N201" s="224">
        <f t="shared" si="84"/>
        <v>11.916666665347293</v>
      </c>
      <c r="O201" s="224"/>
      <c r="P201" s="224"/>
      <c r="Q201" s="227"/>
      <c r="R201" s="241"/>
      <c r="S201" s="248">
        <f t="shared" si="95"/>
        <v>1</v>
      </c>
      <c r="T201" s="241" t="str">
        <f t="shared" si="64"/>
        <v>Southbound</v>
      </c>
      <c r="U201" s="24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7" t="str">
        <f t="shared" si="65"/>
        <v>https://d0f6bd738d7f1b3e5a7ca70fe4ff75f0.us-east-1.aws.found.io/app/kibana#/discover/Steve-Slow-Train-Analysis-(2080s-and-2083s)?_g=(refreshInterval:(display:Off,pause:!f,section:0,value:0),time:(from:'2017-12-28T19:24:19-0700',mode:absolute,to:'2017-12-28T21:53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1" s="246" t="str">
        <f>IF(AA201&lt;VLOOKUP(AG201,Variables!$AC$3:$AD$8,2,FALSE),"Y","N")</f>
        <v>N</v>
      </c>
      <c r="X201" s="246">
        <f t="shared" si="94"/>
        <v>1</v>
      </c>
      <c r="Y201" s="246">
        <f t="shared" si="92"/>
        <v>5.8605999999999998</v>
      </c>
      <c r="Z201" s="246">
        <f t="shared" si="93"/>
        <v>1.35E-2</v>
      </c>
      <c r="AA201" s="246">
        <f t="shared" si="66"/>
        <v>5.8471000000000002</v>
      </c>
      <c r="AB201" s="232" t="e">
        <f>VLOOKUP(A201,Enforcements!$C$7:$K$9,8,0)</f>
        <v>#N/A</v>
      </c>
      <c r="AC201" s="231" t="e">
        <f>VLOOKUP(A201,Enforcements!$C$7:$E$9,3,0)</f>
        <v>#N/A</v>
      </c>
      <c r="AD201" s="242">
        <f t="shared" si="67"/>
        <v>842</v>
      </c>
      <c r="AE201" s="234" t="str">
        <f t="shared" si="68"/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AF201" s="233" t="str">
        <f t="shared" si="69"/>
        <v>"C:\Program Files (x86)\AstroGrep\AstroGrep.exe" /e /r /s /spath="%USERPROFILE%\AppData\Local\Temp\OnboardLogs" /stypes="app*4017*201712290*" /stext=" 03:.+?(?&gt;(PRM\|1\|D)|(KPR)|(KDP)|(train st[a-z]+ moving)|(SYSTEM_STATE:s[a-z]+ state changed)|(Enforcement Action)|(\[TIMEOUT)|(parse_ebi_status: Penalty)|(\|GPPS))"</v>
      </c>
      <c r="AG201" s="243" t="str">
        <f t="shared" si="70"/>
        <v>NW</v>
      </c>
      <c r="AH201" s="235" t="str">
        <f t="shared" si="73"/>
        <v>"%USERPROFILE%\Documents\GitHub\eaglep3\Utilities\RefineRTDCRunTimes.py" --tripid 842-28 --locoid 4017 --swversion DE.1.0.9.0 --startMP 300:58606 --initTime 2017-12-28T20:24:19 --startdatetime 2017-12-28T20:42:00 --delay 50 --endMP 204:135 --enddatetime 2017-12-28T20:53:55 --enforcementcount 0 &gt;&gt;%USERPROFILE%\Documents\GitHub\eaglep3-reporting\EC\2017-12-28-refined-times.txt</v>
      </c>
      <c r="AI201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{"issue":{"subject":"","project_id":79,"tracker_id":40,"status_id":1,"priority_id":2,"assigned_to_id":338,"start_date":"2017-12-28","description":"","custom_fields":[{"id":1,"name":"Subdivision","value":"NW"},{"id":4,"name":"Milepost","value":"0.0135"},{"id":17,"name":"Train ID","value":"842-28"},{"id":16,"name":"Locomotive ID","value":"4017"},{"id":130,"name":"Impact","value":""},{"id":150,"name":"Time of Event (Mountain Time)","value":"20:53:55"},{"id":151,"name":"Denver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0"/>
      <c r="AL201" s="230"/>
      <c r="AM201" s="239" t="str">
        <f t="shared" si="75"/>
        <v>start /low /b %USERPROFILE%\Documents\GitHub\eaglep3\Utilities\DownloadLogsFromS3.py --loco 4017 --day 2017-12-28</v>
      </c>
      <c r="AN201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03:53:55"},{"id":29,"name":"Sharepoint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29" t="str">
        <f t="shared" si="77"/>
        <v>https://d0f6bd738d7f1b3e5a7ca70fe4ff75f0.us-east-1.aws.found.io/app/kibana#/discover/Steve-Slow-Train-Analysis-(2080s-and-2083s)?_g=(refreshInterval:(display:Off,pause:!f,section:0,value:0),time:(from:'2017-12-28T19:24:19-0700',mode:absolute,to:'2017-12-28T21:53:55-0700'))&amp;_a=(columns:!('Message%20ID',Summary),filters:!(),index:'emp_*',interval:auto,query:(query_string:(analyze_wildcard:!t,query:'%22rtdc.l.rtdc.4017%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2" customFormat="1" x14ac:dyDescent="0.25">
      <c r="A202" s="228" t="s">
        <v>881</v>
      </c>
      <c r="B202" s="224">
        <v>4018</v>
      </c>
      <c r="C202" s="226" t="s">
        <v>192</v>
      </c>
      <c r="D202" s="226" t="s">
        <v>667</v>
      </c>
      <c r="E202" s="225">
        <v>43097.836423611108</v>
      </c>
      <c r="F202" s="225">
        <v>43097.839826388888</v>
      </c>
      <c r="G202" s="224">
        <v>49</v>
      </c>
      <c r="H202" s="226" t="s">
        <v>597</v>
      </c>
      <c r="I202" s="225">
        <v>43097.849386574075</v>
      </c>
      <c r="J202" s="224">
        <v>0</v>
      </c>
      <c r="K202" s="236" t="str">
        <f t="shared" si="62"/>
        <v>4017/4018</v>
      </c>
      <c r="L202" s="244" t="str">
        <f>VLOOKUP(A202,'Trips&amp;Operators'!$C$1:$G$99911,5,FALSE)</f>
        <v>STAMBAUGH JAMES</v>
      </c>
      <c r="M202" s="223">
        <f t="shared" si="63"/>
        <v>9.560185186273884E-3</v>
      </c>
      <c r="N202" s="224">
        <f t="shared" si="84"/>
        <v>13.766666668234393</v>
      </c>
      <c r="O202" s="224"/>
      <c r="P202" s="224"/>
      <c r="Q202" s="227"/>
      <c r="R202" s="241"/>
      <c r="S202" s="248">
        <f t="shared" si="95"/>
        <v>1</v>
      </c>
      <c r="T202" s="241" t="str">
        <f t="shared" si="64"/>
        <v>NorthBound</v>
      </c>
      <c r="U202" s="24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7" t="str">
        <f t="shared" si="65"/>
        <v>https://d0f6bd738d7f1b3e5a7ca70fe4ff75f0.us-east-1.aws.found.io/app/kibana#/discover/Steve-Slow-Train-Analysis-(2080s-and-2083s)?_g=(refreshInterval:(display:Off,pause:!f,section:0,value:0),time:(from:'2017-12-28T19:04:27-0700',mode:absolute,to:'2017-12-28T21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2" s="246" t="str">
        <f>IF(AA202&lt;VLOOKUP(AG202,Variables!$AC$3:$AD$8,2,FALSE),"Y","N")</f>
        <v>N</v>
      </c>
      <c r="X202" s="246">
        <f t="shared" si="94"/>
        <v>1</v>
      </c>
      <c r="Y202" s="246">
        <f t="shared" si="92"/>
        <v>4.4999999999999998E-2</v>
      </c>
      <c r="Z202" s="246">
        <f t="shared" si="93"/>
        <v>5.8933</v>
      </c>
      <c r="AA202" s="246">
        <f t="shared" si="66"/>
        <v>5.8483000000000001</v>
      </c>
      <c r="AB202" s="232" t="e">
        <f>VLOOKUP(A202,Enforcements!$C$7:$K$9,8,0)</f>
        <v>#N/A</v>
      </c>
      <c r="AC202" s="231" t="e">
        <f>VLOOKUP(A202,Enforcements!$C$7:$E$9,3,0)</f>
        <v>#N/A</v>
      </c>
      <c r="AD202" s="242">
        <f t="shared" si="67"/>
        <v>843</v>
      </c>
      <c r="AE202" s="234" t="str">
        <f t="shared" si="68"/>
        <v>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 &amp; 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</v>
      </c>
      <c r="AF202" s="233" t="str">
        <f t="shared" si="69"/>
        <v>"C:\Program Files (x86)\AstroGrep\AstroGrep.exe" /e /r /s /spath="%USERPROFILE%\AppData\Local\Temp\OnboardLogs" /stypes="app*4018*201712290*" /stext=" 03:.+?(?&gt;(PRM\|1\|D)|(KPR)|(KDP)|(train st[a-z]+ moving)|(SYSTEM_STATE:s[a-z]+ state changed)|(Enforcement Action)|(\[TIMEOUT)|(parse_ebi_status: Penalty)|(\|GPPS))"</v>
      </c>
      <c r="AG202" s="243" t="str">
        <f t="shared" si="70"/>
        <v>NW</v>
      </c>
      <c r="AH202" s="235" t="str">
        <f t="shared" si="73"/>
        <v>"%USERPROFILE%\Documents\GitHub\eaglep3\Utilities\RefineRTDCRunTimes.py" --tripid 843-28 --locoid 4018 --swversion DE.1.0.9.0 --startMP 204:450 --initTime 2017-12-28T20:04:27 --startdatetime 2017-12-28T20:09:21 --delay 49 --endMP 300:58933 --enddatetime 2017-12-28T20:23:07 --enforcementcount 0 &gt;&gt;%USERPROFILE%\Documents\GitHub\eaglep3-reporting\EC\2017-12-28-refined-times.txt</v>
      </c>
      <c r="AI202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{"issue":{"subject":"","project_id":79,"tracker_id":40,"status_id":1,"priority_id":2,"assigned_to_id":338,"start_date":"2017-12-28","description":"","custom_fields":[{"id":1,"name":"Subdivision","value":"NW"},{"id":4,"name":"Milepost","value":"5.8933"},{"id":17,"name":"Train ID","value":"843-28"},{"id":16,"name":"Locomotive ID","value":"4018"},{"id":130,"name":"Impact","value":""},{"id":150,"name":"Time of Event (Mountain Time)","value":"20:23:07"},{"id":151,"name":"Denver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0"/>
      <c r="AL202" s="230"/>
      <c r="AM202" s="239" t="str">
        <f t="shared" si="75"/>
        <v>start /low /b %USERPROFILE%\Documents\GitHub\eaglep3\Utilities\DownloadLogsFromS3.py --loco 4018 --day 2017-12-28</v>
      </c>
      <c r="AN202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03:23:07"},{"id":29,"name":"Sharepoint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29" t="str">
        <f t="shared" si="77"/>
        <v>https://d0f6bd738d7f1b3e5a7ca70fe4ff75f0.us-east-1.aws.found.io/app/kibana#/discover/Steve-Slow-Train-Analysis-(2080s-and-2083s)?_g=(refreshInterval:(display:Off,pause:!f,section:0,value:0),time:(from:'2017-12-28T19:04:27-0700',mode:absolute,to:'2017-12-28T21:23:07-0700'))&amp;_a=(columns:!('Message%20ID',Summary),filters:!(),index:'emp_*',interval:auto,query:(query_string:(analyze_wildcard:!t,query:'%22rtdc.l.rtdc.4018%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2" customFormat="1" x14ac:dyDescent="0.25">
      <c r="A203" s="228" t="s">
        <v>890</v>
      </c>
      <c r="B203" s="224">
        <v>4017</v>
      </c>
      <c r="C203" s="226" t="s">
        <v>192</v>
      </c>
      <c r="D203" s="226" t="s">
        <v>661</v>
      </c>
      <c r="E203" s="225">
        <v>43097.893784722219</v>
      </c>
      <c r="F203" s="225">
        <v>43097.904166666667</v>
      </c>
      <c r="G203" s="224">
        <v>67</v>
      </c>
      <c r="H203" s="226" t="s">
        <v>548</v>
      </c>
      <c r="I203" s="225">
        <v>43097.913032407407</v>
      </c>
      <c r="J203" s="224">
        <v>0</v>
      </c>
      <c r="K203" s="236" t="str">
        <f t="shared" si="62"/>
        <v>4017/4018</v>
      </c>
      <c r="L203" s="244" t="str">
        <f>VLOOKUP(A203,'Trips&amp;Operators'!$C$1:$G$99911,5,FALSE)</f>
        <v>RESPASS AARON</v>
      </c>
      <c r="M203" s="223">
        <f t="shared" si="63"/>
        <v>8.8657407395658083E-3</v>
      </c>
      <c r="N203" s="224">
        <f t="shared" si="84"/>
        <v>12.766666664974764</v>
      </c>
      <c r="O203" s="224"/>
      <c r="P203" s="224"/>
      <c r="Q203" s="227"/>
      <c r="R203" s="241"/>
      <c r="S203" s="248">
        <f t="shared" si="95"/>
        <v>1</v>
      </c>
      <c r="T203" s="241" t="str">
        <f t="shared" si="64"/>
        <v>Southbound</v>
      </c>
      <c r="U203" s="24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7" t="str">
        <f t="shared" si="65"/>
        <v>https://d0f6bd738d7f1b3e5a7ca70fe4ff75f0.us-east-1.aws.found.io/app/kibana#/discover/Steve-Slow-Train-Analysis-(2080s-and-2083s)?_g=(refreshInterval:(display:Off,pause:!f,section:0,value:0),time:(from:'2017-12-28T20:27:03-0700',mode:absolute,to:'2017-12-28T22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3" s="246" t="str">
        <f>IF(AA203&lt;VLOOKUP(AG203,Variables!$AC$3:$AD$8,2,FALSE),"Y","N")</f>
        <v>N</v>
      </c>
      <c r="X203" s="246">
        <f t="shared" si="94"/>
        <v>1</v>
      </c>
      <c r="Y203" s="246">
        <f t="shared" si="92"/>
        <v>5.8644999999999996</v>
      </c>
      <c r="Z203" s="246">
        <f t="shared" si="93"/>
        <v>1.4E-2</v>
      </c>
      <c r="AA203" s="246">
        <f t="shared" si="66"/>
        <v>5.8504999999999994</v>
      </c>
      <c r="AB203" s="232" t="e">
        <f>VLOOKUP(A203,Enforcements!$C$7:$K$9,8,0)</f>
        <v>#N/A</v>
      </c>
      <c r="AC203" s="231" t="e">
        <f>VLOOKUP(A203,Enforcements!$C$7:$E$9,3,0)</f>
        <v>#N/A</v>
      </c>
      <c r="AD203" s="242">
        <f t="shared" si="67"/>
        <v>844</v>
      </c>
      <c r="AE203" s="234" t="str">
        <f t="shared" si="68"/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AF203" s="233" t="str">
        <f t="shared" si="69"/>
        <v>"C:\Program Files (x86)\AstroGrep\AstroGrep.exe" /e /r /s /spath="%USERPROFILE%\AppData\Local\Temp\OnboardLogs" /stypes="app*4017*201712290*" /stext=" 04:.+?(?&gt;(PRM\|1\|D)|(KPR)|(KDP)|(train st[a-z]+ moving)|(SYSTEM_STATE:s[a-z]+ state changed)|(Enforcement Action)|(\[TIMEOUT)|(parse_ebi_status: Penalty)|(\|GPPS))"</v>
      </c>
      <c r="AG203" s="243" t="str">
        <f t="shared" si="70"/>
        <v>NW</v>
      </c>
      <c r="AH203" s="235" t="str">
        <f t="shared" si="73"/>
        <v>"%USERPROFILE%\Documents\GitHub\eaglep3\Utilities\RefineRTDCRunTimes.py" --tripid 844-28 --locoid 4017 --swversion DE.1.0.9.0 --startMP 300:58645 --initTime 2017-12-28T21:27:03 --startdatetime 2017-12-28T21:42:00 --delay 67 --endMP 204:140 --enddatetime 2017-12-28T21:54:46 --enforcementcount 0 &gt;&gt;%USERPROFILE%\Documents\GitHub\eaglep3-reporting\EC\2017-12-28-refined-times.txt</v>
      </c>
      <c r="AI203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{"issue":{"subject":"","project_id":79,"tracker_id":40,"status_id":1,"priority_id":2,"assigned_to_id":338,"start_date":"2017-12-28","description":"","custom_fields":[{"id":1,"name":"Subdivision","value":"NW"},{"id":4,"name":"Milepost","value":"0.014"},{"id":17,"name":"Train ID","value":"844-28"},{"id":16,"name":"Locomotive ID","value":"4017"},{"id":130,"name":"Impact","value":""},{"id":150,"name":"Time of Event (Mountain Time)","value":"21:54:46"},{"id":151,"name":"Denver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0"/>
      <c r="AL203" s="230"/>
      <c r="AM203" s="239" t="str">
        <f t="shared" si="75"/>
        <v>start /low /b %USERPROFILE%\Documents\GitHub\eaglep3\Utilities\DownloadLogsFromS3.py --loco 4017 --day 2017-12-28</v>
      </c>
      <c r="AN203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04:54:46"},{"id":29,"name":"Sharepoint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29" t="str">
        <f t="shared" si="77"/>
        <v>https://d0f6bd738d7f1b3e5a7ca70fe4ff75f0.us-east-1.aws.found.io/app/kibana#/discover/Steve-Slow-Train-Analysis-(2080s-and-2083s)?_g=(refreshInterval:(display:Off,pause:!f,section:0,value:0),time:(from:'2017-12-28T20:27:03-0700',mode:absolute,to:'2017-12-28T22:54:46-0700'))&amp;_a=(columns:!('Message%20ID',Summary),filters:!(),index:'emp_*',interval:auto,query:(query_string:(analyze_wildcard:!t,query:'%22rtdc.l.rtdc.4017%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2" customFormat="1" x14ac:dyDescent="0.25">
      <c r="A204" s="228" t="s">
        <v>691</v>
      </c>
      <c r="B204" s="224">
        <v>4018</v>
      </c>
      <c r="C204" s="226" t="s">
        <v>192</v>
      </c>
      <c r="D204" s="226" t="s">
        <v>667</v>
      </c>
      <c r="E204" s="225">
        <v>43097.876631944448</v>
      </c>
      <c r="F204" s="225">
        <v>43097.881423611114</v>
      </c>
      <c r="G204" s="224">
        <v>90</v>
      </c>
      <c r="H204" s="226" t="s">
        <v>1056</v>
      </c>
      <c r="I204" s="225">
        <v>43097.891655092593</v>
      </c>
      <c r="J204" s="224">
        <v>0</v>
      </c>
      <c r="K204" s="236" t="str">
        <f t="shared" si="62"/>
        <v>4017/4018</v>
      </c>
      <c r="L204" s="244" t="str">
        <f>VLOOKUP(A204,'Trips&amp;Operators'!$C$1:$G$99911,5,FALSE)</f>
        <v>RESPASS AARON</v>
      </c>
      <c r="M204" s="223">
        <f t="shared" si="63"/>
        <v>1.0231481479422655E-2</v>
      </c>
      <c r="N204" s="224">
        <f t="shared" si="84"/>
        <v>14.733333330368623</v>
      </c>
      <c r="O204" s="224"/>
      <c r="P204" s="224"/>
      <c r="Q204" s="227"/>
      <c r="R204" s="241"/>
      <c r="S204" s="248">
        <f t="shared" si="95"/>
        <v>1</v>
      </c>
      <c r="T204" s="241" t="str">
        <f t="shared" si="64"/>
        <v>NorthBound</v>
      </c>
      <c r="U204" s="24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7" t="str">
        <f t="shared" si="65"/>
        <v>https://d0f6bd738d7f1b3e5a7ca70fe4ff75f0.us-east-1.aws.found.io/app/kibana#/discover/Steve-Slow-Train-Analysis-(2080s-and-2083s)?_g=(refreshInterval:(display:Off,pause:!f,section:0,value:0),time:(from:'2017-12-28T20:02:21-0700',mode:absolute,to:'2017-12-28T22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4" s="246" t="str">
        <f>IF(AA204&lt;VLOOKUP(AG204,Variables!$AC$3:$AD$8,2,FALSE),"Y","N")</f>
        <v>N</v>
      </c>
      <c r="X204" s="246">
        <f t="shared" si="94"/>
        <v>1</v>
      </c>
      <c r="Y204" s="246">
        <f t="shared" si="92"/>
        <v>4.4999999999999998E-2</v>
      </c>
      <c r="Z204" s="246">
        <f t="shared" si="93"/>
        <v>5.8075000000000001</v>
      </c>
      <c r="AA204" s="246">
        <f t="shared" si="66"/>
        <v>5.7625000000000002</v>
      </c>
      <c r="AB204" s="232" t="e">
        <f>VLOOKUP(A204,Enforcements!$C$7:$K$9,8,0)</f>
        <v>#N/A</v>
      </c>
      <c r="AC204" s="231" t="e">
        <f>VLOOKUP(A204,Enforcements!$C$7:$E$9,3,0)</f>
        <v>#N/A</v>
      </c>
      <c r="AD204" s="242">
        <f t="shared" si="67"/>
        <v>845</v>
      </c>
      <c r="AE204" s="234" t="str">
        <f t="shared" si="68"/>
        <v>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 &amp; 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</v>
      </c>
      <c r="AF204" s="233" t="str">
        <f t="shared" si="69"/>
        <v>"C:\Program Files (x86)\AstroGrep\AstroGrep.exe" /e /r /s /spath="%USERPROFILE%\AppData\Local\Temp\OnboardLogs" /stypes="app*4018*201712290*" /stext=" 04:.+?(?&gt;(PRM\|1\|D)|(KPR)|(KDP)|(train st[a-z]+ moving)|(SYSTEM_STATE:s[a-z]+ state changed)|(Enforcement Action)|(\[TIMEOUT)|(parse_ebi_status: Penalty)|(\|GPPS))"</v>
      </c>
      <c r="AG204" s="243" t="str">
        <f t="shared" si="70"/>
        <v>NW</v>
      </c>
      <c r="AH204" s="235" t="str">
        <f t="shared" si="73"/>
        <v>"%USERPROFILE%\Documents\GitHub\eaglep3\Utilities\RefineRTDCRunTimes.py" --tripid 845-28 --locoid 4018 --swversion DE.1.0.9.0 --startMP 204:450 --initTime 2017-12-28T21:02:21 --startdatetime 2017-12-28T21:09:15 --delay 90 --endMP 300:58075 --enddatetime 2017-12-28T21:23:59 --enforcementcount 0 &gt;&gt;%USERPROFILE%\Documents\GitHub\eaglep3-reporting\EC\2017-12-28-refined-times.txt</v>
      </c>
      <c r="AI204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{"issue":{"subject":"","project_id":79,"tracker_id":40,"status_id":1,"priority_id":2,"assigned_to_id":338,"start_date":"2017-12-28","description":"","custom_fields":[{"id":1,"name":"Subdivision","value":"NW"},{"id":4,"name":"Milepost","value":"5.8075"},{"id":17,"name":"Train ID","value":"845-28"},{"id":16,"name":"Locomotive ID","value":"4018"},{"id":130,"name":"Impact","value":""},{"id":150,"name":"Time of Event (Mountain Time)","value":"21:23:59"},{"id":151,"name":"Denver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0"/>
      <c r="AL204" s="230"/>
      <c r="AM204" s="239" t="str">
        <f t="shared" si="75"/>
        <v>start /low /b %USERPROFILE%\Documents\GitHub\eaglep3\Utilities\DownloadLogsFromS3.py --loco 4018 --day 2017-12-28</v>
      </c>
      <c r="AN204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04:23:59"},{"id":29,"name":"Sharepoint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29" t="str">
        <f t="shared" si="77"/>
        <v>https://d0f6bd738d7f1b3e5a7ca70fe4ff75f0.us-east-1.aws.found.io/app/kibana#/discover/Steve-Slow-Train-Analysis-(2080s-and-2083s)?_g=(refreshInterval:(display:Off,pause:!f,section:0,value:0),time:(from:'2017-12-28T20:02:21-0700',mode:absolute,to:'2017-12-28T22:23:59-0700'))&amp;_a=(columns:!('Message%20ID',Summary),filters:!(),index:'emp_*',interval:auto,query:(query_string:(analyze_wildcard:!t,query:'%22rtdc.l.rtdc.4018%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28" t="s">
        <v>894</v>
      </c>
      <c r="B205" s="224">
        <v>4017</v>
      </c>
      <c r="C205" s="226" t="s">
        <v>192</v>
      </c>
      <c r="D205" s="226" t="s">
        <v>1057</v>
      </c>
      <c r="E205" s="225">
        <v>43097.935972222222</v>
      </c>
      <c r="F205" s="225">
        <v>43097.945833333331</v>
      </c>
      <c r="G205" s="224">
        <v>58</v>
      </c>
      <c r="H205" s="226" t="s">
        <v>499</v>
      </c>
      <c r="I205" s="225">
        <v>43097.95480324074</v>
      </c>
      <c r="J205" s="224">
        <v>0</v>
      </c>
      <c r="K205" s="236" t="str">
        <f t="shared" ref="K205:K232" si="96">IF(ISEVEN(B205),(B205-1)&amp;"/"&amp;B205,B205&amp;"/"&amp;(B205+1))</f>
        <v>4017/4018</v>
      </c>
      <c r="L205" s="244" t="str">
        <f>VLOOKUP(A205,'Trips&amp;Operators'!$C$1:$G$99911,5,FALSE)</f>
        <v>RESPASS AARON</v>
      </c>
      <c r="M205" s="223">
        <f t="shared" ref="M205:M232" si="97">I205-F205</f>
        <v>8.969907408754807E-3</v>
      </c>
      <c r="N205" s="224">
        <f t="shared" si="84"/>
        <v>12.916666668606922</v>
      </c>
      <c r="O205" s="224"/>
      <c r="P205" s="224"/>
      <c r="Q205" s="227"/>
      <c r="R205" s="241"/>
      <c r="S205" s="248">
        <f t="shared" si="95"/>
        <v>1</v>
      </c>
      <c r="T205" s="241" t="str">
        <f t="shared" ref="T205:T232" si="98">IF(ISEVEN(LEFT(AD205,4)),"Southbound","NorthBound")</f>
        <v>Southbound</v>
      </c>
      <c r="U205" s="24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7" t="str">
        <f t="shared" ref="V205:V232" si="9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-28T21:27:48-0700',mode:absolute,to:'2017-12-28T23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5" s="246" t="str">
        <f>IF(AA205&lt;VLOOKUP(AG205,Variables!$AC$3:$AD$8,2,FALSE),"Y","N")</f>
        <v>N</v>
      </c>
      <c r="X205" s="246">
        <f t="shared" si="94"/>
        <v>1</v>
      </c>
      <c r="Y205" s="246">
        <f t="shared" si="92"/>
        <v>5.8635999999999999</v>
      </c>
      <c r="Z205" s="246">
        <f t="shared" si="93"/>
        <v>1.49E-2</v>
      </c>
      <c r="AA205" s="246">
        <f t="shared" ref="AA205:AA268" si="100">ABS(Z205-Y205)</f>
        <v>5.8487</v>
      </c>
      <c r="AB205" s="232" t="e">
        <f>VLOOKUP(A205,Enforcements!$C$7:$K$9,8,0)</f>
        <v>#N/A</v>
      </c>
      <c r="AC205" s="231" t="e">
        <f>VLOOKUP(A205,Enforcements!$C$7:$E$9,3,0)</f>
        <v>#N/A</v>
      </c>
      <c r="AD205" s="242">
        <f t="shared" ref="AD205:AD232" si="101">VALUE(LEFT(A205,LEN(A205)-3))</f>
        <v>846</v>
      </c>
      <c r="AE205" s="234" t="str">
        <f t="shared" ref="AE205:AE232" si="10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AF205" s="233" t="str">
        <f t="shared" ref="AF205:AF232" si="103">astrogrep_path&amp;" /e /r /s /spath="&amp;search_path&amp;" /stypes=""app*"&amp;B205&amp;"*"&amp;TEXT(I205-utc_offset/24,"YYYYMMDD")&amp;LEFT(TEXT(I205-utc_offset/24,"HH"),1)&amp;"*"" /stext="" "&amp;TEXT(I205-utc_offset/24,"HH")&amp;search_regexp&amp;""""</f>
        <v>"C:\Program Files (x86)\AstroGrep\AstroGrep.exe" /e /r /s /spath="%USERPROFILE%\AppData\Local\Temp\OnboardLogs" /stypes="app*4017*201712290*" /stext=" 05:.+?(?&gt;(PRM\|1\|D)|(KPR)|(KDP)|(train st[a-z]+ moving)|(SYSTEM_STATE:s[a-z]+ state changed)|(Enforcement Action)|(\[TIMEOUT)|(parse_ebi_status: Penalty)|(\|GPPS))"</v>
      </c>
      <c r="AG205" s="243" t="str">
        <f t="shared" ref="AG205:AG232" si="104">DetSubdiv(A205)</f>
        <v>NW</v>
      </c>
      <c r="AH205" s="235" t="str">
        <f t="shared" si="73"/>
        <v>"%USERPROFILE%\Documents\GitHub\eaglep3\Utilities\RefineRTDCRunTimes.py" --tripid 846-28 --locoid 4017 --swversion DE.1.0.9.0 --startMP 300:58636 --initTime 2017-12-28T22:27:48 --startdatetime 2017-12-28T22:42:00 --delay 58 --endMP 204:149 --enddatetime 2017-12-28T22:54:55 --enforcementcount 0 &gt;&gt;%USERPROFILE%\Documents\GitHub\eaglep3-reporting\EC\2017-12-28-refined-times.txt</v>
      </c>
      <c r="AI205" s="237" t="str">
        <f t="shared" si="74"/>
        <v>echo {"issue":{"subject":"","project_id":79,"tracker_id":40,"status_id":1,"priority_id":2,"assigned_to_id":338,"start_date":"2017-12-28","description":"","custom_fields":[{"id":1,"name":"Subdivision","value":"NW"},{"id":4,"name":"Milepost","value":"0.0149"},{"id":17,"name":"Train ID","value":"846-28"},{"id":16,"name":"Locomotive ID","value":"4017"},{"id":130,"name":"Impact","value":""},{"id":150,"name":"Time of Event (Mountain Time)","value":"22:54:55"},{"id":151,"name":"Denver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2"/>
      <c r="AK205" s="230"/>
      <c r="AL205" s="230"/>
      <c r="AM205" s="239" t="str">
        <f t="shared" si="75"/>
        <v>start /low /b %USERPROFILE%\Documents\GitHub\eaglep3\Utilities\DownloadLogsFromS3.py --loco 4017 --day 2017-12-28</v>
      </c>
      <c r="AN205" s="240" t="str">
        <f t="shared" si="76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05:54:55"},{"id":29,"name":"Sharepoint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29" t="str">
        <f t="shared" si="77"/>
        <v>https://d0f6bd738d7f1b3e5a7ca70fe4ff75f0.us-east-1.aws.found.io/app/kibana#/discover/Steve-Slow-Train-Analysis-(2080s-and-2083s)?_g=(refreshInterval:(display:Off,pause:!f,section:0,value:0),time:(from:'2017-12-28T21:27:48-0700',mode:absolute,to:'2017-12-28T23:54:55-0700'))&amp;_a=(columns:!('Message%20ID',Summary),filters:!(),index:'emp_*',interval:auto,query:(query_string:(analyze_wildcard:!t,query:'%22rtdc.l.rtdc.4017%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28" t="s">
        <v>891</v>
      </c>
      <c r="B206" s="224">
        <v>4018</v>
      </c>
      <c r="C206" s="226" t="s">
        <v>192</v>
      </c>
      <c r="D206" s="226" t="s">
        <v>500</v>
      </c>
      <c r="E206" s="225">
        <v>43097.921875</v>
      </c>
      <c r="F206" s="225">
        <v>43097.923217592594</v>
      </c>
      <c r="G206" s="224">
        <v>59</v>
      </c>
      <c r="H206" s="226" t="s">
        <v>1058</v>
      </c>
      <c r="I206" s="225">
        <v>43097.933692129627</v>
      </c>
      <c r="J206" s="224">
        <v>0</v>
      </c>
      <c r="K206" s="236" t="str">
        <f t="shared" si="96"/>
        <v>4017/4018</v>
      </c>
      <c r="L206" s="244" t="str">
        <f>VLOOKUP(A206,'Trips&amp;Operators'!$C$1:$G$99911,5,FALSE)</f>
        <v>RESPASS AARON</v>
      </c>
      <c r="M206" s="223">
        <f t="shared" si="97"/>
        <v>1.0474537033587694E-2</v>
      </c>
      <c r="N206" s="224">
        <f t="shared" si="84"/>
        <v>15.08333332836628</v>
      </c>
      <c r="O206" s="224"/>
      <c r="P206" s="224"/>
      <c r="Q206" s="227"/>
      <c r="R206" s="241"/>
      <c r="S206" s="248">
        <f t="shared" si="95"/>
        <v>1</v>
      </c>
      <c r="T206" s="241" t="str">
        <f t="shared" si="98"/>
        <v>NorthBound</v>
      </c>
      <c r="U206" s="24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7" t="str">
        <f t="shared" si="99"/>
        <v>https://d0f6bd738d7f1b3e5a7ca70fe4ff75f0.us-east-1.aws.found.io/app/kibana#/discover/Steve-Slow-Train-Analysis-(2080s-and-2083s)?_g=(refreshInterval:(display:Off,pause:!f,section:0,value:0),time:(from:'2017-12-28T21:07:30-0700',mode:absolute,to:'2017-12-28T23:24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6" s="246" t="str">
        <f>IF(AA206&lt;VLOOKUP(AG206,Variables!$AC$3:$AD$8,2,FALSE),"Y","N")</f>
        <v>N</v>
      </c>
      <c r="X206" s="246">
        <f t="shared" si="94"/>
        <v>1</v>
      </c>
      <c r="Y206" s="246">
        <f t="shared" si="92"/>
        <v>4.53E-2</v>
      </c>
      <c r="Z206" s="246">
        <f t="shared" si="93"/>
        <v>5.8958000000000004</v>
      </c>
      <c r="AA206" s="246">
        <f t="shared" si="100"/>
        <v>5.8505000000000003</v>
      </c>
      <c r="AB206" s="232" t="e">
        <f>VLOOKUP(A206,Enforcements!$C$7:$K$9,8,0)</f>
        <v>#N/A</v>
      </c>
      <c r="AC206" s="231" t="e">
        <f>VLOOKUP(A206,Enforcements!$C$7:$E$9,3,0)</f>
        <v>#N/A</v>
      </c>
      <c r="AD206" s="242">
        <f t="shared" si="101"/>
        <v>847</v>
      </c>
      <c r="AE206" s="234" t="str">
        <f t="shared" si="102"/>
        <v>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 &amp; 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</v>
      </c>
      <c r="AF206" s="233" t="str">
        <f t="shared" si="103"/>
        <v>"C:\Program Files (x86)\AstroGrep\AstroGrep.exe" /e /r /s /spath="%USERPROFILE%\AppData\Local\Temp\OnboardLogs" /stypes="app*4018*201712290*" /stext=" 05:.+?(?&gt;(PRM\|1\|D)|(KPR)|(KDP)|(train st[a-z]+ moving)|(SYSTEM_STATE:s[a-z]+ state changed)|(Enforcement Action)|(\[TIMEOUT)|(parse_ebi_status: Penalty)|(\|GPPS))"</v>
      </c>
      <c r="AG206" s="243" t="str">
        <f t="shared" si="104"/>
        <v>NW</v>
      </c>
      <c r="AH206" s="235" t="str">
        <f t="shared" ref="AH206:AH232" si="105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847-28 --locoid 4018 --swversion DE.1.0.9.0 --startMP 204:453 --initTime 2017-12-28T22:07:30 --startdatetime 2017-12-28T22:09:26 --delay 59 --endMP 300:58958 --enddatetime 2017-12-28T22:24:31 --enforcementcount 0 &gt;&gt;%USERPROFILE%\Documents\GitHub\eaglep3-reporting\EC\2017-12-28-refined-times.txt</v>
      </c>
      <c r="AI206" s="237" t="str">
        <f t="shared" ref="AI206:AI232" si="106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{"issue":{"subject":"","project_id":79,"tracker_id":40,"status_id":1,"priority_id":2,"assigned_to_id":338,"start_date":"2017-12-28","description":"","custom_fields":[{"id":1,"name":"Subdivision","value":"NW"},{"id":4,"name":"Milepost","value":"5.8958"},{"id":17,"name":"Train ID","value":"847-28"},{"id":16,"name":"Locomotive ID","value":"4018"},{"id":130,"name":"Impact","value":""},{"id":150,"name":"Time of Event (Mountain Time)","value":"22:24:31"},{"id":151,"name":"Denver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2"/>
      <c r="AK206" s="230"/>
      <c r="AL206" s="230"/>
      <c r="AM206" s="239" t="str">
        <f t="shared" ref="AM206:AM232" si="107">"start /low /b "&amp;dls3logs&amp;" --loco "&amp;B206&amp;" --day "&amp;TEXT(F206,"YYYY-MM-DD")</f>
        <v>start /low /b %USERPROFILE%\Documents\GitHub\eaglep3\Utilities\DownloadLogsFromS3.py --loco 4018 --day 2017-12-28</v>
      </c>
      <c r="AN206" s="240" t="str">
        <f t="shared" ref="AN206:AN232" si="108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05:24:31"},{"id":29,"name":"Sharepoint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29" t="str">
        <f t="shared" ref="AO206:AO232" si="109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-12-28T21:07:30-0700',mode:absolute,to:'2017-12-28T23:24:31-0700'))&amp;_a=(columns:!('Message%20ID',Summary),filters:!(),index:'emp_*',interval:auto,query:(query_string:(analyze_wildcard:!t,query:'%22rtdc.l.rtdc.4018%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28" t="s">
        <v>896</v>
      </c>
      <c r="B207" s="224">
        <v>4018</v>
      </c>
      <c r="C207" s="226" t="s">
        <v>192</v>
      </c>
      <c r="D207" s="226" t="s">
        <v>666</v>
      </c>
      <c r="E207" s="225">
        <v>43097.962569444448</v>
      </c>
      <c r="F207" s="225">
        <v>43097.964918981481</v>
      </c>
      <c r="G207" s="224">
        <v>55</v>
      </c>
      <c r="H207" s="226" t="s">
        <v>1059</v>
      </c>
      <c r="I207" s="225">
        <v>43097.974675925929</v>
      </c>
      <c r="J207" s="224">
        <v>0</v>
      </c>
      <c r="K207" s="236" t="str">
        <f t="shared" si="96"/>
        <v>4017/4018</v>
      </c>
      <c r="L207" s="244" t="str">
        <f>VLOOKUP(A207,'Trips&amp;Operators'!$C$1:$G$99911,5,FALSE)</f>
        <v>RESPASS AARON</v>
      </c>
      <c r="M207" s="223">
        <f t="shared" si="97"/>
        <v>9.7569444478722289E-3</v>
      </c>
      <c r="N207" s="224">
        <f t="shared" si="84"/>
        <v>14.05000000493601</v>
      </c>
      <c r="O207" s="224"/>
      <c r="P207" s="224"/>
      <c r="Q207" s="227"/>
      <c r="R207" s="241"/>
      <c r="S207" s="248">
        <f t="shared" si="95"/>
        <v>1</v>
      </c>
      <c r="T207" s="241" t="str">
        <f t="shared" si="98"/>
        <v>NorthBound</v>
      </c>
      <c r="U207" s="24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7" t="str">
        <f t="shared" si="99"/>
        <v>https://d0f6bd738d7f1b3e5a7ca70fe4ff75f0.us-east-1.aws.found.io/app/kibana#/discover/Steve-Slow-Train-Analysis-(2080s-and-2083s)?_g=(refreshInterval:(display:Off,pause:!f,section:0,value:0),time:(from:'2017-12-28T22:06:06-0700',mode:absolute,to:'2017-12-29T00:23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7" s="246" t="str">
        <f>IF(AA207&lt;VLOOKUP(AG207,Variables!$AC$3:$AD$8,2,FALSE),"Y","N")</f>
        <v>N</v>
      </c>
      <c r="X207" s="246">
        <f t="shared" si="94"/>
        <v>2</v>
      </c>
      <c r="Y207" s="246">
        <f t="shared" si="92"/>
        <v>4.3499999999999997E-2</v>
      </c>
      <c r="Z207" s="246">
        <f t="shared" si="93"/>
        <v>5.8949999999999996</v>
      </c>
      <c r="AA207" s="246">
        <f t="shared" si="100"/>
        <v>5.8514999999999997</v>
      </c>
      <c r="AB207" s="232" t="e">
        <f>VLOOKUP(A207,Enforcements!$C$7:$K$9,8,0)</f>
        <v>#N/A</v>
      </c>
      <c r="AC207" s="231" t="e">
        <f>VLOOKUP(A207,Enforcements!$C$7:$E$9,3,0)</f>
        <v>#N/A</v>
      </c>
      <c r="AD207" s="242">
        <f t="shared" si="101"/>
        <v>849</v>
      </c>
      <c r="AE207" s="234" t="str">
        <f t="shared" si="102"/>
        <v>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 &amp; 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</v>
      </c>
      <c r="AF207" s="233" t="str">
        <f t="shared" si="103"/>
        <v>"C:\Program Files (x86)\AstroGrep\AstroGrep.exe" /e /r /s /spath="%USERPROFILE%\AppData\Local\Temp\OnboardLogs" /stypes="app*4018*201712290*" /stext=" 06:.+?(?&gt;(PRM\|1\|D)|(KPR)|(KDP)|(train st[a-z]+ moving)|(SYSTEM_STATE:s[a-z]+ state changed)|(Enforcement Action)|(\[TIMEOUT)|(parse_ebi_status: Penalty)|(\|GPPS))"</v>
      </c>
      <c r="AG207" s="243" t="str">
        <f t="shared" si="104"/>
        <v>NW</v>
      </c>
      <c r="AH207" s="235" t="str">
        <f t="shared" si="105"/>
        <v>"%USERPROFILE%\Documents\GitHub\eaglep3\Utilities\RefineRTDCRunTimes.py" --tripid 849-28 --locoid 4018 --swversion DE.1.0.9.0 --startMP 204:435 --initTime 2017-12-28T23:06:06 --startdatetime 2017-12-28T23:09:29 --delay 55 --endMP 300:58950 --enddatetime 2017-12-28T23:23:32 --enforcementcount 0 &gt;&gt;%USERPROFILE%\Documents\GitHub\eaglep3-reporting\EC\2017-12-28-refined-times.txt</v>
      </c>
      <c r="AI207" s="237" t="str">
        <f t="shared" si="106"/>
        <v>echo {"issue":{"subject":"","project_id":79,"tracker_id":40,"status_id":1,"priority_id":2,"assigned_to_id":338,"start_date":"2017-12-28","description":"","custom_fields":[{"id":1,"name":"Subdivision","value":"NW"},{"id":4,"name":"Milepost","value":"5.895"},{"id":17,"name":"Train ID","value":"849-28"},{"id":16,"name":"Locomotive ID","value":"4018"},{"id":130,"name":"Impact","value":""},{"id":150,"name":"Time of Event (Mountain Time)","value":"23:23:32"},{"id":151,"name":"Denver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2"/>
      <c r="AK207" s="230"/>
      <c r="AL207" s="230"/>
      <c r="AM207" s="239" t="str">
        <f t="shared" si="107"/>
        <v>start /low /b %USERPROFILE%\Documents\GitHub\eaglep3\Utilities\DownloadLogsFromS3.py --loco 4018 --day 2017-12-28</v>
      </c>
      <c r="AN207" s="240" t="str">
        <f t="shared" si="108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06:23:32"},{"id":29,"name":"Sharepoint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29" t="str">
        <f t="shared" si="109"/>
        <v>https://d0f6bd738d7f1b3e5a7ca70fe4ff75f0.us-east-1.aws.found.io/app/kibana#/discover/Steve-Slow-Train-Analysis-(2080s-and-2083s)?_g=(refreshInterval:(display:Off,pause:!f,section:0,value:0),time:(from:'2017-12-28T22:06:06-0700',mode:absolute,to:'2017-12-29T00:23:32-0700'))&amp;_a=(columns:!('Message%20ID',Summary),filters:!(),index:'emp_*',interval:auto,query:(query_string:(analyze_wildcard:!t,query:'%22rtdc.l.rtdc.4018%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28" t="s">
        <v>869</v>
      </c>
      <c r="B208" s="224">
        <v>4056</v>
      </c>
      <c r="C208" s="226" t="s">
        <v>192</v>
      </c>
      <c r="D208" s="226" t="s">
        <v>538</v>
      </c>
      <c r="E208" s="225">
        <v>43097.775648148148</v>
      </c>
      <c r="F208" s="225">
        <v>43097.77679398148</v>
      </c>
      <c r="G208" s="224">
        <v>52</v>
      </c>
      <c r="H208" s="226" t="s">
        <v>1002</v>
      </c>
      <c r="I208" s="225">
        <v>43097.78334490741</v>
      </c>
      <c r="J208" s="224">
        <v>0</v>
      </c>
      <c r="K208" s="236" t="str">
        <f t="shared" si="96"/>
        <v>4055/4056</v>
      </c>
      <c r="L208" s="244" t="str">
        <f>VLOOKUP(A208,'Trips&amp;Operators'!$C$1:$G$99911,5,FALSE)</f>
        <v>LEVIN SCOTT</v>
      </c>
      <c r="M208" s="223">
        <f t="shared" si="97"/>
        <v>6.550925929332152E-3</v>
      </c>
      <c r="N208" s="224">
        <f t="shared" si="84"/>
        <v>9.4333333382382989</v>
      </c>
      <c r="O208" s="224"/>
      <c r="P208" s="224"/>
      <c r="Q208" s="227"/>
      <c r="R208" s="241"/>
      <c r="S208" s="248">
        <f t="shared" si="95"/>
        <v>1</v>
      </c>
      <c r="T208" s="241" t="str">
        <f t="shared" si="98"/>
        <v>NorthBound</v>
      </c>
      <c r="U208" s="24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7" t="str">
        <f t="shared" si="99"/>
        <v>https://d0f6bd738d7f1b3e5a7ca70fe4ff75f0.us-east-1.aws.found.io/app/kibana#/discover/Steve-Slow-Train-Analysis-(2080s-and-2083s)?_g=(refreshInterval:(display:Off,pause:!f,section:0,value:0),time:(from:'2017-12-28T17:36:56-0700',mode:absolute,to:'2017-12-28T19:48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8" s="246" t="str">
        <f>IF(AA208&lt;VLOOKUP(AG208,Variables!$AC$3:$AD$8,2,FALSE),"Y","N")</f>
        <v>Y</v>
      </c>
      <c r="X208" s="246">
        <f t="shared" si="94"/>
        <v>-548</v>
      </c>
      <c r="Y208" s="246">
        <f t="shared" si="92"/>
        <v>4.58E-2</v>
      </c>
      <c r="Z208" s="246">
        <f t="shared" si="93"/>
        <v>2.3308</v>
      </c>
      <c r="AA208" s="246">
        <f t="shared" si="100"/>
        <v>2.2850000000000001</v>
      </c>
      <c r="AB208" s="232" t="e">
        <f>VLOOKUP(A208,Enforcements!$C$7:$K$9,8,0)</f>
        <v>#N/A</v>
      </c>
      <c r="AC208" s="231" t="e">
        <f>VLOOKUP(A208,Enforcements!$C$7:$E$9,3,0)</f>
        <v>#N/A</v>
      </c>
      <c r="AD208" s="242">
        <f t="shared" si="101"/>
        <v>301</v>
      </c>
      <c r="AE208" s="234" t="str">
        <f t="shared" si="102"/>
        <v>aws s3 cp s3://rtdc.mdm.uploadarchive.raw/RTDC4056/ "%USERPROFILE%\AppData\Local\Temp\OnboardLogs"\RTDC4056\2017-12-28 --exclude "*" --recursive --include "*20171228*" &amp; "%USERPROFILE%\Documents\GitHub\mrs-test-scripts\Headless Mode &amp; Sideloading\WalkAndUnGZ.bat" "%USERPROFILE%\AppData\Local\Temp\OnboardLogs"\RTDC4056\2017-12-28 &amp; aws s3 cp s3://rtdc.mdm.uploadarchive.raw/RTDC4056/ "%USERPROFILE%\AppData\Local\Temp\OnboardLogs"\RTDC4056\2017-12-29 --exclude "*" --recursive --include "*20171229*" &amp; "%USERPROFILE%\Documents\GitHub\mrs-test-scripts\Headless Mode &amp; Sideloading\WalkAndUnGZ.bat" "%USERPROFILE%\AppData\Local\Temp\OnboardLogs"\RTDC4056\2017-12-29</v>
      </c>
      <c r="AF208" s="233" t="str">
        <f t="shared" si="103"/>
        <v>"C:\Program Files (x86)\AstroGrep\AstroGrep.exe" /e /r /s /spath="%USERPROFILE%\AppData\Local\Temp\OnboardLogs" /stypes="app*4056*201712290*" /stext=" 01:.+?(?&gt;(PRM\|1\|D)|(KPR)|(KDP)|(train st[a-z]+ moving)|(SYSTEM_STATE:s[a-z]+ state changed)|(Enforcement Action)|(\[TIMEOUT)|(parse_ebi_status: Penalty)|(\|GPPS))"</v>
      </c>
      <c r="AG208" s="243" t="str">
        <f t="shared" si="104"/>
        <v>Other</v>
      </c>
      <c r="AH208" s="235" t="str">
        <f t="shared" si="105"/>
        <v>"%USERPROFILE%\Documents\GitHub\eaglep3\Utilities\RefineRTDCRunTimes.py" --tripid 301-28 --locoid 4056 --swversion DE.1.0.9.0 --startMP 204:458 --initTime 2017-12-28T18:36:56 --startdatetime 2017-12-28T18:38:35 --delay 52 --endMP 300:23308 --enddatetime 2017-12-28T18:48:01 --enforcementcount 0 &gt;&gt;%USERPROFILE%\Documents\GitHub\eaglep3-reporting\EC\2017-12-28-refined-times.txt</v>
      </c>
      <c r="AI208" s="237" t="str">
        <f t="shared" si="106"/>
        <v>echo {"issue":{"subject":"","project_id":79,"tracker_id":40,"status_id":1,"priority_id":2,"assigned_to_id":338,"start_date":"2017-12-28","description":"","custom_fields":[{"id":1,"name":"Subdivision","value":"Other"},{"id":4,"name":"Milepost","value":"2.3308"},{"id":17,"name":"Train ID","value":"301-28"},{"id":16,"name":"Locomotive ID","value":"4056"},{"id":130,"name":"Impact","value":""},{"id":150,"name":"Time of Event (Mountain Time)","value":"18:48:01"},{"id":151,"name":"Denver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2"/>
      <c r="AK208" s="230"/>
      <c r="AL208" s="230"/>
      <c r="AM208" s="239" t="str">
        <f t="shared" si="107"/>
        <v>start /low /b %USERPROFILE%\Documents\GitHub\eaglep3\Utilities\DownloadLogsFromS3.py --loco 4056 --day 2017-12-28</v>
      </c>
      <c r="AN208" s="240" t="str">
        <f t="shared" si="108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01:48:01"},{"id":29,"name":"Sharepoint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29" t="str">
        <f t="shared" si="109"/>
        <v>https://d0f6bd738d7f1b3e5a7ca70fe4ff75f0.us-east-1.aws.found.io/app/kibana#/discover/Steve-Slow-Train-Analysis-(2080s-and-2083s)?_g=(refreshInterval:(display:Off,pause:!f,section:0,value:0),time:(from:'2017-12-28T17:36:56-0700',mode:absolute,to:'2017-12-28T19:48:01-0700'))&amp;_a=(columns:!('Message%20ID',Summary),filters:!(),index:'emp_*',interval:auto,query:(query_string:(analyze_wildcard:!t,query:'%22rtdc.l.rtdc.4056%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2" customFormat="1" x14ac:dyDescent="0.25">
      <c r="A209" s="228" t="s">
        <v>700</v>
      </c>
      <c r="B209" s="224">
        <v>4041</v>
      </c>
      <c r="C209" s="226" t="s">
        <v>192</v>
      </c>
      <c r="D209" s="226" t="s">
        <v>1003</v>
      </c>
      <c r="E209" s="225">
        <v>43097.140289351853</v>
      </c>
      <c r="F209" s="225">
        <v>43097.145150462966</v>
      </c>
      <c r="G209" s="224">
        <v>61</v>
      </c>
      <c r="H209" s="226" t="s">
        <v>1004</v>
      </c>
      <c r="I209" s="225">
        <v>43097.149722222224</v>
      </c>
      <c r="J209" s="224">
        <v>0</v>
      </c>
      <c r="K209" s="236" t="str">
        <f t="shared" si="96"/>
        <v>4041/4042</v>
      </c>
      <c r="L209" s="244" t="str">
        <f>VLOOKUP(A209,'Trips&amp;Operators'!$C$1:$G$99911,5,FALSE)</f>
        <v>MAELZER KURT</v>
      </c>
      <c r="M209" s="223">
        <f t="shared" si="97"/>
        <v>4.5717592583969235E-3</v>
      </c>
      <c r="N209" s="224">
        <f t="shared" si="84"/>
        <v>6.5833333320915699</v>
      </c>
      <c r="O209" s="224"/>
      <c r="P209" s="224"/>
      <c r="Q209" s="227"/>
      <c r="R209" s="241"/>
      <c r="S209" s="248">
        <f t="shared" si="95"/>
        <v>1</v>
      </c>
      <c r="T209" s="241" t="str">
        <f t="shared" si="98"/>
        <v>Southbound</v>
      </c>
      <c r="U209" s="24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7" t="str">
        <f t="shared" si="99"/>
        <v>https://d0f6bd738d7f1b3e5a7ca70fe4ff75f0.us-east-1.aws.found.io/app/kibana#/discover/Steve-Slow-Train-Analysis-(2080s-and-2083s)?_g=(refreshInterval:(display:Off,pause:!f,section:0,value:0),time:(from:'2017-12-28T02:22:01-0700',mode:absolute,to:'2017-12-28T04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9" s="246" t="str">
        <f>IF(AA209&lt;VLOOKUP(AG209,Variables!$AC$3:$AD$8,2,FALSE),"Y","N")</f>
        <v>Y</v>
      </c>
      <c r="X209" s="246">
        <f t="shared" si="94"/>
        <v>1</v>
      </c>
      <c r="Y209" s="246">
        <f t="shared" si="92"/>
        <v>1.9555</v>
      </c>
      <c r="Z209" s="246">
        <f t="shared" si="93"/>
        <v>1.89E-2</v>
      </c>
      <c r="AA209" s="246">
        <f t="shared" si="100"/>
        <v>1.9366000000000001</v>
      </c>
      <c r="AB209" s="232" t="e">
        <f>VLOOKUP(A209,Enforcements!$C$7:$K$9,8,0)</f>
        <v>#N/A</v>
      </c>
      <c r="AC209" s="231" t="e">
        <f>VLOOKUP(A209,Enforcements!$C$7:$E$9,3,0)</f>
        <v>#N/A</v>
      </c>
      <c r="AD209" s="242">
        <f t="shared" si="101"/>
        <v>302</v>
      </c>
      <c r="AE209" s="234" t="str">
        <f t="shared" si="102"/>
        <v>aws s3 cp s3://rtdc.mdm.uploadarchive.raw/RTDC4041/ "%USERPROFILE%\AppData\Local\Temp\OnboardLogs"\RTDC4041\2017-12-28 --exclude "*" --recursive --include "*20171228*" &amp; "%USERPROFILE%\Documents\GitHub\mrs-test-scripts\Headless Mode &amp; Sideloading\WalkAndUnGZ.bat" "%USERPROFILE%\AppData\Local\Temp\OnboardLogs"\RTDC4041\2017-12-28 &amp; aws s3 cp s3://rtdc.mdm.uploadarchive.raw/RTDC4041/ "%USERPROFILE%\AppData\Local\Temp\OnboardLogs"\RTDC4041\2017-12-29 --exclude "*" --recursive --include "*20171229*" &amp; "%USERPROFILE%\Documents\GitHub\mrs-test-scripts\Headless Mode &amp; Sideloading\WalkAndUnGZ.bat" "%USERPROFILE%\AppData\Local\Temp\OnboardLogs"\RTDC4041\2017-12-29</v>
      </c>
      <c r="AF209" s="233" t="str">
        <f t="shared" si="103"/>
        <v>"C:\Program Files (x86)\AstroGrep\AstroGrep.exe" /e /r /s /spath="%USERPROFILE%\AppData\Local\Temp\OnboardLogs" /stypes="app*4041*201712281*" /stext=" 10:.+?(?&gt;(PRM\|1\|D)|(KPR)|(KDP)|(train st[a-z]+ moving)|(SYSTEM_STATE:s[a-z]+ state changed)|(Enforcement Action)|(\[TIMEOUT)|(parse_ebi_status: Penalty)|(\|GPPS))"</v>
      </c>
      <c r="AG209" s="243" t="str">
        <f t="shared" si="104"/>
        <v>Other</v>
      </c>
      <c r="AH209" s="235" t="str">
        <f t="shared" si="105"/>
        <v>"%USERPROFILE%\Documents\GitHub\eaglep3\Utilities\RefineRTDCRunTimes.py" --tripid 302-28 --locoid 4041 --swversion DE.1.0.9.0 --startMP 300:19555 --initTime 2017-12-28T03:22:01 --startdatetime 2017-12-28T03:29:01 --delay 61 --endMP 204:189 --enddatetime 2017-12-28T03:35:36 --enforcementcount 0 &gt;&gt;%USERPROFILE%\Documents\GitHub\eaglep3-reporting\EC\2017-12-28-refined-times.txt</v>
      </c>
      <c r="AI209" s="237" t="str">
        <f t="shared" si="106"/>
        <v>echo {"issue":{"subject":"","project_id":79,"tracker_id":40,"status_id":1,"priority_id":2,"assigned_to_id":338,"start_date":"2017-12-28","description":"","custom_fields":[{"id":1,"name":"Subdivision","value":"Other"},{"id":4,"name":"Milepost","value":"0.0189"},{"id":17,"name":"Train ID","value":"302-28"},{"id":16,"name":"Locomotive ID","value":"4041"},{"id":130,"name":"Impact","value":""},{"id":150,"name":"Time of Event (Mountain Time)","value":"03:35:36"},{"id":151,"name":"Denver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0"/>
      <c r="AL209" s="230"/>
      <c r="AM209" s="239" t="str">
        <f t="shared" si="107"/>
        <v>start /low /b %USERPROFILE%\Documents\GitHub\eaglep3\Utilities\DownloadLogsFromS3.py --loco 4041 --day 2017-12-28</v>
      </c>
      <c r="AN209" s="240" t="str">
        <f t="shared" si="108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10:35:36"},{"id":29,"name":"Sharepoint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29" t="str">
        <f t="shared" si="109"/>
        <v>https://d0f6bd738d7f1b3e5a7ca70fe4ff75f0.us-east-1.aws.found.io/app/kibana#/discover/Steve-Slow-Train-Analysis-(2080s-and-2083s)?_g=(refreshInterval:(display:Off,pause:!f,section:0,value:0),time:(from:'2017-12-28T02:22:01-0700',mode:absolute,to:'2017-12-28T04:35:36-0700'))&amp;_a=(columns:!('Message%20ID',Summary),filters:!(),index:'emp_*',interval:auto,query:(query_string:(analyze_wildcard:!t,query:'%22rtdc.l.rtdc.4041%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2" customFormat="1" x14ac:dyDescent="0.25">
      <c r="A210" s="228" t="s">
        <v>876</v>
      </c>
      <c r="B210" s="224">
        <v>4004</v>
      </c>
      <c r="C210" s="226" t="s">
        <v>192</v>
      </c>
      <c r="D210" s="226" t="s">
        <v>469</v>
      </c>
      <c r="E210" s="225">
        <v>43097.796851851854</v>
      </c>
      <c r="F210" s="225">
        <v>43097.798587962963</v>
      </c>
      <c r="G210" s="224">
        <v>59</v>
      </c>
      <c r="H210" s="226" t="s">
        <v>1005</v>
      </c>
      <c r="I210" s="225">
        <v>43097.805439814816</v>
      </c>
      <c r="J210" s="224">
        <v>0</v>
      </c>
      <c r="K210" s="236" t="str">
        <f t="shared" si="96"/>
        <v>4003/4004</v>
      </c>
      <c r="L210" s="244" t="str">
        <f>VLOOKUP(A210,'Trips&amp;Operators'!$C$1:$G$99911,5,FALSE)</f>
        <v>ROBINSON KADDIBA</v>
      </c>
      <c r="M210" s="223">
        <f t="shared" si="97"/>
        <v>6.8518518528435379E-3</v>
      </c>
      <c r="N210" s="224">
        <f t="shared" si="84"/>
        <v>9.8666666680946946</v>
      </c>
      <c r="O210" s="224"/>
      <c r="P210" s="224"/>
      <c r="Q210" s="227"/>
      <c r="R210" s="241"/>
      <c r="S210" s="248">
        <f t="shared" si="95"/>
        <v>1</v>
      </c>
      <c r="T210" s="241" t="str">
        <f t="shared" si="98"/>
        <v>NorthBound</v>
      </c>
      <c r="U210" s="24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7" t="str">
        <f t="shared" si="99"/>
        <v>https://d0f6bd738d7f1b3e5a7ca70fe4ff75f0.us-east-1.aws.found.io/app/kibana#/discover/Steve-Slow-Train-Analysis-(2080s-and-2083s)?_g=(refreshInterval:(display:Off,pause:!f,section:0,value:0),time:(from:'2017-12-28T18:07:28-0700',mode:absolute,to:'2017-12-28T20:19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0" s="246" t="str">
        <f>IF(AA210&lt;VLOOKUP(AG210,Variables!$AC$3:$AD$8,2,FALSE),"Y","N")</f>
        <v>Y</v>
      </c>
      <c r="X210" s="246">
        <f t="shared" si="94"/>
        <v>1</v>
      </c>
      <c r="Y210" s="246">
        <f t="shared" si="92"/>
        <v>5.0799999999999998E-2</v>
      </c>
      <c r="Z210" s="246">
        <f t="shared" si="93"/>
        <v>2.3311999999999999</v>
      </c>
      <c r="AA210" s="246">
        <f t="shared" si="100"/>
        <v>2.2803999999999998</v>
      </c>
      <c r="AB210" s="232" t="e">
        <f>VLOOKUP(A210,Enforcements!$C$7:$K$9,8,0)</f>
        <v>#N/A</v>
      </c>
      <c r="AC210" s="231" t="e">
        <f>VLOOKUP(A210,Enforcements!$C$7:$E$9,3,0)</f>
        <v>#N/A</v>
      </c>
      <c r="AD210" s="242">
        <f t="shared" si="101"/>
        <v>303</v>
      </c>
      <c r="AE210" s="234" t="str">
        <f t="shared" si="102"/>
        <v>aws s3 cp s3://rtdc.mdm.uploadarchive.raw/RTDC4004/ "%USERPROFILE%\AppData\Local\Temp\OnboardLogs"\RTDC4004\2017-12-28 --exclude "*" --recursive --include "*20171228*" &amp; "%USERPROFILE%\Documents\GitHub\mrs-test-scripts\Headless Mode &amp; Sideloading\WalkAndUnGZ.bat" "%USERPROFILE%\AppData\Local\Temp\OnboardLogs"\RTDC4004\2017-12-28 &amp; aws s3 cp s3://rtdc.mdm.uploadarchive.raw/RTDC4004/ "%USERPROFILE%\AppData\Local\Temp\OnboardLogs"\RTDC4004\2017-12-29 --exclude "*" --recursive --include "*20171229*" &amp; "%USERPROFILE%\Documents\GitHub\mrs-test-scripts\Headless Mode &amp; Sideloading\WalkAndUnGZ.bat" "%USERPROFILE%\AppData\Local\Temp\OnboardLogs"\RTDC4004\2017-12-29</v>
      </c>
      <c r="AF210" s="233" t="str">
        <f t="shared" si="103"/>
        <v>"C:\Program Files (x86)\AstroGrep\AstroGrep.exe" /e /r /s /spath="%USERPROFILE%\AppData\Local\Temp\OnboardLogs" /stypes="app*4004*201712290*" /stext=" 02:.+?(?&gt;(PRM\|1\|D)|(KPR)|(KDP)|(train st[a-z]+ moving)|(SYSTEM_STATE:s[a-z]+ state changed)|(Enforcement Action)|(\[TIMEOUT)|(parse_ebi_status: Penalty)|(\|GPPS))"</v>
      </c>
      <c r="AG210" s="243" t="str">
        <f t="shared" si="104"/>
        <v>Other</v>
      </c>
      <c r="AH210" s="235" t="str">
        <f t="shared" si="105"/>
        <v>"%USERPROFILE%\Documents\GitHub\eaglep3\Utilities\RefineRTDCRunTimes.py" --tripid 303-28 --locoid 4004 --swversion DE.1.0.9.0 --startMP 204:508 --initTime 2017-12-28T19:07:28 --startdatetime 2017-12-28T19:09:58 --delay 59 --endMP 300:23312 --enddatetime 2017-12-28T19:19:50 --enforcementcount 0 &gt;&gt;%USERPROFILE%\Documents\GitHub\eaglep3-reporting\EC\2017-12-28-refined-times.txt</v>
      </c>
      <c r="AI210" s="237" t="str">
        <f t="shared" si="106"/>
        <v>echo {"issue":{"subject":"","project_id":79,"tracker_id":40,"status_id":1,"priority_id":2,"assigned_to_id":338,"start_date":"2017-12-28","description":"","custom_fields":[{"id":1,"name":"Subdivision","value":"Other"},{"id":4,"name":"Milepost","value":"2.3312"},{"id":17,"name":"Train ID","value":"303-28"},{"id":16,"name":"Locomotive ID","value":"4004"},{"id":130,"name":"Impact","value":""},{"id":150,"name":"Time of Event (Mountain Time)","value":"19:19:50"},{"id":151,"name":"Denver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0"/>
      <c r="AL210" s="230"/>
      <c r="AM210" s="239" t="str">
        <f t="shared" si="107"/>
        <v>start /low /b %USERPROFILE%\Documents\GitHub\eaglep3\Utilities\DownloadLogsFromS3.py --loco 4004 --day 2017-12-28</v>
      </c>
      <c r="AN210" s="240" t="str">
        <f t="shared" si="108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02:19:50"},{"id":29,"name":"Sharepoint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29" t="str">
        <f t="shared" si="109"/>
        <v>https://d0f6bd738d7f1b3e5a7ca70fe4ff75f0.us-east-1.aws.found.io/app/kibana#/discover/Steve-Slow-Train-Analysis-(2080s-and-2083s)?_g=(refreshInterval:(display:Off,pause:!f,section:0,value:0),time:(from:'2017-12-28T18:07:28-0700',mode:absolute,to:'2017-12-28T20:19:50-0700'))&amp;_a=(columns:!('Message%20ID',Summary),filters:!(),index:'emp_*',interval:auto,query:(query_string:(analyze_wildcard:!t,query:'%22rtdc.l.rtdc.4004%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8" t="s">
        <v>704</v>
      </c>
      <c r="B211" s="224">
        <v>4013</v>
      </c>
      <c r="C211" s="226" t="s">
        <v>192</v>
      </c>
      <c r="D211" s="226" t="s">
        <v>1006</v>
      </c>
      <c r="E211" s="225">
        <v>43097.162719907406</v>
      </c>
      <c r="F211" s="225">
        <v>43097.166851851849</v>
      </c>
      <c r="G211" s="224">
        <v>88</v>
      </c>
      <c r="H211" s="226" t="s">
        <v>503</v>
      </c>
      <c r="I211" s="225">
        <v>43097.172303240739</v>
      </c>
      <c r="J211" s="224">
        <v>0</v>
      </c>
      <c r="K211" s="236" t="str">
        <f t="shared" si="96"/>
        <v>4013/4014</v>
      </c>
      <c r="L211" s="244" t="str">
        <f>VLOOKUP(A211,'Trips&amp;Operators'!$C$1:$G$99911,5,FALSE)</f>
        <v>LONG FULLER</v>
      </c>
      <c r="M211" s="223">
        <f t="shared" si="97"/>
        <v>5.4513888899236917E-3</v>
      </c>
      <c r="N211" s="224">
        <f t="shared" si="84"/>
        <v>7.8500000014901161</v>
      </c>
      <c r="O211" s="224"/>
      <c r="P211" s="224"/>
      <c r="Q211" s="227"/>
      <c r="R211" s="241"/>
      <c r="S211" s="248">
        <f t="shared" si="95"/>
        <v>1</v>
      </c>
      <c r="T211" s="241" t="str">
        <f t="shared" si="98"/>
        <v>Southbound</v>
      </c>
      <c r="U211" s="24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7" t="str">
        <f t="shared" si="99"/>
        <v>https://d0f6bd738d7f1b3e5a7ca70fe4ff75f0.us-east-1.aws.found.io/app/kibana#/discover/Steve-Slow-Train-Analysis-(2080s-and-2083s)?_g=(refreshInterval:(display:Off,pause:!f,section:0,value:0),time:(from:'2017-12-28T02:54:19-0700',mode:absolute,to:'2017-12-28T05:08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1" s="246" t="str">
        <f>IF(AA211&lt;VLOOKUP(AG211,Variables!$AC$3:$AD$8,2,FALSE),"Y","N")</f>
        <v>Y</v>
      </c>
      <c r="X211" s="246">
        <f t="shared" si="94"/>
        <v>1</v>
      </c>
      <c r="Y211" s="246">
        <f t="shared" si="92"/>
        <v>2.3498999999999999</v>
      </c>
      <c r="Z211" s="246">
        <f t="shared" si="93"/>
        <v>2.0899999999999998E-2</v>
      </c>
      <c r="AA211" s="246">
        <f t="shared" si="100"/>
        <v>2.3289999999999997</v>
      </c>
      <c r="AB211" s="232" t="e">
        <f>VLOOKUP(A211,Enforcements!$C$7:$K$9,8,0)</f>
        <v>#N/A</v>
      </c>
      <c r="AC211" s="231" t="e">
        <f>VLOOKUP(A211,Enforcements!$C$7:$E$9,3,0)</f>
        <v>#N/A</v>
      </c>
      <c r="AD211" s="242">
        <f t="shared" si="101"/>
        <v>304</v>
      </c>
      <c r="AE211" s="234" t="str">
        <f t="shared" si="102"/>
        <v>aws s3 cp s3://rtdc.mdm.uploadarchive.raw/RTDC4013/ "%USERPROFILE%\AppData\Local\Temp\OnboardLogs"\RTDC4013\2017-12-28 --exclude "*" --recursive --include "*20171228*" &amp; "%USERPROFILE%\Documents\GitHub\mrs-test-scripts\Headless Mode &amp; Sideloading\WalkAndUnGZ.bat" "%USERPROFILE%\AppData\Local\Temp\OnboardLogs"\RTDC4013\2017-12-28 &amp; aws s3 cp s3://rtdc.mdm.uploadarchive.raw/RTDC4013/ "%USERPROFILE%\AppData\Local\Temp\OnboardLogs"\RTDC4013\2017-12-29 --exclude "*" --recursive --include "*20171229*" &amp; "%USERPROFILE%\Documents\GitHub\mrs-test-scripts\Headless Mode &amp; Sideloading\WalkAndUnGZ.bat" "%USERPROFILE%\AppData\Local\Temp\OnboardLogs"\RTDC4013\2017-12-29</v>
      </c>
      <c r="AF211" s="233" t="str">
        <f t="shared" si="103"/>
        <v>"C:\Program Files (x86)\AstroGrep\AstroGrep.exe" /e /r /s /spath="%USERPROFILE%\AppData\Local\Temp\OnboardLogs" /stypes="app*4013*201712281*" /stext=" 11:.+?(?&gt;(PRM\|1\|D)|(KPR)|(KDP)|(train st[a-z]+ moving)|(SYSTEM_STATE:s[a-z]+ state changed)|(Enforcement Action)|(\[TIMEOUT)|(parse_ebi_status: Penalty)|(\|GPPS))"</v>
      </c>
      <c r="AG211" s="243" t="str">
        <f t="shared" si="104"/>
        <v>Other</v>
      </c>
      <c r="AH211" s="235" t="str">
        <f t="shared" si="105"/>
        <v>"%USERPROFILE%\Documents\GitHub\eaglep3\Utilities\RefineRTDCRunTimes.py" --tripid 304-28 --locoid 4013 --swversion DE.1.0.9.0 --startMP 300:23499 --initTime 2017-12-28T03:54:19 --startdatetime 2017-12-28T04:00:16 --delay 88 --endMP 204:209 --enddatetime 2017-12-28T04:08:07 --enforcementcount 0 &gt;&gt;%USERPROFILE%\Documents\GitHub\eaglep3-reporting\EC\2017-12-28-refined-times.txt</v>
      </c>
      <c r="AI211" s="237" t="str">
        <f t="shared" si="106"/>
        <v>echo {"issue":{"subject":"","project_id":79,"tracker_id":40,"status_id":1,"priority_id":2,"assigned_to_id":338,"start_date":"2017-12-28","description":"","custom_fields":[{"id":1,"name":"Subdivision","value":"Other"},{"id":4,"name":"Milepost","value":"0.0209"},{"id":17,"name":"Train ID","value":"304-28"},{"id":16,"name":"Locomotive ID","value":"4013"},{"id":130,"name":"Impact","value":""},{"id":150,"name":"Time of Event (Mountain Time)","value":"04:08:07"},{"id":151,"name":"Denver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2"/>
      <c r="AK211" s="230"/>
      <c r="AL211" s="230"/>
      <c r="AM211" s="239" t="str">
        <f t="shared" si="107"/>
        <v>start /low /b %USERPROFILE%\Documents\GitHub\eaglep3\Utilities\DownloadLogsFromS3.py --loco 4013 --day 2017-12-28</v>
      </c>
      <c r="AN211" s="240" t="str">
        <f t="shared" si="108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11:08:07"},{"id":29,"name":"Sharepoint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29" t="str">
        <f t="shared" si="109"/>
        <v>https://d0f6bd738d7f1b3e5a7ca70fe4ff75f0.us-east-1.aws.found.io/app/kibana#/discover/Steve-Slow-Train-Analysis-(2080s-and-2083s)?_g=(refreshInterval:(display:Off,pause:!f,section:0,value:0),time:(from:'2017-12-28T02:54:19-0700',mode:absolute,to:'2017-12-28T05:08:07-0700'))&amp;_a=(columns:!('Message%20ID',Summary),filters:!(),index:'emp_*',interval:auto,query:(query_string:(analyze_wildcard:!t,query:'%22rtdc.l.rtdc.4013%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8" t="s">
        <v>882</v>
      </c>
      <c r="B212" s="224">
        <v>4046</v>
      </c>
      <c r="C212" s="226" t="s">
        <v>192</v>
      </c>
      <c r="D212" s="226" t="s">
        <v>1007</v>
      </c>
      <c r="E212" s="225">
        <v>43097.843726851854</v>
      </c>
      <c r="F212" s="225">
        <v>43097.845277777778</v>
      </c>
      <c r="G212" s="224">
        <v>60</v>
      </c>
      <c r="H212" s="226" t="s">
        <v>528</v>
      </c>
      <c r="I212" s="225">
        <v>43097.851064814815</v>
      </c>
      <c r="J212" s="224">
        <v>0</v>
      </c>
      <c r="K212" s="236" t="str">
        <f t="shared" si="96"/>
        <v>4045/4046</v>
      </c>
      <c r="L212" s="244" t="str">
        <f>VLOOKUP(A212,'Trips&amp;Operators'!$C$1:$G$99911,5,FALSE)</f>
        <v>HOLCOMB KAMDEN</v>
      </c>
      <c r="M212" s="223">
        <f t="shared" si="97"/>
        <v>5.7870370364980772E-3</v>
      </c>
      <c r="N212" s="224">
        <f t="shared" si="84"/>
        <v>8.3333333325572312</v>
      </c>
      <c r="O212" s="224"/>
      <c r="P212" s="224"/>
      <c r="Q212" s="227"/>
      <c r="R212" s="241"/>
      <c r="S212" s="248">
        <f t="shared" si="95"/>
        <v>1</v>
      </c>
      <c r="T212" s="241" t="str">
        <f t="shared" si="98"/>
        <v>NorthBound</v>
      </c>
      <c r="U212" s="24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7" t="str">
        <f t="shared" si="99"/>
        <v>https://d0f6bd738d7f1b3e5a7ca70fe4ff75f0.us-east-1.aws.found.io/app/kibana#/discover/Steve-Slow-Train-Analysis-(2080s-and-2083s)?_g=(refreshInterval:(display:Off,pause:!f,section:0,value:0),time:(from:'2017-12-28T19:14:58-0700',mode:absolute,to:'2017-12-28T21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2" s="246" t="str">
        <f>IF(AA212&lt;VLOOKUP(AG212,Variables!$AC$3:$AD$8,2,FALSE),"Y","N")</f>
        <v>Y</v>
      </c>
      <c r="X212" s="246">
        <f t="shared" si="94"/>
        <v>1</v>
      </c>
      <c r="Y212" s="246">
        <f t="shared" si="92"/>
        <v>0.11550000000000001</v>
      </c>
      <c r="Z212" s="246">
        <f t="shared" si="93"/>
        <v>2.3306</v>
      </c>
      <c r="AA212" s="246">
        <f t="shared" si="100"/>
        <v>2.2151000000000001</v>
      </c>
      <c r="AB212" s="232" t="e">
        <f>VLOOKUP(A212,Enforcements!$C$7:$K$9,8,0)</f>
        <v>#N/A</v>
      </c>
      <c r="AC212" s="231" t="e">
        <f>VLOOKUP(A212,Enforcements!$C$7:$E$9,3,0)</f>
        <v>#N/A</v>
      </c>
      <c r="AD212" s="242">
        <f t="shared" si="101"/>
        <v>305</v>
      </c>
      <c r="AE212" s="234" t="str">
        <f t="shared" si="102"/>
        <v>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 &amp; aws s3 cp s3://rtdc.mdm.uploadarchive.raw/RTDC4046/ "%USERPROFILE%\AppData\Local\Temp\OnboardLogs"\RTDC4046\2017-12-29 --exclude "*" --recursive --include "*20171229*" &amp; "%USERPROFILE%\Documents\GitHub\mrs-test-scripts\Headless Mode &amp; Sideloading\WalkAndUnGZ.bat" "%USERPROFILE%\AppData\Local\Temp\OnboardLogs"\RTDC4046\2017-12-29</v>
      </c>
      <c r="AF212" s="233" t="str">
        <f t="shared" si="103"/>
        <v>"C:\Program Files (x86)\AstroGrep\AstroGrep.exe" /e /r /s /spath="%USERPROFILE%\AppData\Local\Temp\OnboardLogs" /stypes="app*4046*201712290*" /stext=" 03:.+?(?&gt;(PRM\|1\|D)|(KPR)|(KDP)|(train st[a-z]+ moving)|(SYSTEM_STATE:s[a-z]+ state changed)|(Enforcement Action)|(\[TIMEOUT)|(parse_ebi_status: Penalty)|(\|GPPS))"</v>
      </c>
      <c r="AG212" s="243" t="str">
        <f t="shared" si="104"/>
        <v>Other</v>
      </c>
      <c r="AH212" s="235" t="str">
        <f t="shared" si="105"/>
        <v>"%USERPROFILE%\Documents\GitHub\eaglep3\Utilities\RefineRTDCRunTimes.py" --tripid 305-28 --locoid 4046 --swversion DE.1.0.9.0 --startMP 204:1155 --initTime 2017-12-28T20:14:58 --startdatetime 2017-12-28T20:17:12 --delay 60 --endMP 300:23306 --enddatetime 2017-12-28T20:25:32 --enforcementcount 0 &gt;&gt;%USERPROFILE%\Documents\GitHub\eaglep3-reporting\EC\2017-12-28-refined-times.txt</v>
      </c>
      <c r="AI212" s="237" t="str">
        <f t="shared" si="106"/>
        <v>echo {"issue":{"subject":"","project_id":79,"tracker_id":40,"status_id":1,"priority_id":2,"assigned_to_id":338,"start_date":"2017-12-28","description":"","custom_fields":[{"id":1,"name":"Subdivision","value":"Other"},{"id":4,"name":"Milepost","value":"2.3306"},{"id":17,"name":"Train ID","value":"305-28"},{"id":16,"name":"Locomotive ID","value":"4046"},{"id":130,"name":"Impact","value":""},{"id":150,"name":"Time of Event (Mountain Time)","value":"20:25:32"},{"id":151,"name":"Denver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2"/>
      <c r="AK212" s="230"/>
      <c r="AL212" s="230"/>
      <c r="AM212" s="239" t="str">
        <f t="shared" si="107"/>
        <v>start /low /b %USERPROFILE%\Documents\GitHub\eaglep3\Utilities\DownloadLogsFromS3.py --loco 4046 --day 2017-12-28</v>
      </c>
      <c r="AN212" s="240" t="str">
        <f t="shared" si="108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03:25:32"},{"id":29,"name":"Sharepoint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29" t="str">
        <f t="shared" si="109"/>
        <v>https://d0f6bd738d7f1b3e5a7ca70fe4ff75f0.us-east-1.aws.found.io/app/kibana#/discover/Steve-Slow-Train-Analysis-(2080s-and-2083s)?_g=(refreshInterval:(display:Off,pause:!f,section:0,value:0),time:(from:'2017-12-28T19:14:58-0700',mode:absolute,to:'2017-12-28T21:25:32-0700'))&amp;_a=(columns:!('Message%20ID',Summary),filters:!(),index:'emp_*',interval:auto,query:(query_string:(analyze_wildcard:!t,query:'%22rtdc.l.rtdc.4046%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8" t="s">
        <v>705</v>
      </c>
      <c r="B213" s="224">
        <v>4045</v>
      </c>
      <c r="C213" s="226" t="s">
        <v>192</v>
      </c>
      <c r="D213" s="226" t="s">
        <v>1008</v>
      </c>
      <c r="E213" s="225">
        <v>43097.16814814815</v>
      </c>
      <c r="F213" s="225">
        <v>43097.174027777779</v>
      </c>
      <c r="G213" s="224">
        <v>84</v>
      </c>
      <c r="H213" s="226" t="s">
        <v>1009</v>
      </c>
      <c r="I213" s="225">
        <v>43097.179652777777</v>
      </c>
      <c r="J213" s="224">
        <v>0</v>
      </c>
      <c r="K213" s="236" t="str">
        <f t="shared" si="96"/>
        <v>4045/4046</v>
      </c>
      <c r="L213" s="244" t="str">
        <f>VLOOKUP(A213,'Trips&amp;Operators'!$C$1:$G$99911,5,FALSE)</f>
        <v>GEBRETEKLE DAGNEW</v>
      </c>
      <c r="M213" s="223">
        <f t="shared" si="97"/>
        <v>5.6249999979627319E-3</v>
      </c>
      <c r="N213" s="224">
        <f t="shared" si="84"/>
        <v>8.0999999970663339</v>
      </c>
      <c r="O213" s="224"/>
      <c r="P213" s="224"/>
      <c r="Q213" s="227"/>
      <c r="R213" s="241"/>
      <c r="S213" s="248">
        <f t="shared" si="95"/>
        <v>1</v>
      </c>
      <c r="T213" s="241" t="str">
        <f t="shared" si="98"/>
        <v>Southbound</v>
      </c>
      <c r="U213" s="24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7" t="str">
        <f t="shared" si="99"/>
        <v>https://d0f6bd738d7f1b3e5a7ca70fe4ff75f0.us-east-1.aws.found.io/app/kibana#/discover/Steve-Slow-Train-Analysis-(2080s-and-2083s)?_g=(refreshInterval:(display:Off,pause:!f,section:0,value:0),time:(from:'2017-12-28T03:02:08-0700',mode:absolute,to:'2017-12-28T05:18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3" s="246" t="str">
        <f>IF(AA213&lt;VLOOKUP(AG213,Variables!$AC$3:$AD$8,2,FALSE),"Y","N")</f>
        <v>Y</v>
      </c>
      <c r="X213" s="246">
        <f t="shared" si="94"/>
        <v>1</v>
      </c>
      <c r="Y213" s="246">
        <f t="shared" si="92"/>
        <v>2.3698999999999999</v>
      </c>
      <c r="Z213" s="246">
        <f t="shared" si="93"/>
        <v>1.6299999999999999E-2</v>
      </c>
      <c r="AA213" s="246">
        <f t="shared" si="100"/>
        <v>2.3535999999999997</v>
      </c>
      <c r="AB213" s="232" t="e">
        <f>VLOOKUP(A213,Enforcements!$C$7:$K$9,8,0)</f>
        <v>#N/A</v>
      </c>
      <c r="AC213" s="231" t="e">
        <f>VLOOKUP(A213,Enforcements!$C$7:$E$9,3,0)</f>
        <v>#N/A</v>
      </c>
      <c r="AD213" s="242">
        <f t="shared" si="101"/>
        <v>306</v>
      </c>
      <c r="AE213" s="234" t="str">
        <f t="shared" si="102"/>
        <v>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 &amp; aws s3 cp s3://rtdc.mdm.uploadarchive.raw/RTDC4045/ "%USERPROFILE%\AppData\Local\Temp\OnboardLogs"\RTDC4045\2017-12-29 --exclude "*" --recursive --include "*20171229*" &amp; "%USERPROFILE%\Documents\GitHub\mrs-test-scripts\Headless Mode &amp; Sideloading\WalkAndUnGZ.bat" "%USERPROFILE%\AppData\Local\Temp\OnboardLogs"\RTDC4045\2017-12-29</v>
      </c>
      <c r="AF213" s="233" t="str">
        <f t="shared" si="103"/>
        <v>"C:\Program Files (x86)\AstroGrep\AstroGrep.exe" /e /r /s /spath="%USERPROFILE%\AppData\Local\Temp\OnboardLogs" /stypes="app*4045*201712281*" /stext=" 11:.+?(?&gt;(PRM\|1\|D)|(KPR)|(KDP)|(train st[a-z]+ moving)|(SYSTEM_STATE:s[a-z]+ state changed)|(Enforcement Action)|(\[TIMEOUT)|(parse_ebi_status: Penalty)|(\|GPPS))"</v>
      </c>
      <c r="AG213" s="243" t="str">
        <f t="shared" si="104"/>
        <v>Other</v>
      </c>
      <c r="AH213" s="235" t="str">
        <f t="shared" si="105"/>
        <v>"%USERPROFILE%\Documents\GitHub\eaglep3\Utilities\RefineRTDCRunTimes.py" --tripid 306-28 --locoid 4045 --swversion DE.1.0.9.0 --startMP 300:23699 --initTime 2017-12-28T04:02:08 --startdatetime 2017-12-28T04:10:36 --delay 84 --endMP 204:163 --enddatetime 2017-12-28T04:18:42 --enforcementcount 0 &gt;&gt;%USERPROFILE%\Documents\GitHub\eaglep3-reporting\EC\2017-12-28-refined-times.txt</v>
      </c>
      <c r="AI213" s="237" t="str">
        <f t="shared" si="106"/>
        <v>echo {"issue":{"subject":"","project_id":79,"tracker_id":40,"status_id":1,"priority_id":2,"assigned_to_id":338,"start_date":"2017-12-28","description":"","custom_fields":[{"id":1,"name":"Subdivision","value":"Other"},{"id":4,"name":"Milepost","value":"0.0163"},{"id":17,"name":"Train ID","value":"306-28"},{"id":16,"name":"Locomotive ID","value":"4045"},{"id":130,"name":"Impact","value":""},{"id":150,"name":"Time of Event (Mountain Time)","value":"04:18:42"},{"id":151,"name":"Denver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2"/>
      <c r="AK213" s="230"/>
      <c r="AL213" s="230"/>
      <c r="AM213" s="239" t="str">
        <f t="shared" si="107"/>
        <v>start /low /b %USERPROFILE%\Documents\GitHub\eaglep3\Utilities\DownloadLogsFromS3.py --loco 4045 --day 2017-12-28</v>
      </c>
      <c r="AN213" s="240" t="str">
        <f t="shared" si="108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11:18:42"},{"id":29,"name":"Sharepoint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29" t="str">
        <f t="shared" si="109"/>
        <v>https://d0f6bd738d7f1b3e5a7ca70fe4ff75f0.us-east-1.aws.found.io/app/kibana#/discover/Steve-Slow-Train-Analysis-(2080s-and-2083s)?_g=(refreshInterval:(display:Off,pause:!f,section:0,value:0),time:(from:'2017-12-28T03:02:08-0700',mode:absolute,to:'2017-12-28T05:18:42-0700'))&amp;_a=(columns:!('Message%20ID',Summary),filters:!(),index:'emp_*',interval:auto,query:(query_string:(analyze_wildcard:!t,query:'%22rtdc.l.rtdc.4045%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2" customFormat="1" x14ac:dyDescent="0.25">
      <c r="A214" s="228" t="s">
        <v>905</v>
      </c>
      <c r="B214" s="224">
        <v>4042</v>
      </c>
      <c r="C214" s="226" t="s">
        <v>192</v>
      </c>
      <c r="D214" s="226" t="s">
        <v>523</v>
      </c>
      <c r="E214" s="225">
        <v>43098.047453703701</v>
      </c>
      <c r="F214" s="225">
        <v>43098.049166666664</v>
      </c>
      <c r="G214" s="224">
        <v>81</v>
      </c>
      <c r="H214" s="226" t="s">
        <v>1005</v>
      </c>
      <c r="I214" s="225">
        <v>43098.05982638889</v>
      </c>
      <c r="J214" s="224">
        <v>0</v>
      </c>
      <c r="K214" s="236" t="str">
        <f t="shared" si="96"/>
        <v>4041/4042</v>
      </c>
      <c r="L214" s="244" t="str">
        <f>VLOOKUP(A214,'Trips&amp;Operators'!$C$1:$G$99911,5,FALSE)</f>
        <v>LOZA FIDEL</v>
      </c>
      <c r="M214" s="223">
        <f t="shared" si="97"/>
        <v>1.0659722225682344E-2</v>
      </c>
      <c r="N214" s="224">
        <f t="shared" si="84"/>
        <v>15.350000004982576</v>
      </c>
      <c r="O214" s="224"/>
      <c r="P214" s="224"/>
      <c r="Q214" s="227"/>
      <c r="R214" s="241"/>
      <c r="S214" s="248">
        <f t="shared" si="95"/>
        <v>1</v>
      </c>
      <c r="T214" s="241" t="str">
        <f t="shared" si="98"/>
        <v>NorthBound</v>
      </c>
      <c r="U214" s="24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7" t="str">
        <f t="shared" si="99"/>
        <v>https://d0f6bd738d7f1b3e5a7ca70fe4ff75f0.us-east-1.aws.found.io/app/kibana#/discover/Steve-Slow-Train-Analysis-(2080s-and-2083s)?_g=(refreshInterval:(display:Off,pause:!f,section:0,value:0),time:(from:'2017-12-29T00:08:20-0700',mode:absolute,to:'2017-12-29T02:26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4" s="246" t="str">
        <f>IF(AA214&lt;VLOOKUP(AG214,Variables!$AC$3:$AD$8,2,FALSE),"Y","N")</f>
        <v>Y</v>
      </c>
      <c r="X214" s="246">
        <f t="shared" si="94"/>
        <v>1</v>
      </c>
      <c r="Y214" s="246">
        <f t="shared" si="92"/>
        <v>5.0599999999999999E-2</v>
      </c>
      <c r="Z214" s="246">
        <f t="shared" si="93"/>
        <v>2.3311999999999999</v>
      </c>
      <c r="AA214" s="246">
        <f t="shared" si="100"/>
        <v>2.2805999999999997</v>
      </c>
      <c r="AB214" s="232" t="e">
        <f>VLOOKUP(A214,Enforcements!$C$7:$K$9,8,0)</f>
        <v>#N/A</v>
      </c>
      <c r="AC214" s="231" t="e">
        <f>VLOOKUP(A214,Enforcements!$C$7:$E$9,3,0)</f>
        <v>#N/A</v>
      </c>
      <c r="AD214" s="242">
        <f t="shared" si="101"/>
        <v>307</v>
      </c>
      <c r="AE214" s="234" t="str">
        <f t="shared" si="102"/>
        <v>aws s3 cp s3://rtdc.mdm.uploadarchive.raw/RTDC4042/ "%USERPROFILE%\AppData\Local\Temp\OnboardLogs"\RTDC4042\2017-12-29 --exclude "*" --recursive --include "*20171229*" &amp; "%USERPROFILE%\Documents\GitHub\mrs-test-scripts\Headless Mode &amp; Sideloading\WalkAndUnGZ.bat" "%USERPROFILE%\AppData\Local\Temp\OnboardLogs"\RTDC4042\2017-12-29 &amp; aws s3 cp s3://rtdc.mdm.uploadarchive.raw/RTDC4042/ "%USERPROFILE%\AppData\Local\Temp\OnboardLogs"\RTDC4042\2017-12-30 --exclude "*" --recursive --include "*20171230*" &amp; "%USERPROFILE%\Documents\GitHub\mrs-test-scripts\Headless Mode &amp; Sideloading\WalkAndUnGZ.bat" "%USERPROFILE%\AppData\Local\Temp\OnboardLogs"\RTDC4042\2017-12-30</v>
      </c>
      <c r="AF214" s="233" t="str">
        <f t="shared" si="103"/>
        <v>"C:\Program Files (x86)\AstroGrep\AstroGrep.exe" /e /r /s /spath="%USERPROFILE%\AppData\Local\Temp\OnboardLogs" /stypes="app*4042*201712290*" /stext=" 08:.+?(?&gt;(PRM\|1\|D)|(KPR)|(KDP)|(train st[a-z]+ moving)|(SYSTEM_STATE:s[a-z]+ state changed)|(Enforcement Action)|(\[TIMEOUT)|(parse_ebi_status: Penalty)|(\|GPPS))"</v>
      </c>
      <c r="AG214" s="243" t="str">
        <f t="shared" si="104"/>
        <v>Other</v>
      </c>
      <c r="AH214" s="235" t="str">
        <f t="shared" si="105"/>
        <v>"%USERPROFILE%\Documents\GitHub\eaglep3\Utilities\RefineRTDCRunTimes.py" --tripid 307-28 --locoid 4042 --swversion DE.1.0.9.0 --startMP 204:506 --initTime 2017-12-29T01:08:20 --startdatetime 2017-12-29T01:10:48 --delay 81 --endMP 300:23312 --enddatetime 2017-12-29T01:26:09 --enforcementcount 0 &gt;&gt;%USERPROFILE%\Documents\GitHub\eaglep3-reporting\EC\2017-12-28-refined-times.txt</v>
      </c>
      <c r="AI214" s="237" t="str">
        <f t="shared" si="106"/>
        <v>echo {"issue":{"subject":"","project_id":79,"tracker_id":40,"status_id":1,"priority_id":2,"assigned_to_id":338,"start_date":"2017-12-29","description":"","custom_fields":[{"id":1,"name":"Subdivision","value":"Other"},{"id":4,"name":"Milepost","value":"2.3312"},{"id":17,"name":"Train ID","value":"307-28"},{"id":16,"name":"Locomotive ID","value":"4042"},{"id":130,"name":"Impact","value":""},{"id":150,"name":"Time of Event (Mountain Time)","value":"01:26:09"},{"id":151,"name":"Denver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0"/>
      <c r="AL214" s="230"/>
      <c r="AM214" s="239" t="str">
        <f t="shared" si="107"/>
        <v>start /low /b %USERPROFILE%\Documents\GitHub\eaglep3\Utilities\DownloadLogsFromS3.py --loco 4042 --day 2017-12-29</v>
      </c>
      <c r="AN214" s="240" t="str">
        <f t="shared" si="108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08:26:09"},{"id":29,"name":"Sharepoint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29" t="str">
        <f t="shared" si="109"/>
        <v>https://d0f6bd738d7f1b3e5a7ca70fe4ff75f0.us-east-1.aws.found.io/app/kibana#/discover/Steve-Slow-Train-Analysis-(2080s-and-2083s)?_g=(refreshInterval:(display:Off,pause:!f,section:0,value:0),time:(from:'2017-12-29T00:08:20-0700',mode:absolute,to:'2017-12-29T02:26:09-0700'))&amp;_a=(columns:!('Message%20ID',Summary),filters:!(),index:'emp_*',interval:auto,query:(query_string:(analyze_wildcard:!t,query:'%22rtdc.l.rtdc.4042%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28" t="s">
        <v>708</v>
      </c>
      <c r="B215" s="224">
        <v>4055</v>
      </c>
      <c r="C215" s="226" t="s">
        <v>192</v>
      </c>
      <c r="D215" s="226" t="s">
        <v>1010</v>
      </c>
      <c r="E215" s="225">
        <v>43097.174710648149</v>
      </c>
      <c r="F215" s="225">
        <v>43097.179039351853</v>
      </c>
      <c r="G215" s="224">
        <v>85</v>
      </c>
      <c r="H215" s="226" t="s">
        <v>567</v>
      </c>
      <c r="I215" s="225">
        <v>43097.182060185187</v>
      </c>
      <c r="J215" s="224">
        <v>0</v>
      </c>
      <c r="K215" s="236" t="str">
        <f t="shared" si="96"/>
        <v>4055/4056</v>
      </c>
      <c r="L215" s="244" t="str">
        <f>VLOOKUP(A215,'Trips&amp;Operators'!$C$1:$G$99911,5,FALSE)</f>
        <v>WILLIAMS DONTE</v>
      </c>
      <c r="M215" s="223">
        <f t="shared" si="97"/>
        <v>3.0208333337213844E-3</v>
      </c>
      <c r="N215" s="224">
        <f t="shared" si="84"/>
        <v>4.3500000005587935</v>
      </c>
      <c r="O215" s="224"/>
      <c r="P215" s="224"/>
      <c r="Q215" s="227"/>
      <c r="R215" s="241"/>
      <c r="S215" s="248">
        <f t="shared" si="95"/>
        <v>1</v>
      </c>
      <c r="T215" s="241" t="str">
        <f t="shared" si="98"/>
        <v>Southbound</v>
      </c>
      <c r="U215" s="24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7" t="str">
        <f t="shared" si="99"/>
        <v>https://d0f6bd738d7f1b3e5a7ca70fe4ff75f0.us-east-1.aws.found.io/app/kibana#/discover/Steve-Slow-Train-Analysis-(2080s-and-2083s)?_g=(refreshInterval:(display:Off,pause:!f,section:0,value:0),time:(from:'2017-12-28T03:11:35-0700',mode:absolute,to:'2017-12-28T05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5" s="246" t="str">
        <f>IF(AA215&lt;VLOOKUP(AG215,Variables!$AC$3:$AD$8,2,FALSE),"Y","N")</f>
        <v>Y</v>
      </c>
      <c r="X215" s="246">
        <f t="shared" si="94"/>
        <v>1</v>
      </c>
      <c r="Y215" s="246">
        <f t="shared" si="92"/>
        <v>2.323</v>
      </c>
      <c r="Z215" s="246">
        <f t="shared" si="93"/>
        <v>1.6E-2</v>
      </c>
      <c r="AA215" s="246">
        <f t="shared" si="100"/>
        <v>2.3069999999999999</v>
      </c>
      <c r="AB215" s="232" t="e">
        <f>VLOOKUP(A215,Enforcements!$C$7:$K$9,8,0)</f>
        <v>#N/A</v>
      </c>
      <c r="AC215" s="231" t="e">
        <f>VLOOKUP(A215,Enforcements!$C$7:$E$9,3,0)</f>
        <v>#N/A</v>
      </c>
      <c r="AD215" s="242">
        <f t="shared" si="101"/>
        <v>308</v>
      </c>
      <c r="AE215" s="234" t="str">
        <f t="shared" si="102"/>
        <v>aws s3 cp s3://rtdc.mdm.uploadarchive.raw/RTDC4055/ "%USERPROFILE%\AppData\Local\Temp\OnboardLogs"\RTDC4055\2017-12-28 --exclude "*" --recursive --include "*20171228*" &amp; "%USERPROFILE%\Documents\GitHub\mrs-test-scripts\Headless Mode &amp; Sideloading\WalkAndUnGZ.bat" "%USERPROFILE%\AppData\Local\Temp\OnboardLogs"\RTDC4055\2017-12-28 &amp; aws s3 cp s3://rtdc.mdm.uploadarchive.raw/RTDC4055/ "%USERPROFILE%\AppData\Local\Temp\OnboardLogs"\RTDC4055\2017-12-29 --exclude "*" --recursive --include "*20171229*" &amp; "%USERPROFILE%\Documents\GitHub\mrs-test-scripts\Headless Mode &amp; Sideloading\WalkAndUnGZ.bat" "%USERPROFILE%\AppData\Local\Temp\OnboardLogs"\RTDC4055\2017-12-29</v>
      </c>
      <c r="AF215" s="233" t="str">
        <f t="shared" si="103"/>
        <v>"C:\Program Files (x86)\AstroGrep\AstroGrep.exe" /e /r /s /spath="%USERPROFILE%\AppData\Local\Temp\OnboardLogs" /stypes="app*4055*201712281*" /stext=" 11:.+?(?&gt;(PRM\|1\|D)|(KPR)|(KDP)|(train st[a-z]+ moving)|(SYSTEM_STATE:s[a-z]+ state changed)|(Enforcement Action)|(\[TIMEOUT)|(parse_ebi_status: Penalty)|(\|GPPS))"</v>
      </c>
      <c r="AG215" s="243" t="str">
        <f t="shared" si="104"/>
        <v>Other</v>
      </c>
      <c r="AH215" s="235" t="str">
        <f t="shared" si="105"/>
        <v>"%USERPROFILE%\Documents\GitHub\eaglep3\Utilities\RefineRTDCRunTimes.py" --tripid 308-28 --locoid 4055 --swversion DE.1.0.9.0 --startMP 300:23230 --initTime 2017-12-28T04:11:35 --startdatetime 2017-12-28T04:17:49 --delay 85 --endMP 204:160 --enddatetime 2017-12-28T04:22:10 --enforcementcount 0 &gt;&gt;%USERPROFILE%\Documents\GitHub\eaglep3-reporting\EC\2017-12-28-refined-times.txt</v>
      </c>
      <c r="AI215" s="237" t="str">
        <f t="shared" si="106"/>
        <v>echo {"issue":{"subject":"","project_id":79,"tracker_id":40,"status_id":1,"priority_id":2,"assigned_to_id":338,"start_date":"2017-12-28","description":"","custom_fields":[{"id":1,"name":"Subdivision","value":"Other"},{"id":4,"name":"Milepost","value":"0.016"},{"id":17,"name":"Train ID","value":"308-28"},{"id":16,"name":"Locomotive ID","value":"4055"},{"id":130,"name":"Impact","value":""},{"id":150,"name":"Time of Event (Mountain Time)","value":"04:22:10"},{"id":151,"name":"Denver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2"/>
      <c r="AK215" s="230"/>
      <c r="AL215" s="230"/>
      <c r="AM215" s="239" t="str">
        <f t="shared" si="107"/>
        <v>start /low /b %USERPROFILE%\Documents\GitHub\eaglep3\Utilities\DownloadLogsFromS3.py --loco 4055 --day 2017-12-28</v>
      </c>
      <c r="AN215" s="240" t="str">
        <f t="shared" si="108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11:22:10"},{"id":29,"name":"Sharepoint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29" t="str">
        <f t="shared" si="109"/>
        <v>https://d0f6bd738d7f1b3e5a7ca70fe4ff75f0.us-east-1.aws.found.io/app/kibana#/discover/Steve-Slow-Train-Analysis-(2080s-and-2083s)?_g=(refreshInterval:(display:Off,pause:!f,section:0,value:0),time:(from:'2017-12-28T03:11:35-0700',mode:absolute,to:'2017-12-28T05:22:10-0700'))&amp;_a=(columns:!('Message%20ID',Summary),filters:!(),index:'emp_*',interval:auto,query:(query_string:(analyze_wildcard:!t,query:'%22rtdc.l.rtdc.4055%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28" t="s">
        <v>907</v>
      </c>
      <c r="B216" s="224">
        <v>4014</v>
      </c>
      <c r="C216" s="226" t="s">
        <v>192</v>
      </c>
      <c r="D216" s="226" t="s">
        <v>975</v>
      </c>
      <c r="E216" s="225">
        <v>43098.066030092596</v>
      </c>
      <c r="F216" s="225">
        <v>43098.06758101852</v>
      </c>
      <c r="G216" s="224">
        <v>77</v>
      </c>
      <c r="H216" s="226" t="s">
        <v>528</v>
      </c>
      <c r="I216" s="225">
        <v>43098.075358796297</v>
      </c>
      <c r="J216" s="224">
        <v>0</v>
      </c>
      <c r="K216" s="236" t="str">
        <f t="shared" si="96"/>
        <v>4013/4014</v>
      </c>
      <c r="L216" s="244" t="str">
        <f>VLOOKUP(A216,'Trips&amp;Operators'!$C$1:$G$99911,5,FALSE)</f>
        <v>ELBAUM MIKE</v>
      </c>
      <c r="M216" s="223">
        <f t="shared" si="97"/>
        <v>7.7777777769370005E-3</v>
      </c>
      <c r="N216" s="224">
        <f t="shared" ref="N216:N232" si="110">24*60*SUM($M216:$M216)</f>
        <v>11.199999998789281</v>
      </c>
      <c r="O216" s="224"/>
      <c r="P216" s="224"/>
      <c r="Q216" s="227"/>
      <c r="R216" s="241"/>
      <c r="S216" s="248">
        <f t="shared" si="95"/>
        <v>1</v>
      </c>
      <c r="T216" s="241" t="str">
        <f t="shared" si="98"/>
        <v>NorthBound</v>
      </c>
      <c r="U216" s="24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7" t="str">
        <f t="shared" si="99"/>
        <v>https://d0f6bd738d7f1b3e5a7ca70fe4ff75f0.us-east-1.aws.found.io/app/kibana#/discover/Steve-Slow-Train-Analysis-(2080s-and-2083s)?_g=(refreshInterval:(display:Off,pause:!f,section:0,value:0),time:(from:'2017-12-29T00:35:05-0700',mode:absolute,to:'2017-12-29T02:48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6" s="246" t="str">
        <f>IF(AA216&lt;VLOOKUP(AG216,Variables!$AC$3:$AD$8,2,FALSE),"Y","N")</f>
        <v>Y</v>
      </c>
      <c r="X216" s="246">
        <f t="shared" si="94"/>
        <v>1</v>
      </c>
      <c r="Y216" s="246">
        <f t="shared" si="92"/>
        <v>5.8799999999999998E-2</v>
      </c>
      <c r="Z216" s="246">
        <f t="shared" si="93"/>
        <v>2.3306</v>
      </c>
      <c r="AA216" s="246">
        <f t="shared" si="100"/>
        <v>2.2717999999999998</v>
      </c>
      <c r="AB216" s="232" t="e">
        <f>VLOOKUP(A216,Enforcements!$C$7:$K$9,8,0)</f>
        <v>#N/A</v>
      </c>
      <c r="AC216" s="231" t="e">
        <f>VLOOKUP(A216,Enforcements!$C$7:$E$9,3,0)</f>
        <v>#N/A</v>
      </c>
      <c r="AD216" s="242">
        <f t="shared" si="101"/>
        <v>309</v>
      </c>
      <c r="AE216" s="234" t="str">
        <f t="shared" si="102"/>
        <v>aws s3 cp s3://rtdc.mdm.uploadarchive.raw/RTDC4014/ "%USERPROFILE%\AppData\Local\Temp\OnboardLogs"\RTDC4014\2017-12-29 --exclude "*" --recursive --include "*20171229*" &amp; "%USERPROFILE%\Documents\GitHub\mrs-test-scripts\Headless Mode &amp; Sideloading\WalkAndUnGZ.bat" "%USERPROFILE%\AppData\Local\Temp\OnboardLogs"\RTDC4014\2017-12-29 &amp; aws s3 cp s3://rtdc.mdm.uploadarchive.raw/RTDC4014/ "%USERPROFILE%\AppData\Local\Temp\OnboardLogs"\RTDC4014\2017-12-30 --exclude "*" --recursive --include "*20171230*" &amp; "%USERPROFILE%\Documents\GitHub\mrs-test-scripts\Headless Mode &amp; Sideloading\WalkAndUnGZ.bat" "%USERPROFILE%\AppData\Local\Temp\OnboardLogs"\RTDC4014\2017-12-30</v>
      </c>
      <c r="AF216" s="233" t="str">
        <f t="shared" si="103"/>
        <v>"C:\Program Files (x86)\AstroGrep\AstroGrep.exe" /e /r /s /spath="%USERPROFILE%\AppData\Local\Temp\OnboardLogs" /stypes="app*4014*201712290*" /stext=" 08:.+?(?&gt;(PRM\|1\|D)|(KPR)|(KDP)|(train st[a-z]+ moving)|(SYSTEM_STATE:s[a-z]+ state changed)|(Enforcement Action)|(\[TIMEOUT)|(parse_ebi_status: Penalty)|(\|GPPS))"</v>
      </c>
      <c r="AG216" s="243" t="str">
        <f t="shared" si="104"/>
        <v>Other</v>
      </c>
      <c r="AH216" s="235" t="str">
        <f t="shared" si="105"/>
        <v>"%USERPROFILE%\Documents\GitHub\eaglep3\Utilities\RefineRTDCRunTimes.py" --tripid 309-28 --locoid 4014 --swversion DE.1.0.9.0 --startMP 204:588 --initTime 2017-12-29T01:35:05 --startdatetime 2017-12-29T01:37:19 --delay 77 --endMP 300:23306 --enddatetime 2017-12-29T01:48:31 --enforcementcount 0 &gt;&gt;%USERPROFILE%\Documents\GitHub\eaglep3-reporting\EC\2017-12-28-refined-times.txt</v>
      </c>
      <c r="AI216" s="237" t="str">
        <f t="shared" si="106"/>
        <v>echo {"issue":{"subject":"","project_id":79,"tracker_id":40,"status_id":1,"priority_id":2,"assigned_to_id":338,"start_date":"2017-12-29","description":"","custom_fields":[{"id":1,"name":"Subdivision","value":"Other"},{"id":4,"name":"Milepost","value":"2.3306"},{"id":17,"name":"Train ID","value":"309-28"},{"id":16,"name":"Locomotive ID","value":"4014"},{"id":130,"name":"Impact","value":""},{"id":150,"name":"Time of Event (Mountain Time)","value":"01:48:31"},{"id":151,"name":"Denver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2"/>
      <c r="AK216" s="230"/>
      <c r="AL216" s="230"/>
      <c r="AM216" s="239" t="str">
        <f t="shared" si="107"/>
        <v>start /low /b %USERPROFILE%\Documents\GitHub\eaglep3\Utilities\DownloadLogsFromS3.py --loco 4014 --day 2017-12-29</v>
      </c>
      <c r="AN216" s="240" t="str">
        <f t="shared" si="108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08:48:31"},{"id":29,"name":"Sharepoint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29" t="str">
        <f t="shared" si="109"/>
        <v>https://d0f6bd738d7f1b3e5a7ca70fe4ff75f0.us-east-1.aws.found.io/app/kibana#/discover/Steve-Slow-Train-Analysis-(2080s-and-2083s)?_g=(refreshInterval:(display:Off,pause:!f,section:0,value:0),time:(from:'2017-12-29T00:35:05-0700',mode:absolute,to:'2017-12-29T02:48:31-0700'))&amp;_a=(columns:!('Message%20ID',Summary),filters:!(),index:'emp_*',interval:auto,query:(query_string:(analyze_wildcard:!t,query:'%22rtdc.l.rtdc.4014%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28" t="s">
        <v>673</v>
      </c>
      <c r="B217" s="224">
        <v>4003</v>
      </c>
      <c r="C217" s="226" t="s">
        <v>192</v>
      </c>
      <c r="D217" s="226" t="s">
        <v>1011</v>
      </c>
      <c r="E217" s="225">
        <v>43097.19939814815</v>
      </c>
      <c r="F217" s="225">
        <v>43097.201990740738</v>
      </c>
      <c r="G217" s="224">
        <v>66</v>
      </c>
      <c r="H217" s="226" t="s">
        <v>996</v>
      </c>
      <c r="I217" s="225">
        <v>43097.206550925926</v>
      </c>
      <c r="J217" s="224">
        <v>0</v>
      </c>
      <c r="K217" s="236" t="str">
        <f t="shared" si="96"/>
        <v>4003/4004</v>
      </c>
      <c r="L217" s="244" t="str">
        <f>VLOOKUP(A217,'Trips&amp;Operators'!$C$1:$G$99911,5,FALSE)</f>
        <v>YANAI IAN</v>
      </c>
      <c r="M217" s="223">
        <f t="shared" si="97"/>
        <v>4.5601851888932288E-3</v>
      </c>
      <c r="N217" s="224">
        <f t="shared" si="110"/>
        <v>6.5666666720062494</v>
      </c>
      <c r="O217" s="224"/>
      <c r="P217" s="224"/>
      <c r="Q217" s="227"/>
      <c r="R217" s="241"/>
      <c r="S217" s="248">
        <f t="shared" si="95"/>
        <v>1</v>
      </c>
      <c r="T217" s="241" t="str">
        <f t="shared" si="98"/>
        <v>Southbound</v>
      </c>
      <c r="U217" s="24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7" t="str">
        <f t="shared" si="99"/>
        <v>https://d0f6bd738d7f1b3e5a7ca70fe4ff75f0.us-east-1.aws.found.io/app/kibana#/discover/Steve-Slow-Train-Analysis-(2080s-and-2083s)?_g=(refreshInterval:(display:Off,pause:!f,section:0,value:0),time:(from:'2017-12-28T03:47:08-0700',mode:absolute,to:'2017-12-28T05:57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7" s="246" t="str">
        <f>IF(AA217&lt;VLOOKUP(AG217,Variables!$AC$3:$AD$8,2,FALSE),"Y","N")</f>
        <v>Y</v>
      </c>
      <c r="X217" s="246">
        <f t="shared" si="94"/>
        <v>1</v>
      </c>
      <c r="Y217" s="246">
        <f t="shared" si="92"/>
        <v>2.3736999999999999</v>
      </c>
      <c r="Z217" s="246">
        <f t="shared" si="93"/>
        <v>2.3400000000000001E-2</v>
      </c>
      <c r="AA217" s="246">
        <f t="shared" si="100"/>
        <v>2.3502999999999998</v>
      </c>
      <c r="AB217" s="232" t="e">
        <f>VLOOKUP(A217,Enforcements!$C$7:$K$9,8,0)</f>
        <v>#N/A</v>
      </c>
      <c r="AC217" s="231" t="e">
        <f>VLOOKUP(A217,Enforcements!$C$7:$E$9,3,0)</f>
        <v>#N/A</v>
      </c>
      <c r="AD217" s="242">
        <f t="shared" si="101"/>
        <v>310</v>
      </c>
      <c r="AE217" s="234" t="str">
        <f t="shared" si="102"/>
        <v>aws s3 cp s3://rtdc.mdm.uploadarchive.raw/RTDC4003/ "%USERPROFILE%\AppData\Local\Temp\OnboardLogs"\RTDC4003\2017-12-28 --exclude "*" --recursive --include "*20171228*" &amp; "%USERPROFILE%\Documents\GitHub\mrs-test-scripts\Headless Mode &amp; Sideloading\WalkAndUnGZ.bat" "%USERPROFILE%\AppData\Local\Temp\OnboardLogs"\RTDC4003\2017-12-28 &amp; aws s3 cp s3://rtdc.mdm.uploadarchive.raw/RTDC4003/ "%USERPROFILE%\AppData\Local\Temp\OnboardLogs"\RTDC4003\2017-12-29 --exclude "*" --recursive --include "*20171229*" &amp; "%USERPROFILE%\Documents\GitHub\mrs-test-scripts\Headless Mode &amp; Sideloading\WalkAndUnGZ.bat" "%USERPROFILE%\AppData\Local\Temp\OnboardLogs"\RTDC4003\2017-12-29</v>
      </c>
      <c r="AF217" s="233" t="str">
        <f t="shared" si="103"/>
        <v>"C:\Program Files (x86)\AstroGrep\AstroGrep.exe" /e /r /s /spath="%USERPROFILE%\AppData\Local\Temp\OnboardLogs" /stypes="app*4003*201712281*" /stext=" 11:.+?(?&gt;(PRM\|1\|D)|(KPR)|(KDP)|(train st[a-z]+ moving)|(SYSTEM_STATE:s[a-z]+ state changed)|(Enforcement Action)|(\[TIMEOUT)|(parse_ebi_status: Penalty)|(\|GPPS))"</v>
      </c>
      <c r="AG217" s="243" t="str">
        <f t="shared" si="104"/>
        <v>Other</v>
      </c>
      <c r="AH217" s="235" t="str">
        <f t="shared" si="105"/>
        <v>"%USERPROFILE%\Documents\GitHub\eaglep3\Utilities\RefineRTDCRunTimes.py" --tripid 310-28 --locoid 4003 --swversion DE.1.0.9.0 --startMP 300:23737 --initTime 2017-12-28T04:47:08 --startdatetime 2017-12-28T04:50:52 --delay 66 --endMP 204:234 --enddatetime 2017-12-28T04:57:26 --enforcementcount 0 &gt;&gt;%USERPROFILE%\Documents\GitHub\eaglep3-reporting\EC\2017-12-28-refined-times.txt</v>
      </c>
      <c r="AI217" s="237" t="str">
        <f t="shared" si="106"/>
        <v>echo {"issue":{"subject":"","project_id":79,"tracker_id":40,"status_id":1,"priority_id":2,"assigned_to_id":338,"start_date":"2017-12-28","description":"","custom_fields":[{"id":1,"name":"Subdivision","value":"Other"},{"id":4,"name":"Milepost","value":"0.0234"},{"id":17,"name":"Train ID","value":"310-28"},{"id":16,"name":"Locomotive ID","value":"4003"},{"id":130,"name":"Impact","value":""},{"id":150,"name":"Time of Event (Mountain Time)","value":"04:57:26"},{"id":151,"name":"Denver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2"/>
      <c r="AK217" s="230"/>
      <c r="AL217" s="230"/>
      <c r="AM217" s="239" t="str">
        <f t="shared" si="107"/>
        <v>start /low /b %USERPROFILE%\Documents\GitHub\eaglep3\Utilities\DownloadLogsFromS3.py --loco 4003 --day 2017-12-28</v>
      </c>
      <c r="AN217" s="240" t="str">
        <f t="shared" si="108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11:57:26"},{"id":29,"name":"Sharepoint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29" t="str">
        <f t="shared" si="109"/>
        <v>https://d0f6bd738d7f1b3e5a7ca70fe4ff75f0.us-east-1.aws.found.io/app/kibana#/discover/Steve-Slow-Train-Analysis-(2080s-and-2083s)?_g=(refreshInterval:(display:Off,pause:!f,section:0,value:0),time:(from:'2017-12-28T03:47:08-0700',mode:absolute,to:'2017-12-28T05:57:26-0700'))&amp;_a=(columns:!('Message%20ID',Summary),filters:!(),index:'emp_*',interval:auto,query:(query_string:(analyze_wildcard:!t,query:'%22rtdc.l.rtdc.4003%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28" t="s">
        <v>908</v>
      </c>
      <c r="B218" s="224">
        <v>4064</v>
      </c>
      <c r="C218" s="226" t="s">
        <v>192</v>
      </c>
      <c r="D218" s="226" t="s">
        <v>1012</v>
      </c>
      <c r="E218" s="225">
        <v>43098.092777777776</v>
      </c>
      <c r="F218" s="225">
        <v>43098.094594907408</v>
      </c>
      <c r="G218" s="224">
        <v>61</v>
      </c>
      <c r="H218" s="226" t="s">
        <v>528</v>
      </c>
      <c r="I218" s="225">
        <v>43098.106608796297</v>
      </c>
      <c r="J218" s="224">
        <v>0</v>
      </c>
      <c r="K218" s="236" t="str">
        <f t="shared" si="96"/>
        <v>4063/4064</v>
      </c>
      <c r="L218" s="244" t="str">
        <f>VLOOKUP(A218,'Trips&amp;Operators'!$C$1:$G$99911,5,FALSE)</f>
        <v>NICHOLSON WESLEY</v>
      </c>
      <c r="M218" s="223">
        <f t="shared" si="97"/>
        <v>1.2013888888759539E-2</v>
      </c>
      <c r="N218" s="224">
        <f t="shared" si="110"/>
        <v>17.299999999813735</v>
      </c>
      <c r="O218" s="224"/>
      <c r="P218" s="224"/>
      <c r="Q218" s="227"/>
      <c r="R218" s="241"/>
      <c r="S218" s="248">
        <f t="shared" si="95"/>
        <v>1</v>
      </c>
      <c r="T218" s="241" t="str">
        <f t="shared" si="98"/>
        <v>NorthBound</v>
      </c>
      <c r="U218" s="24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7" t="str">
        <f t="shared" si="99"/>
        <v>https://d0f6bd738d7f1b3e5a7ca70fe4ff75f0.us-east-1.aws.found.io/app/kibana#/discover/Steve-Slow-Train-Analysis-(2080s-and-2083s)?_g=(refreshInterval:(display:Off,pause:!f,section:0,value:0),time:(from:'2017-12-29T01:13:36-0700',mode:absolute,to:'2017-12-29T03:33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8" s="246" t="str">
        <f>IF(AA218&lt;VLOOKUP(AG218,Variables!$AC$3:$AD$8,2,FALSE),"Y","N")</f>
        <v>Y</v>
      </c>
      <c r="X218" s="246">
        <f t="shared" si="94"/>
        <v>1</v>
      </c>
      <c r="Y218" s="246">
        <f t="shared" si="92"/>
        <v>4.19E-2</v>
      </c>
      <c r="Z218" s="246">
        <f t="shared" si="93"/>
        <v>2.3306</v>
      </c>
      <c r="AA218" s="246">
        <f t="shared" si="100"/>
        <v>2.2887</v>
      </c>
      <c r="AB218" s="232" t="e">
        <f>VLOOKUP(A218,Enforcements!$C$7:$K$9,8,0)</f>
        <v>#N/A</v>
      </c>
      <c r="AC218" s="231" t="e">
        <f>VLOOKUP(A218,Enforcements!$C$7:$E$9,3,0)</f>
        <v>#N/A</v>
      </c>
      <c r="AD218" s="242">
        <f t="shared" si="101"/>
        <v>311</v>
      </c>
      <c r="AE218" s="234" t="str">
        <f t="shared" si="102"/>
        <v>aws s3 cp s3://rtdc.mdm.uploadarchive.raw/RTDC4064/ "%USERPROFILE%\AppData\Local\Temp\OnboardLogs"\RTDC4064\2017-12-29 --exclude "*" --recursive --include "*20171229*" &amp; "%USERPROFILE%\Documents\GitHub\mrs-test-scripts\Headless Mode &amp; Sideloading\WalkAndUnGZ.bat" "%USERPROFILE%\AppData\Local\Temp\OnboardLogs"\RTDC4064\2017-12-29 &amp; aws s3 cp s3://rtdc.mdm.uploadarchive.raw/RTDC4064/ "%USERPROFILE%\AppData\Local\Temp\OnboardLogs"\RTDC4064\2017-12-30 --exclude "*" --recursive --include "*20171230*" &amp; "%USERPROFILE%\Documents\GitHub\mrs-test-scripts\Headless Mode &amp; Sideloading\WalkAndUnGZ.bat" "%USERPROFILE%\AppData\Local\Temp\OnboardLogs"\RTDC4064\2017-12-30</v>
      </c>
      <c r="AF218" s="233" t="str">
        <f t="shared" si="103"/>
        <v>"C:\Program Files (x86)\AstroGrep\AstroGrep.exe" /e /r /s /spath="%USERPROFILE%\AppData\Local\Temp\OnboardLogs" /stypes="app*4064*201712290*" /stext=" 09:.+?(?&gt;(PRM\|1\|D)|(KPR)|(KDP)|(train st[a-z]+ moving)|(SYSTEM_STATE:s[a-z]+ state changed)|(Enforcement Action)|(\[TIMEOUT)|(parse_ebi_status: Penalty)|(\|GPPS))"</v>
      </c>
      <c r="AG218" s="243" t="str">
        <f t="shared" si="104"/>
        <v>Other</v>
      </c>
      <c r="AH218" s="235" t="str">
        <f t="shared" si="105"/>
        <v>"%USERPROFILE%\Documents\GitHub\eaglep3\Utilities\RefineRTDCRunTimes.py" --tripid 311-28 --locoid 4064 --swversion DE.1.0.9.0 --startMP 204:419 --initTime 2017-12-29T02:13:36 --startdatetime 2017-12-29T02:16:13 --delay 61 --endMP 300:23306 --enddatetime 2017-12-29T02:33:31 --enforcementcount 0 &gt;&gt;%USERPROFILE%\Documents\GitHub\eaglep3-reporting\EC\2017-12-28-refined-times.txt</v>
      </c>
      <c r="AI218" s="237" t="str">
        <f t="shared" si="106"/>
        <v>echo {"issue":{"subject":"","project_id":79,"tracker_id":40,"status_id":1,"priority_id":2,"assigned_to_id":338,"start_date":"2017-12-29","description":"","custom_fields":[{"id":1,"name":"Subdivision","value":"Other"},{"id":4,"name":"Milepost","value":"2.3306"},{"id":17,"name":"Train ID","value":"311-28"},{"id":16,"name":"Locomotive ID","value":"4064"},{"id":130,"name":"Impact","value":""},{"id":150,"name":"Time of Event (Mountain Time)","value":"02:33:31"},{"id":151,"name":"Denver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2"/>
      <c r="AK218" s="230"/>
      <c r="AL218" s="230"/>
      <c r="AM218" s="239" t="str">
        <f t="shared" si="107"/>
        <v>start /low /b %USERPROFILE%\Documents\GitHub\eaglep3\Utilities\DownloadLogsFromS3.py --loco 4064 --day 2017-12-29</v>
      </c>
      <c r="AN218" s="240" t="str">
        <f t="shared" si="108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09:33:31"},{"id":29,"name":"Sharepoint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29" t="str">
        <f t="shared" si="109"/>
        <v>https://d0f6bd738d7f1b3e5a7ca70fe4ff75f0.us-east-1.aws.found.io/app/kibana#/discover/Steve-Slow-Train-Analysis-(2080s-and-2083s)?_g=(refreshInterval:(display:Off,pause:!f,section:0,value:0),time:(from:'2017-12-29T01:13:36-0700',mode:absolute,to:'2017-12-29T03:33:31-0700'))&amp;_a=(columns:!('Message%20ID',Summary),filters:!(),index:'emp_*',interval:auto,query:(query_string:(analyze_wildcard:!t,query:'%22rtdc.l.rtdc.4064%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2" customFormat="1" x14ac:dyDescent="0.25">
      <c r="A219" s="228" t="s">
        <v>720</v>
      </c>
      <c r="B219" s="224">
        <v>4063</v>
      </c>
      <c r="C219" s="226" t="s">
        <v>192</v>
      </c>
      <c r="D219" s="226" t="s">
        <v>1013</v>
      </c>
      <c r="E219" s="225">
        <v>43097.218460648146</v>
      </c>
      <c r="F219" s="225">
        <v>43097.222685185188</v>
      </c>
      <c r="G219" s="224">
        <v>114</v>
      </c>
      <c r="H219" s="226" t="s">
        <v>472</v>
      </c>
      <c r="I219" s="225">
        <v>43097.228344907409</v>
      </c>
      <c r="J219" s="224">
        <v>0</v>
      </c>
      <c r="K219" s="236" t="str">
        <f t="shared" si="96"/>
        <v>4063/4064</v>
      </c>
      <c r="L219" s="244" t="str">
        <f>VLOOKUP(A219,'Trips&amp;Operators'!$C$1:$G$99911,5,FALSE)</f>
        <v>DAVIDSON DAVID</v>
      </c>
      <c r="M219" s="223">
        <f t="shared" si="97"/>
        <v>5.6597222210257314E-3</v>
      </c>
      <c r="N219" s="224">
        <f t="shared" si="110"/>
        <v>8.1499999982770532</v>
      </c>
      <c r="O219" s="224"/>
      <c r="P219" s="224"/>
      <c r="Q219" s="227"/>
      <c r="R219" s="241"/>
      <c r="S219" s="248">
        <f t="shared" si="95"/>
        <v>1</v>
      </c>
      <c r="T219" s="241" t="str">
        <f t="shared" si="98"/>
        <v>Southbound</v>
      </c>
      <c r="U219" s="24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7" t="str">
        <f t="shared" si="99"/>
        <v>https://d0f6bd738d7f1b3e5a7ca70fe4ff75f0.us-east-1.aws.found.io/app/kibana#/discover/Steve-Slow-Train-Analysis-(2080s-and-2083s)?_g=(refreshInterval:(display:Off,pause:!f,section:0,value:0),time:(from:'2017-12-28T04:14:35-0700',mode:absolute,to:'2017-12-28T06:28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9" s="246" t="str">
        <f>IF(AA219&lt;VLOOKUP(AG219,Variables!$AC$3:$AD$8,2,FALSE),"Y","N")</f>
        <v>Y</v>
      </c>
      <c r="X219" s="246">
        <f t="shared" si="94"/>
        <v>1</v>
      </c>
      <c r="Y219" s="246">
        <f t="shared" si="92"/>
        <v>2.33</v>
      </c>
      <c r="Z219" s="246">
        <f t="shared" si="93"/>
        <v>1.9400000000000001E-2</v>
      </c>
      <c r="AA219" s="246">
        <f t="shared" si="100"/>
        <v>2.3106</v>
      </c>
      <c r="AB219" s="232" t="e">
        <f>VLOOKUP(A219,Enforcements!$C$7:$K$9,8,0)</f>
        <v>#N/A</v>
      </c>
      <c r="AC219" s="231" t="e">
        <f>VLOOKUP(A219,Enforcements!$C$7:$E$9,3,0)</f>
        <v>#N/A</v>
      </c>
      <c r="AD219" s="242">
        <f t="shared" si="101"/>
        <v>312</v>
      </c>
      <c r="AE219" s="234" t="str">
        <f t="shared" si="102"/>
        <v>aws s3 cp s3://rtdc.mdm.uploadarchive.raw/RTDC4063/ "%USERPROFILE%\AppData\Local\Temp\OnboardLogs"\RTDC4063\2017-12-28 --exclude "*" --recursive --include "*20171228*" &amp; "%USERPROFILE%\Documents\GitHub\mrs-test-scripts\Headless Mode &amp; Sideloading\WalkAndUnGZ.bat" "%USERPROFILE%\AppData\Local\Temp\OnboardLogs"\RTDC4063\2017-12-28 &amp; aws s3 cp s3://rtdc.mdm.uploadarchive.raw/RTDC4063/ "%USERPROFILE%\AppData\Local\Temp\OnboardLogs"\RTDC4063\2017-12-29 --exclude "*" --recursive --include "*20171229*" &amp; "%USERPROFILE%\Documents\GitHub\mrs-test-scripts\Headless Mode &amp; Sideloading\WalkAndUnGZ.bat" "%USERPROFILE%\AppData\Local\Temp\OnboardLogs"\RTDC4063\2017-12-29</v>
      </c>
      <c r="AF219" s="233" t="str">
        <f t="shared" si="103"/>
        <v>"C:\Program Files (x86)\AstroGrep\AstroGrep.exe" /e /r /s /spath="%USERPROFILE%\AppData\Local\Temp\OnboardLogs" /stypes="app*4063*201712281*" /stext=" 12:.+?(?&gt;(PRM\|1\|D)|(KPR)|(KDP)|(train st[a-z]+ moving)|(SYSTEM_STATE:s[a-z]+ state changed)|(Enforcement Action)|(\[TIMEOUT)|(parse_ebi_status: Penalty)|(\|GPPS))"</v>
      </c>
      <c r="AG219" s="243" t="str">
        <f t="shared" si="104"/>
        <v>Other</v>
      </c>
      <c r="AH219" s="235" t="str">
        <f t="shared" si="105"/>
        <v>"%USERPROFILE%\Documents\GitHub\eaglep3\Utilities\RefineRTDCRunTimes.py" --tripid 312-28 --locoid 4063 --swversion DE.1.0.9.0 --startMP 300:23300 --initTime 2017-12-28T05:14:35 --startdatetime 2017-12-28T05:20:40 --delay 114 --endMP 204:194 --enddatetime 2017-12-28T05:28:49 --enforcementcount 0 &gt;&gt;%USERPROFILE%\Documents\GitHub\eaglep3-reporting\EC\2017-12-28-refined-times.txt</v>
      </c>
      <c r="AI219" s="237" t="str">
        <f t="shared" si="106"/>
        <v>echo {"issue":{"subject":"","project_id":79,"tracker_id":40,"status_id":1,"priority_id":2,"assigned_to_id":338,"start_date":"2017-12-28","description":"","custom_fields":[{"id":1,"name":"Subdivision","value":"Other"},{"id":4,"name":"Milepost","value":"0.0194"},{"id":17,"name":"Train ID","value":"312-28"},{"id":16,"name":"Locomotive ID","value":"4063"},{"id":130,"name":"Impact","value":""},{"id":150,"name":"Time of Event (Mountain Time)","value":"05:28:49"},{"id":151,"name":"Denver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0"/>
      <c r="AL219" s="230"/>
      <c r="AM219" s="239" t="str">
        <f t="shared" si="107"/>
        <v>start /low /b %USERPROFILE%\Documents\GitHub\eaglep3\Utilities\DownloadLogsFromS3.py --loco 4063 --day 2017-12-28</v>
      </c>
      <c r="AN219" s="240" t="str">
        <f t="shared" si="108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12:28:49"},{"id":29,"name":"Sharepoint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29" t="str">
        <f t="shared" si="109"/>
        <v>https://d0f6bd738d7f1b3e5a7ca70fe4ff75f0.us-east-1.aws.found.io/app/kibana#/discover/Steve-Slow-Train-Analysis-(2080s-and-2083s)?_g=(refreshInterval:(display:Off,pause:!f,section:0,value:0),time:(from:'2017-12-28T04:14:35-0700',mode:absolute,to:'2017-12-28T06:28:49-0700'))&amp;_a=(columns:!('Message%20ID',Summary),filters:!(),index:'emp_*',interval:auto,query:(query_string:(analyze_wildcard:!t,query:'%22rtdc.l.rtdc.4063%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28" t="s">
        <v>904</v>
      </c>
      <c r="B220" s="224">
        <v>4062</v>
      </c>
      <c r="C220" s="226" t="s">
        <v>192</v>
      </c>
      <c r="D220" s="226" t="s">
        <v>546</v>
      </c>
      <c r="E220" s="225">
        <v>43098.027106481481</v>
      </c>
      <c r="F220" s="225">
        <v>43098.028935185182</v>
      </c>
      <c r="G220" s="224">
        <v>65</v>
      </c>
      <c r="H220" s="226" t="s">
        <v>1014</v>
      </c>
      <c r="I220" s="225">
        <v>43098.037812499999</v>
      </c>
      <c r="J220" s="224">
        <v>0</v>
      </c>
      <c r="K220" s="236" t="str">
        <f t="shared" si="96"/>
        <v>4061/4062</v>
      </c>
      <c r="L220" s="244" t="str">
        <f>VLOOKUP(A220,'Trips&amp;Operators'!$C$1:$G$99911,5,FALSE)</f>
        <v>ANDERS STEVEN</v>
      </c>
      <c r="M220" s="223">
        <f t="shared" si="97"/>
        <v>8.8773148163454607E-3</v>
      </c>
      <c r="N220" s="224">
        <f t="shared" si="110"/>
        <v>12.783333335537463</v>
      </c>
      <c r="O220" s="224"/>
      <c r="P220" s="224"/>
      <c r="Q220" s="227"/>
      <c r="R220" s="241"/>
      <c r="S220" s="248">
        <f t="shared" si="95"/>
        <v>1</v>
      </c>
      <c r="T220" s="241" t="str">
        <f t="shared" si="98"/>
        <v>NorthBound</v>
      </c>
      <c r="U220" s="24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7" t="str">
        <f t="shared" si="99"/>
        <v>https://d0f6bd738d7f1b3e5a7ca70fe4ff75f0.us-east-1.aws.found.io/app/kibana#/discover/Steve-Slow-Train-Analysis-(2080s-and-2083s)?_g=(refreshInterval:(display:Off,pause:!f,section:0,value:0),time:(from:'2017-12-28T23:39:02-0700',mode:absolute,to:'2017-12-29T01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0" s="246" t="str">
        <f>IF(AA220&lt;VLOOKUP(AG220,Variables!$AC$3:$AD$8,2,FALSE),"Y","N")</f>
        <v>Y</v>
      </c>
      <c r="X220" s="246">
        <f t="shared" si="94"/>
        <v>1</v>
      </c>
      <c r="Y220" s="246">
        <f t="shared" si="92"/>
        <v>5.4899999999999997E-2</v>
      </c>
      <c r="Z220" s="246">
        <f t="shared" si="93"/>
        <v>2.331</v>
      </c>
      <c r="AA220" s="246">
        <f t="shared" si="100"/>
        <v>2.2761</v>
      </c>
      <c r="AB220" s="232" t="e">
        <f>VLOOKUP(A220,Enforcements!$C$7:$K$9,8,0)</f>
        <v>#N/A</v>
      </c>
      <c r="AC220" s="231" t="e">
        <f>VLOOKUP(A220,Enforcements!$C$7:$E$9,3,0)</f>
        <v>#N/A</v>
      </c>
      <c r="AD220" s="242">
        <f t="shared" si="101"/>
        <v>313</v>
      </c>
      <c r="AE220" s="234" t="str">
        <f t="shared" si="102"/>
        <v>aws s3 cp s3://rtdc.mdm.uploadarchive.raw/RTDC4062/ "%USERPROFILE%\AppData\Local\Temp\OnboardLogs"\RTDC4062\2017-12-29 --exclude "*" --recursive --include "*20171229*" &amp; "%USERPROFILE%\Documents\GitHub\mrs-test-scripts\Headless Mode &amp; Sideloading\WalkAndUnGZ.bat" "%USERPROFILE%\AppData\Local\Temp\OnboardLogs"\RTDC4062\2017-12-29 &amp; aws s3 cp s3://rtdc.mdm.uploadarchive.raw/RTDC4062/ "%USERPROFILE%\AppData\Local\Temp\OnboardLogs"\RTDC4062\2017-12-30 --exclude "*" --recursive --include "*20171230*" &amp; "%USERPROFILE%\Documents\GitHub\mrs-test-scripts\Headless Mode &amp; Sideloading\WalkAndUnGZ.bat" "%USERPROFILE%\AppData\Local\Temp\OnboardLogs"\RTDC4062\2017-12-30</v>
      </c>
      <c r="AF220" s="233" t="str">
        <f t="shared" si="103"/>
        <v>"C:\Program Files (x86)\AstroGrep\AstroGrep.exe" /e /r /s /spath="%USERPROFILE%\AppData\Local\Temp\OnboardLogs" /stypes="app*4062*201712290*" /stext=" 07:.+?(?&gt;(PRM\|1\|D)|(KPR)|(KDP)|(train st[a-z]+ moving)|(SYSTEM_STATE:s[a-z]+ state changed)|(Enforcement Action)|(\[TIMEOUT)|(parse_ebi_status: Penalty)|(\|GPPS))"</v>
      </c>
      <c r="AG220" s="243" t="str">
        <f t="shared" si="104"/>
        <v>Other</v>
      </c>
      <c r="AH220" s="235" t="str">
        <f t="shared" si="105"/>
        <v>"%USERPROFILE%\Documents\GitHub\eaglep3\Utilities\RefineRTDCRunTimes.py" --tripid 313-28 --locoid 4062 --swversion DE.1.0.9.0 --startMP 204:549 --initTime 2017-12-29T00:39:02 --startdatetime 2017-12-29T00:41:40 --delay 65 --endMP 300:23310 --enddatetime 2017-12-29T00:54:27 --enforcementcount 0 &gt;&gt;%USERPROFILE%\Documents\GitHub\eaglep3-reporting\EC\2017-12-28-refined-times.txt</v>
      </c>
      <c r="AI220" s="237" t="str">
        <f t="shared" si="106"/>
        <v>echo {"issue":{"subject":"","project_id":79,"tracker_id":40,"status_id":1,"priority_id":2,"assigned_to_id":338,"start_date":"2017-12-29","description":"","custom_fields":[{"id":1,"name":"Subdivision","value":"Other"},{"id":4,"name":"Milepost","value":"2.331"},{"id":17,"name":"Train ID","value":"313-28"},{"id":16,"name":"Locomotive ID","value":"4062"},{"id":130,"name":"Impact","value":""},{"id":150,"name":"Time of Event (Mountain Time)","value":"00:54:27"},{"id":151,"name":"Denver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2"/>
      <c r="AK220" s="230"/>
      <c r="AL220" s="230"/>
      <c r="AM220" s="239" t="str">
        <f t="shared" si="107"/>
        <v>start /low /b %USERPROFILE%\Documents\GitHub\eaglep3\Utilities\DownloadLogsFromS3.py --loco 4062 --day 2017-12-29</v>
      </c>
      <c r="AN220" s="240" t="str">
        <f t="shared" si="108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07:54:27"},{"id":29,"name":"Sharepoint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29" t="str">
        <f t="shared" si="109"/>
        <v>https://d0f6bd738d7f1b3e5a7ca70fe4ff75f0.us-east-1.aws.found.io/app/kibana#/discover/Steve-Slow-Train-Analysis-(2080s-and-2083s)?_g=(refreshInterval:(display:Off,pause:!f,section:0,value:0),time:(from:'2017-12-28T23:39:02-0700',mode:absolute,to:'2017-12-29T01:54:27-0700'))&amp;_a=(columns:!('Message%20ID',Summary),filters:!(),index:'emp_*',interval:auto,query:(query_string:(analyze_wildcard:!t,query:'%22rtdc.l.rtdc.4062%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28" t="s">
        <v>714</v>
      </c>
      <c r="B221" s="224">
        <v>4016</v>
      </c>
      <c r="C221" s="226" t="s">
        <v>192</v>
      </c>
      <c r="D221" s="226" t="s">
        <v>1065</v>
      </c>
      <c r="E221" s="225">
        <v>43097.199212962965</v>
      </c>
      <c r="F221" s="225">
        <v>43097.204050925924</v>
      </c>
      <c r="G221" s="224">
        <v>97</v>
      </c>
      <c r="H221" s="226" t="s">
        <v>663</v>
      </c>
      <c r="I221" s="225">
        <v>43097.209918981483</v>
      </c>
      <c r="J221" s="224">
        <v>0</v>
      </c>
      <c r="K221" s="236" t="str">
        <f t="shared" si="96"/>
        <v>4015/4016</v>
      </c>
      <c r="L221" s="244" t="str">
        <f>VLOOKUP(A221,'Trips&amp;Operators'!$C$1:$G$99911,5,FALSE)</f>
        <v>LOPES KIMBERLY</v>
      </c>
      <c r="M221" s="223">
        <f t="shared" si="97"/>
        <v>5.8680555594037287E-3</v>
      </c>
      <c r="N221" s="224">
        <f t="shared" si="110"/>
        <v>8.4500000055413693</v>
      </c>
      <c r="O221" s="224"/>
      <c r="P221" s="224"/>
      <c r="Q221" s="227"/>
      <c r="R221" s="241"/>
      <c r="S221" s="248">
        <f t="shared" si="95"/>
        <v>0</v>
      </c>
      <c r="T221" s="241" t="str">
        <f t="shared" si="98"/>
        <v>NorthBound</v>
      </c>
      <c r="U221" s="24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47" t="str">
        <f t="shared" si="99"/>
        <v>https://d0f6bd738d7f1b3e5a7ca70fe4ff75f0.us-east-1.aws.found.io/app/kibana#/discover/Steve-Slow-Train-Analysis-(2080s-and-2083s)?_g=(refreshInterval:(display:Off,pause:!f,section:0,value:0),time:(from:'2017-12-28T03:46:52-0700',mode:absolute,to:'2017-12-28T06:02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1" s="246" t="str">
        <f>IF(AA221&lt;VLOOKUP(AG221,Variables!$AC$3:$AD$8,2,FALSE),"Y","N")</f>
        <v>Y</v>
      </c>
      <c r="X221" s="246">
        <f t="shared" si="94"/>
        <v>588</v>
      </c>
      <c r="Y221" s="246">
        <f t="shared" si="92"/>
        <v>3.0343</v>
      </c>
      <c r="Z221" s="246">
        <f t="shared" si="93"/>
        <v>5.8956</v>
      </c>
      <c r="AA221" s="246">
        <f t="shared" si="100"/>
        <v>2.8613</v>
      </c>
      <c r="AB221" s="232" t="e">
        <f>VLOOKUP(A221,Enforcements!$C$7:$K$9,8,0)</f>
        <v>#N/A</v>
      </c>
      <c r="AC221" s="231" t="e">
        <f>VLOOKUP(A221,Enforcements!$C$7:$E$9,3,0)</f>
        <v>#N/A</v>
      </c>
      <c r="AD221" s="242">
        <f t="shared" si="101"/>
        <v>901</v>
      </c>
      <c r="AE221" s="234" t="str">
        <f t="shared" si="102"/>
        <v>aws s3 cp s3://rtdc.mdm.uploadarchive.raw/RTDC4016/ "%USERPROFILE%\AppData\Local\Temp\OnboardLogs"\RTDC4016\2017-12-28 --exclude "*" --recursive --include "*20171228*" &amp; "%USERPROFILE%\Documents\GitHub\mrs-test-scripts\Headless Mode &amp; Sideloading\WalkAndUnGZ.bat" "%USERPROFILE%\AppData\Local\Temp\OnboardLogs"\RTDC4016\2017-12-28 &amp; aws s3 cp s3://rtdc.mdm.uploadarchive.raw/RTDC4016/ "%USERPROFILE%\AppData\Local\Temp\OnboardLogs"\RTDC4016\2017-12-29 --exclude "*" --recursive --include "*20171229*" &amp; "%USERPROFILE%\Documents\GitHub\mrs-test-scripts\Headless Mode &amp; Sideloading\WalkAndUnGZ.bat" "%USERPROFILE%\AppData\Local\Temp\OnboardLogs"\RTDC4016\2017-12-29</v>
      </c>
      <c r="AF221" s="233" t="str">
        <f t="shared" si="103"/>
        <v>"C:\Program Files (x86)\AstroGrep\AstroGrep.exe" /e /r /s /spath="%USERPROFILE%\AppData\Local\Temp\OnboardLogs" /stypes="app*4016*201712281*" /stext=" 12:.+?(?&gt;(PRM\|1\|D)|(KPR)|(KDP)|(train st[a-z]+ moving)|(SYSTEM_STATE:s[a-z]+ state changed)|(Enforcement Action)|(\[TIMEOUT)|(parse_ebi_status: Penalty)|(\|GPPS))"</v>
      </c>
      <c r="AG221" s="243" t="str">
        <f t="shared" si="104"/>
        <v>Other</v>
      </c>
      <c r="AH221" s="235" t="str">
        <f t="shared" si="105"/>
        <v>"%USERPROFILE%\Documents\GitHub\eaglep3\Utilities\RefineRTDCRunTimes.py" --tripid 901-28 --locoid 4016 --swversion DE.1.0.9.0 --startMP 300:30343 --initTime 2017-12-28T04:46:52 --startdatetime 2017-12-28T04:53:50 --delay 97 --endMP 300:58956 --enddatetime 2017-12-28T05:02:17 --enforcementcount 0 &gt;&gt;%USERPROFILE%\Documents\GitHub\eaglep3-reporting\EC\2017-12-28-refined-times.txt</v>
      </c>
      <c r="AI221" s="237" t="str">
        <f t="shared" si="106"/>
        <v>echo {"issue":{"subject":"","project_id":79,"tracker_id":40,"status_id":1,"priority_id":2,"assigned_to_id":338,"start_date":"2017-12-28","description":"","custom_fields":[{"id":1,"name":"Subdivision","value":"Other"},{"id":4,"name":"Milepost","value":"5.8956"},{"id":17,"name":"Train ID","value":"901-28"},{"id":16,"name":"Locomotive ID","value":"4016"},{"id":130,"name":"Impact","value":""},{"id":150,"name":"Time of Event (Mountain Time)","value":"05:02:17"},{"id":151,"name":"Denver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2"/>
      <c r="AK221" s="230"/>
      <c r="AL221" s="230"/>
      <c r="AM221" s="239" t="str">
        <f t="shared" si="107"/>
        <v>start /low /b %USERPROFILE%\Documents\GitHub\eaglep3\Utilities\DownloadLogsFromS3.py --loco 4016 --day 2017-12-28</v>
      </c>
      <c r="AN221" s="240" t="str">
        <f t="shared" si="108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12:02:17"},{"id":29,"name":"Sharepoint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29" t="str">
        <f t="shared" si="109"/>
        <v>https://d0f6bd738d7f1b3e5a7ca70fe4ff75f0.us-east-1.aws.found.io/app/kibana#/discover/Steve-Slow-Train-Analysis-(2080s-and-2083s)?_g=(refreshInterval:(display:Off,pause:!f,section:0,value:0),time:(from:'2017-12-28T03:46:52-0700',mode:absolute,to:'2017-12-28T06:02:17-0700'))&amp;_a=(columns:!('Message%20ID',Summary),filters:!(),index:'emp_*',interval:auto,query:(query_string:(analyze_wildcard:!t,query:'%22rtdc.l.rtdc.4016%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2" customFormat="1" x14ac:dyDescent="0.25">
      <c r="A222" s="228" t="s">
        <v>727</v>
      </c>
      <c r="B222" s="224">
        <v>4017</v>
      </c>
      <c r="C222" s="226" t="s">
        <v>192</v>
      </c>
      <c r="D222" s="226" t="s">
        <v>671</v>
      </c>
      <c r="E222" s="225">
        <v>43097.239618055559</v>
      </c>
      <c r="F222" s="225">
        <v>43097.242974537039</v>
      </c>
      <c r="G222" s="224">
        <v>66</v>
      </c>
      <c r="H222" s="226" t="s">
        <v>1033</v>
      </c>
      <c r="I222" s="225">
        <v>43097.248888888891</v>
      </c>
      <c r="J222" s="224">
        <v>0</v>
      </c>
      <c r="K222" s="236" t="str">
        <f t="shared" si="96"/>
        <v>4017/4018</v>
      </c>
      <c r="L222" s="244" t="str">
        <f>VLOOKUP(A222,'Trips&amp;Operators'!$C$1:$G$99911,5,FALSE)</f>
        <v>FORTUNATO FRANK</v>
      </c>
      <c r="M222" s="223">
        <f t="shared" si="97"/>
        <v>5.914351851970423E-3</v>
      </c>
      <c r="N222" s="224">
        <f t="shared" si="110"/>
        <v>8.5166666668374091</v>
      </c>
      <c r="O222" s="224"/>
      <c r="P222" s="224"/>
      <c r="Q222" s="227"/>
      <c r="R222" s="241"/>
      <c r="S222" s="248">
        <f t="shared" si="95"/>
        <v>1</v>
      </c>
      <c r="T222" s="241" t="str">
        <f t="shared" si="98"/>
        <v>Southbound</v>
      </c>
      <c r="U222" s="24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7" t="str">
        <f t="shared" si="99"/>
        <v>https://d0f6bd738d7f1b3e5a7ca70fe4ff75f0.us-east-1.aws.found.io/app/kibana#/discover/Steve-Slow-Train-Analysis-(2080s-and-2083s)?_g=(refreshInterval:(display:Off,pause:!f,section:0,value:0),time:(from:'2017-12-28T04:45:03-0700',mode:absolute,to:'2017-12-28T06:58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2" s="246" t="str">
        <f>IF(AA222&lt;VLOOKUP(AG222,Variables!$AC$3:$AD$8,2,FALSE),"Y","N")</f>
        <v>Y</v>
      </c>
      <c r="X222" s="246">
        <f t="shared" si="94"/>
        <v>1</v>
      </c>
      <c r="Y222" s="246">
        <f t="shared" si="92"/>
        <v>2.3605</v>
      </c>
      <c r="Z222" s="246">
        <f t="shared" si="93"/>
        <v>1.6400000000000001E-2</v>
      </c>
      <c r="AA222" s="246">
        <f t="shared" si="100"/>
        <v>2.3441000000000001</v>
      </c>
      <c r="AB222" s="232" t="e">
        <f>VLOOKUP(A222,Enforcements!$C$7:$K$9,8,0)</f>
        <v>#N/A</v>
      </c>
      <c r="AC222" s="231" t="e">
        <f>VLOOKUP(A222,Enforcements!$C$7:$E$9,3,0)</f>
        <v>#N/A</v>
      </c>
      <c r="AD222" s="242">
        <f t="shared" si="101"/>
        <v>902</v>
      </c>
      <c r="AE222" s="234" t="str">
        <f t="shared" si="102"/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AF222" s="233" t="str">
        <f t="shared" si="103"/>
        <v>"C:\Program Files (x86)\AstroGrep\AstroGrep.exe" /e /r /s /spath="%USERPROFILE%\AppData\Local\Temp\OnboardLogs" /stypes="app*4017*201712281*" /stext=" 12:.+?(?&gt;(PRM\|1\|D)|(KPR)|(KDP)|(train st[a-z]+ moving)|(SYSTEM_STATE:s[a-z]+ state changed)|(Enforcement Action)|(\[TIMEOUT)|(parse_ebi_status: Penalty)|(\|GPPS))"</v>
      </c>
      <c r="AG222" s="243" t="str">
        <f t="shared" si="104"/>
        <v>Other</v>
      </c>
      <c r="AH222" s="235" t="str">
        <f t="shared" si="105"/>
        <v>"%USERPROFILE%\Documents\GitHub\eaglep3\Utilities\RefineRTDCRunTimes.py" --tripid 902-28 --locoid 4017 --swversion DE.1.0.9.0 --startMP 300:23605 --initTime 2017-12-28T05:45:03 --startdatetime 2017-12-28T05:49:53 --delay 66 --endMP 204:164 --enddatetime 2017-12-28T05:58:24 --enforcementcount 0 &gt;&gt;%USERPROFILE%\Documents\GitHub\eaglep3-reporting\EC\2017-12-28-refined-times.txt</v>
      </c>
      <c r="AI222" s="237" t="str">
        <f t="shared" si="106"/>
        <v>echo {"issue":{"subject":"","project_id":79,"tracker_id":40,"status_id":1,"priority_id":2,"assigned_to_id":338,"start_date":"2017-12-28","description":"","custom_fields":[{"id":1,"name":"Subdivision","value":"Other"},{"id":4,"name":"Milepost","value":"0.0164"},{"id":17,"name":"Train ID","value":"902-28"},{"id":16,"name":"Locomotive ID","value":"4017"},{"id":130,"name":"Impact","value":""},{"id":150,"name":"Time of Event (Mountain Time)","value":"05:58:24"},{"id":151,"name":"Denver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0"/>
      <c r="AL222" s="230"/>
      <c r="AM222" s="239" t="str">
        <f t="shared" si="107"/>
        <v>start /low /b %USERPROFILE%\Documents\GitHub\eaglep3\Utilities\DownloadLogsFromS3.py --loco 4017 --day 2017-12-28</v>
      </c>
      <c r="AN222" s="240" t="str">
        <f t="shared" si="108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12:58:24"},{"id":29,"name":"Sharepoint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29" t="str">
        <f t="shared" si="109"/>
        <v>https://d0f6bd738d7f1b3e5a7ca70fe4ff75f0.us-east-1.aws.found.io/app/kibana#/discover/Steve-Slow-Train-Analysis-(2080s-and-2083s)?_g=(refreshInterval:(display:Off,pause:!f,section:0,value:0),time:(from:'2017-12-28T04:45:03-0700',mode:absolute,to:'2017-12-28T06:58:24-0700'))&amp;_a=(columns:!('Message%20ID',Summary),filters:!(),index:'emp_*',interval:auto,query:(query_string:(analyze_wildcard:!t,query:'%22rtdc.l.rtdc.4017%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228" t="s">
        <v>759</v>
      </c>
      <c r="B223" s="224">
        <v>4016</v>
      </c>
      <c r="C223" s="226" t="s">
        <v>192</v>
      </c>
      <c r="D223" s="226" t="s">
        <v>498</v>
      </c>
      <c r="E223" s="225">
        <v>43097.352129629631</v>
      </c>
      <c r="F223" s="225">
        <v>43097.353414351855</v>
      </c>
      <c r="G223" s="224">
        <v>54</v>
      </c>
      <c r="H223" s="226" t="s">
        <v>1066</v>
      </c>
      <c r="I223" s="225">
        <v>43097.360891203702</v>
      </c>
      <c r="J223" s="224">
        <v>0</v>
      </c>
      <c r="K223" s="236" t="str">
        <f t="shared" si="96"/>
        <v>4015/4016</v>
      </c>
      <c r="L223" s="244" t="str">
        <f>VLOOKUP(A223,'Trips&amp;Operators'!$C$1:$G$99911,5,FALSE)</f>
        <v>LOPES KIMBERLY</v>
      </c>
      <c r="M223" s="223">
        <f t="shared" si="97"/>
        <v>7.4768518461496569E-3</v>
      </c>
      <c r="N223" s="224">
        <f t="shared" si="110"/>
        <v>10.766666658455506</v>
      </c>
      <c r="O223" s="224"/>
      <c r="P223" s="224"/>
      <c r="Q223" s="227"/>
      <c r="R223" s="241"/>
      <c r="S223" s="248">
        <f t="shared" si="95"/>
        <v>1</v>
      </c>
      <c r="T223" s="241" t="str">
        <f t="shared" si="98"/>
        <v>NorthBound</v>
      </c>
      <c r="U223" s="24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7" t="str">
        <f t="shared" si="99"/>
        <v>https://d0f6bd738d7f1b3e5a7ca70fe4ff75f0.us-east-1.aws.found.io/app/kibana#/discover/Steve-Slow-Train-Analysis-(2080s-and-2083s)?_g=(refreshInterval:(display:Off,pause:!f,section:0,value:0),time:(from:'2017-12-28T07:27:04-0700',mode:absolute,to:'2017-12-28T09:39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3" s="246" t="str">
        <f>IF(AA223&lt;VLOOKUP(AG223,Variables!$AC$3:$AD$8,2,FALSE),"Y","N")</f>
        <v>Y</v>
      </c>
      <c r="X223" s="246">
        <f t="shared" si="94"/>
        <v>1</v>
      </c>
      <c r="Y223" s="246">
        <f t="shared" si="92"/>
        <v>4.4400000000000002E-2</v>
      </c>
      <c r="Z223" s="246">
        <f t="shared" si="93"/>
        <v>2.4237000000000002</v>
      </c>
      <c r="AA223" s="246">
        <f t="shared" si="100"/>
        <v>2.3793000000000002</v>
      </c>
      <c r="AB223" s="232" t="e">
        <f>VLOOKUP(A223,Enforcements!$C$7:$K$9,8,0)</f>
        <v>#N/A</v>
      </c>
      <c r="AC223" s="231" t="e">
        <f>VLOOKUP(A223,Enforcements!$C$7:$E$9,3,0)</f>
        <v>#N/A</v>
      </c>
      <c r="AD223" s="242">
        <f t="shared" si="101"/>
        <v>903</v>
      </c>
      <c r="AE223" s="234" t="str">
        <f t="shared" si="102"/>
        <v>aws s3 cp s3://rtdc.mdm.uploadarchive.raw/RTDC4016/ "%USERPROFILE%\AppData\Local\Temp\OnboardLogs"\RTDC4016\2017-12-28 --exclude "*" --recursive --include "*20171228*" &amp; "%USERPROFILE%\Documents\GitHub\mrs-test-scripts\Headless Mode &amp; Sideloading\WalkAndUnGZ.bat" "%USERPROFILE%\AppData\Local\Temp\OnboardLogs"\RTDC4016\2017-12-28 &amp; aws s3 cp s3://rtdc.mdm.uploadarchive.raw/RTDC4016/ "%USERPROFILE%\AppData\Local\Temp\OnboardLogs"\RTDC4016\2017-12-29 --exclude "*" --recursive --include "*20171229*" &amp; "%USERPROFILE%\Documents\GitHub\mrs-test-scripts\Headless Mode &amp; Sideloading\WalkAndUnGZ.bat" "%USERPROFILE%\AppData\Local\Temp\OnboardLogs"\RTDC4016\2017-12-29</v>
      </c>
      <c r="AF223" s="233" t="str">
        <f t="shared" si="103"/>
        <v>"C:\Program Files (x86)\AstroGrep\AstroGrep.exe" /e /r /s /spath="%USERPROFILE%\AppData\Local\Temp\OnboardLogs" /stypes="app*4016*201712281*" /stext=" 15:.+?(?&gt;(PRM\|1\|D)|(KPR)|(KDP)|(train st[a-z]+ moving)|(SYSTEM_STATE:s[a-z]+ state changed)|(Enforcement Action)|(\[TIMEOUT)|(parse_ebi_status: Penalty)|(\|GPPS))"</v>
      </c>
      <c r="AG223" s="243" t="str">
        <f t="shared" si="104"/>
        <v>Other</v>
      </c>
      <c r="AH223" s="235" t="str">
        <f t="shared" si="105"/>
        <v>"%USERPROFILE%\Documents\GitHub\eaglep3\Utilities\RefineRTDCRunTimes.py" --tripid 903-28 --locoid 4016 --swversion DE.1.0.9.0 --startMP 204:444 --initTime 2017-12-28T08:27:04 --startdatetime 2017-12-28T08:28:55 --delay 54 --endMP 300:24237 --enddatetime 2017-12-28T08:39:41 --enforcementcount 0 &gt;&gt;%USERPROFILE%\Documents\GitHub\eaglep3-reporting\EC\2017-12-28-refined-times.txt</v>
      </c>
      <c r="AI223" s="237" t="str">
        <f t="shared" si="106"/>
        <v>echo {"issue":{"subject":"","project_id":79,"tracker_id":40,"status_id":1,"priority_id":2,"assigned_to_id":338,"start_date":"2017-12-28","description":"","custom_fields":[{"id":1,"name":"Subdivision","value":"Other"},{"id":4,"name":"Milepost","value":"2.4237"},{"id":17,"name":"Train ID","value":"903-28"},{"id":16,"name":"Locomotive ID","value":"4016"},{"id":130,"name":"Impact","value":""},{"id":150,"name":"Time of Event (Mountain Time)","value":"08:39:41"},{"id":151,"name":"Denver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2"/>
      <c r="AK223" s="230"/>
      <c r="AL223" s="230"/>
      <c r="AM223" s="239" t="str">
        <f t="shared" si="107"/>
        <v>start /low /b %USERPROFILE%\Documents\GitHub\eaglep3\Utilities\DownloadLogsFromS3.py --loco 4016 --day 2017-12-28</v>
      </c>
      <c r="AN223" s="240" t="str">
        <f t="shared" si="108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15:39:41"},{"id":29,"name":"Sharepoint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29" t="str">
        <f t="shared" si="109"/>
        <v>https://d0f6bd738d7f1b3e5a7ca70fe4ff75f0.us-east-1.aws.found.io/app/kibana#/discover/Steve-Slow-Train-Analysis-(2080s-and-2083s)?_g=(refreshInterval:(display:Off,pause:!f,section:0,value:0),time:(from:'2017-12-28T07:27:04-0700',mode:absolute,to:'2017-12-28T09:39:41-0700'))&amp;_a=(columns:!('Message%20ID',Summary),filters:!(),index:'emp_*',interval:auto,query:(query_string:(analyze_wildcard:!t,query:'%22rtdc.l.rtdc.4016%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28" t="s">
        <v>823</v>
      </c>
      <c r="B224" s="224">
        <v>4015</v>
      </c>
      <c r="C224" s="226" t="s">
        <v>192</v>
      </c>
      <c r="D224" s="226" t="s">
        <v>1067</v>
      </c>
      <c r="E224" s="225">
        <v>43097.636932870373</v>
      </c>
      <c r="F224" s="225">
        <v>43097.641793981478</v>
      </c>
      <c r="G224" s="224">
        <v>73</v>
      </c>
      <c r="H224" s="226" t="s">
        <v>531</v>
      </c>
      <c r="I224" s="225">
        <v>43097.647592592592</v>
      </c>
      <c r="J224" s="224">
        <v>0</v>
      </c>
      <c r="K224" s="236" t="str">
        <f t="shared" si="96"/>
        <v>4015/4016</v>
      </c>
      <c r="L224" s="244" t="str">
        <f>VLOOKUP(A224,'Trips&amp;Operators'!$C$1:$G$99911,5,FALSE)</f>
        <v>RESPASS AARON</v>
      </c>
      <c r="M224" s="223">
        <f t="shared" si="97"/>
        <v>5.7986111132777296E-3</v>
      </c>
      <c r="N224" s="224">
        <f t="shared" si="110"/>
        <v>8.3500000031199306</v>
      </c>
      <c r="O224" s="224"/>
      <c r="P224" s="224"/>
      <c r="Q224" s="227"/>
      <c r="R224" s="241"/>
      <c r="S224" s="248">
        <f t="shared" si="95"/>
        <v>1</v>
      </c>
      <c r="T224" s="241" t="str">
        <f t="shared" si="98"/>
        <v>Southbound</v>
      </c>
      <c r="U224" s="24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7" t="str">
        <f t="shared" si="99"/>
        <v>https://d0f6bd738d7f1b3e5a7ca70fe4ff75f0.us-east-1.aws.found.io/app/kibana#/discover/Steve-Slow-Train-Analysis-(2080s-and-2083s)?_g=(refreshInterval:(display:Off,pause:!f,section:0,value:0),time:(from:'2017-12-28T14:17:11-0700',mode:absolute,to:'2017-12-28T16:32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4" s="246" t="str">
        <f>IF(AA224&lt;VLOOKUP(AG224,Variables!$AC$3:$AD$8,2,FALSE),"Y","N")</f>
        <v>Y</v>
      </c>
      <c r="X224" s="246">
        <f t="shared" si="94"/>
        <v>1</v>
      </c>
      <c r="Y224" s="246">
        <f t="shared" si="92"/>
        <v>2.3687999999999998</v>
      </c>
      <c r="Z224" s="246">
        <f t="shared" si="93"/>
        <v>1.46E-2</v>
      </c>
      <c r="AA224" s="246">
        <f t="shared" si="100"/>
        <v>2.3541999999999996</v>
      </c>
      <c r="AB224" s="232" t="e">
        <f>VLOOKUP(A224,Enforcements!$C$7:$K$9,8,0)</f>
        <v>#N/A</v>
      </c>
      <c r="AC224" s="231" t="e">
        <f>VLOOKUP(A224,Enforcements!$C$7:$E$9,3,0)</f>
        <v>#N/A</v>
      </c>
      <c r="AD224" s="242">
        <f t="shared" si="101"/>
        <v>904</v>
      </c>
      <c r="AE224" s="234" t="str">
        <f t="shared" si="102"/>
        <v>aws s3 cp s3://rtdc.mdm.uploadarchive.raw/RTDC4015/ "%USERPROFILE%\AppData\Local\Temp\OnboardLogs"\RTDC4015\2017-12-28 --exclude "*" --recursive --include "*20171228*" &amp; "%USERPROFILE%\Documents\GitHub\mrs-test-scripts\Headless Mode &amp; Sideloading\WalkAndUnGZ.bat" "%USERPROFILE%\AppData\Local\Temp\OnboardLogs"\RTDC4015\2017-12-28 &amp; aws s3 cp s3://rtdc.mdm.uploadarchive.raw/RTDC4015/ "%USERPROFILE%\AppData\Local\Temp\OnboardLogs"\RTDC4015\2017-12-29 --exclude "*" --recursive --include "*20171229*" &amp; "%USERPROFILE%\Documents\GitHub\mrs-test-scripts\Headless Mode &amp; Sideloading\WalkAndUnGZ.bat" "%USERPROFILE%\AppData\Local\Temp\OnboardLogs"\RTDC4015\2017-12-29</v>
      </c>
      <c r="AF224" s="233" t="str">
        <f t="shared" si="103"/>
        <v>"C:\Program Files (x86)\AstroGrep\AstroGrep.exe" /e /r /s /spath="%USERPROFILE%\AppData\Local\Temp\OnboardLogs" /stypes="app*4015*201712282*" /stext=" 22:.+?(?&gt;(PRM\|1\|D)|(KPR)|(KDP)|(train st[a-z]+ moving)|(SYSTEM_STATE:s[a-z]+ state changed)|(Enforcement Action)|(\[TIMEOUT)|(parse_ebi_status: Penalty)|(\|GPPS))"</v>
      </c>
      <c r="AG224" s="243" t="str">
        <f t="shared" si="104"/>
        <v>Other</v>
      </c>
      <c r="AH224" s="235" t="str">
        <f t="shared" si="105"/>
        <v>"%USERPROFILE%\Documents\GitHub\eaglep3\Utilities\RefineRTDCRunTimes.py" --tripid 904-28 --locoid 4015 --swversion DE.1.0.9.0 --startMP 300:23688 --initTime 2017-12-28T15:17:11 --startdatetime 2017-12-28T15:24:11 --delay 73 --endMP 204:146 --enddatetime 2017-12-28T15:32:32 --enforcementcount 0 &gt;&gt;%USERPROFILE%\Documents\GitHub\eaglep3-reporting\EC\2017-12-28-refined-times.txt</v>
      </c>
      <c r="AI224" s="237" t="str">
        <f t="shared" si="106"/>
        <v>echo {"issue":{"subject":"","project_id":79,"tracker_id":40,"status_id":1,"priority_id":2,"assigned_to_id":338,"start_date":"2017-12-28","description":"","custom_fields":[{"id":1,"name":"Subdivision","value":"Other"},{"id":4,"name":"Milepost","value":"0.0146"},{"id":17,"name":"Train ID","value":"904-28"},{"id":16,"name":"Locomotive ID","value":"4015"},{"id":130,"name":"Impact","value":""},{"id":150,"name":"Time of Event (Mountain Time)","value":"15:32:32"},{"id":151,"name":"Denver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2"/>
      <c r="AK224" s="230"/>
      <c r="AL224" s="230"/>
      <c r="AM224" s="239" t="str">
        <f t="shared" si="107"/>
        <v>start /low /b %USERPROFILE%\Documents\GitHub\eaglep3\Utilities\DownloadLogsFromS3.py --loco 4015 --day 2017-12-28</v>
      </c>
      <c r="AN224" s="240" t="str">
        <f t="shared" si="108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22:32:32"},{"id":29,"name":"Sharepoint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29" t="str">
        <f t="shared" si="109"/>
        <v>https://d0f6bd738d7f1b3e5a7ca70fe4ff75f0.us-east-1.aws.found.io/app/kibana#/discover/Steve-Slow-Train-Analysis-(2080s-and-2083s)?_g=(refreshInterval:(display:Off,pause:!f,section:0,value:0),time:(from:'2017-12-28T14:17:11-0700',mode:absolute,to:'2017-12-28T16:32:32-0700'))&amp;_a=(columns:!('Message%20ID',Summary),filters:!(),index:'emp_*',interval:auto,query:(query_string:(analyze_wildcard:!t,query:'%22rtdc.l.rtdc.4015%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28" t="s">
        <v>873</v>
      </c>
      <c r="B225" s="224">
        <v>4015</v>
      </c>
      <c r="C225" s="226" t="s">
        <v>192</v>
      </c>
      <c r="D225" s="226" t="s">
        <v>665</v>
      </c>
      <c r="E225" s="225">
        <v>43097.78869212963</v>
      </c>
      <c r="F225" s="225">
        <v>43097.790219907409</v>
      </c>
      <c r="G225" s="224">
        <v>57</v>
      </c>
      <c r="H225" s="226" t="s">
        <v>1068</v>
      </c>
      <c r="I225" s="225">
        <v>43097.796597222223</v>
      </c>
      <c r="J225" s="224">
        <v>0</v>
      </c>
      <c r="K225" s="236" t="str">
        <f t="shared" si="96"/>
        <v>4015/4016</v>
      </c>
      <c r="L225" s="244" t="str">
        <f>VLOOKUP(A225,'Trips&amp;Operators'!$C$1:$G$99911,5,FALSE)</f>
        <v>RESPASS AARON</v>
      </c>
      <c r="M225" s="223">
        <f t="shared" si="97"/>
        <v>6.3773148140171543E-3</v>
      </c>
      <c r="N225" s="224">
        <f t="shared" si="110"/>
        <v>9.1833333321847022</v>
      </c>
      <c r="O225" s="224"/>
      <c r="P225" s="224"/>
      <c r="Q225" s="227"/>
      <c r="R225" s="241"/>
      <c r="S225" s="248">
        <f t="shared" si="95"/>
        <v>0</v>
      </c>
      <c r="T225" s="241" t="str">
        <f t="shared" si="98"/>
        <v>Southbound</v>
      </c>
      <c r="U225" s="24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7" t="str">
        <f t="shared" si="99"/>
        <v>https://d0f6bd738d7f1b3e5a7ca70fe4ff75f0.us-east-1.aws.found.io/app/kibana#/discover/Steve-Slow-Train-Analysis-(2080s-and-2083s)?_g=(refreshInterval:(display:Off,pause:!f,section:0,value:0),time:(from:'2017-12-28T17:55:43-0700',mode:absolute,to:'2017-12-28T20:07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5" s="246" t="str">
        <f>IF(AA225&lt;VLOOKUP(AG225,Variables!$AC$3:$AD$8,2,FALSE),"Y","N")</f>
        <v>Y</v>
      </c>
      <c r="X225" s="246">
        <f t="shared" si="94"/>
        <v>2</v>
      </c>
      <c r="Y225" s="246">
        <f t="shared" si="92"/>
        <v>5.8638000000000003</v>
      </c>
      <c r="Z225" s="246">
        <f t="shared" si="93"/>
        <v>2.8778000000000001</v>
      </c>
      <c r="AA225" s="246">
        <f t="shared" si="100"/>
        <v>2.9860000000000002</v>
      </c>
      <c r="AB225" s="232" t="e">
        <f>VLOOKUP(A225,Enforcements!$C$7:$K$9,8,0)</f>
        <v>#N/A</v>
      </c>
      <c r="AC225" s="231" t="e">
        <f>VLOOKUP(A225,Enforcements!$C$7:$E$9,3,0)</f>
        <v>#N/A</v>
      </c>
      <c r="AD225" s="242">
        <f t="shared" si="101"/>
        <v>906</v>
      </c>
      <c r="AE225" s="234" t="str">
        <f t="shared" si="102"/>
        <v>aws s3 cp s3://rtdc.mdm.uploadarchive.raw/RTDC4015/ "%USERPROFILE%\AppData\Local\Temp\OnboardLogs"\RTDC4015\2017-12-28 --exclude "*" --recursive --include "*20171228*" &amp; "%USERPROFILE%\Documents\GitHub\mrs-test-scripts\Headless Mode &amp; Sideloading\WalkAndUnGZ.bat" "%USERPROFILE%\AppData\Local\Temp\OnboardLogs"\RTDC4015\2017-12-28 &amp; aws s3 cp s3://rtdc.mdm.uploadarchive.raw/RTDC4015/ "%USERPROFILE%\AppData\Local\Temp\OnboardLogs"\RTDC4015\2017-12-29 --exclude "*" --recursive --include "*20171229*" &amp; "%USERPROFILE%\Documents\GitHub\mrs-test-scripts\Headless Mode &amp; Sideloading\WalkAndUnGZ.bat" "%USERPROFILE%\AppData\Local\Temp\OnboardLogs"\RTDC4015\2017-12-29</v>
      </c>
      <c r="AF225" s="233" t="str">
        <f t="shared" si="103"/>
        <v>"C:\Program Files (x86)\AstroGrep\AstroGrep.exe" /e /r /s /spath="%USERPROFILE%\AppData\Local\Temp\OnboardLogs" /stypes="app*4015*201712290*" /stext=" 02:.+?(?&gt;(PRM\|1\|D)|(KPR)|(KDP)|(train st[a-z]+ moving)|(SYSTEM_STATE:s[a-z]+ state changed)|(Enforcement Action)|(\[TIMEOUT)|(parse_ebi_status: Penalty)|(\|GPPS))"</v>
      </c>
      <c r="AG225" s="243" t="str">
        <f t="shared" si="104"/>
        <v>Other</v>
      </c>
      <c r="AH225" s="235" t="str">
        <f t="shared" si="105"/>
        <v>"%USERPROFILE%\Documents\GitHub\eaglep3\Utilities\RefineRTDCRunTimes.py" --tripid 906-28 --locoid 4015 --swversion DE.1.0.9.0 --startMP 300:58638 --initTime 2017-12-28T18:55:43 --startdatetime 2017-12-28T18:57:55 --delay 57 --endMP 300:28778 --enddatetime 2017-12-28T19:07:06 --enforcementcount 0 &gt;&gt;%USERPROFILE%\Documents\GitHub\eaglep3-reporting\EC\2017-12-28-refined-times.txt</v>
      </c>
      <c r="AI225" s="237" t="str">
        <f t="shared" si="106"/>
        <v>echo {"issue":{"subject":"","project_id":79,"tracker_id":40,"status_id":1,"priority_id":2,"assigned_to_id":338,"start_date":"2017-12-28","description":"","custom_fields":[{"id":1,"name":"Subdivision","value":"Other"},{"id":4,"name":"Milepost","value":"2.8778"},{"id":17,"name":"Train ID","value":"906-28"},{"id":16,"name":"Locomotive ID","value":"4015"},{"id":130,"name":"Impact","value":""},{"id":150,"name":"Time of Event (Mountain Time)","value":"19:07:06"},{"id":151,"name":"Denver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2"/>
      <c r="AK225" s="230"/>
      <c r="AL225" s="230"/>
      <c r="AM225" s="239" t="str">
        <f t="shared" si="107"/>
        <v>start /low /b %USERPROFILE%\Documents\GitHub\eaglep3\Utilities\DownloadLogsFromS3.py --loco 4015 --day 2017-12-28</v>
      </c>
      <c r="AN225" s="240" t="str">
        <f t="shared" si="108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02:07:06"},{"id":29,"name":"Sharepoint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29" t="str">
        <f t="shared" si="109"/>
        <v>https://d0f6bd738d7f1b3e5a7ca70fe4ff75f0.us-east-1.aws.found.io/app/kibana#/discover/Steve-Slow-Train-Analysis-(2080s-and-2083s)?_g=(refreshInterval:(display:Off,pause:!f,section:0,value:0),time:(from:'2017-12-28T17:55:43-0700',mode:absolute,to:'2017-12-28T20:07:06-0700'))&amp;_a=(columns:!('Message%20ID',Summary),filters:!(),index:'emp_*',interval:auto,query:(query_string:(analyze_wildcard:!t,query:'%22rtdc.l.rtdc.4015%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22" customFormat="1" x14ac:dyDescent="0.25">
      <c r="A226" s="228" t="s">
        <v>696</v>
      </c>
      <c r="B226" s="224">
        <v>4017</v>
      </c>
      <c r="C226" s="226" t="s">
        <v>192</v>
      </c>
      <c r="D226" s="226" t="s">
        <v>1049</v>
      </c>
      <c r="E226" s="225">
        <v>43097.975810185184</v>
      </c>
      <c r="F226" s="225">
        <v>43097.977268518516</v>
      </c>
      <c r="G226" s="224">
        <v>62</v>
      </c>
      <c r="H226" s="226" t="s">
        <v>1069</v>
      </c>
      <c r="I226" s="225">
        <v>43097.984953703701</v>
      </c>
      <c r="J226" s="224">
        <v>0</v>
      </c>
      <c r="K226" s="236" t="str">
        <f t="shared" si="96"/>
        <v>4017/4018</v>
      </c>
      <c r="L226" s="244" t="str">
        <f>VLOOKUP(A226,'Trips&amp;Operators'!$C$1:$G$99911,5,FALSE)</f>
        <v>RESPASS AARON</v>
      </c>
      <c r="M226" s="223">
        <f t="shared" si="97"/>
        <v>7.6851851845276542E-3</v>
      </c>
      <c r="N226" s="224">
        <f t="shared" si="110"/>
        <v>11.066666665719822</v>
      </c>
      <c r="O226" s="224"/>
      <c r="P226" s="224"/>
      <c r="Q226" s="227"/>
      <c r="R226" s="241"/>
      <c r="S226" s="248">
        <f t="shared" si="95"/>
        <v>0</v>
      </c>
      <c r="T226" s="241" t="str">
        <f t="shared" si="98"/>
        <v>Southbound</v>
      </c>
      <c r="U226" s="24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7" t="str">
        <f t="shared" si="99"/>
        <v>https://d0f6bd738d7f1b3e5a7ca70fe4ff75f0.us-east-1.aws.found.io/app/kibana#/discover/Steve-Slow-Train-Analysis-(2080s-and-2083s)?_g=(refreshInterval:(display:Off,pause:!f,section:0,value:0),time:(from:'2017-12-28T22:25:10-0700',mode:absolute,to:'2017-12-29T00:38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6" s="246" t="str">
        <f>IF(AA226&lt;VLOOKUP(AG226,Variables!$AC$3:$AD$8,2,FALSE),"Y","N")</f>
        <v>Y</v>
      </c>
      <c r="X226" s="246">
        <f t="shared" si="94"/>
        <v>2</v>
      </c>
      <c r="Y226" s="246">
        <f t="shared" si="92"/>
        <v>5.8628</v>
      </c>
      <c r="Z226" s="246">
        <f t="shared" si="93"/>
        <v>2.8761000000000001</v>
      </c>
      <c r="AA226" s="246">
        <f t="shared" si="100"/>
        <v>2.9866999999999999</v>
      </c>
      <c r="AB226" s="232" t="e">
        <f>VLOOKUP(A226,Enforcements!$C$7:$K$9,8,0)</f>
        <v>#N/A</v>
      </c>
      <c r="AC226" s="231" t="e">
        <f>VLOOKUP(A226,Enforcements!$C$7:$E$9,3,0)</f>
        <v>#N/A</v>
      </c>
      <c r="AD226" s="242">
        <f t="shared" si="101"/>
        <v>908</v>
      </c>
      <c r="AE226" s="234" t="str">
        <f t="shared" si="102"/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AF226" s="233" t="str">
        <f t="shared" si="103"/>
        <v>"C:\Program Files (x86)\AstroGrep\AstroGrep.exe" /e /r /s /spath="%USERPROFILE%\AppData\Local\Temp\OnboardLogs" /stypes="app*4017*201712290*" /stext=" 06:.+?(?&gt;(PRM\|1\|D)|(KPR)|(KDP)|(train st[a-z]+ moving)|(SYSTEM_STATE:s[a-z]+ state changed)|(Enforcement Action)|(\[TIMEOUT)|(parse_ebi_status: Penalty)|(\|GPPS))"</v>
      </c>
      <c r="AG226" s="243" t="str">
        <f t="shared" si="104"/>
        <v>Other</v>
      </c>
      <c r="AH226" s="235" t="str">
        <f t="shared" si="105"/>
        <v>"%USERPROFILE%\Documents\GitHub\eaglep3\Utilities\RefineRTDCRunTimes.py" --tripid 908-28 --locoid 4017 --swversion DE.1.0.9.0 --startMP 300:58628 --initTime 2017-12-28T23:25:10 --startdatetime 2017-12-28T23:27:16 --delay 62 --endMP 300:28761 --enddatetime 2017-12-28T23:38:20 --enforcementcount 0 &gt;&gt;%USERPROFILE%\Documents\GitHub\eaglep3-reporting\EC\2017-12-28-refined-times.txt</v>
      </c>
      <c r="AI226" s="237" t="str">
        <f t="shared" si="106"/>
        <v>echo {"issue":{"subject":"","project_id":79,"tracker_id":40,"status_id":1,"priority_id":2,"assigned_to_id":338,"start_date":"2017-12-28","description":"","custom_fields":[{"id":1,"name":"Subdivision","value":"Other"},{"id":4,"name":"Milepost","value":"2.8761"},{"id":17,"name":"Train ID","value":"908-28"},{"id":16,"name":"Locomotive ID","value":"4017"},{"id":130,"name":"Impact","value":""},{"id":150,"name":"Time of Event (Mountain Time)","value":"23:38:20"},{"id":151,"name":"Denver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230"/>
      <c r="AL226" s="230"/>
      <c r="AM226" s="239" t="str">
        <f t="shared" si="107"/>
        <v>start /low /b %USERPROFILE%\Documents\GitHub\eaglep3\Utilities\DownloadLogsFromS3.py --loco 4017 --day 2017-12-28</v>
      </c>
      <c r="AN226" s="240" t="str">
        <f t="shared" si="108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06:38:20"},{"id":29,"name":"Sharepoint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29" t="str">
        <f t="shared" si="109"/>
        <v>https://d0f6bd738d7f1b3e5a7ca70fe4ff75f0.us-east-1.aws.found.io/app/kibana#/discover/Steve-Slow-Train-Analysis-(2080s-and-2083s)?_g=(refreshInterval:(display:Off,pause:!f,section:0,value:0),time:(from:'2017-12-28T22:25:10-0700',mode:absolute,to:'2017-12-29T00:38:20-0700'))&amp;_a=(columns:!('Message%20ID',Summary),filters:!(),index:'emp_*',interval:auto,query:(query_string:(analyze_wildcard:!t,query:'%22rtdc.l.rtdc.4017%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2" customFormat="1" x14ac:dyDescent="0.25">
      <c r="A227" s="228" t="s">
        <v>912</v>
      </c>
      <c r="B227" s="224">
        <v>4022</v>
      </c>
      <c r="C227" s="226" t="s">
        <v>192</v>
      </c>
      <c r="D227" s="226" t="s">
        <v>1015</v>
      </c>
      <c r="E227" s="225">
        <v>43098.097280092596</v>
      </c>
      <c r="F227" s="225">
        <v>43098.105243055557</v>
      </c>
      <c r="G227" s="224">
        <v>49</v>
      </c>
      <c r="H227" s="226" t="s">
        <v>1016</v>
      </c>
      <c r="I227" s="225">
        <v>43098.110023148147</v>
      </c>
      <c r="J227" s="224">
        <v>0</v>
      </c>
      <c r="K227" s="236" t="str">
        <f t="shared" si="96"/>
        <v>4021/4022</v>
      </c>
      <c r="L227" s="244" t="str">
        <f>VLOOKUP(A227,'Trips&amp;Operators'!$C$1:$G$99911,5,FALSE)</f>
        <v>CHANDLER KELVIN</v>
      </c>
      <c r="M227" s="223">
        <f t="shared" si="97"/>
        <v>4.7800925894989632E-3</v>
      </c>
      <c r="N227" s="224">
        <f t="shared" si="110"/>
        <v>6.883333328878507</v>
      </c>
      <c r="O227" s="224"/>
      <c r="P227" s="224"/>
      <c r="Q227" s="227"/>
      <c r="R227" s="241"/>
      <c r="S227" s="248">
        <f t="shared" si="95"/>
        <v>0</v>
      </c>
      <c r="T227" s="241" t="str">
        <f t="shared" si="98"/>
        <v>NorthBound</v>
      </c>
      <c r="U227" s="24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7" t="str">
        <f t="shared" si="99"/>
        <v>https://d0f6bd738d7f1b3e5a7ca70fe4ff75f0.us-east-1.aws.found.io/app/kibana#/discover/Steve-Slow-Train-Analysis-(2080s-and-2083s)?_g=(refreshInterval:(display:Off,pause:!f,section:0,value:0),time:(from:'2017-12-29T01:20:05-0700',mode:absolute,to:'2017-12-29T03:38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7" s="246" t="str">
        <f>IF(AA227&lt;VLOOKUP(AG227,Variables!$AC$3:$AD$8,2,FALSE),"Y","N")</f>
        <v>Y</v>
      </c>
      <c r="X227" s="246">
        <f t="shared" si="94"/>
        <v>-853</v>
      </c>
      <c r="Y227" s="246">
        <f t="shared" si="92"/>
        <v>3.0823999999999998</v>
      </c>
      <c r="Z227" s="246">
        <f t="shared" si="93"/>
        <v>5.484</v>
      </c>
      <c r="AA227" s="246">
        <f t="shared" si="100"/>
        <v>2.4016000000000002</v>
      </c>
      <c r="AB227" s="232" t="e">
        <f>VLOOKUP(A227,Enforcements!$C$7:$K$9,8,0)</f>
        <v>#N/A</v>
      </c>
      <c r="AC227" s="231" t="e">
        <f>VLOOKUP(A227,Enforcements!$C$7:$E$9,3,0)</f>
        <v>#N/A</v>
      </c>
      <c r="AD227" s="242">
        <f t="shared" si="101"/>
        <v>55</v>
      </c>
      <c r="AE227" s="234" t="str">
        <f t="shared" si="102"/>
        <v>aws s3 cp s3://rtdc.mdm.uploadarchive.raw/RTDC4022/ "%USERPROFILE%\AppData\Local\Temp\OnboardLogs"\RTDC4022\2017-12-29 --exclude "*" --recursive --include "*20171229*" &amp; "%USERPROFILE%\Documents\GitHub\mrs-test-scripts\Headless Mode &amp; Sideloading\WalkAndUnGZ.bat" "%USERPROFILE%\AppData\Local\Temp\OnboardLogs"\RTDC4022\2017-12-29 &amp; aws s3 cp s3://rtdc.mdm.uploadarchive.raw/RTDC4022/ "%USERPROFILE%\AppData\Local\Temp\OnboardLogs"\RTDC4022\2017-12-30 --exclude "*" --recursive --include "*20171230*" &amp; "%USERPROFILE%\Documents\GitHub\mrs-test-scripts\Headless Mode &amp; Sideloading\WalkAndUnGZ.bat" "%USERPROFILE%\AppData\Local\Temp\OnboardLogs"\RTDC4022\2017-12-30</v>
      </c>
      <c r="AF227" s="233" t="str">
        <f t="shared" si="103"/>
        <v>"C:\Program Files (x86)\AstroGrep\AstroGrep.exe" /e /r /s /spath="%USERPROFILE%\AppData\Local\Temp\OnboardLogs" /stypes="app*4022*201712290*" /stext=" 09:.+?(?&gt;(PRM\|1\|D)|(KPR)|(KDP)|(train st[a-z]+ moving)|(SYSTEM_STATE:s[a-z]+ state changed)|(Enforcement Action)|(\[TIMEOUT)|(parse_ebi_status: Penalty)|(\|GPPS))"</v>
      </c>
      <c r="AG227" s="243" t="str">
        <f t="shared" si="104"/>
        <v>Shuttle/Test</v>
      </c>
      <c r="AH227" s="235" t="str">
        <f t="shared" si="105"/>
        <v>"%USERPROFILE%\Documents\GitHub\eaglep3\Utilities\RefineRTDCRunTimes.py" --tripid 55-29 --locoid 4022 --swversion DE.1.0.9.0 --startMP 300:30824 --initTime 2017-12-29T02:20:05 --startdatetime 2017-12-29T02:31:33 --delay 49 --endMP 300:54840 --enddatetime 2017-12-29T02:38:26 --enforcementcount 0 &gt;&gt;%USERPROFILE%\Documents\GitHub\eaglep3-reporting\EC\2017-12-28-refined-times.txt</v>
      </c>
      <c r="AI227" s="237" t="str">
        <f t="shared" si="106"/>
        <v>echo {"issue":{"subject":"","project_id":79,"tracker_id":40,"status_id":1,"priority_id":2,"assigned_to_id":338,"start_date":"2017-12-29","description":"","custom_fields":[{"id":1,"name":"Subdivision","value":"Shuttle/Test"},{"id":4,"name":"Milepost","value":"5.484"},{"id":17,"name":"Train ID","value":"55-29"},{"id":16,"name":"Locomotive ID","value":"4022"},{"id":130,"name":"Impact","value":""},{"id":150,"name":"Time of Event (Mountain Time)","value":"02:38:26"},{"id":151,"name":"Denver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230"/>
      <c r="AL227" s="230"/>
      <c r="AM227" s="239" t="str">
        <f t="shared" si="107"/>
        <v>start /low /b %USERPROFILE%\Documents\GitHub\eaglep3\Utilities\DownloadLogsFromS3.py --loco 4022 --day 2017-12-29</v>
      </c>
      <c r="AN227" s="240" t="str">
        <f t="shared" si="108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09:38:26"},{"id":29,"name":"Sharepoint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29" t="str">
        <f t="shared" si="109"/>
        <v>https://d0f6bd738d7f1b3e5a7ca70fe4ff75f0.us-east-1.aws.found.io/app/kibana#/discover/Steve-Slow-Train-Analysis-(2080s-and-2083s)?_g=(refreshInterval:(display:Off,pause:!f,section:0,value:0),time:(from:'2017-12-29T01:20:05-0700',mode:absolute,to:'2017-12-29T03:38:26-0700'))&amp;_a=(columns:!('Message%20ID',Summary),filters:!(),index:'emp_*',interval:auto,query:(query_string:(analyze_wildcard:!t,query:'%22rtdc.l.rtdc.4022%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2" customFormat="1" x14ac:dyDescent="0.25">
      <c r="A228" s="228" t="s">
        <v>833</v>
      </c>
      <c r="B228" s="224">
        <v>4050</v>
      </c>
      <c r="C228" s="226" t="s">
        <v>192</v>
      </c>
      <c r="D228" s="226" t="s">
        <v>1017</v>
      </c>
      <c r="E228" s="225">
        <v>43097.669398148151</v>
      </c>
      <c r="F228" s="225">
        <v>43097.671863425923</v>
      </c>
      <c r="G228" s="224">
        <v>62</v>
      </c>
      <c r="H228" s="226" t="s">
        <v>528</v>
      </c>
      <c r="I228" s="225">
        <v>43097.67931712963</v>
      </c>
      <c r="J228" s="224">
        <v>0</v>
      </c>
      <c r="K228" s="236" t="str">
        <f t="shared" si="96"/>
        <v>4049/4050</v>
      </c>
      <c r="L228" s="244" t="str">
        <f>VLOOKUP(A228,'Trips&amp;Operators'!$C$1:$G$99911,5,FALSE)</f>
        <v>STRICKLAND EVAN</v>
      </c>
      <c r="M228" s="223">
        <f t="shared" si="97"/>
        <v>7.4537037071422674E-3</v>
      </c>
      <c r="N228" s="224">
        <f t="shared" si="110"/>
        <v>10.733333338284865</v>
      </c>
      <c r="O228" s="224"/>
      <c r="P228" s="224"/>
      <c r="Q228" s="227"/>
      <c r="R228" s="241"/>
      <c r="S228" s="248">
        <f t="shared" si="95"/>
        <v>1</v>
      </c>
      <c r="T228" s="241" t="str">
        <f t="shared" si="98"/>
        <v>NorthBound</v>
      </c>
      <c r="U228" s="24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47" t="str">
        <f t="shared" si="99"/>
        <v>https://d0f6bd738d7f1b3e5a7ca70fe4ff75f0.us-east-1.aws.found.io/app/kibana#/discover/Steve-Slow-Train-Analysis-(2080s-and-2083s)?_g=(refreshInterval:(display:Off,pause:!f,section:0,value:0),time:(from:'2017-12-28T15:03:56-0700',mode:absolute,to:'2017-12-28T17:18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8" s="246" t="str">
        <f>IF(AA228&lt;VLOOKUP(AG228,Variables!$AC$3:$AD$8,2,FALSE),"Y","N")</f>
        <v>Y</v>
      </c>
      <c r="X228" s="246">
        <f t="shared" si="94"/>
        <v>20</v>
      </c>
      <c r="Y228" s="246">
        <f t="shared" si="92"/>
        <v>0.15049999999999999</v>
      </c>
      <c r="Z228" s="246">
        <f t="shared" si="93"/>
        <v>2.3306</v>
      </c>
      <c r="AA228" s="246">
        <f t="shared" si="100"/>
        <v>2.1800999999999999</v>
      </c>
      <c r="AB228" s="232" t="e">
        <f>VLOOKUP(A228,Enforcements!$C$7:$K$9,8,0)</f>
        <v>#N/A</v>
      </c>
      <c r="AC228" s="231" t="e">
        <f>VLOOKUP(A228,Enforcements!$C$7:$E$9,3,0)</f>
        <v>#N/A</v>
      </c>
      <c r="AD228" s="242">
        <f t="shared" si="101"/>
        <v>75</v>
      </c>
      <c r="AE228" s="234" t="str">
        <f t="shared" si="102"/>
        <v>aws s3 cp s3://rtdc.mdm.uploadarchive.raw/RTDC4050/ "%USERPROFILE%\AppData\Local\Temp\OnboardLogs"\RTDC4050\2017-12-28 --exclude "*" --recursive --include "*20171228*" &amp; "%USERPROFILE%\Documents\GitHub\mrs-test-scripts\Headless Mode &amp; Sideloading\WalkAndUnGZ.bat" "%USERPROFILE%\AppData\Local\Temp\OnboardLogs"\RTDC4050\2017-12-28 &amp; aws s3 cp s3://rtdc.mdm.uploadarchive.raw/RTDC4050/ "%USERPROFILE%\AppData\Local\Temp\OnboardLogs"\RTDC4050\2017-12-29 --exclude "*" --recursive --include "*20171229*" &amp; "%USERPROFILE%\Documents\GitHub\mrs-test-scripts\Headless Mode &amp; Sideloading\WalkAndUnGZ.bat" "%USERPROFILE%\AppData\Local\Temp\OnboardLogs"\RTDC4050\2017-12-29</v>
      </c>
      <c r="AF228" s="233" t="str">
        <f t="shared" si="103"/>
        <v>"C:\Program Files (x86)\AstroGrep\AstroGrep.exe" /e /r /s /spath="%USERPROFILE%\AppData\Local\Temp\OnboardLogs" /stypes="app*4050*201712282*" /stext=" 23:.+?(?&gt;(PRM\|1\|D)|(KPR)|(KDP)|(train st[a-z]+ moving)|(SYSTEM_STATE:s[a-z]+ state changed)|(Enforcement Action)|(\[TIMEOUT)|(parse_ebi_status: Penalty)|(\|GPPS))"</v>
      </c>
      <c r="AG228" s="243" t="str">
        <f t="shared" si="104"/>
        <v>Shuttle/Test</v>
      </c>
      <c r="AH228" s="235" t="str">
        <f t="shared" si="105"/>
        <v>"%USERPROFILE%\Documents\GitHub\eaglep3\Utilities\RefineRTDCRunTimes.py" --tripid 75-28 --locoid 4050 --swversion DE.1.0.9.0 --startMP 204:1505 --initTime 2017-12-28T16:03:56 --startdatetime 2017-12-28T16:07:29 --delay 62 --endMP 300:23306 --enddatetime 2017-12-28T16:18:13 --enforcementcount 0 &gt;&gt;%USERPROFILE%\Documents\GitHub\eaglep3-reporting\EC\2017-12-28-refined-times.txt</v>
      </c>
      <c r="AI228" s="237" t="str">
        <f t="shared" si="106"/>
        <v>echo {"issue":{"subject":"","project_id":79,"tracker_id":40,"status_id":1,"priority_id":2,"assigned_to_id":338,"start_date":"2017-12-28","description":"","custom_fields":[{"id":1,"name":"Subdivision","value":"Shuttle/Test"},{"id":4,"name":"Milepost","value":"2.3306"},{"id":17,"name":"Train ID","value":"75-28"},{"id":16,"name":"Locomotive ID","value":"4050"},{"id":130,"name":"Impact","value":""},{"id":150,"name":"Time of Event (Mountain Time)","value":"16:18:13"},{"id":151,"name":"Denver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230"/>
      <c r="AL228" s="230"/>
      <c r="AM228" s="239" t="str">
        <f t="shared" si="107"/>
        <v>start /low /b %USERPROFILE%\Documents\GitHub\eaglep3\Utilities\DownloadLogsFromS3.py --loco 4050 --day 2017-12-28</v>
      </c>
      <c r="AN228" s="240" t="str">
        <f t="shared" si="108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23:18:13"},{"id":29,"name":"Sharepoint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29" t="str">
        <f t="shared" si="109"/>
        <v>https://d0f6bd738d7f1b3e5a7ca70fe4ff75f0.us-east-1.aws.found.io/app/kibana#/discover/Steve-Slow-Train-Analysis-(2080s-and-2083s)?_g=(refreshInterval:(display:Off,pause:!f,section:0,value:0),time:(from:'2017-12-28T15:03:56-0700',mode:absolute,to:'2017-12-28T17:18:13-0700'))&amp;_a=(columns:!('Message%20ID',Summary),filters:!(),index:'emp_*',interval:auto,query:(query_string:(analyze_wildcard:!t,query:'%22rtdc.l.rtdc.4050%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22" customFormat="1" x14ac:dyDescent="0.25">
      <c r="A229" s="228" t="s">
        <v>846</v>
      </c>
      <c r="B229" s="224">
        <v>4022</v>
      </c>
      <c r="C229" s="226" t="s">
        <v>192</v>
      </c>
      <c r="D229" s="226" t="s">
        <v>1018</v>
      </c>
      <c r="E229" s="225">
        <v>43097.685590277775</v>
      </c>
      <c r="F229" s="225">
        <v>43097.713263888887</v>
      </c>
      <c r="G229" s="224">
        <v>1919</v>
      </c>
      <c r="H229" s="226" t="s">
        <v>660</v>
      </c>
      <c r="I229" s="225">
        <v>43097.718981481485</v>
      </c>
      <c r="J229" s="224">
        <v>0</v>
      </c>
      <c r="K229" s="236" t="str">
        <f t="shared" si="96"/>
        <v>4021/4022</v>
      </c>
      <c r="L229" s="244" t="str">
        <f>VLOOKUP(A229,'Trips&amp;Operators'!$C$1:$G$99911,5,FALSE)</f>
        <v>NEWELL JAMES</v>
      </c>
      <c r="M229" s="223">
        <f t="shared" si="97"/>
        <v>5.7175925976480357E-3</v>
      </c>
      <c r="N229" s="224">
        <f t="shared" si="110"/>
        <v>8.2333333406131715</v>
      </c>
      <c r="O229" s="224"/>
      <c r="P229" s="224"/>
      <c r="Q229" s="227"/>
      <c r="R229" s="241"/>
      <c r="S229" s="248">
        <f t="shared" si="95"/>
        <v>1</v>
      </c>
      <c r="T229" s="241" t="str">
        <f t="shared" si="98"/>
        <v>NorthBound</v>
      </c>
      <c r="U229" s="24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47" t="str">
        <f t="shared" si="99"/>
        <v>https://d0f6bd738d7f1b3e5a7ca70fe4ff75f0.us-east-1.aws.found.io/app/kibana#/discover/Steve-Slow-Train-Analysis-(2080s-and-2083s)?_g=(refreshInterval:(display:Off,pause:!f,section:0,value:0),time:(from:'2017-12-28T15:27:15-0700',mode:absolute,to:'2017-12-28T18:15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9" s="246" t="str">
        <f>IF(AA229&lt;VLOOKUP(AG229,Variables!$AC$3:$AD$8,2,FALSE),"Y","N")</f>
        <v>Y</v>
      </c>
      <c r="X229" s="246">
        <f t="shared" si="94"/>
        <v>2</v>
      </c>
      <c r="Y229" s="246">
        <f t="shared" si="92"/>
        <v>0.1164</v>
      </c>
      <c r="Z229" s="246">
        <f t="shared" si="93"/>
        <v>2.3298999999999999</v>
      </c>
      <c r="AA229" s="246">
        <f t="shared" si="100"/>
        <v>2.2134999999999998</v>
      </c>
      <c r="AB229" s="232" t="e">
        <f>VLOOKUP(A229,Enforcements!$C$7:$K$9,8,0)</f>
        <v>#N/A</v>
      </c>
      <c r="AC229" s="231" t="e">
        <f>VLOOKUP(A229,Enforcements!$C$7:$E$9,3,0)</f>
        <v>#N/A</v>
      </c>
      <c r="AD229" s="242">
        <f t="shared" si="101"/>
        <v>77</v>
      </c>
      <c r="AE229" s="234" t="str">
        <f t="shared" si="102"/>
        <v>aws s3 cp s3://rtdc.mdm.uploadarchive.raw/RTDC4022/ "%USERPROFILE%\AppData\Local\Temp\OnboardLogs"\RTDC4022\2017-12-28 --exclude "*" --recursive --include "*20171228*" &amp; "%USERPROFILE%\Documents\GitHub\mrs-test-scripts\Headless Mode &amp; Sideloading\WalkAndUnGZ.bat" "%USERPROFILE%\AppData\Local\Temp\OnboardLogs"\RTDC4022\2017-12-28 &amp; aws s3 cp s3://rtdc.mdm.uploadarchive.raw/RTDC4022/ "%USERPROFILE%\AppData\Local\Temp\OnboardLogs"\RTDC4022\2017-12-29 --exclude "*" --recursive --include "*20171229*" &amp; "%USERPROFILE%\Documents\GitHub\mrs-test-scripts\Headless Mode &amp; Sideloading\WalkAndUnGZ.bat" "%USERPROFILE%\AppData\Local\Temp\OnboardLogs"\RTDC4022\2017-12-29</v>
      </c>
      <c r="AF229" s="233" t="str">
        <f t="shared" si="103"/>
        <v>"C:\Program Files (x86)\AstroGrep\AstroGrep.exe" /e /r /s /spath="%USERPROFILE%\AppData\Local\Temp\OnboardLogs" /stypes="app*4022*201712290*" /stext=" 00:.+?(?&gt;(PRM\|1\|D)|(KPR)|(KDP)|(train st[a-z]+ moving)|(SYSTEM_STATE:s[a-z]+ state changed)|(Enforcement Action)|(\[TIMEOUT)|(parse_ebi_status: Penalty)|(\|GPPS))"</v>
      </c>
      <c r="AG229" s="243" t="str">
        <f t="shared" si="104"/>
        <v>Shuttle/Test</v>
      </c>
      <c r="AH229" s="235" t="str">
        <f t="shared" si="105"/>
        <v>"%USERPROFILE%\Documents\GitHub\eaglep3\Utilities\RefineRTDCRunTimes.py" --tripid 77-28 --locoid 4022 --swversion DE.1.0.9.0 --startMP 204:1164 --initTime 2017-12-28T16:27:15 --startdatetime 2017-12-28T17:07:06 --delay 1919 --endMP 300:23299 --enddatetime 2017-12-28T17:15:20 --enforcementcount 0 &gt;&gt;%USERPROFILE%\Documents\GitHub\eaglep3-reporting\EC\2017-12-28-refined-times.txt</v>
      </c>
      <c r="AI229" s="237" t="str">
        <f t="shared" si="106"/>
        <v>echo {"issue":{"subject":"","project_id":79,"tracker_id":40,"status_id":1,"priority_id":2,"assigned_to_id":338,"start_date":"2017-12-28","description":"","custom_fields":[{"id":1,"name":"Subdivision","value":"Shuttle/Test"},{"id":4,"name":"Milepost","value":"2.3299"},{"id":17,"name":"Train ID","value":"77-28"},{"id":16,"name":"Locomotive ID","value":"4022"},{"id":130,"name":"Impact","value":""},{"id":150,"name":"Time of Event (Mountain Time)","value":"17:15:20"},{"id":151,"name":"Denver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230"/>
      <c r="AL229" s="230"/>
      <c r="AM229" s="239" t="str">
        <f t="shared" si="107"/>
        <v>start /low /b %USERPROFILE%\Documents\GitHub\eaglep3\Utilities\DownloadLogsFromS3.py --loco 4022 --day 2017-12-28</v>
      </c>
      <c r="AN229" s="240" t="str">
        <f t="shared" si="108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00:15:20"},{"id":29,"name":"Sharepoint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29" t="str">
        <f t="shared" si="109"/>
        <v>https://d0f6bd738d7f1b3e5a7ca70fe4ff75f0.us-east-1.aws.found.io/app/kibana#/discover/Steve-Slow-Train-Analysis-(2080s-and-2083s)?_g=(refreshInterval:(display:Off,pause:!f,section:0,value:0),time:(from:'2017-12-28T15:27:15-0700',mode:absolute,to:'2017-12-28T18:15:20-0700'))&amp;_a=(columns:!('Message%20ID',Summary),filters:!(),index:'emp_*',interval:auto,query:(query_string:(analyze_wildcard:!t,query:'%22rtdc.l.rtdc.4022%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2" customFormat="1" x14ac:dyDescent="0.25">
      <c r="A230" s="228" t="s">
        <v>697</v>
      </c>
      <c r="B230" s="224">
        <v>4050</v>
      </c>
      <c r="C230" s="226" t="s">
        <v>192</v>
      </c>
      <c r="D230" s="226" t="s">
        <v>941</v>
      </c>
      <c r="E230" s="225">
        <v>43097.123148148145</v>
      </c>
      <c r="F230" s="225">
        <v>43097.137835648151</v>
      </c>
      <c r="G230" s="224">
        <v>73</v>
      </c>
      <c r="H230" s="226" t="s">
        <v>1060</v>
      </c>
      <c r="I230" s="225">
        <v>43097.139004629629</v>
      </c>
      <c r="J230" s="224">
        <v>0</v>
      </c>
      <c r="K230" s="236" t="str">
        <f t="shared" si="96"/>
        <v>4049/4050</v>
      </c>
      <c r="L230" s="244" t="str">
        <f>VLOOKUP(A230,'Trips&amp;Operators'!$C$1:$G$99911,5,FALSE)</f>
        <v>SPECTOR MICHAEL</v>
      </c>
      <c r="M230" s="223">
        <f t="shared" si="97"/>
        <v>1.1689814782585017E-3</v>
      </c>
      <c r="N230" s="224">
        <f t="shared" si="110"/>
        <v>1.6833333286922425</v>
      </c>
      <c r="O230" s="224"/>
      <c r="P230" s="224"/>
      <c r="Q230" s="227"/>
      <c r="R230" s="241"/>
      <c r="S230" s="248">
        <f t="shared" si="95"/>
        <v>0</v>
      </c>
      <c r="T230" s="241" t="str">
        <f t="shared" si="98"/>
        <v>NorthBound</v>
      </c>
      <c r="U230" s="24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7" t="str">
        <f t="shared" si="99"/>
        <v>https://d0f6bd738d7f1b3e5a7ca70fe4ff75f0.us-east-1.aws.found.io/app/kibana#/discover/Steve-Slow-Train-Analysis-(2080s-and-2083s)?_g=(refreshInterval:(display:Off,pause:!f,section:0,value:0),time:(from:'2017-12-28T01:57:20-0700',mode:absolute,to:'2017-12-28T04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0" s="246" t="str">
        <f>IF(AA230&lt;VLOOKUP(AG230,Variables!$AC$3:$AD$8,2,FALSE),"Y","N")</f>
        <v>Y</v>
      </c>
      <c r="X230" s="246">
        <f t="shared" si="94"/>
        <v>8</v>
      </c>
      <c r="Y230" s="246">
        <f t="shared" si="92"/>
        <v>4.3799999999999999E-2</v>
      </c>
      <c r="Z230" s="246">
        <f t="shared" si="93"/>
        <v>0.35639999999999999</v>
      </c>
      <c r="AA230" s="246">
        <f t="shared" si="100"/>
        <v>0.31259999999999999</v>
      </c>
      <c r="AB230" s="232" t="e">
        <f>VLOOKUP(A230,Enforcements!$C$7:$K$9,8,0)</f>
        <v>#N/A</v>
      </c>
      <c r="AC230" s="231" t="e">
        <f>VLOOKUP(A230,Enforcements!$C$7:$E$9,3,0)</f>
        <v>#N/A</v>
      </c>
      <c r="AD230" s="242">
        <f t="shared" si="101"/>
        <v>85</v>
      </c>
      <c r="AE230" s="234" t="str">
        <f t="shared" si="102"/>
        <v>aws s3 cp s3://rtdc.mdm.uploadarchive.raw/RTDC4050/ "%USERPROFILE%\AppData\Local\Temp\OnboardLogs"\RTDC4050\2017-12-28 --exclude "*" --recursive --include "*20171228*" &amp; "%USERPROFILE%\Documents\GitHub\mrs-test-scripts\Headless Mode &amp; Sideloading\WalkAndUnGZ.bat" "%USERPROFILE%\AppData\Local\Temp\OnboardLogs"\RTDC4050\2017-12-28 &amp; aws s3 cp s3://rtdc.mdm.uploadarchive.raw/RTDC4050/ "%USERPROFILE%\AppData\Local\Temp\OnboardLogs"\RTDC4050\2017-12-29 --exclude "*" --recursive --include "*20171229*" &amp; "%USERPROFILE%\Documents\GitHub\mrs-test-scripts\Headless Mode &amp; Sideloading\WalkAndUnGZ.bat" "%USERPROFILE%\AppData\Local\Temp\OnboardLogs"\RTDC4050\2017-12-29</v>
      </c>
      <c r="AF230" s="233" t="str">
        <f t="shared" si="103"/>
        <v>"C:\Program Files (x86)\AstroGrep\AstroGrep.exe" /e /r /s /spath="%USERPROFILE%\AppData\Local\Temp\OnboardLogs" /stypes="app*4050*201712281*" /stext=" 10:.+?(?&gt;(PRM\|1\|D)|(KPR)|(KDP)|(train st[a-z]+ moving)|(SYSTEM_STATE:s[a-z]+ state changed)|(Enforcement Action)|(\[TIMEOUT)|(parse_ebi_status: Penalty)|(\|GPPS))"</v>
      </c>
      <c r="AG230" s="243" t="str">
        <f t="shared" si="104"/>
        <v>Shuttle/Test</v>
      </c>
      <c r="AH230" s="235" t="str">
        <f t="shared" si="105"/>
        <v>"%USERPROFILE%\Documents\GitHub\eaglep3\Utilities\RefineRTDCRunTimes.py" --tripid 85-28 --locoid 4050 --swversion DE.1.0.9.0 --startMP 204:438 --initTime 2017-12-28T02:57:20 --startdatetime 2017-12-28T03:18:29 --delay 73 --endMP 204:3564 --enddatetime 2017-12-28T03:20:10 --enforcementcount 0 &gt;&gt;%USERPROFILE%\Documents\GitHub\eaglep3-reporting\EC\2017-12-28-refined-times.txt</v>
      </c>
      <c r="AI230" s="237" t="str">
        <f t="shared" si="106"/>
        <v>echo {"issue":{"subject":"","project_id":79,"tracker_id":40,"status_id":1,"priority_id":2,"assigned_to_id":338,"start_date":"2017-12-28","description":"","custom_fields":[{"id":1,"name":"Subdivision","value":"Shuttle/Test"},{"id":4,"name":"Milepost","value":"0.3564"},{"id":17,"name":"Train ID","value":"85-28"},{"id":16,"name":"Locomotive ID","value":"4050"},{"id":130,"name":"Impact","value":""},{"id":150,"name":"Time of Event (Mountain Time)","value":"03:20:10"},{"id":151,"name":"Denver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230"/>
      <c r="AL230" s="230"/>
      <c r="AM230" s="239" t="str">
        <f t="shared" si="107"/>
        <v>start /low /b %USERPROFILE%\Documents\GitHub\eaglep3\Utilities\DownloadLogsFromS3.py --loco 4050 --day 2017-12-28</v>
      </c>
      <c r="AN230" s="240" t="str">
        <f t="shared" si="108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10:20:10"},{"id":29,"name":"Sharepoint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29" t="str">
        <f t="shared" si="109"/>
        <v>https://d0f6bd738d7f1b3e5a7ca70fe4ff75f0.us-east-1.aws.found.io/app/kibana#/discover/Steve-Slow-Train-Analysis-(2080s-and-2083s)?_g=(refreshInterval:(display:Off,pause:!f,section:0,value:0),time:(from:'2017-12-28T01:57:20-0700',mode:absolute,to:'2017-12-28T04:20:10-0700'))&amp;_a=(columns:!('Message%20ID',Summary),filters:!(),index:'emp_*',interval:auto,query:(query_string:(analyze_wildcard:!t,query:'%22rtdc.l.rtdc.4050%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22" customFormat="1" x14ac:dyDescent="0.25">
      <c r="A231" s="228" t="s">
        <v>699</v>
      </c>
      <c r="B231" s="224">
        <v>4049</v>
      </c>
      <c r="C231" s="226" t="s">
        <v>192</v>
      </c>
      <c r="D231" s="226" t="s">
        <v>1061</v>
      </c>
      <c r="E231" s="225">
        <v>43097.140057870369</v>
      </c>
      <c r="F231" s="225">
        <v>43097.141504629632</v>
      </c>
      <c r="G231" s="224">
        <v>68</v>
      </c>
      <c r="H231" s="226" t="s">
        <v>1062</v>
      </c>
      <c r="I231" s="225">
        <v>43097.142453703702</v>
      </c>
      <c r="J231" s="224">
        <v>0</v>
      </c>
      <c r="K231" s="236" t="str">
        <f t="shared" si="96"/>
        <v>4049/4050</v>
      </c>
      <c r="L231" s="244" t="str">
        <f>VLOOKUP(A231,'Trips&amp;Operators'!$C$1:$G$99911,5,FALSE)</f>
        <v>SPECTOR MICHAEL</v>
      </c>
      <c r="M231" s="223">
        <f t="shared" si="97"/>
        <v>9.4907407037680969E-4</v>
      </c>
      <c r="N231" s="224">
        <f t="shared" si="110"/>
        <v>1.3666666613426059</v>
      </c>
      <c r="O231" s="224"/>
      <c r="P231" s="224"/>
      <c r="Q231" s="227"/>
      <c r="R231" s="241"/>
      <c r="S231" s="248">
        <f t="shared" si="95"/>
        <v>0</v>
      </c>
      <c r="T231" s="241" t="str">
        <f t="shared" si="98"/>
        <v>Southbound</v>
      </c>
      <c r="U231" s="24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7" t="str">
        <f t="shared" si="99"/>
        <v>https://d0f6bd738d7f1b3e5a7ca70fe4ff75f0.us-east-1.aws.found.io/app/kibana#/discover/Steve-Slow-Train-Analysis-(2080s-and-2083s)?_g=(refreshInterval:(display:Off,pause:!f,section:0,value:0),time:(from:'2017-12-28T02:21:41-0700',mode:absolute,to:'2017-12-28T04:25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1" s="246" t="str">
        <f>IF(AA231&lt;VLOOKUP(AG231,Variables!$AC$3:$AD$8,2,FALSE),"Y","N")</f>
        <v>Y</v>
      </c>
      <c r="X231" s="246">
        <f t="shared" si="94"/>
        <v>1</v>
      </c>
      <c r="Y231" s="246">
        <f t="shared" si="92"/>
        <v>0.32490000000000002</v>
      </c>
      <c r="Z231" s="246">
        <f t="shared" si="93"/>
        <v>0.1186</v>
      </c>
      <c r="AA231" s="246">
        <f t="shared" si="100"/>
        <v>0.20630000000000004</v>
      </c>
      <c r="AB231" s="232" t="e">
        <f>VLOOKUP(A231,Enforcements!$C$7:$K$9,8,0)</f>
        <v>#N/A</v>
      </c>
      <c r="AC231" s="231" t="e">
        <f>VLOOKUP(A231,Enforcements!$C$7:$E$9,3,0)</f>
        <v>#N/A</v>
      </c>
      <c r="AD231" s="242">
        <f t="shared" si="101"/>
        <v>86</v>
      </c>
      <c r="AE231" s="234" t="str">
        <f t="shared" si="102"/>
        <v>aws s3 cp s3://rtdc.mdm.uploadarchive.raw/RTDC4049/ "%USERPROFILE%\AppData\Local\Temp\OnboardLogs"\RTDC4049\2017-12-28 --exclude "*" --recursive --include "*20171228*" &amp; "%USERPROFILE%\Documents\GitHub\mrs-test-scripts\Headless Mode &amp; Sideloading\WalkAndUnGZ.bat" "%USERPROFILE%\AppData\Local\Temp\OnboardLogs"\RTDC4049\2017-12-28 &amp; aws s3 cp s3://rtdc.mdm.uploadarchive.raw/RTDC4049/ "%USERPROFILE%\AppData\Local\Temp\OnboardLogs"\RTDC4049\2017-12-29 --exclude "*" --recursive --include "*20171229*" &amp; "%USERPROFILE%\Documents\GitHub\mrs-test-scripts\Headless Mode &amp; Sideloading\WalkAndUnGZ.bat" "%USERPROFILE%\AppData\Local\Temp\OnboardLogs"\RTDC4049\2017-12-29</v>
      </c>
      <c r="AF231" s="233" t="str">
        <f t="shared" si="103"/>
        <v>"C:\Program Files (x86)\AstroGrep\AstroGrep.exe" /e /r /s /spath="%USERPROFILE%\AppData\Local\Temp\OnboardLogs" /stypes="app*4049*201712281*" /stext=" 10:.+?(?&gt;(PRM\|1\|D)|(KPR)|(KDP)|(train st[a-z]+ moving)|(SYSTEM_STATE:s[a-z]+ state changed)|(Enforcement Action)|(\[TIMEOUT)|(parse_ebi_status: Penalty)|(\|GPPS))"</v>
      </c>
      <c r="AG231" s="243" t="str">
        <f t="shared" si="104"/>
        <v>Shuttle/Test</v>
      </c>
      <c r="AH231" s="235" t="str">
        <f t="shared" si="105"/>
        <v>"%USERPROFILE%\Documents\GitHub\eaglep3\Utilities\RefineRTDCRunTimes.py" --tripid 86-28 --locoid 4049 --swversion DE.1.0.9.0 --startMP 204:3249 --initTime 2017-12-28T03:21:41 --startdatetime 2017-12-28T03:23:46 --delay 68 --endMP 204:1186 --enddatetime 2017-12-28T03:25:08 --enforcementcount 0 &gt;&gt;%USERPROFILE%\Documents\GitHub\eaglep3-reporting\EC\2017-12-28-refined-times.txt</v>
      </c>
      <c r="AI231" s="237" t="str">
        <f t="shared" si="106"/>
        <v>echo {"issue":{"subject":"","project_id":79,"tracker_id":40,"status_id":1,"priority_id":2,"assigned_to_id":338,"start_date":"2017-12-28","description":"","custom_fields":[{"id":1,"name":"Subdivision","value":"Shuttle/Test"},{"id":4,"name":"Milepost","value":"0.1186"},{"id":17,"name":"Train ID","value":"86-28"},{"id":16,"name":"Locomotive ID","value":"4049"},{"id":130,"name":"Impact","value":""},{"id":150,"name":"Time of Event (Mountain Time)","value":"03:25:08"},{"id":151,"name":"Denver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230"/>
      <c r="AL231" s="230"/>
      <c r="AM231" s="239" t="str">
        <f t="shared" si="107"/>
        <v>start /low /b %USERPROFILE%\Documents\GitHub\eaglep3\Utilities\DownloadLogsFromS3.py --loco 4049 --day 2017-12-28</v>
      </c>
      <c r="AN231" s="240" t="str">
        <f t="shared" si="108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10:25:08"},{"id":29,"name":"Sharepoint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29" t="str">
        <f t="shared" si="109"/>
        <v>https://d0f6bd738d7f1b3e5a7ca70fe4ff75f0.us-east-1.aws.found.io/app/kibana#/discover/Steve-Slow-Train-Analysis-(2080s-and-2083s)?_g=(refreshInterval:(display:Off,pause:!f,section:0,value:0),time:(from:'2017-12-28T02:21:41-0700',mode:absolute,to:'2017-12-28T04:25:08-0700'))&amp;_a=(columns:!('Message%20ID',Summary),filters:!(),index:'emp_*',interval:auto,query:(query_string:(analyze_wildcard:!t,query:'%22rtdc.l.rtdc.4049%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22" customFormat="1" x14ac:dyDescent="0.25">
      <c r="A232" s="228" t="s">
        <v>855</v>
      </c>
      <c r="B232" s="224">
        <v>4051</v>
      </c>
      <c r="C232" s="226" t="s">
        <v>192</v>
      </c>
      <c r="D232" s="226" t="s">
        <v>1063</v>
      </c>
      <c r="E232" s="225">
        <v>43097.735972222225</v>
      </c>
      <c r="F232" s="225">
        <v>43097.743784722225</v>
      </c>
      <c r="G232" s="224">
        <v>141</v>
      </c>
      <c r="H232" s="226" t="s">
        <v>1064</v>
      </c>
      <c r="I232" s="225">
        <v>43097.75540509259</v>
      </c>
      <c r="J232" s="224">
        <v>0</v>
      </c>
      <c r="K232" s="236" t="str">
        <f t="shared" si="96"/>
        <v>4051/4052</v>
      </c>
      <c r="L232" s="244" t="str">
        <f>VLOOKUP(A232,'Trips&amp;Operators'!$C$1:$G$99911,5,FALSE)</f>
        <v>AUSTIN THOMPSON</v>
      </c>
      <c r="M232" s="223">
        <f t="shared" si="97"/>
        <v>1.1620370365562849E-2</v>
      </c>
      <c r="N232" s="224">
        <f t="shared" si="110"/>
        <v>16.733333326410502</v>
      </c>
      <c r="O232" s="224"/>
      <c r="P232" s="224"/>
      <c r="Q232" s="227"/>
      <c r="R232" s="241"/>
      <c r="S232" s="248">
        <f t="shared" si="95"/>
        <v>1</v>
      </c>
      <c r="T232" s="241" t="str">
        <f t="shared" si="98"/>
        <v>Southbound</v>
      </c>
      <c r="U232" s="24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47" t="str">
        <f t="shared" si="99"/>
        <v>https://d0f6bd738d7f1b3e5a7ca70fe4ff75f0.us-east-1.aws.found.io/app/kibana#/discover/Steve-Slow-Train-Analysis-(2080s-and-2083s)?_g=(refreshInterval:(display:Off,pause:!f,section:0,value:0),time:(from:'2017-12-28T16:39:48-0700',mode:absolute,to:'2017-12-28T19:07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2" s="246" t="str">
        <f>IF(AA232&lt;VLOOKUP(AG232,Variables!$AC$3:$AD$8,2,FALSE),"Y","N")</f>
        <v>Y</v>
      </c>
      <c r="X232" s="246">
        <f t="shared" si="94"/>
        <v>2</v>
      </c>
      <c r="Y232" s="246">
        <f t="shared" si="92"/>
        <v>2.2694000000000001</v>
      </c>
      <c r="Z232" s="246">
        <f t="shared" si="93"/>
        <v>0.18379999999999999</v>
      </c>
      <c r="AA232" s="246">
        <f t="shared" si="100"/>
        <v>2.0855999999999999</v>
      </c>
      <c r="AB232" s="232" t="e">
        <f>VLOOKUP(A232,Enforcements!$C$7:$K$9,8,0)</f>
        <v>#N/A</v>
      </c>
      <c r="AC232" s="231" t="e">
        <f>VLOOKUP(A232,Enforcements!$C$7:$E$9,3,0)</f>
        <v>#N/A</v>
      </c>
      <c r="AD232" s="242">
        <f t="shared" si="101"/>
        <v>88</v>
      </c>
      <c r="AE232" s="234" t="str">
        <f t="shared" si="102"/>
        <v>aws s3 cp s3://rtdc.mdm.uploadarchive.raw/RTDC4051/ "%USERPROFILE%\AppData\Local\Temp\OnboardLogs"\RTDC4051\2017-12-28 --exclude "*" --recursive --include "*20171228*" &amp; "%USERPROFILE%\Documents\GitHub\mrs-test-scripts\Headless Mode &amp; Sideloading\WalkAndUnGZ.bat" "%USERPROFILE%\AppData\Local\Temp\OnboardLogs"\RTDC4051\2017-12-28 &amp; aws s3 cp s3://rtdc.mdm.uploadarchive.raw/RTDC4051/ "%USERPROFILE%\AppData\Local\Temp\OnboardLogs"\RTDC4051\2017-12-29 --exclude "*" --recursive --include "*20171229*" &amp; "%USERPROFILE%\Documents\GitHub\mrs-test-scripts\Headless Mode &amp; Sideloading\WalkAndUnGZ.bat" "%USERPROFILE%\AppData\Local\Temp\OnboardLogs"\RTDC4051\2017-12-29</v>
      </c>
      <c r="AF232" s="233" t="str">
        <f t="shared" si="103"/>
        <v>"C:\Program Files (x86)\AstroGrep\AstroGrep.exe" /e /r /s /spath="%USERPROFILE%\AppData\Local\Temp\OnboardLogs" /stypes="app*4051*201712290*" /stext=" 01:.+?(?&gt;(PRM\|1\|D)|(KPR)|(KDP)|(train st[a-z]+ moving)|(SYSTEM_STATE:s[a-z]+ state changed)|(Enforcement Action)|(\[TIMEOUT)|(parse_ebi_status: Penalty)|(\|GPPS))"</v>
      </c>
      <c r="AG232" s="243" t="str">
        <f t="shared" si="104"/>
        <v>Shuttle/Test</v>
      </c>
      <c r="AH232" s="235" t="str">
        <f t="shared" si="105"/>
        <v>"%USERPROFILE%\Documents\GitHub\eaglep3\Utilities\RefineRTDCRunTimes.py" --tripid 88-28 --locoid 4051 --swversion DE.1.0.9.0 --startMP 300:22694 --initTime 2017-12-28T17:39:48 --startdatetime 2017-12-28T17:51:03 --delay 141 --endMP 204:1838 --enddatetime 2017-12-28T18:07:47 --enforcementcount 0 &gt;&gt;%USERPROFILE%\Documents\GitHub\eaglep3-reporting\EC\2017-12-28-refined-times.txt</v>
      </c>
      <c r="AI232" s="237" t="str">
        <f t="shared" si="106"/>
        <v>echo {"issue":{"subject":"","project_id":79,"tracker_id":40,"status_id":1,"priority_id":2,"assigned_to_id":338,"start_date":"2017-12-28","description":"","custom_fields":[{"id":1,"name":"Subdivision","value":"Shuttle/Test"},{"id":4,"name":"Milepost","value":"0.1838"},{"id":17,"name":"Train ID","value":"88-28"},{"id":16,"name":"Locomotive ID","value":"4051"},{"id":130,"name":"Impact","value":""},{"id":150,"name":"Time of Event (Mountain Time)","value":"18:07:47"},{"id":151,"name":"Denver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230"/>
      <c r="AL232" s="230"/>
      <c r="AM232" s="239" t="str">
        <f t="shared" si="107"/>
        <v>start /low /b %USERPROFILE%\Documents\GitHub\eaglep3\Utilities\DownloadLogsFromS3.py --loco 4051 --day 2017-12-28</v>
      </c>
      <c r="AN232" s="240" t="str">
        <f t="shared" si="108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01:07:47"},{"id":29,"name":"Sharepoint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29" t="str">
        <f t="shared" si="109"/>
        <v>https://d0f6bd738d7f1b3e5a7ca70fe4ff75f0.us-east-1.aws.found.io/app/kibana#/discover/Steve-Slow-Train-Analysis-(2080s-and-2083s)?_g=(refreshInterval:(display:Off,pause:!f,section:0,value:0),time:(from:'2017-12-28T16:39:48-0700',mode:absolute,to:'2017-12-28T19:07:47-0700'))&amp;_a=(columns:!('Message%20ID',Summary),filters:!(),index:'emp_*',interval:auto,query:(query_string:(analyze_wildcard:!t,query:'%22rtdc.l.rtdc.4051%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22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22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22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22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22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22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22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22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22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s="20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s="20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s="20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s="2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s="2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s="20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s="20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s="2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s="2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s="20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s="20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s="20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s="20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s="20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s="20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s="20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s="20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s="20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s="20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s="20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:91" s="20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s="20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s="20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s="20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:9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9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9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9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9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9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s="20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:9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9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s="20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:9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4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4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4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4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4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4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4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M551"/>
      <c r="AO551"/>
    </row>
    <row r="552" spans="1:4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4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4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4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M555"/>
      <c r="AO555"/>
    </row>
    <row r="556" spans="1:4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M556"/>
      <c r="AO556"/>
    </row>
    <row r="557" spans="1:4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M557"/>
      <c r="AO557"/>
    </row>
    <row r="558" spans="1:4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M558"/>
      <c r="AO558"/>
    </row>
    <row r="559" spans="1:4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M559"/>
      <c r="AO559"/>
    </row>
  </sheetData>
  <autoFilter ref="A12:AG554">
    <sortState ref="A13:AG554">
      <sortCondition ref="AG13:AG232"/>
      <sortCondition ref="AD13:AD232"/>
    </sortState>
  </autoFilter>
  <sortState ref="A13:AN459">
    <sortCondition ref="AG13:AG459"/>
    <sortCondition ref="AD13:AD459"/>
  </sortState>
  <mergeCells count="1">
    <mergeCell ref="A11:P11"/>
  </mergeCells>
  <conditionalFormatting sqref="W11:W12 W560:X1048576 W13:X232">
    <cfRule type="cellIs" dxfId="9" priority="472" operator="equal">
      <formula>"Y"</formula>
    </cfRule>
  </conditionalFormatting>
  <conditionalFormatting sqref="X560:X1048576 X13:X232">
    <cfRule type="cellIs" dxfId="8" priority="455" operator="greaterThan">
      <formula>1</formula>
    </cfRule>
  </conditionalFormatting>
  <conditionalFormatting sqref="X560:X1048576 X12:X232">
    <cfRule type="cellIs" dxfId="7" priority="452" operator="equal">
      <formula>0</formula>
    </cfRule>
  </conditionalFormatting>
  <conditionalFormatting sqref="A13:S232">
    <cfRule type="expression" dxfId="6" priority="446" stopIfTrue="1">
      <formula>$P13&gt;0</formula>
    </cfRule>
    <cfRule type="expression" dxfId="5" priority="44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13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Values'!$C$2:$C$15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2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2" customWidth="1"/>
    <col min="5" max="5" width="29.42578125" style="112" customWidth="1"/>
    <col min="6" max="6" width="5.7109375" style="112" customWidth="1"/>
    <col min="7" max="7" width="5.85546875" style="112" customWidth="1"/>
    <col min="8" max="8" width="7.85546875" style="112" customWidth="1"/>
    <col min="9" max="9" width="9" style="112" customWidth="1"/>
    <col min="10" max="10" width="11.5703125" style="112" hidden="1" customWidth="1"/>
    <col min="11" max="11" width="9.140625" style="112" customWidth="1"/>
    <col min="12" max="12" width="4.85546875" style="112" customWidth="1"/>
    <col min="13" max="13" width="7.85546875" style="2" customWidth="1"/>
    <col min="14" max="14" width="16" style="111" customWidth="1"/>
    <col min="15" max="15" width="4.42578125" style="166" customWidth="1"/>
    <col min="16" max="16" width="30.42578125" style="112" customWidth="1"/>
    <col min="17" max="17" width="5" hidden="1" customWidth="1"/>
    <col min="18" max="18" width="5.5703125" style="74" customWidth="1"/>
    <col min="19" max="19" width="5.5703125" style="81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5" customWidth="1"/>
    <col min="27" max="27" width="5.28515625" customWidth="1"/>
    <col min="28" max="28" width="5.5703125" customWidth="1"/>
    <col min="29" max="29" width="5.28515625" style="114" customWidth="1"/>
    <col min="30" max="30" width="6.7109375" customWidth="1"/>
    <col min="31" max="31" width="9.140625" style="140"/>
  </cols>
  <sheetData>
    <row r="1" spans="1:32" s="20" customFormat="1" ht="15.75" hidden="1" thickBot="1" x14ac:dyDescent="0.3">
      <c r="A1" s="8"/>
      <c r="D1" s="112"/>
      <c r="E1" s="112"/>
      <c r="F1" s="112"/>
      <c r="G1" s="112"/>
      <c r="H1" s="112"/>
      <c r="I1" s="112"/>
      <c r="J1" s="112"/>
      <c r="K1" s="112"/>
      <c r="L1" s="112"/>
      <c r="M1" s="2"/>
      <c r="N1" s="111"/>
      <c r="O1" s="166"/>
      <c r="P1" s="112"/>
      <c r="R1" s="74"/>
      <c r="S1" s="81"/>
      <c r="T1" s="72"/>
      <c r="V1" s="43"/>
      <c r="X1" s="2"/>
      <c r="Z1" s="155"/>
      <c r="AC1" s="114"/>
      <c r="AE1" s="140"/>
    </row>
    <row r="2" spans="1:32" s="20" customFormat="1" x14ac:dyDescent="0.25">
      <c r="A2" s="8"/>
      <c r="D2" s="112"/>
      <c r="E2" s="112"/>
      <c r="F2" s="112"/>
      <c r="G2" s="112"/>
      <c r="H2" s="112"/>
      <c r="I2" s="112"/>
      <c r="J2" s="112"/>
      <c r="K2" s="112"/>
      <c r="L2" s="123" t="s">
        <v>80</v>
      </c>
      <c r="M2" s="107"/>
      <c r="N2" s="124"/>
      <c r="O2" s="219">
        <f>COUNTIF($O$7:$O$73,"=Y")</f>
        <v>4</v>
      </c>
      <c r="P2" s="109"/>
      <c r="R2" s="74"/>
      <c r="S2" s="81"/>
      <c r="T2" s="72"/>
      <c r="V2" s="43"/>
      <c r="X2" s="2"/>
      <c r="Z2" s="155"/>
      <c r="AC2" s="115"/>
      <c r="AE2" s="140"/>
    </row>
    <row r="3" spans="1:32" s="20" customFormat="1" ht="15.75" thickBot="1" x14ac:dyDescent="0.3">
      <c r="A3" s="8"/>
      <c r="D3" s="112"/>
      <c r="E3" s="112"/>
      <c r="F3" s="112"/>
      <c r="G3" s="112"/>
      <c r="H3" s="112"/>
      <c r="I3" s="112"/>
      <c r="J3" s="112"/>
      <c r="K3" s="112"/>
      <c r="L3" s="125" t="s">
        <v>81</v>
      </c>
      <c r="M3" s="108"/>
      <c r="N3" s="126"/>
      <c r="O3" s="220">
        <f>COUNTA($O$7:$O$73)-O2</f>
        <v>10</v>
      </c>
      <c r="P3" s="109"/>
      <c r="R3" s="74"/>
      <c r="S3" s="81"/>
      <c r="T3" s="72"/>
      <c r="V3" s="43"/>
      <c r="X3" s="2"/>
      <c r="Z3" s="155"/>
      <c r="AC3" s="115"/>
      <c r="AE3" s="140"/>
    </row>
    <row r="4" spans="1:32" s="20" customFormat="1" x14ac:dyDescent="0.25">
      <c r="A4" s="8"/>
      <c r="D4" s="112"/>
      <c r="E4" s="112"/>
      <c r="F4" s="112"/>
      <c r="G4" s="112"/>
      <c r="H4" s="112"/>
      <c r="I4" s="112"/>
      <c r="J4" s="112"/>
      <c r="K4" s="112"/>
      <c r="L4" s="112"/>
      <c r="M4" s="2"/>
      <c r="N4" s="111"/>
      <c r="O4" s="194"/>
      <c r="P4" s="112"/>
      <c r="R4" s="74"/>
      <c r="S4" s="81"/>
      <c r="T4" s="72"/>
      <c r="V4" s="43"/>
      <c r="X4" s="2"/>
      <c r="Z4" s="155"/>
      <c r="AC4" s="115"/>
      <c r="AE4" s="140"/>
    </row>
    <row r="5" spans="1:32" s="10" customFormat="1" ht="15" customHeight="1" x14ac:dyDescent="0.25">
      <c r="A5" s="249" t="str">
        <f>"Eagle P3 Braking Events - "&amp;TEXT(Variables!$A$2,"YYYY-mm-dd")</f>
        <v>Eagle P3 Braking Events - 2017-12-28</v>
      </c>
      <c r="B5" s="249"/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127"/>
      <c r="R5" s="79"/>
      <c r="S5" s="82"/>
      <c r="T5" s="84"/>
      <c r="V5" s="44"/>
      <c r="X5" s="178"/>
      <c r="AC5" s="116"/>
      <c r="AE5" s="142"/>
    </row>
    <row r="6" spans="1:32" s="106" customFormat="1" ht="69.75" customHeight="1" x14ac:dyDescent="0.2">
      <c r="A6" s="96" t="s">
        <v>38</v>
      </c>
      <c r="B6" s="97" t="s">
        <v>37</v>
      </c>
      <c r="C6" s="97" t="s">
        <v>36</v>
      </c>
      <c r="D6" s="113" t="s">
        <v>35</v>
      </c>
      <c r="E6" s="113" t="s">
        <v>34</v>
      </c>
      <c r="F6" s="113" t="s">
        <v>33</v>
      </c>
      <c r="G6" s="113" t="s">
        <v>32</v>
      </c>
      <c r="H6" s="113" t="s">
        <v>31</v>
      </c>
      <c r="I6" s="113" t="s">
        <v>147</v>
      </c>
      <c r="J6" s="113" t="s">
        <v>30</v>
      </c>
      <c r="K6" s="113" t="s">
        <v>29</v>
      </c>
      <c r="L6" s="113" t="s">
        <v>28</v>
      </c>
      <c r="M6" s="98" t="s">
        <v>148</v>
      </c>
      <c r="N6" s="128" t="s">
        <v>47</v>
      </c>
      <c r="O6" s="173" t="s">
        <v>27</v>
      </c>
      <c r="P6" s="113" t="s">
        <v>24</v>
      </c>
      <c r="Q6" s="99"/>
      <c r="R6" s="100" t="s">
        <v>89</v>
      </c>
      <c r="S6" s="101" t="s">
        <v>55</v>
      </c>
      <c r="T6" s="102" t="s">
        <v>88</v>
      </c>
      <c r="U6" s="97" t="s">
        <v>83</v>
      </c>
      <c r="V6" s="103" t="s">
        <v>84</v>
      </c>
      <c r="W6" s="99" t="s">
        <v>342</v>
      </c>
      <c r="X6" s="179" t="s">
        <v>335</v>
      </c>
      <c r="Y6" s="104" t="s">
        <v>141</v>
      </c>
      <c r="Z6" s="156" t="s">
        <v>142</v>
      </c>
      <c r="AA6" s="105" t="s">
        <v>115</v>
      </c>
      <c r="AB6" s="105" t="s">
        <v>143</v>
      </c>
      <c r="AC6" s="117" t="s">
        <v>167</v>
      </c>
      <c r="AD6" s="106" t="s">
        <v>182</v>
      </c>
      <c r="AE6" s="141" t="s">
        <v>187</v>
      </c>
    </row>
    <row r="7" spans="1:32" s="1" customFormat="1" x14ac:dyDescent="0.25">
      <c r="A7" s="31">
        <v>43097.935532407406</v>
      </c>
      <c r="B7" s="30" t="s">
        <v>384</v>
      </c>
      <c r="C7" s="30" t="s">
        <v>692</v>
      </c>
      <c r="D7" s="30" t="s">
        <v>49</v>
      </c>
      <c r="E7" s="30" t="s">
        <v>183</v>
      </c>
      <c r="F7" s="42">
        <v>160</v>
      </c>
      <c r="G7" s="42">
        <v>219</v>
      </c>
      <c r="H7" s="42">
        <v>31455</v>
      </c>
      <c r="I7" s="42">
        <v>31062</v>
      </c>
      <c r="J7" s="30" t="s">
        <v>184</v>
      </c>
      <c r="K7" s="42">
        <v>30970</v>
      </c>
      <c r="L7" s="130" t="s">
        <v>51</v>
      </c>
      <c r="M7" s="131">
        <f t="shared" ref="M7:M20" si="0">CONVERT((I7-K7)/10000,"mi","ft")*IF(L7="Increasing Mileposts (1)",-1,1)</f>
        <v>48.576000000000001</v>
      </c>
      <c r="N7" s="132" t="str">
        <f>VLOOKUP(C7,'Trips&amp;Operators'!$C$1:$G$99911,5,FALSE)</f>
        <v>ANDERS STEVEN</v>
      </c>
      <c r="O7" s="174" t="s">
        <v>178</v>
      </c>
      <c r="P7" s="238" t="s">
        <v>493</v>
      </c>
      <c r="Q7" s="30"/>
      <c r="R7" s="80" t="str">
        <f>VLOOKUP(C7,'Train Runs'!$A$13:$AE$10213,31,0)</f>
        <v>aws s3 cp s3://rtdc.mdm.uploadarchive.raw/RTDC4061/ "%USERPROFILE%\AppData\Local\Temp\OnboardLogs"\RTDC4061\2017-12-28 --exclude "*" --recursive --include "*20171228*" &amp; "%USERPROFILE%\Documents\GitHub\mrs-test-scripts\Headless Mode &amp; Sideloading\WalkAndUnGZ.bat" "%USERPROFILE%\AppData\Local\Temp\OnboardLogs"\RTDC4061\2017-12-28 &amp; aws s3 cp s3://rtdc.mdm.uploadarchive.raw/RTDC4061/ "%USERPROFILE%\AppData\Local\Temp\OnboardLogs"\RTDC4061\2017-12-29 --exclude "*" --recursive --include "*20171229*" &amp; "%USERPROFILE%\Documents\GitHub\mrs-test-scripts\Headless Mode &amp; Sideloading\WalkAndUnGZ.bat" "%USERPROFILE%\AppData\Local\Temp\OnboardLogs"\RTDC4061\2017-12-29</v>
      </c>
      <c r="S7" s="83" t="str">
        <f>VLOOKUP(C7,'Train Runs'!$A$13:$AE$10213,22,0)</f>
        <v>https://d0f6bd738d7f1b3e5a7ca70fe4ff75f0.us-east-1.aws.found.io/app/kibana#/discover/Steve-Slow-Train-Analysis-(2080s-and-2083s)?_g=(refreshInterval:(display:Off,pause:!f,section:0,value:0),time:(from:'2017-12-28T20:54:30-0700',mode:absolute,to:'2017-12-28T23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7" s="85" t="str">
        <f t="shared" ref="T7:T2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/stypes="*4061*201712290*" /stext=" 05:.+?(?&gt;(PRM\|1\|D)|(KPR)|(KDP)|(train st[a-z]+ moving)|(SYSTEM_STATE:s[a-z]+ state changed)|(Enforcement Action)|(\[TIMEOUT)|(parse_ebi_status: Penalty)|(\|GPPS))"</v>
      </c>
      <c r="U7" s="9" t="str">
        <f t="shared" ref="U7:U20" si="2">MID(B7,13,4)</f>
        <v>4061</v>
      </c>
      <c r="V7" s="31">
        <f t="shared" ref="V7:V20" si="3">A7-utc_offset/24</f>
        <v>43098.22719907407</v>
      </c>
      <c r="W7" s="45" t="str">
        <f t="shared" ref="W7:W20" si="4">DetSubdiv(C7)</f>
        <v>EC</v>
      </c>
      <c r="X7" s="22">
        <f t="shared" ref="X7:X20" si="5">VALUE(LEFT(C7,LEN(C7)-3))</f>
        <v>230</v>
      </c>
      <c r="Y7" s="95" t="str">
        <f t="shared" ref="Y7:Y2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Arrival","project_id":79,"tracker_id":40,"status_id":1,"priority_id":2,"assigned_to_id":338,"start_date":"2017-12-28","description":"","custom_fields":[{"id":1,"name":"Subdivision","value":"EC"},{"id":4,"name":"Milepost","value":"3.097"},{"id":17,"name":"Train ID","value":"230-28"},{"id":16,"name":"Locomotive ID","value":"4061"},{"id":130,"name":"Impact","value":""},{"id":150,"name":"Time of Event (Mountain Time)","value":"22:27:10"},{"id":151,"name":"Denver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7"/>
      <c r="AA7" s="47"/>
      <c r="AB7" s="47"/>
      <c r="AC7" s="114" t="str">
        <f t="shared" ref="AC7:AC20" si="7">"grep -hrE -A400 ""Enforcement Action"" "&amp;"/c/Users/stu/AppData/Local/Temp/OnboardLogs"&amp;"/RTDC"&amp;U7&amp;" --include=""*"&amp;U7&amp;"*"&amp;TEXT(A7-utc_offset/24,"YYYYMMDD")&amp;LEFT(TEXT(A7-utc_offset/24,"HH"),1)&amp;"*"" | grep -E ""((Enforcement Action)|(PRM))"" -"</f>
        <v>grep -hrE -A400 "Enforcement Action" /c/Users/stu/AppData/Local/Temp/OnboardLogs/RTDC4061 --include="*4061*201712290*" | grep -E "((Enforcement Action)|(PRM))"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"%USERPROFILE%\AppData\Local\Temp\OnboardLogs"\RTDC4061\*4061*201712290* &gt;&gt; 2017-12-28-SliceDisagreementCheck.txt</v>
      </c>
      <c r="AE7" s="143" t="str">
        <f t="shared" ref="AE7" si="8">"start /low /b "&amp;dls3logs&amp;" --loco "&amp;U7&amp;" --day "&amp;TEXT(V7,"YYYY-MM-DD")</f>
        <v>start /low /b %USERPROFILE%\Documents\GitHub\eaglep3\Utilities\DownloadLogsFromS3.py --loco 4061 --day 2017-12-29</v>
      </c>
    </row>
    <row r="8" spans="1:32" s="1" customFormat="1" x14ac:dyDescent="0.25">
      <c r="A8" s="31">
        <v>43097.936226851853</v>
      </c>
      <c r="B8" s="30" t="s">
        <v>384</v>
      </c>
      <c r="C8" s="30" t="s">
        <v>692</v>
      </c>
      <c r="D8" s="30" t="s">
        <v>49</v>
      </c>
      <c r="E8" s="30" t="s">
        <v>183</v>
      </c>
      <c r="F8" s="42">
        <v>160</v>
      </c>
      <c r="G8" s="42">
        <v>219</v>
      </c>
      <c r="H8" s="42">
        <v>31455</v>
      </c>
      <c r="I8" s="42">
        <v>30296</v>
      </c>
      <c r="J8" s="30" t="s">
        <v>184</v>
      </c>
      <c r="K8" s="42">
        <v>30970</v>
      </c>
      <c r="L8" s="130" t="s">
        <v>51</v>
      </c>
      <c r="M8" s="131">
        <f t="shared" si="0"/>
        <v>-355.87200000000001</v>
      </c>
      <c r="N8" s="132" t="str">
        <f>VLOOKUP(C8,'Trips&amp;Operators'!$C$1:$G$99911,5,FALSE)</f>
        <v>ANDERS STEVEN</v>
      </c>
      <c r="O8" s="174" t="s">
        <v>178</v>
      </c>
      <c r="P8" s="238" t="s">
        <v>493</v>
      </c>
      <c r="Q8" s="30"/>
      <c r="R8" s="80" t="str">
        <f>VLOOKUP(C8,'Train Runs'!$A$13:$AE$10213,31,0)</f>
        <v>aws s3 cp s3://rtdc.mdm.uploadarchive.raw/RTDC4061/ "%USERPROFILE%\AppData\Local\Temp\OnboardLogs"\RTDC4061\2017-12-28 --exclude "*" --recursive --include "*20171228*" &amp; "%USERPROFILE%\Documents\GitHub\mrs-test-scripts\Headless Mode &amp; Sideloading\WalkAndUnGZ.bat" "%USERPROFILE%\AppData\Local\Temp\OnboardLogs"\RTDC4061\2017-12-28 &amp; aws s3 cp s3://rtdc.mdm.uploadarchive.raw/RTDC4061/ "%USERPROFILE%\AppData\Local\Temp\OnboardLogs"\RTDC4061\2017-12-29 --exclude "*" --recursive --include "*20171229*" &amp; "%USERPROFILE%\Documents\GitHub\mrs-test-scripts\Headless Mode &amp; Sideloading\WalkAndUnGZ.bat" "%USERPROFILE%\AppData\Local\Temp\OnboardLogs"\RTDC4061\2017-12-29</v>
      </c>
      <c r="S8" s="83" t="str">
        <f>VLOOKUP(C8,'Train Runs'!$A$13:$AE$10213,22,0)</f>
        <v>https://d0f6bd738d7f1b3e5a7ca70fe4ff75f0.us-east-1.aws.found.io/app/kibana#/discover/Steve-Slow-Train-Analysis-(2080s-and-2083s)?_g=(refreshInterval:(display:Off,pause:!f,section:0,value:0),time:(from:'2017-12-28T20:54:30-0700',mode:absolute,to:'2017-12-28T23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8" s="85" t="str">
        <f t="shared" si="1"/>
        <v>"C:\Program Files (x86)\AstroGrep\AstroGrep.exe" /e /r /s /spath="%USERPROFILE%\AppData\Local\Temp\OnboardLogs" /stypes="*4061*201712290*" /stext=" 05:.+?(?&gt;(PRM\|1\|D)|(KPR)|(KDP)|(train st[a-z]+ moving)|(SYSTEM_STATE:s[a-z]+ state changed)|(Enforcement Action)|(\[TIMEOUT)|(parse_ebi_status: Penalty)|(\|GPPS))"</v>
      </c>
      <c r="U8" s="9" t="str">
        <f t="shared" si="2"/>
        <v>4061</v>
      </c>
      <c r="V8" s="31">
        <f t="shared" si="3"/>
        <v>43098.227893518517</v>
      </c>
      <c r="W8" s="45" t="str">
        <f t="shared" si="4"/>
        <v>EC</v>
      </c>
      <c r="X8" s="227">
        <f t="shared" si="5"/>
        <v>230</v>
      </c>
      <c r="Y8" s="237" t="str">
        <f t="shared" si="6"/>
        <v>echo {"issue":{"subject":"Early Arrival","project_id":79,"tracker_id":40,"status_id":1,"priority_id":2,"assigned_to_id":338,"start_date":"2017-12-28","description":"","custom_fields":[{"id":1,"name":"Subdivision","value":"EC"},{"id":4,"name":"Milepost","value":"3.097"},{"id":17,"name":"Train ID","value":"230-28"},{"id":16,"name":"Locomotive ID","value":"4061"},{"id":130,"name":"Impact","value":""},{"id":150,"name":"Time of Event (Mountain Time)","value":"22:28:10"},{"id":151,"name":"Denver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7"/>
      <c r="AA8" s="230"/>
      <c r="AB8" s="230"/>
      <c r="AC8" s="114" t="str">
        <f t="shared" si="7"/>
        <v>grep -hrE -A400 "Enforcement Action" /c/Users/stu/AppData/Local/Temp/OnboardLogs/RTDC4061 --include="*4061*201712290*" | grep -E "((Enforcement Action)|(PRM))"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"%USERPROFILE%\AppData\Local\Temp\OnboardLogs"\RTDC4061\*4061*201712290* &gt;&gt; 2017-12-28-SliceDisagreementCheck.txt</v>
      </c>
      <c r="AE8" s="143" t="str">
        <f t="shared" ref="AE8:AE20" si="9">"start /low /b "&amp;dls3logs&amp;" --loco "&amp;U8&amp;" --day "&amp;TEXT(V8,"YYYY-MM-DD")</f>
        <v>start /low /b %USERPROFILE%\Documents\GitHub\eaglep3\Utilities\DownloadLogsFromS3.py --loco 4061 --day 2017-12-29</v>
      </c>
    </row>
    <row r="9" spans="1:32" s="1" customFormat="1" x14ac:dyDescent="0.25">
      <c r="A9" s="31">
        <v>43097.540694444448</v>
      </c>
      <c r="B9" s="30" t="s">
        <v>350</v>
      </c>
      <c r="C9" s="30" t="s">
        <v>684</v>
      </c>
      <c r="D9" s="30" t="s">
        <v>49</v>
      </c>
      <c r="E9" s="30" t="s">
        <v>183</v>
      </c>
      <c r="F9" s="42">
        <v>370</v>
      </c>
      <c r="G9" s="42">
        <v>434</v>
      </c>
      <c r="H9" s="42">
        <v>110121</v>
      </c>
      <c r="I9" s="42">
        <v>108658</v>
      </c>
      <c r="J9" s="30" t="s">
        <v>184</v>
      </c>
      <c r="K9" s="42">
        <v>109135</v>
      </c>
      <c r="L9" s="130" t="s">
        <v>51</v>
      </c>
      <c r="M9" s="131">
        <f t="shared" si="0"/>
        <v>-251.85599999999999</v>
      </c>
      <c r="N9" s="132" t="str">
        <f>VLOOKUP(C9,'Trips&amp;Operators'!$C$1:$G$99911,5,FALSE)</f>
        <v>LEVIN SCOTT</v>
      </c>
      <c r="O9" s="174" t="s">
        <v>178</v>
      </c>
      <c r="P9" s="238" t="s">
        <v>493</v>
      </c>
      <c r="Q9" s="30"/>
      <c r="R9" s="80" t="str">
        <f>VLOOKUP(C9,'Train Runs'!$A$13:$AE$10213,31,0)</f>
        <v>aws s3 cp s3://rtdc.mdm.uploadarchive.raw/RTDC4055/ "%USERPROFILE%\AppData\Local\Temp\OnboardLogs"\RTDC4055\2017-12-28 --exclude "*" --recursive --include "*20171228*" &amp; "%USERPROFILE%\Documents\GitHub\mrs-test-scripts\Headless Mode &amp; Sideloading\WalkAndUnGZ.bat" "%USERPROFILE%\AppData\Local\Temp\OnboardLogs"\RTDC4055\2017-12-28 &amp; aws s3 cp s3://rtdc.mdm.uploadarchive.raw/RTDC4055/ "%USERPROFILE%\AppData\Local\Temp\OnboardLogs"\RTDC4055\2017-12-29 --exclude "*" --recursive --include "*20171229*" &amp; "%USERPROFILE%\Documents\GitHub\mrs-test-scripts\Headless Mode &amp; Sideloading\WalkAndUnGZ.bat" "%USERPROFILE%\AppData\Local\Temp\OnboardLogs"\RTDC4055\2017-12-29</v>
      </c>
      <c r="S9" s="83" t="str">
        <f>VLOOKUP(C9,'Train Runs'!$A$13:$AE$10213,22,0)</f>
        <v>https://d0f6bd738d7f1b3e5a7ca70fe4ff75f0.us-east-1.aws.found.io/app/kibana#/discover/Steve-Slow-Train-Analysis-(2080s-and-2083s)?_g=(refreshInterval:(display:Off,pause:!f,section:0,value:0),time:(from:'2017-12-28T11:31:05-0700',mode:absolute,to:'2017-12-28T14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9" s="85" t="str">
        <f t="shared" si="1"/>
        <v>"C:\Program Files (x86)\AstroGrep\AstroGrep.exe" /e /r /s /spath="%USERPROFILE%\AppData\Local\Temp\OnboardLogs" /stypes="*4055*201712281*" /stext=" 19:.+?(?&gt;(PRM\|1\|D)|(KPR)|(KDP)|(train st[a-z]+ moving)|(SYSTEM_STATE:s[a-z]+ state changed)|(Enforcement Action)|(\[TIMEOUT)|(parse_ebi_status: Penalty)|(\|GPPS))"</v>
      </c>
      <c r="U9" s="9" t="str">
        <f t="shared" si="2"/>
        <v>4055</v>
      </c>
      <c r="V9" s="31">
        <f t="shared" si="3"/>
        <v>43097.832361111112</v>
      </c>
      <c r="W9" s="45" t="str">
        <f t="shared" si="4"/>
        <v>EC</v>
      </c>
      <c r="X9" s="227">
        <f t="shared" si="5"/>
        <v>166</v>
      </c>
      <c r="Y9" s="237" t="str">
        <f t="shared" si="6"/>
        <v>echo {"issue":{"subject":"Early Arrival","project_id":79,"tracker_id":40,"status_id":1,"priority_id":2,"assigned_to_id":338,"start_date":"2017-12-28","description":"","custom_fields":[{"id":1,"name":"Subdivision","value":"EC"},{"id":4,"name":"Milepost","value":"10.9135"},{"id":17,"name":"Train ID","value":"166-28"},{"id":16,"name":"Locomotive ID","value":"4055"},{"id":130,"name":"Impact","value":""},{"id":150,"name":"Time of Event (Mountain Time)","value":"12:58:36"},{"id":151,"name":"Denver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7"/>
      <c r="AA9" s="230"/>
      <c r="AB9" s="230"/>
      <c r="AC9" s="114" t="str">
        <f t="shared" si="7"/>
        <v>grep -hrE -A400 "Enforcement Action" /c/Users/stu/AppData/Local/Temp/OnboardLogs/RTDC4055 --include="*4055*201712281*" | grep -E "((Enforcement Action)|(PRM))"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"%USERPROFILE%\AppData\Local\Temp\OnboardLogs"\RTDC4055\*4055*201712281* &gt;&gt; 2017-12-28-SliceDisagreementCheck.txt</v>
      </c>
      <c r="AE9" s="143" t="str">
        <f t="shared" si="9"/>
        <v>start /low /b %USERPROFILE%\Documents\GitHub\eaglep3\Utilities\DownloadLogsFromS3.py --loco 4055 --day 2017-12-28</v>
      </c>
    </row>
    <row r="10" spans="1:32" x14ac:dyDescent="0.25">
      <c r="A10" s="31">
        <v>43097.409039351849</v>
      </c>
      <c r="B10" s="30" t="s">
        <v>601</v>
      </c>
      <c r="C10" s="30" t="s">
        <v>682</v>
      </c>
      <c r="D10" s="30" t="s">
        <v>95</v>
      </c>
      <c r="E10" s="30" t="s">
        <v>190</v>
      </c>
      <c r="F10" s="42">
        <v>200</v>
      </c>
      <c r="G10" s="42">
        <v>263</v>
      </c>
      <c r="H10" s="42">
        <v>5296</v>
      </c>
      <c r="I10" s="42">
        <v>5941</v>
      </c>
      <c r="J10" s="30" t="s">
        <v>191</v>
      </c>
      <c r="K10" s="42">
        <v>4677</v>
      </c>
      <c r="L10" s="130" t="s">
        <v>50</v>
      </c>
      <c r="M10" s="131">
        <f t="shared" si="0"/>
        <v>-667.39200000000005</v>
      </c>
      <c r="N10" s="132" t="str">
        <f>VLOOKUP(C10,'Trips&amp;Operators'!$C$1:$G$99911,5,FALSE)</f>
        <v>GEBRETEKLE DAGNEW</v>
      </c>
      <c r="O10" s="174" t="s">
        <v>178</v>
      </c>
      <c r="P10" s="238"/>
      <c r="Q10" s="30"/>
      <c r="R10" s="80" t="str">
        <f>VLOOKUP(C10,'Train Runs'!$A$13:$AE$10213,31,0)</f>
        <v>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 &amp; aws s3 cp s3://rtdc.mdm.uploadarchive.raw/RTDC4046/ "%USERPROFILE%\AppData\Local\Temp\OnboardLogs"\RTDC4046\2017-12-29 --exclude "*" --recursive --include "*20171229*" &amp; "%USERPROFILE%\Documents\GitHub\mrs-test-scripts\Headless Mode &amp; Sideloading\WalkAndUnGZ.bat" "%USERPROFILE%\AppData\Local\Temp\OnboardLogs"\RTDC4046\2017-12-29</v>
      </c>
      <c r="S10" s="83" t="str">
        <f>VLOOKUP(C10,'Train Runs'!$A$13:$AE$10213,22,0)</f>
        <v>https://d0f6bd738d7f1b3e5a7ca70fe4ff75f0.us-east-1.aws.found.io/app/kibana#/discover/Steve-Slow-Train-Analysis-(2080s-and-2083s)?_g=(refreshInterval:(display:Off,pause:!f,section:0,value:0),time:(from:'2017-12-28T08:36:35-0700',mode:absolute,to:'2017-12-28T11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0" s="85" t="str">
        <f t="shared" si="1"/>
        <v>"C:\Program Files (x86)\AstroGrep\AstroGrep.exe" /e /r /s /spath="%USERPROFILE%\AppData\Local\Temp\OnboardLogs" /stypes="*4046*201712281*" /stext=" 16:.+?(?&gt;(PRM\|1\|D)|(KPR)|(KDP)|(train st[a-z]+ moving)|(SYSTEM_STATE:s[a-z]+ state changed)|(Enforcement Action)|(\[TIMEOUT)|(parse_ebi_status: Penalty)|(\|GPPS))"</v>
      </c>
      <c r="U10" s="9" t="str">
        <f t="shared" si="2"/>
        <v>4046</v>
      </c>
      <c r="V10" s="31">
        <f t="shared" si="3"/>
        <v>43097.700706018513</v>
      </c>
      <c r="W10" s="45" t="str">
        <f t="shared" si="4"/>
        <v>EC</v>
      </c>
      <c r="X10" s="227">
        <f t="shared" si="5"/>
        <v>149</v>
      </c>
      <c r="Y10" s="237" t="str">
        <f t="shared" si="6"/>
        <v>echo {"issue":{"subject":"","project_id":79,"tracker_id":40,"status_id":1,"priority_id":2,"assigned_to_id":338,"start_date":"2017-12-28","description":"","custom_fields":[{"id":1,"name":"Subdivision","value":"EC"},{"id":4,"name":"Milepost","value":"0.4677"},{"id":17,"name":"Train ID","value":"149-28"},{"id":16,"name":"Locomotive ID","value":"4046"},{"id":130,"name":"Impact","value":""},{"id":150,"name":"Time of Event (Mountain Time)","value":"09:49:01"},{"id":151,"name":"Denver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7"/>
      <c r="AA10" s="230"/>
      <c r="AB10" s="230"/>
      <c r="AC10" s="114" t="str">
        <f t="shared" si="7"/>
        <v>grep -hrE -A400 "Enforcement Action" /c/Users/stu/AppData/Local/Temp/OnboardLogs/RTDC4046 --include="*4046*201712281*" | grep -E "((Enforcement Action)|(PRM))"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"%USERPROFILE%\AppData\Local\Temp\OnboardLogs"\RTDC4046\*4046*201712281* &gt;&gt; 2017-12-28-SliceDisagreementCheck.txt</v>
      </c>
      <c r="AE10" s="143" t="str">
        <f t="shared" si="9"/>
        <v>start /low /b %USERPROFILE%\Documents\GitHub\eaglep3\Utilities\DownloadLogsFromS3.py --loco 4046 --day 2017-12-28</v>
      </c>
      <c r="AF10" s="1"/>
    </row>
    <row r="11" spans="1:32" x14ac:dyDescent="0.25">
      <c r="A11" s="31">
        <v>43097.9375</v>
      </c>
      <c r="B11" s="30" t="s">
        <v>693</v>
      </c>
      <c r="C11" s="30" t="s">
        <v>694</v>
      </c>
      <c r="D11" s="30" t="s">
        <v>49</v>
      </c>
      <c r="E11" s="30" t="s">
        <v>190</v>
      </c>
      <c r="F11" s="42">
        <v>600</v>
      </c>
      <c r="G11" s="42">
        <v>745</v>
      </c>
      <c r="H11" s="42">
        <v>181575</v>
      </c>
      <c r="I11" s="42">
        <v>184591</v>
      </c>
      <c r="J11" s="30" t="s">
        <v>191</v>
      </c>
      <c r="K11" s="42">
        <v>183829</v>
      </c>
      <c r="L11" s="130" t="s">
        <v>50</v>
      </c>
      <c r="M11" s="131">
        <f t="shared" si="0"/>
        <v>-402.33600000000001</v>
      </c>
      <c r="N11" s="132" t="str">
        <f>VLOOKUP(C11,'Trips&amp;Operators'!$C$1:$G$99911,5,FALSE)</f>
        <v>ELBAUM MIKE</v>
      </c>
      <c r="O11" s="174" t="s">
        <v>178</v>
      </c>
      <c r="P11" s="238"/>
      <c r="Q11" s="30"/>
      <c r="R11" s="80" t="str">
        <f>VLOOKUP(C11,'Train Runs'!$A$13:$AE$10213,31,0)</f>
        <v>aws s3 cp s3://rtdc.mdm.uploadarchive.raw/RTDC4014/ "%USERPROFILE%\AppData\Local\Temp\OnboardLogs"\RTDC4014\2017-12-28 --exclude "*" --recursive --include "*20171228*" &amp; "%USERPROFILE%\Documents\GitHub\mrs-test-scripts\Headless Mode &amp; Sideloading\WalkAndUnGZ.bat" "%USERPROFILE%\AppData\Local\Temp\OnboardLogs"\RTDC4014\2017-12-28 &amp; aws s3 cp s3://rtdc.mdm.uploadarchive.raw/RTDC4014/ "%USERPROFILE%\AppData\Local\Temp\OnboardLogs"\RTDC4014\2017-12-29 --exclude "*" --recursive --include "*20171229*" &amp; "%USERPROFILE%\Documents\GitHub\mrs-test-scripts\Headless Mode &amp; Sideloading\WalkAndUnGZ.bat" "%USERPROFILE%\AppData\Local\Temp\OnboardLogs"\RTDC4014\2017-12-29</v>
      </c>
      <c r="S11" s="83" t="str">
        <f>VLOOKUP(C11,'Train Runs'!$A$13:$AE$10213,22,0)</f>
        <v>https://d0f6bd738d7f1b3e5a7ca70fe4ff75f0.us-east-1.aws.found.io/app/kibana#/discover/Steve-Slow-Train-Analysis-(2080s-and-2083s)?_g=(refreshInterval:(display:Off,pause:!f,section:0,value:0),time:(from:'2017-12-28T20:36:45-0700',mode:absolute,to:'2017-12-28T23:37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1" s="85" t="str">
        <f t="shared" si="1"/>
        <v>"C:\Program Files (x86)\AstroGrep\AstroGrep.exe" /e /r /s /spath="%USERPROFILE%\AppData\Local\Temp\OnboardLogs" /stypes="*4014*201712290*" /stext=" 05:.+?(?&gt;(PRM\|1\|D)|(KPR)|(KDP)|(train st[a-z]+ moving)|(SYSTEM_STATE:s[a-z]+ state changed)|(Enforcement Action)|(\[TIMEOUT)|(parse_ebi_status: Penalty)|(\|GPPS))"</v>
      </c>
      <c r="U11" s="9" t="str">
        <f t="shared" si="2"/>
        <v>4014</v>
      </c>
      <c r="V11" s="31">
        <f t="shared" si="3"/>
        <v>43098.229166666664</v>
      </c>
      <c r="W11" s="45" t="str">
        <f t="shared" si="4"/>
        <v>EC</v>
      </c>
      <c r="X11" s="227">
        <f t="shared" si="5"/>
        <v>233</v>
      </c>
      <c r="Y11" s="237" t="str">
        <f t="shared" si="6"/>
        <v>echo {"issue":{"subject":"","project_id":79,"tracker_id":40,"status_id":1,"priority_id":2,"assigned_to_id":338,"start_date":"2017-12-28","description":"","custom_fields":[{"id":1,"name":"Subdivision","value":"EC"},{"id":4,"name":"Milepost","value":"18.3829"},{"id":17,"name":"Train ID","value":"233-28"},{"id":16,"name":"Locomotive ID","value":"4014"},{"id":130,"name":"Impact","value":""},{"id":150,"name":"Time of Event (Mountain Time)","value":"22:30:00"},{"id":151,"name":"Denver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7"/>
      <c r="AA11" s="230"/>
      <c r="AB11" s="230"/>
      <c r="AC11" s="114" t="str">
        <f t="shared" si="7"/>
        <v>grep -hrE -A400 "Enforcement Action" /c/Users/stu/AppData/Local/Temp/OnboardLogs/RTDC4014 --include="*4014*201712290*" | grep -E "((Enforcement Action)|(PRM))"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"%USERPROFILE%\AppData\Local\Temp\OnboardLogs"\RTDC4014\*4014*201712290* &gt;&gt; 2017-12-28-SliceDisagreementCheck.txt</v>
      </c>
      <c r="AE11" s="143" t="str">
        <f t="shared" si="9"/>
        <v>start /low /b %USERPROFILE%\Documents\GitHub\eaglep3\Utilities\DownloadLogsFromS3.py --loco 4014 --day 2017-12-29</v>
      </c>
      <c r="AF11" s="1"/>
    </row>
    <row r="12" spans="1:32" x14ac:dyDescent="0.25">
      <c r="A12" s="31">
        <v>43097.586585648147</v>
      </c>
      <c r="B12" s="30" t="s">
        <v>685</v>
      </c>
      <c r="C12" s="30" t="s">
        <v>686</v>
      </c>
      <c r="D12" s="30" t="s">
        <v>49</v>
      </c>
      <c r="E12" s="30" t="s">
        <v>353</v>
      </c>
      <c r="F12" s="42">
        <v>0</v>
      </c>
      <c r="G12" s="42">
        <v>100</v>
      </c>
      <c r="H12" s="42">
        <v>64015</v>
      </c>
      <c r="I12" s="42">
        <v>63906</v>
      </c>
      <c r="J12" s="30" t="s">
        <v>354</v>
      </c>
      <c r="K12" s="42">
        <v>64008</v>
      </c>
      <c r="L12" s="130" t="s">
        <v>51</v>
      </c>
      <c r="M12" s="131">
        <f t="shared" si="0"/>
        <v>-53.856000000000002</v>
      </c>
      <c r="N12" s="132" t="str">
        <f>VLOOKUP(C12,'Trips&amp;Operators'!$C$1:$G$99911,5,FALSE)</f>
        <v>HOLCOMB KAMDEN</v>
      </c>
      <c r="O12" s="174" t="s">
        <v>347</v>
      </c>
      <c r="P12" s="238" t="s">
        <v>463</v>
      </c>
      <c r="Q12" s="30"/>
      <c r="R12" s="80" t="str">
        <f>VLOOKUP(C12,'Train Runs'!$A$13:$AE$10213,31,0)</f>
        <v>aws s3 cp s3://rtdc.mdm.uploadarchive.raw/RTDC4063/ "%USERPROFILE%\AppData\Local\Temp\OnboardLogs"\RTDC4063\2017-12-28 --exclude "*" --recursive --include "*20171228*" &amp; "%USERPROFILE%\Documents\GitHub\mrs-test-scripts\Headless Mode &amp; Sideloading\WalkAndUnGZ.bat" "%USERPROFILE%\AppData\Local\Temp\OnboardLogs"\RTDC4063\2017-12-28 &amp; aws s3 cp s3://rtdc.mdm.uploadarchive.raw/RTDC4063/ "%USERPROFILE%\AppData\Local\Temp\OnboardLogs"\RTDC4063\2017-12-29 --exclude "*" --recursive --include "*20171229*" &amp; "%USERPROFILE%\Documents\GitHub\mrs-test-scripts\Headless Mode &amp; Sideloading\WalkAndUnGZ.bat" "%USERPROFILE%\AppData\Local\Temp\OnboardLogs"\RTDC4063\2017-12-29</v>
      </c>
      <c r="S12" s="83" t="str">
        <f>VLOOKUP(C12,'Train Runs'!$A$13:$AE$10213,22,0)</f>
        <v>https://d0f6bd738d7f1b3e5a7ca70fe4ff75f0.us-east-1.aws.found.io/app/kibana#/discover/Steve-Slow-Train-Analysis-(2080s-and-2083s)?_g=(refreshInterval:(display:Off,pause:!f,section:0,value:0),time:(from:'2017-12-28T12:37:54-0700',mode:absolute,to:'2017-12-28T15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2" s="85" t="str">
        <f t="shared" si="1"/>
        <v>"C:\Program Files (x86)\AstroGrep\AstroGrep.exe" /e /r /s /spath="%USERPROFILE%\AppData\Local\Temp\OnboardLogs" /stypes="*4063*201712282*" /stext=" 21:.+?(?&gt;(PRM\|1\|D)|(KPR)|(KDP)|(train st[a-z]+ moving)|(SYSTEM_STATE:s[a-z]+ state changed)|(Enforcement Action)|(\[TIMEOUT)|(parse_ebi_status: Penalty)|(\|GPPS))"</v>
      </c>
      <c r="U12" s="9" t="str">
        <f t="shared" si="2"/>
        <v>4063</v>
      </c>
      <c r="V12" s="31">
        <f t="shared" si="3"/>
        <v>43097.878252314811</v>
      </c>
      <c r="W12" s="45" t="str">
        <f t="shared" si="4"/>
        <v>EC</v>
      </c>
      <c r="X12" s="227">
        <f t="shared" si="5"/>
        <v>174</v>
      </c>
      <c r="Y12" s="237" t="str">
        <f t="shared" si="6"/>
        <v>echo {"issue":{"subject":"Wi-MAX data drop","project_id":79,"tracker_id":40,"status_id":1,"priority_id":2,"assigned_to_id":338,"start_date":"2017-12-28","description":"","custom_fields":[{"id":1,"name":"Subdivision","value":"EC"},{"id":4,"name":"Milepost","value":"6.4008"},{"id":17,"name":"Train ID","value":"174-28"},{"id":16,"name":"Locomotive ID","value":"4063"},{"id":130,"name":"Impact","value":""},{"id":150,"name":"Time of Event (Mountain Time)","value":"14:04:41"},{"id":151,"name":"Denver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7"/>
      <c r="AA12" s="230"/>
      <c r="AB12" s="230"/>
      <c r="AC12" s="114" t="str">
        <f t="shared" si="7"/>
        <v>grep -hrE -A400 "Enforcement Action" /c/Users/stu/AppData/Local/Temp/OnboardLogs/RTDC4063 --include="*4063*201712282*" | grep -E "((Enforcement Action)|(PRM))"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"%USERPROFILE%\AppData\Local\Temp\OnboardLogs"\RTDC4063\*4063*201712282* &gt;&gt; 2017-12-28-SliceDisagreementCheck.txt</v>
      </c>
      <c r="AE12" s="143" t="str">
        <f t="shared" si="9"/>
        <v>start /low /b %USERPROFILE%\Documents\GitHub\eaglep3\Utilities\DownloadLogsFromS3.py --loco 4063 --day 2017-12-28</v>
      </c>
      <c r="AF12" s="1"/>
    </row>
    <row r="13" spans="1:32" x14ac:dyDescent="0.25">
      <c r="A13" s="31">
        <v>43097.65697916667</v>
      </c>
      <c r="B13" s="30" t="s">
        <v>685</v>
      </c>
      <c r="C13" s="30" t="s">
        <v>688</v>
      </c>
      <c r="D13" s="30" t="s">
        <v>49</v>
      </c>
      <c r="E13" s="30" t="s">
        <v>353</v>
      </c>
      <c r="F13" s="42">
        <v>0</v>
      </c>
      <c r="G13" s="42">
        <v>591</v>
      </c>
      <c r="H13" s="42">
        <v>89186</v>
      </c>
      <c r="I13" s="42">
        <v>86643</v>
      </c>
      <c r="J13" s="30" t="s">
        <v>354</v>
      </c>
      <c r="K13" s="42">
        <v>87902</v>
      </c>
      <c r="L13" s="130" t="s">
        <v>51</v>
      </c>
      <c r="M13" s="131">
        <f t="shared" si="0"/>
        <v>-664.75200000000007</v>
      </c>
      <c r="N13" s="132" t="str">
        <f>VLOOKUP(C13,'Trips&amp;Operators'!$C$1:$G$99911,5,FALSE)</f>
        <v>HOLCOMB KAMDEN</v>
      </c>
      <c r="O13" s="174" t="s">
        <v>347</v>
      </c>
      <c r="P13" s="238" t="s">
        <v>463</v>
      </c>
      <c r="Q13" s="30"/>
      <c r="R13" s="80" t="str">
        <f>VLOOKUP(C13,'Train Runs'!$A$13:$AE$10213,31,0)</f>
        <v>aws s3 cp s3://rtdc.mdm.uploadarchive.raw/RTDC4063/ "%USERPROFILE%\AppData\Local\Temp\OnboardLogs"\RTDC4063\2017-12-28 --exclude "*" --recursive --include "*20171228*" &amp; "%USERPROFILE%\Documents\GitHub\mrs-test-scripts\Headless Mode &amp; Sideloading\WalkAndUnGZ.bat" "%USERPROFILE%\AppData\Local\Temp\OnboardLogs"\RTDC4063\2017-12-28 &amp; aws s3 cp s3://rtdc.mdm.uploadarchive.raw/RTDC4063/ "%USERPROFILE%\AppData\Local\Temp\OnboardLogs"\RTDC4063\2017-12-29 --exclude "*" --recursive --include "*20171229*" &amp; "%USERPROFILE%\Documents\GitHub\mrs-test-scripts\Headless Mode &amp; Sideloading\WalkAndUnGZ.bat" "%USERPROFILE%\AppData\Local\Temp\OnboardLogs"\RTDC4063\2017-12-29</v>
      </c>
      <c r="S13" s="83" t="str">
        <f>VLOOKUP(C13,'Train Runs'!$A$13:$AE$10213,22,0)</f>
        <v>https://d0f6bd738d7f1b3e5a7ca70fe4ff75f0.us-east-1.aws.found.io/app/kibana#/discover/Steve-Slow-Train-Analysis-(2080s-and-2083s)?_g=(refreshInterval:(display:Off,pause:!f,section:0,value:0),time:(from:'2017-12-28T14:24:30-0700',mode:absolute,to:'2017-12-28T17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3" s="85" t="str">
        <f t="shared" si="1"/>
        <v>"C:\Program Files (x86)\AstroGrep\AstroGrep.exe" /e /r /s /spath="%USERPROFILE%\AppData\Local\Temp\OnboardLogs" /stypes="*4063*201712282*" /stext=" 22:.+?(?&gt;(PRM\|1\|D)|(KPR)|(KDP)|(train st[a-z]+ moving)|(SYSTEM_STATE:s[a-z]+ state changed)|(Enforcement Action)|(\[TIMEOUT)|(parse_ebi_status: Penalty)|(\|GPPS))"</v>
      </c>
      <c r="U13" s="9" t="str">
        <f t="shared" si="2"/>
        <v>4063</v>
      </c>
      <c r="V13" s="31">
        <f t="shared" si="3"/>
        <v>43097.948645833334</v>
      </c>
      <c r="W13" s="45" t="str">
        <f t="shared" si="4"/>
        <v>EC</v>
      </c>
      <c r="X13" s="227">
        <f t="shared" si="5"/>
        <v>188</v>
      </c>
      <c r="Y13" s="237" t="str">
        <f t="shared" si="6"/>
        <v>echo {"issue":{"subject":"Wi-MAX data drop","project_id":79,"tracker_id":40,"status_id":1,"priority_id":2,"assigned_to_id":338,"start_date":"2017-12-28","description":"","custom_fields":[{"id":1,"name":"Subdivision","value":"EC"},{"id":4,"name":"Milepost","value":"8.7902"},{"id":17,"name":"Train ID","value":"188-28"},{"id":16,"name":"Locomotive ID","value":"4063"},{"id":130,"name":"Impact","value":""},{"id":150,"name":"Time of Event (Mountain Time)","value":"15:46:03"},{"id":151,"name":"Denver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7"/>
      <c r="AA13" s="230"/>
      <c r="AB13" s="230"/>
      <c r="AC13" s="114" t="str">
        <f t="shared" si="7"/>
        <v>grep -hrE -A400 "Enforcement Action" /c/Users/stu/AppData/Local/Temp/OnboardLogs/RTDC4063 --include="*4063*201712282*" | grep -E "((Enforcement Action)|(PRM))"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"%USERPROFILE%\AppData\Local\Temp\OnboardLogs"\RTDC4063\*4063*201712282* &gt;&gt; 2017-12-28-SliceDisagreementCheck.txt</v>
      </c>
      <c r="AE13" s="143" t="str">
        <f t="shared" si="9"/>
        <v>start /low /b %USERPROFILE%\Documents\GitHub\eaglep3\Utilities\DownloadLogsFromS3.py --loco 4063 --day 2017-12-28</v>
      </c>
      <c r="AF13" s="1"/>
    </row>
    <row r="14" spans="1:32" x14ac:dyDescent="0.25">
      <c r="A14" s="31">
        <v>43097.974733796298</v>
      </c>
      <c r="B14" s="30" t="s">
        <v>382</v>
      </c>
      <c r="C14" s="30" t="s">
        <v>695</v>
      </c>
      <c r="D14" s="30" t="s">
        <v>49</v>
      </c>
      <c r="E14" s="30" t="s">
        <v>445</v>
      </c>
      <c r="F14" s="42">
        <v>0</v>
      </c>
      <c r="G14" s="42">
        <v>546</v>
      </c>
      <c r="H14" s="42">
        <v>125601</v>
      </c>
      <c r="I14" s="42">
        <v>127488</v>
      </c>
      <c r="J14" s="30" t="s">
        <v>446</v>
      </c>
      <c r="K14" s="42">
        <v>126678</v>
      </c>
      <c r="L14" s="130" t="s">
        <v>50</v>
      </c>
      <c r="M14" s="131">
        <f t="shared" si="0"/>
        <v>-427.68</v>
      </c>
      <c r="N14" s="132" t="str">
        <f>VLOOKUP(C14,'Trips&amp;Operators'!$C$1:$G$99911,5,FALSE)</f>
        <v>ANDERS STEVEN</v>
      </c>
      <c r="O14" s="174" t="s">
        <v>347</v>
      </c>
      <c r="P14" s="238" t="s">
        <v>463</v>
      </c>
      <c r="Q14" s="30"/>
      <c r="R14" s="80" t="str">
        <f>VLOOKUP(C14,'Train Runs'!$A$13:$AE$10213,31,0)</f>
        <v>aws s3 cp s3://rtdc.mdm.uploadarchive.raw/RTDC4062/ "%USERPROFILE%\AppData\Local\Temp\OnboardLogs"\RTDC4062\2017-12-28 --exclude "*" --recursive --include "*20171228*" &amp; "%USERPROFILE%\Documents\GitHub\mrs-test-scripts\Headless Mode &amp; Sideloading\WalkAndUnGZ.bat" "%USERPROFILE%\AppData\Local\Temp\OnboardLogs"\RTDC4062\2017-12-28 &amp; aws s3 cp s3://rtdc.mdm.uploadarchive.raw/RTDC4062/ "%USERPROFILE%\AppData\Local\Temp\OnboardLogs"\RTDC4062\2017-12-29 --exclude "*" --recursive --include "*20171229*" &amp; "%USERPROFILE%\Documents\GitHub\mrs-test-scripts\Headless Mode &amp; Sideloading\WalkAndUnGZ.bat" "%USERPROFILE%\AppData\Local\Temp\OnboardLogs"\RTDC4062\2017-12-29</v>
      </c>
      <c r="S14" s="83" t="str">
        <f>VLOOKUP(C14,'Train Runs'!$A$13:$AE$10213,22,0)</f>
        <v>https://d0f6bd738d7f1b3e5a7ca70fe4ff75f0.us-east-1.aws.found.io/app/kibana#/discover/Steve-Slow-Train-Analysis-(2080s-and-2083s)?_g=(refreshInterval:(display:Off,pause:!f,section:0,value:0),time:(from:'2017-12-28T21:56:40-0700',mode:absolute,to:'2017-12-29T00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4" s="85" t="str">
        <f t="shared" si="1"/>
        <v>"C:\Program Files (x86)\AstroGrep\AstroGrep.exe" /e /r /s /spath="%USERPROFILE%\AppData\Local\Temp\OnboardLogs" /stypes="*4062*201712290*" /stext=" 06:.+?(?&gt;(PRM\|1\|D)|(KPR)|(KDP)|(train st[a-z]+ moving)|(SYSTEM_STATE:s[a-z]+ state changed)|(Enforcement Action)|(\[TIMEOUT)|(parse_ebi_status: Penalty)|(\|GPPS))"</v>
      </c>
      <c r="U14" s="9" t="str">
        <f t="shared" si="2"/>
        <v>4062</v>
      </c>
      <c r="V14" s="31">
        <f t="shared" si="3"/>
        <v>43098.266400462962</v>
      </c>
      <c r="W14" s="45" t="str">
        <f t="shared" si="4"/>
        <v>EC</v>
      </c>
      <c r="X14" s="227">
        <f t="shared" si="5"/>
        <v>237</v>
      </c>
      <c r="Y14" s="237" t="str">
        <f t="shared" si="6"/>
        <v>echo {"issue":{"subject":"Wi-MAX data drop","project_id":79,"tracker_id":40,"status_id":1,"priority_id":2,"assigned_to_id":338,"start_date":"2017-12-28","description":"","custom_fields":[{"id":1,"name":"Subdivision","value":"EC"},{"id":4,"name":"Milepost","value":"12.6678"},{"id":17,"name":"Train ID","value":"237-28"},{"id":16,"name":"Locomotive ID","value":"4062"},{"id":130,"name":"Impact","value":""},{"id":150,"name":"Time of Event (Mountain Time)","value":"23:23:37"},{"id":151,"name":"Denver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7"/>
      <c r="AA14" s="230"/>
      <c r="AB14" s="230"/>
      <c r="AC14" s="114" t="str">
        <f t="shared" si="7"/>
        <v>grep -hrE -A400 "Enforcement Action" /c/Users/stu/AppData/Local/Temp/OnboardLogs/RTDC4062 --include="*4062*201712290*" | grep -E "((Enforcement Action)|(PRM))"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"%USERPROFILE%\AppData\Local\Temp\OnboardLogs"\RTDC4062\*4062*201712290* &gt;&gt; 2017-12-28-SliceDisagreementCheck.txt</v>
      </c>
      <c r="AE14" s="143" t="str">
        <f t="shared" si="9"/>
        <v>start /low /b %USERPROFILE%\Documents\GitHub\eaglep3\Utilities\DownloadLogsFromS3.py --loco 4062 --day 2017-12-29</v>
      </c>
      <c r="AF14" s="1"/>
    </row>
    <row r="15" spans="1:32" x14ac:dyDescent="0.25">
      <c r="A15" s="31">
        <v>43097.649016203701</v>
      </c>
      <c r="B15" s="30" t="s">
        <v>600</v>
      </c>
      <c r="C15" s="30" t="s">
        <v>687</v>
      </c>
      <c r="D15" s="30" t="s">
        <v>49</v>
      </c>
      <c r="E15" s="30" t="s">
        <v>674</v>
      </c>
      <c r="F15" s="42">
        <v>0</v>
      </c>
      <c r="G15" s="42">
        <v>165</v>
      </c>
      <c r="H15" s="42">
        <v>894</v>
      </c>
      <c r="I15" s="42">
        <v>661</v>
      </c>
      <c r="J15" s="30" t="s">
        <v>675</v>
      </c>
      <c r="K15" s="42">
        <v>1</v>
      </c>
      <c r="L15" s="130" t="s">
        <v>51</v>
      </c>
      <c r="M15" s="131">
        <f t="shared" si="0"/>
        <v>348.48</v>
      </c>
      <c r="N15" s="132" t="str">
        <f>VLOOKUP(C15,'Trips&amp;Operators'!$C$1:$G$99911,5,FALSE)</f>
        <v>ROBINSON KADDIBA</v>
      </c>
      <c r="O15" s="174" t="s">
        <v>178</v>
      </c>
      <c r="P15" s="238"/>
      <c r="Q15" s="30"/>
      <c r="R15" s="80" t="str">
        <f>VLOOKUP(C15,'Train Runs'!$A$13:$AE$10213,31,0)</f>
        <v>aws s3 cp s3://rtdc.mdm.uploadarchive.raw/RTDC4003/ "%USERPROFILE%\AppData\Local\Temp\OnboardLogs"\RTDC4003\2017-12-28 --exclude "*" --recursive --include "*20171228*" &amp; "%USERPROFILE%\Documents\GitHub\mrs-test-scripts\Headless Mode &amp; Sideloading\WalkAndUnGZ.bat" "%USERPROFILE%\AppData\Local\Temp\OnboardLogs"\RTDC4003\2017-12-28 &amp; aws s3 cp s3://rtdc.mdm.uploadarchive.raw/RTDC4003/ "%USERPROFILE%\AppData\Local\Temp\OnboardLogs"\RTDC4003\2017-12-29 --exclude "*" --recursive --include "*20171229*" &amp; "%USERPROFILE%\Documents\GitHub\mrs-test-scripts\Headless Mode &amp; Sideloading\WalkAndUnGZ.bat" "%USERPROFILE%\AppData\Local\Temp\OnboardLogs"\RTDC4003\2017-12-29</v>
      </c>
      <c r="S15" s="83" t="str">
        <f>VLOOKUP(C15,'Train Runs'!$A$13:$AE$10213,22,0)</f>
        <v>https://d0f6bd738d7f1b3e5a7ca70fe4ff75f0.us-east-1.aws.found.io/app/kibana#/discover/Steve-Slow-Train-Analysis-(2080s-and-2083s)?_g=(refreshInterval:(display:Off,pause:!f,section:0,value:0),time:(from:'2017-12-28T13:51:32-0700',mode:absolute,to:'2017-12-28T16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5" s="85" t="str">
        <f t="shared" si="1"/>
        <v>"C:\Program Files (x86)\AstroGrep\AstroGrep.exe" /e /r /s /spath="%USERPROFILE%\AppData\Local\Temp\OnboardLogs" /stypes="*4003*201712282*" /stext=" 22:.+?(?&gt;(PRM\|1\|D)|(KPR)|(KDP)|(train st[a-z]+ moving)|(SYSTEM_STATE:s[a-z]+ state changed)|(Enforcement Action)|(\[TIMEOUT)|(parse_ebi_status: Penalty)|(\|GPPS))"</v>
      </c>
      <c r="U15" s="9" t="str">
        <f t="shared" si="2"/>
        <v>4003</v>
      </c>
      <c r="V15" s="31">
        <f t="shared" si="3"/>
        <v>43097.940682870365</v>
      </c>
      <c r="W15" s="45" t="str">
        <f t="shared" si="4"/>
        <v>EC</v>
      </c>
      <c r="X15" s="227">
        <f t="shared" si="5"/>
        <v>184</v>
      </c>
      <c r="Y15" s="237" t="str">
        <f t="shared" si="6"/>
        <v>echo {"issue":{"subject":"","project_id":79,"tracker_id":40,"status_id":1,"priority_id":2,"assigned_to_id":338,"start_date":"2017-12-28","description":"","custom_fields":[{"id":1,"name":"Subdivision","value":"EC"},{"id":4,"name":"Milepost","value":"0.0001"},{"id":17,"name":"Train ID","value":"184-28"},{"id":16,"name":"Locomotive ID","value":"4003"},{"id":130,"name":"Impact","value":""},{"id":150,"name":"Time of Event (Mountain Time)","value":"15:34:35"},{"id":151,"name":"Denver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7"/>
      <c r="AA15" s="230"/>
      <c r="AB15" s="230"/>
      <c r="AC15" s="114" t="str">
        <f t="shared" si="7"/>
        <v>grep -hrE -A400 "Enforcement Action" /c/Users/stu/AppData/Local/Temp/OnboardLogs/RTDC4003 --include="*4003*201712282*" | grep -E "((Enforcement Action)|(PRM))"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"%USERPROFILE%\AppData\Local\Temp\OnboardLogs"\RTDC4003\*4003*201712282* &gt;&gt; 2017-12-28-SliceDisagreementCheck.txt</v>
      </c>
      <c r="AE15" s="143" t="str">
        <f t="shared" si="9"/>
        <v>start /low /b %USERPROFILE%\Documents\GitHub\eaglep3\Utilities\DownloadLogsFromS3.py --loco 4003 --day 2017-12-28</v>
      </c>
      <c r="AF15" s="1"/>
    </row>
    <row r="16" spans="1:32" x14ac:dyDescent="0.25">
      <c r="A16" s="31">
        <v>43097.884074074071</v>
      </c>
      <c r="B16" s="30" t="s">
        <v>359</v>
      </c>
      <c r="C16" s="30" t="s">
        <v>691</v>
      </c>
      <c r="D16" s="30" t="s">
        <v>95</v>
      </c>
      <c r="E16" s="30" t="s">
        <v>190</v>
      </c>
      <c r="F16" s="42">
        <v>450</v>
      </c>
      <c r="G16" s="42">
        <v>505</v>
      </c>
      <c r="H16" s="42">
        <v>13830</v>
      </c>
      <c r="I16" s="42">
        <v>15298</v>
      </c>
      <c r="J16" s="30" t="s">
        <v>191</v>
      </c>
      <c r="K16" s="42">
        <v>13572</v>
      </c>
      <c r="L16" s="130" t="s">
        <v>50</v>
      </c>
      <c r="M16" s="131">
        <f t="shared" si="0"/>
        <v>-911.32799999999997</v>
      </c>
      <c r="N16" s="132" t="str">
        <f>VLOOKUP(C16,'Trips&amp;Operators'!$C$1:$G$99911,5,FALSE)</f>
        <v>RESPASS AARON</v>
      </c>
      <c r="O16" s="174" t="s">
        <v>178</v>
      </c>
      <c r="P16" s="238"/>
      <c r="Q16" s="30"/>
      <c r="R16" s="80" t="str">
        <f>VLOOKUP(C16,'Train Runs'!$A$13:$AE$10213,31,0)</f>
        <v>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 &amp; 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</v>
      </c>
      <c r="S16" s="83" t="str">
        <f>VLOOKUP(C16,'Train Runs'!$A$13:$AE$10213,22,0)</f>
        <v>https://d0f6bd738d7f1b3e5a7ca70fe4ff75f0.us-east-1.aws.found.io/app/kibana#/discover/Steve-Slow-Train-Analysis-(2080s-and-2083s)?_g=(refreshInterval:(display:Off,pause:!f,section:0,value:0),time:(from:'2017-12-28T20:02:21-0700',mode:absolute,to:'2017-12-28T22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6" s="85" t="str">
        <f t="shared" si="1"/>
        <v>"C:\Program Files (x86)\AstroGrep\AstroGrep.exe" /e /r /s /spath="%USERPROFILE%\AppData\Local\Temp\OnboardLogs" /stypes="*4018*201712290*" /stext=" 04:.+?(?&gt;(PRM\|1\|D)|(KPR)|(KDP)|(train st[a-z]+ moving)|(SYSTEM_STATE:s[a-z]+ state changed)|(Enforcement Action)|(\[TIMEOUT)|(parse_ebi_status: Penalty)|(\|GPPS))"</v>
      </c>
      <c r="U16" s="9" t="str">
        <f t="shared" si="2"/>
        <v>4018</v>
      </c>
      <c r="V16" s="31">
        <f t="shared" si="3"/>
        <v>43098.175740740735</v>
      </c>
      <c r="W16" s="45" t="str">
        <f t="shared" si="4"/>
        <v>NW</v>
      </c>
      <c r="X16" s="227">
        <f t="shared" si="5"/>
        <v>845</v>
      </c>
      <c r="Y16" s="237" t="str">
        <f t="shared" si="6"/>
        <v>echo {"issue":{"subject":"","project_id":79,"tracker_id":40,"status_id":1,"priority_id":2,"assigned_to_id":338,"start_date":"2017-12-28","description":"","custom_fields":[{"id":1,"name":"Subdivision","value":"NW"},{"id":4,"name":"Milepost","value":"1.3572"},{"id":17,"name":"Train ID","value":"845-28"},{"id":16,"name":"Locomotive ID","value":"4018"},{"id":130,"name":"Impact","value":""},{"id":150,"name":"Time of Event (Mountain Time)","value":"21:13:04"},{"id":151,"name":"Denver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7"/>
      <c r="AA16" s="230"/>
      <c r="AB16" s="230"/>
      <c r="AC16" s="114" t="str">
        <f t="shared" si="7"/>
        <v>grep -hrE -A400 "Enforcement Action" /c/Users/stu/AppData/Local/Temp/OnboardLogs/RTDC4018 --include="*4018*201712290*" | grep -E "((Enforcement Action)|(PRM))"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"%USERPROFILE%\AppData\Local\Temp\OnboardLogs"\RTDC4018\*4018*201712290* &gt;&gt; 2017-12-28-SliceDisagreementCheck.txt</v>
      </c>
      <c r="AE16" s="143" t="str">
        <f t="shared" si="9"/>
        <v>start /low /b %USERPROFILE%\Documents\GitHub\eaglep3\Utilities\DownloadLogsFromS3.py --loco 4018 --day 2017-12-29</v>
      </c>
      <c r="AF16" s="1"/>
    </row>
    <row r="17" spans="1:32" s="222" customFormat="1" x14ac:dyDescent="0.25">
      <c r="A17" s="31">
        <v>43097.266550925924</v>
      </c>
      <c r="B17" s="30" t="s">
        <v>676</v>
      </c>
      <c r="C17" s="30" t="s">
        <v>730</v>
      </c>
      <c r="D17" s="30" t="s">
        <v>95</v>
      </c>
      <c r="E17" s="30" t="s">
        <v>353</v>
      </c>
      <c r="F17" s="42">
        <v>0</v>
      </c>
      <c r="G17" s="42">
        <v>91</v>
      </c>
      <c r="H17" s="42">
        <v>4789</v>
      </c>
      <c r="I17" s="42">
        <v>4647</v>
      </c>
      <c r="J17" s="30" t="s">
        <v>191</v>
      </c>
      <c r="K17" s="42">
        <v>4798</v>
      </c>
      <c r="L17" s="130" t="s">
        <v>50</v>
      </c>
      <c r="M17" s="131">
        <f t="shared" si="0"/>
        <v>79.727999999999994</v>
      </c>
      <c r="N17" s="132" t="str">
        <f>VLOOKUP(C17,'Trips&amp;Operators'!$C$1:$G$99911,5,FALSE)</f>
        <v>LOPES KIMBERLY</v>
      </c>
      <c r="O17" s="174" t="s">
        <v>347</v>
      </c>
      <c r="P17" s="238" t="s">
        <v>1082</v>
      </c>
      <c r="Q17" s="30"/>
      <c r="R17" s="80" t="str">
        <f>VLOOKUP(C17,'Train Runs'!$A$13:$AE$10213,31,0)</f>
        <v>aws s3 cp s3://rtdc.mdm.uploadarchive.raw/RTDC4015/ "%USERPROFILE%\AppData\Local\Temp\OnboardLogs"\RTDC4015\2017-12-28 --exclude "*" --recursive --include "*20171228*" &amp; "%USERPROFILE%\Documents\GitHub\mrs-test-scripts\Headless Mode &amp; Sideloading\WalkAndUnGZ.bat" "%USERPROFILE%\AppData\Local\Temp\OnboardLogs"\RTDC4015\2017-12-28 &amp; aws s3 cp s3://rtdc.mdm.uploadarchive.raw/RTDC4015/ "%USERPROFILE%\AppData\Local\Temp\OnboardLogs"\RTDC4015\2017-12-29 --exclude "*" --recursive --include "*20171229*" &amp; "%USERPROFILE%\Documents\GitHub\mrs-test-scripts\Headless Mode &amp; Sideloading\WalkAndUnGZ.bat" "%USERPROFILE%\AppData\Local\Temp\OnboardLogs"\RTDC4015\2017-12-29</v>
      </c>
      <c r="S17" s="83" t="str">
        <f>VLOOKUP(C17,'Train Runs'!$A$13:$AE$10213,22,0)</f>
        <v>https://d0f6bd738d7f1b3e5a7ca70fe4ff75f0.us-east-1.aws.found.io/app/kibana#/discover/Steve-Slow-Train-Analysis-(2080s-and-2083s)?_g=(refreshInterval:(display:Off,pause:!f,section:0,value:0),time:(from:'2017-12-28T04:55:15-0700',mode:absolute,to:'2017-12-28T07:23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7" s="85" t="str">
        <f t="shared" si="1"/>
        <v>"C:\Program Files (x86)\AstroGrep\AstroGrep.exe" /e /r /s /spath="%USERPROFILE%\AppData\Local\Temp\OnboardLogs" /stypes="*4015*201712281*" /stext=" 13:.+?(?&gt;(PRM\|1\|D)|(KPR)|(KDP)|(train st[a-z]+ moving)|(SYSTEM_STATE:s[a-z]+ state changed)|(Enforcement Action)|(\[TIMEOUT)|(parse_ebi_status: Penalty)|(\|GPPS))"</v>
      </c>
      <c r="U17" s="9" t="str">
        <f t="shared" si="2"/>
        <v>4015</v>
      </c>
      <c r="V17" s="31">
        <f t="shared" si="3"/>
        <v>43097.558217592588</v>
      </c>
      <c r="W17" s="45" t="str">
        <f t="shared" si="4"/>
        <v>NW</v>
      </c>
      <c r="X17" s="227">
        <f t="shared" si="5"/>
        <v>802</v>
      </c>
      <c r="Y17" s="237" t="str">
        <f t="shared" si="6"/>
        <v>echo {"issue":{"subject":"Poor GPS @ Wewatta","project_id":79,"tracker_id":40,"status_id":1,"priority_id":2,"assigned_to_id":338,"start_date":"2017-12-28","description":"","custom_fields":[{"id":1,"name":"Subdivision","value":"NW"},{"id":4,"name":"Milepost","value":"0.4798"},{"id":17,"name":"Train ID","value":"802-28"},{"id":16,"name":"Locomotive ID","value":"4015"},{"id":130,"name":"Impact","value":""},{"id":150,"name":"Time of Event (Mountain Time)","value":"06:23:50"},{"id":151,"name":"Denver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7"/>
      <c r="AA17" s="230"/>
      <c r="AB17" s="230"/>
      <c r="AC17" s="114" t="str">
        <f t="shared" si="7"/>
        <v>grep -hrE -A400 "Enforcement Action" /c/Users/stu/AppData/Local/Temp/OnboardLogs/RTDC4015 --include="*4015*201712281*" | grep -E "((Enforcement Action)|(PRM))"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"%USERPROFILE%\AppData\Local\Temp\OnboardLogs"\RTDC4015\*4015*201712281* &gt;&gt; 2017-12-28-SliceDisagreementCheck.txt</v>
      </c>
      <c r="AE17" s="143" t="str">
        <f t="shared" ref="AE17" si="10">"start /low /b "&amp;dls3logs&amp;" --loco "&amp;U17&amp;" --day "&amp;TEXT(V17,"YYYY-MM-DD")</f>
        <v>start /low /b %USERPROFILE%\Documents\GitHub\eaglep3\Utilities\DownloadLogsFromS3.py --loco 4015 --day 2017-12-28</v>
      </c>
      <c r="AF17" s="1"/>
    </row>
    <row r="18" spans="1:32" x14ac:dyDescent="0.25">
      <c r="A18" s="31">
        <v>43097.328831018516</v>
      </c>
      <c r="B18" s="30" t="s">
        <v>564</v>
      </c>
      <c r="C18" s="30" t="s">
        <v>678</v>
      </c>
      <c r="D18" s="30" t="s">
        <v>49</v>
      </c>
      <c r="E18" s="30" t="s">
        <v>674</v>
      </c>
      <c r="F18" s="42">
        <v>0</v>
      </c>
      <c r="G18" s="42">
        <v>104</v>
      </c>
      <c r="H18" s="42">
        <v>58658</v>
      </c>
      <c r="I18" s="42">
        <v>58734</v>
      </c>
      <c r="J18" s="30" t="s">
        <v>675</v>
      </c>
      <c r="K18" s="42">
        <v>59048</v>
      </c>
      <c r="L18" s="130" t="s">
        <v>50</v>
      </c>
      <c r="M18" s="131">
        <f t="shared" si="0"/>
        <v>165.79199999999997</v>
      </c>
      <c r="N18" s="132" t="str">
        <f>VLOOKUP(C18,'Trips&amp;Operators'!$C$1:$G$99911,5,FALSE)</f>
        <v>LOPES KIMBERLY</v>
      </c>
      <c r="O18" s="174" t="s">
        <v>178</v>
      </c>
      <c r="P18" s="238"/>
      <c r="Q18" s="30"/>
      <c r="R18" s="80" t="str">
        <f>VLOOKUP(C18,'Train Runs'!$A$13:$AE$10213,31,0)</f>
        <v>aws s3 cp s3://rtdc.mdm.uploadarchive.raw/RTDC4016/ "%USERPROFILE%\AppData\Local\Temp\OnboardLogs"\RTDC4016\2017-12-28 --exclude "*" --recursive --include "*20171228*" &amp; "%USERPROFILE%\Documents\GitHub\mrs-test-scripts\Headless Mode &amp; Sideloading\WalkAndUnGZ.bat" "%USERPROFILE%\AppData\Local\Temp\OnboardLogs"\RTDC4016\2017-12-28 &amp; aws s3 cp s3://rtdc.mdm.uploadarchive.raw/RTDC4016/ "%USERPROFILE%\AppData\Local\Temp\OnboardLogs"\RTDC4016\2017-12-29 --exclude "*" --recursive --include "*20171229*" &amp; "%USERPROFILE%\Documents\GitHub\mrs-test-scripts\Headless Mode &amp; Sideloading\WalkAndUnGZ.bat" "%USERPROFILE%\AppData\Local\Temp\OnboardLogs"\RTDC4016\2017-12-29</v>
      </c>
      <c r="S18" s="83" t="str">
        <f>VLOOKUP(C18,'Train Runs'!$A$13:$AE$10213,22,0)</f>
        <v>https://d0f6bd738d7f1b3e5a7ca70fe4ff75f0.us-east-1.aws.found.io/app/kibana#/discover/Steve-Slow-Train-Analysis-(2080s-and-2083s)?_g=(refreshInterval:(display:Off,pause:!f,section:0,value:0),time:(from:'2017-12-28T06:27:55-0700',mode:absolute,to:'2017-12-28T08:53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8" s="85" t="str">
        <f t="shared" si="1"/>
        <v>"C:\Program Files (x86)\AstroGrep\AstroGrep.exe" /e /r /s /spath="%USERPROFILE%\AppData\Local\Temp\OnboardLogs" /stypes="*4016*201712281*" /stext=" 14:.+?(?&gt;(PRM\|1\|D)|(KPR)|(KDP)|(train st[a-z]+ moving)|(SYSTEM_STATE:s[a-z]+ state changed)|(Enforcement Action)|(\[TIMEOUT)|(parse_ebi_status: Penalty)|(\|GPPS))"</v>
      </c>
      <c r="U18" s="9" t="str">
        <f t="shared" si="2"/>
        <v>4016</v>
      </c>
      <c r="V18" s="31">
        <f t="shared" si="3"/>
        <v>43097.62049768518</v>
      </c>
      <c r="W18" s="45" t="str">
        <f t="shared" si="4"/>
        <v>NW</v>
      </c>
      <c r="X18" s="227">
        <f t="shared" si="5"/>
        <v>809</v>
      </c>
      <c r="Y18" s="237" t="str">
        <f t="shared" si="6"/>
        <v>echo {"issue":{"subject":"","project_id":79,"tracker_id":40,"status_id":1,"priority_id":2,"assigned_to_id":338,"start_date":"2017-12-28","description":"","custom_fields":[{"id":1,"name":"Subdivision","value":"NW"},{"id":4,"name":"Milepost","value":"5.9048"},{"id":17,"name":"Train ID","value":"809-28"},{"id":16,"name":"Locomotive ID","value":"4016"},{"id":130,"name":"Impact","value":""},{"id":150,"name":"Time of Event (Mountain Time)","value":"07:53:31"},{"id":151,"name":"Denver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7"/>
      <c r="AA18" s="230"/>
      <c r="AB18" s="230"/>
      <c r="AC18" s="114" t="str">
        <f t="shared" si="7"/>
        <v>grep -hrE -A400 "Enforcement Action" /c/Users/stu/AppData/Local/Temp/OnboardLogs/RTDC4016 --include="*4016*201712281*" | grep -E "((Enforcement Action)|(PRM))"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"%USERPROFILE%\AppData\Local\Temp\OnboardLogs"\RTDC4016\*4016*201712281* &gt;&gt; 2017-12-28-SliceDisagreementCheck.txt</v>
      </c>
      <c r="AE18" s="143" t="str">
        <f t="shared" si="9"/>
        <v>start /low /b %USERPROFILE%\Documents\GitHub\eaglep3\Utilities\DownloadLogsFromS3.py --loco 4016 --day 2017-12-28</v>
      </c>
      <c r="AF18" s="1"/>
    </row>
    <row r="19" spans="1:32" x14ac:dyDescent="0.25">
      <c r="A19" s="31">
        <v>43097.980821759258</v>
      </c>
      <c r="B19" s="30" t="s">
        <v>361</v>
      </c>
      <c r="C19" s="30" t="s">
        <v>696</v>
      </c>
      <c r="D19" s="30" t="s">
        <v>49</v>
      </c>
      <c r="E19" s="30" t="s">
        <v>353</v>
      </c>
      <c r="F19" s="42">
        <v>0</v>
      </c>
      <c r="G19" s="42">
        <v>218</v>
      </c>
      <c r="H19" s="42">
        <v>34299</v>
      </c>
      <c r="I19" s="42">
        <v>33916</v>
      </c>
      <c r="J19" s="30" t="s">
        <v>354</v>
      </c>
      <c r="K19" s="42">
        <v>33261</v>
      </c>
      <c r="L19" s="130" t="s">
        <v>51</v>
      </c>
      <c r="M19" s="131">
        <f t="shared" si="0"/>
        <v>345.84</v>
      </c>
      <c r="N19" s="132" t="str">
        <f>VLOOKUP(C19,'Trips&amp;Operators'!$C$1:$G$99911,5,FALSE)</f>
        <v>RESPASS AARON</v>
      </c>
      <c r="O19" s="174" t="s">
        <v>178</v>
      </c>
      <c r="P19" s="238"/>
      <c r="Q19" s="30"/>
      <c r="R19" s="80" t="str">
        <f>VLOOKUP(C19,'Train Runs'!$A$13:$AE$10213,31,0)</f>
        <v>aws s3 cp s3://rtdc.mdm.uploadarchive.raw/RTDC4017/ "%USERPROFILE%\AppData\Local\Temp\OnboardLogs"\RTDC4017\2017-12-28 --exclude "*" --recursive --include "*20171228*" &amp; "%USERPROFILE%\Documents\GitHub\mrs-test-scripts\Headless Mode &amp; Sideloading\WalkAndUnGZ.bat" "%USERPROFILE%\AppData\Local\Temp\OnboardLogs"\RTDC4017\2017-12-28 &amp; 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</v>
      </c>
      <c r="S19" s="83" t="str">
        <f>VLOOKUP(C19,'Train Runs'!$A$13:$AE$10213,22,0)</f>
        <v>https://d0f6bd738d7f1b3e5a7ca70fe4ff75f0.us-east-1.aws.found.io/app/kibana#/discover/Steve-Slow-Train-Analysis-(2080s-and-2083s)?_g=(refreshInterval:(display:Off,pause:!f,section:0,value:0),time:(from:'2017-12-28T22:25:10-0700',mode:absolute,to:'2017-12-29T00:38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9" s="85" t="str">
        <f t="shared" si="1"/>
        <v>"C:\Program Files (x86)\AstroGrep\AstroGrep.exe" /e /r /s /spath="%USERPROFILE%\AppData\Local\Temp\OnboardLogs" /stypes="*4017*201712290*" /stext=" 06:.+?(?&gt;(PRM\|1\|D)|(KPR)|(KDP)|(train st[a-z]+ moving)|(SYSTEM_STATE:s[a-z]+ state changed)|(Enforcement Action)|(\[TIMEOUT)|(parse_ebi_status: Penalty)|(\|GPPS))"</v>
      </c>
      <c r="U19" s="9" t="str">
        <f t="shared" si="2"/>
        <v>4017</v>
      </c>
      <c r="V19" s="31">
        <f t="shared" si="3"/>
        <v>43098.272488425922</v>
      </c>
      <c r="W19" s="45" t="str">
        <f t="shared" si="4"/>
        <v>Other</v>
      </c>
      <c r="X19" s="227">
        <f t="shared" si="5"/>
        <v>908</v>
      </c>
      <c r="Y19" s="237" t="str">
        <f t="shared" si="6"/>
        <v>echo {"issue":{"subject":"","project_id":79,"tracker_id":40,"status_id":1,"priority_id":2,"assigned_to_id":338,"start_date":"2017-12-28","description":"","custom_fields":[{"id":1,"name":"Subdivision","value":"Other"},{"id":4,"name":"Milepost","value":"3.3261"},{"id":17,"name":"Train ID","value":"908-28"},{"id":16,"name":"Locomotive ID","value":"4017"},{"id":130,"name":"Impact","value":""},{"id":150,"name":"Time of Event (Mountain Time)","value":"23:32:23"},{"id":151,"name":"Denver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7"/>
      <c r="AA19" s="230"/>
      <c r="AB19" s="230"/>
      <c r="AC19" s="114" t="str">
        <f t="shared" si="7"/>
        <v>grep -hrE -A400 "Enforcement Action" /c/Users/stu/AppData/Local/Temp/OnboardLogs/RTDC4017 --include="*4017*201712290*" | grep -E "((Enforcement Action)|(PRM))"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"%USERPROFILE%\AppData\Local\Temp\OnboardLogs"\RTDC4017\*4017*201712290* &gt;&gt; 2017-12-28-SliceDisagreementCheck.txt</v>
      </c>
      <c r="AE19" s="143" t="str">
        <f t="shared" si="9"/>
        <v>start /low /b %USERPROFILE%\Documents\GitHub\eaglep3\Utilities\DownloadLogsFromS3.py --loco 4017 --day 2017-12-29</v>
      </c>
      <c r="AF19" s="1"/>
    </row>
    <row r="20" spans="1:32" x14ac:dyDescent="0.25">
      <c r="A20" s="31">
        <v>43097.206550925926</v>
      </c>
      <c r="B20" s="30" t="s">
        <v>600</v>
      </c>
      <c r="C20" s="30" t="s">
        <v>673</v>
      </c>
      <c r="D20" s="30" t="s">
        <v>49</v>
      </c>
      <c r="E20" s="30" t="s">
        <v>674</v>
      </c>
      <c r="F20" s="42">
        <v>0</v>
      </c>
      <c r="G20" s="42">
        <v>151</v>
      </c>
      <c r="H20" s="42">
        <v>775</v>
      </c>
      <c r="I20" s="42">
        <v>639</v>
      </c>
      <c r="J20" s="30" t="s">
        <v>675</v>
      </c>
      <c r="K20" s="42">
        <v>1</v>
      </c>
      <c r="L20" s="130" t="s">
        <v>51</v>
      </c>
      <c r="M20" s="131">
        <f t="shared" si="0"/>
        <v>336.86399999999998</v>
      </c>
      <c r="N20" s="132" t="str">
        <f>VLOOKUP(C20,'Trips&amp;Operators'!$C$1:$G$99911,5,FALSE)</f>
        <v>YANAI IAN</v>
      </c>
      <c r="O20" s="174" t="s">
        <v>178</v>
      </c>
      <c r="P20" s="238"/>
      <c r="Q20" s="30"/>
      <c r="R20" s="80" t="str">
        <f>VLOOKUP(C20,'Train Runs'!$A$13:$AE$10213,31,0)</f>
        <v>aws s3 cp s3://rtdc.mdm.uploadarchive.raw/RTDC4003/ "%USERPROFILE%\AppData\Local\Temp\OnboardLogs"\RTDC4003\2017-12-28 --exclude "*" --recursive --include "*20171228*" &amp; "%USERPROFILE%\Documents\GitHub\mrs-test-scripts\Headless Mode &amp; Sideloading\WalkAndUnGZ.bat" "%USERPROFILE%\AppData\Local\Temp\OnboardLogs"\RTDC4003\2017-12-28 &amp; aws s3 cp s3://rtdc.mdm.uploadarchive.raw/RTDC4003/ "%USERPROFILE%\AppData\Local\Temp\OnboardLogs"\RTDC4003\2017-12-29 --exclude "*" --recursive --include "*20171229*" &amp; "%USERPROFILE%\Documents\GitHub\mrs-test-scripts\Headless Mode &amp; Sideloading\WalkAndUnGZ.bat" "%USERPROFILE%\AppData\Local\Temp\OnboardLogs"\RTDC4003\2017-12-29</v>
      </c>
      <c r="S20" s="83" t="str">
        <f>VLOOKUP(C20,'Train Runs'!$A$13:$AE$10213,22,0)</f>
        <v>https://d0f6bd738d7f1b3e5a7ca70fe4ff75f0.us-east-1.aws.found.io/app/kibana#/discover/Steve-Slow-Train-Analysis-(2080s-and-2083s)?_g=(refreshInterval:(display:Off,pause:!f,section:0,value:0),time:(from:'2017-12-28T03:47:08-0700',mode:absolute,to:'2017-12-28T05:57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0" s="85" t="str">
        <f t="shared" si="1"/>
        <v>"C:\Program Files (x86)\AstroGrep\AstroGrep.exe" /e /r /s /spath="%USERPROFILE%\AppData\Local\Temp\OnboardLogs" /stypes="*4003*201712281*" /stext=" 11:.+?(?&gt;(PRM\|1\|D)|(KPR)|(KDP)|(train st[a-z]+ moving)|(SYSTEM_STATE:s[a-z]+ state changed)|(Enforcement Action)|(\[TIMEOUT)|(parse_ebi_status: Penalty)|(\|GPPS))"</v>
      </c>
      <c r="U20" s="9" t="str">
        <f t="shared" si="2"/>
        <v>4003</v>
      </c>
      <c r="V20" s="31">
        <f t="shared" si="3"/>
        <v>43097.498217592591</v>
      </c>
      <c r="W20" s="45" t="str">
        <f t="shared" si="4"/>
        <v>Other</v>
      </c>
      <c r="X20" s="227">
        <f t="shared" si="5"/>
        <v>310</v>
      </c>
      <c r="Y20" s="237" t="str">
        <f t="shared" si="6"/>
        <v>echo {"issue":{"subject":"","project_id":79,"tracker_id":40,"status_id":1,"priority_id":2,"assigned_to_id":338,"start_date":"2017-12-28","description":"","custom_fields":[{"id":1,"name":"Subdivision","value":"Other"},{"id":4,"name":"Milepost","value":"0.0001"},{"id":17,"name":"Train ID","value":"310-28"},{"id":16,"name":"Locomotive ID","value":"4003"},{"id":130,"name":"Impact","value":""},{"id":150,"name":"Time of Event (Mountain Time)","value":"04:57:26"},{"id":151,"name":"Denver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7"/>
      <c r="AA20" s="230"/>
      <c r="AB20" s="230"/>
      <c r="AC20" s="114" t="str">
        <f t="shared" si="7"/>
        <v>grep -hrE -A400 "Enforcement Action" /c/Users/stu/AppData/Local/Temp/OnboardLogs/RTDC4003 --include="*4003*201712281*" | grep -E "((Enforcement Action)|(PRM))"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"%USERPROFILE%\AppData\Local\Temp\OnboardLogs"\RTDC4003\*4003*201712281* &gt;&gt; 2017-12-28-SliceDisagreementCheck.txt</v>
      </c>
      <c r="AE20" s="143" t="str">
        <f t="shared" si="9"/>
        <v>start /low /b %USERPROFILE%\Documents\GitHub\eaglep3\Utilities\DownloadLogsFromS3.py --loco 4003 --day 2017-12-28</v>
      </c>
      <c r="AF20" s="1"/>
    </row>
    <row r="21" spans="1:32" x14ac:dyDescent="0.25">
      <c r="A21"/>
      <c r="D21"/>
      <c r="E21"/>
      <c r="F21"/>
      <c r="G21"/>
      <c r="H21"/>
      <c r="I21"/>
      <c r="J21"/>
      <c r="K21"/>
      <c r="L21"/>
      <c r="M21"/>
      <c r="N21"/>
      <c r="O21"/>
      <c r="P21"/>
      <c r="R21"/>
      <c r="S21"/>
      <c r="T21"/>
      <c r="V21"/>
      <c r="X21"/>
      <c r="Z21"/>
      <c r="AC21"/>
      <c r="AE21"/>
    </row>
    <row r="22" spans="1:32" x14ac:dyDescent="0.25">
      <c r="A22"/>
      <c r="D22"/>
      <c r="E22"/>
      <c r="F22"/>
      <c r="G22"/>
      <c r="H22"/>
      <c r="I22"/>
      <c r="J22"/>
      <c r="K22"/>
      <c r="L22"/>
      <c r="M22"/>
      <c r="N22"/>
      <c r="O22"/>
      <c r="P22"/>
      <c r="R22"/>
      <c r="S22"/>
      <c r="T22"/>
      <c r="V22"/>
      <c r="X22"/>
      <c r="Z22"/>
      <c r="AC22"/>
      <c r="AE22"/>
    </row>
  </sheetData>
  <autoFilter ref="A6:AC14">
    <sortState ref="A7:AC20">
      <sortCondition ref="W7:W20"/>
      <sortCondition ref="E7:E20"/>
      <sortCondition ref="K7:K20"/>
      <sortCondition ref="F7:F20"/>
    </sortState>
  </autoFilter>
  <sortState ref="A7:AE14">
    <sortCondition ref="W7:W14"/>
    <sortCondition ref="E7:E14"/>
    <sortCondition ref="K7:K14"/>
    <sortCondition ref="C7:C14"/>
    <sortCondition ref="F7:F14"/>
  </sortState>
  <mergeCells count="1">
    <mergeCell ref="A5:O5"/>
  </mergeCells>
  <conditionalFormatting sqref="O2:O3">
    <cfRule type="cellIs" dxfId="2" priority="34" operator="equal">
      <formula>"Y"</formula>
    </cfRule>
  </conditionalFormatting>
  <conditionalFormatting sqref="A7:P20">
    <cfRule type="expression" dxfId="1" priority="27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AA7:AA20</xm:sqref>
        </x14:dataValidation>
        <x14:dataValidation type="list" allowBlank="1" showInputMessage="1" showErrorMessage="1">
          <x14:formula1>
            <xm:f>'Redmine List Values'!$C$2:$C$15</xm:f>
          </x14:formula1>
          <xm:sqref>AB7:AB20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4" customWidth="1"/>
    <col min="2" max="2" width="9.140625" style="2" customWidth="1"/>
    <col min="3" max="3" width="8" style="87" bestFit="1" customWidth="1"/>
    <col min="4" max="4" width="11.28515625" style="13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7" customWidth="1"/>
    <col min="10" max="10" width="9.140625" customWidth="1"/>
  </cols>
  <sheetData>
    <row r="1" spans="1:10" s="20" customFormat="1" x14ac:dyDescent="0.25">
      <c r="A1" s="194"/>
      <c r="B1" s="250" t="str">
        <f>"Trips that did not appear in PTC Data "&amp;TEXT(Variables!$A$2,"YYYY-mm-dd")</f>
        <v>Trips that did not appear in PTC Data 2017-12-28</v>
      </c>
      <c r="C1" s="250"/>
      <c r="D1" s="250"/>
      <c r="E1" s="250"/>
      <c r="F1" s="250"/>
      <c r="I1" s="187"/>
    </row>
    <row r="2" spans="1:10" s="23" customFormat="1" ht="45" x14ac:dyDescent="0.25">
      <c r="A2" s="221" t="s">
        <v>146</v>
      </c>
      <c r="B2" s="89" t="s">
        <v>58</v>
      </c>
      <c r="C2" s="86" t="s">
        <v>59</v>
      </c>
      <c r="D2" s="15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8" t="s">
        <v>101</v>
      </c>
      <c r="J2" s="28" t="s">
        <v>60</v>
      </c>
    </row>
    <row r="3" spans="1:10" x14ac:dyDescent="0.25">
      <c r="A3" s="196"/>
      <c r="B3" s="42" t="str">
        <f>A3&amp;"-"&amp;IF(DAY(Variables!$A$2)&lt;10,0,"")&amp;DAY(Variables!$A$2)</f>
        <v>-28</v>
      </c>
      <c r="C3" s="133"/>
      <c r="D3" s="151" t="e">
        <f>VLOOKUP(B3,'Trips&amp;Operators'!$C$1:$H$1072,6,FALSE)</f>
        <v>#N/A</v>
      </c>
      <c r="E3" s="30"/>
      <c r="F3" s="226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89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" s="30" t="e">
        <f>VLOOKUP(B3,'Train Runs'!$A$13:$A$100210,1,FALSE)</f>
        <v>#N/A</v>
      </c>
    </row>
    <row r="4" spans="1:10" x14ac:dyDescent="0.25">
      <c r="A4" s="196"/>
      <c r="B4" s="42" t="str">
        <f>A4&amp;"-"&amp;IF(DAY(Variables!$A$2)&lt;10,0,"")&amp;DAY(Variables!$A$2)</f>
        <v>-28</v>
      </c>
      <c r="C4" s="133"/>
      <c r="D4" s="151" t="e">
        <f>VLOOKUP(B4,'Trips&amp;Operators'!$C$1:$H$1072,6,FALSE)</f>
        <v>#N/A</v>
      </c>
      <c r="E4" s="30"/>
      <c r="F4" s="226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" s="30" t="e">
        <f>VLOOKUP(B4,'Train Runs'!$A$13:$A$100210,1,FALSE)</f>
        <v>#N/A</v>
      </c>
    </row>
    <row r="5" spans="1:10" x14ac:dyDescent="0.25">
      <c r="A5" s="196"/>
      <c r="B5" s="42" t="str">
        <f>A5&amp;"-"&amp;IF(DAY(Variables!$A$2)&lt;10,0,"")&amp;DAY(Variables!$A$2)</f>
        <v>-28</v>
      </c>
      <c r="C5" s="133"/>
      <c r="D5" s="151" t="e">
        <f>VLOOKUP(B5,'Trips&amp;Operators'!$C$1:$H$1072,6,FALSE)</f>
        <v>#N/A</v>
      </c>
      <c r="E5" s="30"/>
      <c r="F5" s="226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" s="30" t="e">
        <f>VLOOKUP(B5,'Train Runs'!$A$13:$A$100210,1,FALSE)</f>
        <v>#N/A</v>
      </c>
    </row>
    <row r="6" spans="1:10" x14ac:dyDescent="0.25">
      <c r="A6" s="196"/>
      <c r="B6" s="42" t="str">
        <f>A6&amp;"-"&amp;IF(DAY(Variables!$A$2)&lt;10,0,"")&amp;DAY(Variables!$A$2)</f>
        <v>-28</v>
      </c>
      <c r="C6" s="133"/>
      <c r="D6" s="151" t="e">
        <f>VLOOKUP(B6,'Trips&amp;Operators'!$C$1:$H$1072,6,FALSE)</f>
        <v>#N/A</v>
      </c>
      <c r="E6" s="30"/>
      <c r="F6" s="226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" s="30" t="e">
        <f>VLOOKUP(B6,'Train Runs'!$A$13:$A$100210,1,FALSE)</f>
        <v>#N/A</v>
      </c>
    </row>
    <row r="7" spans="1:10" x14ac:dyDescent="0.25">
      <c r="A7" s="196"/>
      <c r="B7" s="42" t="str">
        <f>A7&amp;"-"&amp;IF(DAY(Variables!$A$2)&lt;10,0,"")&amp;DAY(Variables!$A$2)</f>
        <v>-28</v>
      </c>
      <c r="C7" s="133"/>
      <c r="D7" s="151" t="e">
        <f>VLOOKUP(B7,'Trips&amp;Operators'!$C$1:$H$1072,6,FALSE)</f>
        <v>#N/A</v>
      </c>
      <c r="E7" s="30"/>
      <c r="F7" s="226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" s="30" t="e">
        <f>VLOOKUP(B7,'Train Runs'!$A$13:$A$100210,1,FALSE)</f>
        <v>#N/A</v>
      </c>
    </row>
    <row r="8" spans="1:10" x14ac:dyDescent="0.25">
      <c r="A8" s="196"/>
      <c r="B8" s="42" t="str">
        <f>A8&amp;"-"&amp;IF(DAY(Variables!$A$2)&lt;10,0,"")&amp;DAY(Variables!$A$2)</f>
        <v>-28</v>
      </c>
      <c r="C8" s="133"/>
      <c r="D8" s="151" t="e">
        <f>VLOOKUP(B8,'Trips&amp;Operators'!$C$1:$H$1072,6,FALSE)</f>
        <v>#N/A</v>
      </c>
      <c r="E8" s="30"/>
      <c r="F8" s="226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" s="30" t="e">
        <f>VLOOKUP(B8,'Train Runs'!$A$13:$A$100210,1,FALSE)</f>
        <v>#N/A</v>
      </c>
    </row>
    <row r="9" spans="1:10" x14ac:dyDescent="0.25">
      <c r="A9" s="196"/>
      <c r="B9" s="42" t="str">
        <f>A9&amp;"-"&amp;IF(DAY(Variables!$A$2)&lt;10,0,"")&amp;DAY(Variables!$A$2)</f>
        <v>-28</v>
      </c>
      <c r="C9" s="133"/>
      <c r="D9" s="151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" s="30" t="e">
        <f>VLOOKUP(B9,'Train Runs'!$A$13:$A$100210,1,FALSE)</f>
        <v>#N/A</v>
      </c>
    </row>
    <row r="10" spans="1:10" x14ac:dyDescent="0.25">
      <c r="A10" s="196"/>
      <c r="B10" s="42" t="str">
        <f>A10&amp;"-"&amp;IF(DAY(Variables!$A$2)&lt;10,0,"")&amp;DAY(Variables!$A$2)</f>
        <v>-28</v>
      </c>
      <c r="C10" s="133"/>
      <c r="D10" s="151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" s="30" t="e">
        <f>VLOOKUP(B10,'Train Runs'!$A$13:$A$100210,1,FALSE)</f>
        <v>#N/A</v>
      </c>
    </row>
    <row r="11" spans="1:10" x14ac:dyDescent="0.25">
      <c r="A11" s="196"/>
      <c r="B11" s="42" t="str">
        <f>A11&amp;"-"&amp;IF(DAY(Variables!$A$2)&lt;10,0,"")&amp;DAY(Variables!$A$2)</f>
        <v>-28</v>
      </c>
      <c r="C11" s="133"/>
      <c r="D11" s="151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" s="30" t="e">
        <f>VLOOKUP(B11,'Train Runs'!$A$13:$A$100210,1,FALSE)</f>
        <v>#N/A</v>
      </c>
    </row>
    <row r="12" spans="1:10" x14ac:dyDescent="0.25">
      <c r="A12" s="196"/>
      <c r="B12" s="42" t="str">
        <f>A12&amp;"-"&amp;IF(DAY(Variables!$A$2)&lt;10,0,"")&amp;DAY(Variables!$A$2)</f>
        <v>-28</v>
      </c>
      <c r="C12" s="133"/>
      <c r="D12" s="151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" s="30" t="e">
        <f>VLOOKUP(B12,'Train Runs'!$A$13:$A$100210,1,FALSE)</f>
        <v>#N/A</v>
      </c>
    </row>
    <row r="13" spans="1:10" x14ac:dyDescent="0.25">
      <c r="A13" s="196"/>
      <c r="B13" s="42" t="str">
        <f>A13&amp;"-"&amp;IF(DAY(Variables!$A$2)&lt;10,0,"")&amp;DAY(Variables!$A$2)</f>
        <v>-28</v>
      </c>
      <c r="C13" s="133"/>
      <c r="D13" s="151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3" s="30" t="e">
        <f>VLOOKUP(B13,'Train Runs'!$A$13:$A$100210,1,FALSE)</f>
        <v>#N/A</v>
      </c>
    </row>
    <row r="14" spans="1:10" x14ac:dyDescent="0.25">
      <c r="A14" s="196"/>
      <c r="B14" s="42" t="str">
        <f>A14&amp;"-"&amp;IF(DAY(Variables!$A$2)&lt;10,0,"")&amp;DAY(Variables!$A$2)</f>
        <v>-28</v>
      </c>
      <c r="C14" s="133"/>
      <c r="D14" s="151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4" s="30" t="e">
        <f>VLOOKUP(B14,'Train Runs'!$A$13:$A$100210,1,FALSE)</f>
        <v>#N/A</v>
      </c>
    </row>
    <row r="15" spans="1:10" x14ac:dyDescent="0.25">
      <c r="A15" s="196"/>
      <c r="B15" s="42" t="str">
        <f>A15&amp;"-"&amp;IF(DAY(Variables!$A$2)&lt;10,0,"")&amp;DAY(Variables!$A$2)</f>
        <v>-28</v>
      </c>
      <c r="C15" s="133"/>
      <c r="D15" s="151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5" s="30" t="e">
        <f>VLOOKUP(B15,'Train Runs'!$A$13:$A$100210,1,FALSE)</f>
        <v>#N/A</v>
      </c>
    </row>
    <row r="16" spans="1:10" x14ac:dyDescent="0.25">
      <c r="A16" s="196"/>
      <c r="B16" s="42" t="str">
        <f>A16&amp;"-"&amp;IF(DAY(Variables!$A$2)&lt;10,0,"")&amp;DAY(Variables!$A$2)</f>
        <v>-28</v>
      </c>
      <c r="C16" s="133"/>
      <c r="D16" s="151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6" s="30" t="e">
        <f>VLOOKUP(B16,'Train Runs'!$A$13:$A$100210,1,FALSE)</f>
        <v>#N/A</v>
      </c>
    </row>
    <row r="17" spans="1:10" x14ac:dyDescent="0.25">
      <c r="A17" s="196"/>
      <c r="B17" s="42" t="str">
        <f>A17&amp;"-"&amp;IF(DAY(Variables!$A$2)&lt;10,0,"")&amp;DAY(Variables!$A$2)</f>
        <v>-28</v>
      </c>
      <c r="C17" s="133"/>
      <c r="D17" s="151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7" s="30" t="e">
        <f>VLOOKUP(B17,'Train Runs'!$A$13:$A$100210,1,FALSE)</f>
        <v>#N/A</v>
      </c>
    </row>
    <row r="18" spans="1:10" x14ac:dyDescent="0.25">
      <c r="A18" s="196"/>
      <c r="B18" s="42" t="str">
        <f>A18&amp;"-"&amp;IF(DAY(Variables!$A$2)&lt;10,0,"")&amp;DAY(Variables!$A$2)</f>
        <v>-28</v>
      </c>
      <c r="C18" s="133"/>
      <c r="D18" s="151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8" s="30" t="e">
        <f>VLOOKUP(B18,'Train Runs'!$A$13:$A$100210,1,FALSE)</f>
        <v>#N/A</v>
      </c>
    </row>
    <row r="19" spans="1:10" x14ac:dyDescent="0.25">
      <c r="A19" s="196"/>
      <c r="B19" s="42"/>
      <c r="C19" s="133"/>
      <c r="D19" s="151"/>
      <c r="E19" s="30"/>
      <c r="F19" s="21"/>
      <c r="G19" s="21"/>
      <c r="H19" s="29"/>
      <c r="I19" s="189"/>
      <c r="J19" s="30"/>
    </row>
    <row r="20" spans="1:10" x14ac:dyDescent="0.25">
      <c r="A20" s="196"/>
      <c r="B20" s="42"/>
      <c r="C20" s="133"/>
      <c r="D20" s="151"/>
      <c r="E20" s="30"/>
      <c r="F20" s="21"/>
      <c r="G20" s="21"/>
      <c r="H20" s="29"/>
      <c r="I20" s="189"/>
      <c r="J20" s="30"/>
    </row>
    <row r="21" spans="1:10" x14ac:dyDescent="0.25">
      <c r="A21" s="196"/>
      <c r="B21" s="42"/>
      <c r="C21" s="133"/>
      <c r="D21" s="151"/>
      <c r="E21" s="30"/>
      <c r="F21" s="21"/>
      <c r="G21" s="21"/>
      <c r="H21" s="29"/>
      <c r="I21" s="189"/>
      <c r="J21" s="30"/>
    </row>
    <row r="22" spans="1:10" x14ac:dyDescent="0.25">
      <c r="A22" s="196"/>
      <c r="B22" s="42"/>
      <c r="C22" s="133"/>
      <c r="D22" s="151"/>
      <c r="E22" s="30"/>
      <c r="F22" s="21"/>
      <c r="G22" s="21"/>
      <c r="H22" s="29"/>
      <c r="I22" s="189"/>
      <c r="J22" s="30"/>
    </row>
    <row r="23" spans="1:10" x14ac:dyDescent="0.25">
      <c r="A23" s="196"/>
      <c r="B23" s="42"/>
      <c r="C23" s="133"/>
      <c r="D23" s="151"/>
      <c r="E23" s="30"/>
      <c r="F23" s="21"/>
      <c r="G23" s="21"/>
      <c r="H23" s="29"/>
      <c r="I23" s="189"/>
      <c r="J23" s="30"/>
    </row>
    <row r="24" spans="1:10" x14ac:dyDescent="0.25">
      <c r="A24" s="196"/>
      <c r="B24" s="42"/>
      <c r="C24" s="133"/>
      <c r="D24" s="151"/>
      <c r="E24" s="30"/>
      <c r="F24" s="21"/>
      <c r="G24" s="21"/>
      <c r="H24" s="29"/>
      <c r="I24" s="189"/>
      <c r="J24" s="30"/>
    </row>
    <row r="25" spans="1:10" x14ac:dyDescent="0.25">
      <c r="A25" s="196"/>
      <c r="B25" s="42"/>
      <c r="C25" s="133"/>
      <c r="D25" s="151"/>
      <c r="E25" s="30"/>
      <c r="F25" s="21"/>
      <c r="G25" s="21"/>
      <c r="H25" s="29"/>
      <c r="I25" s="189"/>
      <c r="J25" s="30"/>
    </row>
    <row r="26" spans="1:10" x14ac:dyDescent="0.25">
      <c r="A26" s="196"/>
      <c r="B26" s="42"/>
      <c r="C26" s="133"/>
      <c r="D26" s="151"/>
      <c r="E26" s="30"/>
      <c r="F26" s="21"/>
      <c r="G26" s="21"/>
      <c r="H26" s="29"/>
      <c r="I26" s="189"/>
      <c r="J26" s="30"/>
    </row>
    <row r="27" spans="1:10" x14ac:dyDescent="0.25">
      <c r="A27" s="196"/>
      <c r="B27" s="42"/>
      <c r="C27" s="133"/>
      <c r="D27" s="151"/>
      <c r="E27" s="30"/>
      <c r="F27" s="21"/>
      <c r="G27" s="21"/>
      <c r="H27" s="29"/>
      <c r="I27" s="189"/>
      <c r="J27" s="30"/>
    </row>
    <row r="28" spans="1:10" x14ac:dyDescent="0.25">
      <c r="A28" s="196"/>
      <c r="B28" s="42"/>
      <c r="C28" s="133"/>
      <c r="D28" s="151"/>
      <c r="E28" s="30"/>
      <c r="F28" s="21"/>
      <c r="G28" s="21"/>
      <c r="H28" s="29"/>
      <c r="I28" s="189"/>
      <c r="J28" s="30"/>
    </row>
    <row r="29" spans="1:10" x14ac:dyDescent="0.25">
      <c r="A29" s="196"/>
      <c r="B29" s="42"/>
      <c r="C29" s="133"/>
      <c r="D29" s="151"/>
      <c r="E29" s="30"/>
      <c r="F29" s="21"/>
      <c r="G29" s="21"/>
      <c r="H29" s="29"/>
      <c r="I29" s="189"/>
      <c r="J29" s="30"/>
    </row>
    <row r="30" spans="1:10" x14ac:dyDescent="0.25">
      <c r="A30" s="196"/>
      <c r="B30" s="42"/>
      <c r="C30" s="133"/>
      <c r="D30" s="151"/>
      <c r="E30" s="30"/>
      <c r="F30" s="21"/>
      <c r="G30" s="21"/>
      <c r="H30" s="29"/>
      <c r="I30" s="189"/>
      <c r="J30" s="30"/>
    </row>
    <row r="31" spans="1:10" x14ac:dyDescent="0.25">
      <c r="A31" s="196"/>
      <c r="B31" s="42"/>
      <c r="C31" s="133"/>
      <c r="D31" s="151"/>
      <c r="E31" s="30"/>
      <c r="F31" s="21"/>
      <c r="G31" s="21"/>
      <c r="H31" s="29"/>
      <c r="I31" s="189"/>
      <c r="J31" s="30"/>
    </row>
    <row r="32" spans="1:10" x14ac:dyDescent="0.25">
      <c r="A32" s="196"/>
      <c r="B32" s="42"/>
      <c r="C32" s="133"/>
      <c r="D32" s="151"/>
      <c r="E32" s="30"/>
      <c r="F32" s="21"/>
      <c r="G32" s="21"/>
      <c r="H32" s="29"/>
      <c r="I32" s="189"/>
      <c r="J32" s="30"/>
    </row>
    <row r="33" spans="1:10" x14ac:dyDescent="0.25">
      <c r="A33" s="196"/>
      <c r="B33" s="42"/>
      <c r="C33" s="133"/>
      <c r="D33" s="151"/>
      <c r="E33" s="30"/>
      <c r="F33" s="21"/>
      <c r="G33" s="21"/>
      <c r="H33" s="29"/>
      <c r="I33" s="189"/>
      <c r="J33" s="30"/>
    </row>
    <row r="34" spans="1:10" x14ac:dyDescent="0.25">
      <c r="A34" s="196"/>
      <c r="B34" s="42"/>
      <c r="C34" s="133"/>
      <c r="D34" s="151"/>
      <c r="E34" s="30"/>
      <c r="F34" s="21"/>
      <c r="G34" s="21"/>
      <c r="H34" s="29"/>
      <c r="I34" s="189"/>
      <c r="J34" s="30"/>
    </row>
    <row r="35" spans="1:10" x14ac:dyDescent="0.25">
      <c r="A35" s="196"/>
      <c r="B35" s="42"/>
      <c r="C35" s="133"/>
      <c r="D35" s="151"/>
      <c r="E35" s="30"/>
      <c r="F35" s="21"/>
      <c r="G35" s="21"/>
      <c r="H35" s="29"/>
      <c r="I35" s="189"/>
      <c r="J35" s="30"/>
    </row>
    <row r="36" spans="1:10" x14ac:dyDescent="0.25">
      <c r="A36" s="196"/>
      <c r="B36" s="42"/>
      <c r="C36" s="133"/>
      <c r="D36" s="151"/>
      <c r="E36" s="30"/>
      <c r="F36" s="21"/>
      <c r="G36" s="21"/>
      <c r="H36" s="29"/>
      <c r="I36" s="189"/>
      <c r="J36" s="30"/>
    </row>
    <row r="37" spans="1:10" x14ac:dyDescent="0.25">
      <c r="A37" s="196"/>
      <c r="B37" s="42"/>
      <c r="C37" s="133"/>
      <c r="D37" s="151"/>
      <c r="E37" s="30"/>
      <c r="F37" s="21"/>
      <c r="G37" s="21"/>
      <c r="H37" s="29"/>
      <c r="I37" s="189"/>
      <c r="J37" s="30"/>
    </row>
    <row r="38" spans="1:10" x14ac:dyDescent="0.25">
      <c r="A38" s="196"/>
      <c r="B38" s="42"/>
      <c r="C38" s="133"/>
      <c r="D38" s="151"/>
      <c r="E38" s="30"/>
      <c r="F38" s="21"/>
      <c r="G38" s="21"/>
      <c r="H38" s="29"/>
      <c r="I38" s="189"/>
      <c r="J38" s="30"/>
    </row>
    <row r="39" spans="1:10" x14ac:dyDescent="0.25">
      <c r="A39" s="196"/>
      <c r="B39" s="42"/>
      <c r="C39" s="133"/>
      <c r="D39" s="151"/>
      <c r="E39" s="30"/>
      <c r="F39" s="21"/>
      <c r="G39" s="21"/>
      <c r="H39" s="29"/>
      <c r="I39" s="189"/>
      <c r="J39" s="30"/>
    </row>
    <row r="40" spans="1:10" x14ac:dyDescent="0.25">
      <c r="A40" s="196"/>
      <c r="B40" s="42"/>
      <c r="C40" s="133"/>
      <c r="D40" s="151"/>
      <c r="E40" s="30"/>
      <c r="F40" s="21"/>
      <c r="G40" s="21"/>
      <c r="H40" s="29"/>
      <c r="I40" s="189"/>
      <c r="J40" s="30"/>
    </row>
    <row r="41" spans="1:10" x14ac:dyDescent="0.25">
      <c r="A41" s="196"/>
      <c r="B41" s="42"/>
      <c r="C41" s="133"/>
      <c r="D41" s="151"/>
      <c r="E41" s="30"/>
      <c r="F41" s="21"/>
      <c r="G41" s="21"/>
      <c r="H41" s="29"/>
      <c r="I41" s="189"/>
      <c r="J41" s="30"/>
    </row>
    <row r="42" spans="1:10" x14ac:dyDescent="0.25">
      <c r="A42" s="196"/>
      <c r="B42" s="42"/>
      <c r="C42" s="133"/>
      <c r="D42" s="151"/>
      <c r="E42" s="30"/>
      <c r="F42" s="21"/>
      <c r="G42" s="21"/>
      <c r="H42" s="29"/>
      <c r="I42" s="189"/>
      <c r="J42" s="30"/>
    </row>
    <row r="43" spans="1:10" x14ac:dyDescent="0.25">
      <c r="A43" s="196"/>
      <c r="B43" s="42"/>
      <c r="C43" s="133"/>
      <c r="D43" s="151"/>
      <c r="E43" s="30"/>
      <c r="F43" s="21"/>
      <c r="G43" s="21"/>
      <c r="H43" s="29"/>
      <c r="I43" s="189"/>
      <c r="J43" s="30"/>
    </row>
    <row r="44" spans="1:10" x14ac:dyDescent="0.25">
      <c r="A44" s="196"/>
      <c r="B44" s="42"/>
      <c r="C44" s="133"/>
      <c r="D44" s="151"/>
      <c r="E44" s="30"/>
      <c r="F44" s="21"/>
      <c r="G44" s="21"/>
      <c r="H44" s="29"/>
      <c r="I44" s="189"/>
      <c r="J44" s="30"/>
    </row>
    <row r="45" spans="1:10" x14ac:dyDescent="0.25">
      <c r="A45" s="196"/>
      <c r="B45" s="42"/>
      <c r="C45" s="133"/>
      <c r="D45" s="151"/>
      <c r="E45" s="30"/>
      <c r="F45" s="21"/>
      <c r="G45" s="21"/>
      <c r="H45" s="29"/>
      <c r="I45" s="189"/>
      <c r="J45" s="30"/>
    </row>
    <row r="46" spans="1:10" x14ac:dyDescent="0.25">
      <c r="A46" s="196"/>
      <c r="B46" s="42"/>
      <c r="C46" s="133"/>
      <c r="D46" s="151"/>
      <c r="E46" s="30"/>
      <c r="F46" s="21"/>
      <c r="G46" s="21"/>
      <c r="H46" s="29"/>
      <c r="I46" s="189"/>
      <c r="J46" s="30"/>
    </row>
    <row r="47" spans="1:10" x14ac:dyDescent="0.25">
      <c r="A47" s="196"/>
      <c r="B47" s="42"/>
      <c r="C47" s="133"/>
      <c r="D47" s="151"/>
      <c r="E47" s="30"/>
      <c r="F47" s="21"/>
      <c r="G47" s="21"/>
      <c r="H47" s="29"/>
      <c r="I47" s="189"/>
      <c r="J47" s="30"/>
    </row>
    <row r="48" spans="1:10" x14ac:dyDescent="0.25">
      <c r="A48" s="196"/>
      <c r="B48" s="42"/>
      <c r="C48" s="133"/>
      <c r="D48" s="151"/>
      <c r="E48" s="30"/>
      <c r="F48" s="21"/>
      <c r="G48" s="21"/>
      <c r="H48" s="29"/>
      <c r="I48" s="189"/>
      <c r="J48" s="30"/>
    </row>
    <row r="49" spans="1:10" x14ac:dyDescent="0.25">
      <c r="A49" s="196"/>
      <c r="B49" s="42"/>
      <c r="C49" s="133"/>
      <c r="D49" s="151"/>
      <c r="E49" s="30"/>
      <c r="F49" s="21"/>
      <c r="G49" s="21"/>
      <c r="H49" s="29"/>
      <c r="I49" s="189"/>
      <c r="J49" s="30"/>
    </row>
    <row r="50" spans="1:10" x14ac:dyDescent="0.25">
      <c r="A50" s="196"/>
      <c r="B50" s="42"/>
      <c r="C50" s="133"/>
      <c r="D50" s="151"/>
      <c r="E50" s="30"/>
      <c r="F50" s="21"/>
      <c r="G50" s="21"/>
      <c r="H50" s="29"/>
      <c r="I50" s="189"/>
      <c r="J50" s="30"/>
    </row>
    <row r="51" spans="1:10" x14ac:dyDescent="0.25">
      <c r="A51" s="196"/>
      <c r="B51" s="42"/>
      <c r="C51" s="133"/>
      <c r="D51" s="151"/>
      <c r="E51" s="30"/>
      <c r="F51" s="21"/>
      <c r="G51" s="21"/>
      <c r="H51" s="29"/>
      <c r="I51" s="189"/>
      <c r="J51" s="30"/>
    </row>
    <row r="52" spans="1:10" x14ac:dyDescent="0.25">
      <c r="A52" s="196"/>
      <c r="B52" s="42"/>
      <c r="C52" s="133"/>
      <c r="D52" s="151"/>
      <c r="E52" s="30"/>
      <c r="F52" s="21"/>
      <c r="G52" s="21"/>
      <c r="H52" s="29"/>
      <c r="I52" s="189"/>
      <c r="J52" s="30"/>
    </row>
    <row r="53" spans="1:10" x14ac:dyDescent="0.25">
      <c r="A53" s="196"/>
      <c r="B53" s="42"/>
      <c r="C53" s="133"/>
      <c r="D53" s="151"/>
      <c r="E53" s="30"/>
      <c r="F53" s="21"/>
      <c r="G53" s="21"/>
      <c r="H53" s="29"/>
      <c r="I53" s="189"/>
      <c r="J53" s="30"/>
    </row>
    <row r="54" spans="1:10" x14ac:dyDescent="0.25">
      <c r="A54" s="196"/>
      <c r="B54" s="42"/>
      <c r="C54" s="133"/>
      <c r="D54" s="151"/>
      <c r="E54" s="30"/>
      <c r="F54" s="21"/>
      <c r="G54" s="21"/>
      <c r="H54" s="29"/>
      <c r="I54" s="189"/>
      <c r="J54" s="30"/>
    </row>
    <row r="55" spans="1:10" x14ac:dyDescent="0.25">
      <c r="A55" s="196"/>
      <c r="B55" s="42"/>
      <c r="C55" s="133"/>
      <c r="D55" s="151"/>
      <c r="E55" s="30"/>
      <c r="F55" s="21"/>
      <c r="G55" s="21"/>
      <c r="H55" s="29"/>
      <c r="I55" s="189"/>
      <c r="J55" s="30"/>
    </row>
    <row r="56" spans="1:10" x14ac:dyDescent="0.25">
      <c r="A56" s="196"/>
      <c r="B56" s="42"/>
      <c r="C56" s="133"/>
      <c r="D56" s="151"/>
      <c r="E56" s="30"/>
      <c r="F56" s="21"/>
      <c r="G56" s="21"/>
      <c r="H56" s="29"/>
      <c r="I56" s="189"/>
      <c r="J56" s="30"/>
    </row>
    <row r="57" spans="1:10" x14ac:dyDescent="0.25">
      <c r="A57" s="196"/>
      <c r="B57" s="42"/>
      <c r="C57" s="133"/>
      <c r="D57" s="151"/>
      <c r="E57" s="30"/>
      <c r="F57" s="21"/>
      <c r="G57" s="21"/>
      <c r="H57" s="29"/>
      <c r="I57" s="189"/>
      <c r="J57" s="30"/>
    </row>
    <row r="58" spans="1:10" x14ac:dyDescent="0.25">
      <c r="A58" s="196"/>
      <c r="B58" s="42"/>
      <c r="C58" s="133"/>
      <c r="D58" s="151"/>
      <c r="E58" s="30"/>
      <c r="F58" s="21"/>
      <c r="G58" s="21"/>
      <c r="H58" s="29"/>
      <c r="I58" s="189"/>
      <c r="J58" s="30"/>
    </row>
    <row r="59" spans="1:10" x14ac:dyDescent="0.25">
      <c r="A59" s="196"/>
      <c r="B59" s="42"/>
      <c r="C59" s="133"/>
      <c r="D59" s="151"/>
      <c r="E59" s="30"/>
      <c r="F59" s="21"/>
      <c r="G59" s="21"/>
      <c r="H59" s="29"/>
      <c r="I59" s="189"/>
      <c r="J59" s="30"/>
    </row>
    <row r="60" spans="1:10" x14ac:dyDescent="0.25">
      <c r="A60" s="196"/>
      <c r="B60" s="42"/>
      <c r="C60" s="133"/>
      <c r="D60" s="151"/>
      <c r="E60" s="30"/>
      <c r="F60" s="21"/>
      <c r="G60" s="21"/>
      <c r="H60" s="29"/>
      <c r="I60" s="189"/>
      <c r="J60" s="30"/>
    </row>
    <row r="61" spans="1:10" x14ac:dyDescent="0.25">
      <c r="A61" s="196"/>
      <c r="B61" s="42"/>
      <c r="C61" s="133"/>
      <c r="D61" s="151"/>
      <c r="E61" s="30"/>
      <c r="F61" s="21"/>
      <c r="G61" s="21"/>
      <c r="H61" s="29"/>
      <c r="I61" s="189"/>
      <c r="J61" s="30"/>
    </row>
    <row r="62" spans="1:10" x14ac:dyDescent="0.25">
      <c r="A62" s="196"/>
      <c r="B62" s="42"/>
      <c r="C62" s="133"/>
      <c r="D62" s="151"/>
      <c r="E62" s="30"/>
      <c r="F62" s="21"/>
      <c r="G62" s="21"/>
      <c r="H62" s="29"/>
      <c r="I62" s="189"/>
      <c r="J62" s="30"/>
    </row>
    <row r="63" spans="1:10" x14ac:dyDescent="0.25">
      <c r="A63" s="196"/>
      <c r="B63" s="42"/>
      <c r="C63" s="133"/>
      <c r="D63" s="151"/>
      <c r="E63" s="30"/>
      <c r="F63" s="21"/>
      <c r="G63" s="21"/>
      <c r="H63" s="29"/>
      <c r="I63" s="189"/>
      <c r="J63" s="30"/>
    </row>
    <row r="64" spans="1:10" x14ac:dyDescent="0.25">
      <c r="A64" s="196"/>
      <c r="B64" s="42"/>
      <c r="C64" s="133"/>
      <c r="D64" s="151"/>
      <c r="E64" s="30"/>
      <c r="F64" s="21"/>
      <c r="G64" s="21"/>
      <c r="H64" s="29"/>
      <c r="I64" s="189"/>
      <c r="J64" s="30"/>
    </row>
    <row r="65" spans="1:10" x14ac:dyDescent="0.25">
      <c r="A65" s="196"/>
      <c r="B65" s="42"/>
      <c r="C65" s="133"/>
      <c r="D65" s="151"/>
      <c r="E65" s="30"/>
      <c r="F65" s="21"/>
      <c r="G65" s="21"/>
      <c r="H65" s="29"/>
      <c r="I65" s="189"/>
      <c r="J65" s="30"/>
    </row>
    <row r="66" spans="1:10" x14ac:dyDescent="0.25">
      <c r="A66" s="196"/>
      <c r="B66" s="42"/>
      <c r="C66" s="133"/>
      <c r="D66" s="151"/>
      <c r="E66" s="30"/>
      <c r="F66" s="21"/>
      <c r="G66" s="21"/>
      <c r="H66" s="29"/>
      <c r="I66" s="189"/>
      <c r="J66" s="30"/>
    </row>
    <row r="67" spans="1:10" x14ac:dyDescent="0.25">
      <c r="A67" s="196"/>
      <c r="B67" s="42"/>
      <c r="C67" s="133"/>
      <c r="D67" s="151"/>
      <c r="E67" s="30"/>
      <c r="F67" s="21"/>
      <c r="G67" s="21"/>
      <c r="H67" s="29"/>
      <c r="I67" s="189"/>
      <c r="J67" s="30"/>
    </row>
    <row r="68" spans="1:10" x14ac:dyDescent="0.25">
      <c r="A68" s="196"/>
      <c r="B68" s="42"/>
      <c r="C68" s="133"/>
      <c r="D68" s="151"/>
      <c r="E68" s="30"/>
      <c r="F68" s="21"/>
      <c r="G68" s="21"/>
      <c r="H68" s="29"/>
      <c r="I68" s="189"/>
      <c r="J68" s="30"/>
    </row>
    <row r="69" spans="1:10" x14ac:dyDescent="0.25">
      <c r="A69" s="196"/>
      <c r="B69" s="42"/>
      <c r="C69" s="133"/>
      <c r="D69" s="151"/>
      <c r="E69" s="30"/>
      <c r="F69" s="21"/>
      <c r="G69" s="21"/>
      <c r="H69" s="29"/>
      <c r="I69" s="189"/>
      <c r="J69" s="30"/>
    </row>
    <row r="70" spans="1:10" x14ac:dyDescent="0.25">
      <c r="A70" s="196"/>
      <c r="B70" s="42"/>
      <c r="C70" s="133"/>
      <c r="D70" s="151"/>
      <c r="E70" s="30"/>
      <c r="F70" s="21"/>
      <c r="G70" s="21"/>
      <c r="H70" s="29"/>
      <c r="I70" s="189"/>
      <c r="J70" s="30"/>
    </row>
    <row r="71" spans="1:10" x14ac:dyDescent="0.25">
      <c r="A71" s="196"/>
      <c r="B71" s="42"/>
      <c r="C71" s="133"/>
      <c r="D71" s="151"/>
      <c r="E71" s="30"/>
      <c r="F71" s="21"/>
      <c r="G71" s="21"/>
      <c r="H71" s="29"/>
      <c r="I71" s="189"/>
      <c r="J71" s="30"/>
    </row>
    <row r="72" spans="1:10" x14ac:dyDescent="0.25">
      <c r="A72" s="196"/>
      <c r="B72" s="42"/>
      <c r="C72" s="133"/>
      <c r="D72" s="151"/>
      <c r="E72" s="30"/>
      <c r="F72" s="21"/>
      <c r="G72" s="21"/>
      <c r="H72" s="29"/>
      <c r="I72" s="189"/>
      <c r="J72" s="30"/>
    </row>
    <row r="73" spans="1:10" x14ac:dyDescent="0.25">
      <c r="A73" s="196"/>
      <c r="B73" s="42"/>
      <c r="C73" s="133"/>
      <c r="D73" s="151"/>
      <c r="E73" s="30"/>
      <c r="F73" s="21"/>
      <c r="G73" s="21"/>
      <c r="H73" s="29"/>
      <c r="I73" s="189"/>
      <c r="J73" s="30"/>
    </row>
    <row r="74" spans="1:10" x14ac:dyDescent="0.25">
      <c r="A74" s="196"/>
      <c r="B74" s="42"/>
      <c r="C74" s="133"/>
      <c r="D74" s="151"/>
      <c r="E74" s="30"/>
      <c r="F74" s="21"/>
      <c r="G74" s="21"/>
      <c r="H74" s="29"/>
      <c r="I74" s="189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3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6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43097.04886574074</v>
      </c>
      <c r="B2" s="20" t="s">
        <v>391</v>
      </c>
      <c r="C2" s="20" t="s">
        <v>602</v>
      </c>
      <c r="D2" s="136">
        <v>3220000</v>
      </c>
      <c r="E2" s="20" t="s">
        <v>377</v>
      </c>
      <c r="F2" s="20" t="s">
        <v>378</v>
      </c>
      <c r="G2" s="8" t="str">
        <f>E2&amp;" "&amp;F2</f>
        <v>RESPASS AARON</v>
      </c>
      <c r="H2" t="str">
        <f>MID(B2,13,4)</f>
        <v>4030</v>
      </c>
    </row>
    <row r="3" spans="1:8" x14ac:dyDescent="0.25">
      <c r="A3" s="8">
        <v>43097.052569444444</v>
      </c>
      <c r="B3" s="20" t="s">
        <v>534</v>
      </c>
      <c r="C3" s="20" t="s">
        <v>613</v>
      </c>
      <c r="D3" s="136">
        <v>3310000</v>
      </c>
      <c r="E3" s="20" t="s">
        <v>535</v>
      </c>
      <c r="F3" s="20" t="s">
        <v>536</v>
      </c>
      <c r="G3" s="8" t="str">
        <f t="shared" ref="G3:G66" si="0">E3&amp;" "&amp;F3</f>
        <v>ANDERS STEVEN</v>
      </c>
      <c r="H3" s="20" t="str">
        <f t="shared" ref="H3:H66" si="1">MID(B3,13,4)</f>
        <v>4005</v>
      </c>
    </row>
    <row r="4" spans="1:8" x14ac:dyDescent="0.25">
      <c r="A4" s="8">
        <v>43097.068032407406</v>
      </c>
      <c r="B4" s="20" t="s">
        <v>555</v>
      </c>
      <c r="C4" s="20" t="s">
        <v>614</v>
      </c>
      <c r="D4" s="136">
        <v>2540000</v>
      </c>
      <c r="E4" s="20" t="s">
        <v>452</v>
      </c>
      <c r="F4" s="20" t="s">
        <v>453</v>
      </c>
      <c r="G4" s="8" t="str">
        <f t="shared" si="0"/>
        <v>MCREYNOLDS KYLE</v>
      </c>
      <c r="H4" s="20" t="str">
        <f t="shared" si="1"/>
        <v>4032</v>
      </c>
    </row>
    <row r="5" spans="1:8" x14ac:dyDescent="0.25">
      <c r="A5" s="8">
        <v>43097.089270833334</v>
      </c>
      <c r="B5" s="20" t="s">
        <v>533</v>
      </c>
      <c r="C5" s="20" t="s">
        <v>615</v>
      </c>
      <c r="D5" s="136">
        <v>3310000</v>
      </c>
      <c r="E5" s="20" t="s">
        <v>535</v>
      </c>
      <c r="F5" s="20" t="s">
        <v>536</v>
      </c>
      <c r="G5" s="8" t="str">
        <f t="shared" si="0"/>
        <v>ANDERS STEVEN</v>
      </c>
      <c r="H5" s="20" t="str">
        <f t="shared" si="1"/>
        <v>4006</v>
      </c>
    </row>
    <row r="6" spans="1:8" x14ac:dyDescent="0.25">
      <c r="A6" s="8">
        <v>43097.114027777781</v>
      </c>
      <c r="B6" s="20" t="s">
        <v>442</v>
      </c>
      <c r="C6" s="20" t="s">
        <v>616</v>
      </c>
      <c r="D6" s="136">
        <v>1830000</v>
      </c>
      <c r="E6" s="20" t="s">
        <v>345</v>
      </c>
      <c r="F6" s="20" t="s">
        <v>346</v>
      </c>
      <c r="G6" s="8" t="str">
        <f t="shared" si="0"/>
        <v>YORK EDGAR</v>
      </c>
      <c r="H6" s="20" t="str">
        <f t="shared" si="1"/>
        <v>4049</v>
      </c>
    </row>
    <row r="7" spans="1:8" x14ac:dyDescent="0.25">
      <c r="A7" s="8">
        <v>43097.123657407406</v>
      </c>
      <c r="B7" s="20" t="s">
        <v>443</v>
      </c>
      <c r="C7" s="20" t="s">
        <v>697</v>
      </c>
      <c r="D7" s="136">
        <v>1090000</v>
      </c>
      <c r="E7" s="20" t="s">
        <v>484</v>
      </c>
      <c r="F7" s="20" t="s">
        <v>351</v>
      </c>
      <c r="G7" s="8" t="str">
        <f t="shared" si="0"/>
        <v>SPECTOR MICHAEL</v>
      </c>
      <c r="H7" s="20" t="str">
        <f t="shared" si="1"/>
        <v>4050</v>
      </c>
    </row>
    <row r="8" spans="1:8" x14ac:dyDescent="0.25">
      <c r="A8" s="8">
        <v>43097.124548611115</v>
      </c>
      <c r="B8" s="20" t="s">
        <v>382</v>
      </c>
      <c r="C8" s="20" t="s">
        <v>698</v>
      </c>
      <c r="D8" s="136">
        <v>1830000</v>
      </c>
      <c r="E8" s="20" t="s">
        <v>345</v>
      </c>
      <c r="F8" s="20" t="s">
        <v>346</v>
      </c>
      <c r="G8" s="8" t="str">
        <f t="shared" si="0"/>
        <v>YORK EDGAR</v>
      </c>
      <c r="H8" s="20" t="str">
        <f t="shared" si="1"/>
        <v>4062</v>
      </c>
    </row>
    <row r="9" spans="1:8" ht="15.75" thickBot="1" x14ac:dyDescent="0.3">
      <c r="A9" s="24">
        <v>43097.140532407408</v>
      </c>
      <c r="B9" s="20" t="s">
        <v>442</v>
      </c>
      <c r="C9" s="20" t="s">
        <v>699</v>
      </c>
      <c r="D9" s="136">
        <v>1090000</v>
      </c>
      <c r="E9" s="20" t="s">
        <v>484</v>
      </c>
      <c r="F9" s="20" t="s">
        <v>351</v>
      </c>
      <c r="G9" s="8" t="str">
        <f t="shared" si="0"/>
        <v>SPECTOR MICHAEL</v>
      </c>
      <c r="H9" s="20" t="str">
        <f t="shared" si="1"/>
        <v>4049</v>
      </c>
    </row>
    <row r="10" spans="1:8" x14ac:dyDescent="0.25">
      <c r="A10" s="8">
        <v>43097.140752314815</v>
      </c>
      <c r="B10" s="20" t="s">
        <v>552</v>
      </c>
      <c r="C10" s="20" t="s">
        <v>700</v>
      </c>
      <c r="D10" s="136">
        <v>2010000</v>
      </c>
      <c r="E10" s="20" t="s">
        <v>701</v>
      </c>
      <c r="F10" s="20" t="s">
        <v>702</v>
      </c>
      <c r="G10" s="8" t="str">
        <f t="shared" si="0"/>
        <v>MAELZER KURT</v>
      </c>
      <c r="H10" s="20" t="str">
        <f t="shared" si="1"/>
        <v>4041</v>
      </c>
    </row>
    <row r="11" spans="1:8" x14ac:dyDescent="0.25">
      <c r="A11" s="8">
        <v>43097.152256944442</v>
      </c>
      <c r="B11" s="20" t="s">
        <v>553</v>
      </c>
      <c r="C11" s="20" t="s">
        <v>703</v>
      </c>
      <c r="D11" s="136">
        <v>2010000</v>
      </c>
      <c r="E11" s="20" t="s">
        <v>701</v>
      </c>
      <c r="F11" s="20" t="s">
        <v>702</v>
      </c>
      <c r="G11" s="8" t="str">
        <f t="shared" si="0"/>
        <v>MAELZER KURT</v>
      </c>
      <c r="H11" s="20" t="str">
        <f t="shared" si="1"/>
        <v>4042</v>
      </c>
    </row>
    <row r="12" spans="1:8" x14ac:dyDescent="0.25">
      <c r="A12" s="8">
        <v>43097.163472222222</v>
      </c>
      <c r="B12" s="20" t="s">
        <v>680</v>
      </c>
      <c r="C12" s="20" t="s">
        <v>704</v>
      </c>
      <c r="D12" s="136">
        <v>3840000</v>
      </c>
      <c r="E12" s="20" t="s">
        <v>557</v>
      </c>
      <c r="F12" s="20" t="s">
        <v>558</v>
      </c>
      <c r="G12" s="8" t="str">
        <f t="shared" si="0"/>
        <v>LONG FULLER</v>
      </c>
      <c r="H12" s="20" t="str">
        <f t="shared" si="1"/>
        <v>4013</v>
      </c>
    </row>
    <row r="13" spans="1:8" x14ac:dyDescent="0.25">
      <c r="A13" s="8">
        <v>43097.168796296297</v>
      </c>
      <c r="B13" s="20" t="s">
        <v>603</v>
      </c>
      <c r="C13" s="20" t="s">
        <v>705</v>
      </c>
      <c r="D13" s="136">
        <v>1100000</v>
      </c>
      <c r="E13" s="20" t="s">
        <v>604</v>
      </c>
      <c r="F13" s="20" t="s">
        <v>605</v>
      </c>
      <c r="G13" s="8" t="str">
        <f t="shared" si="0"/>
        <v>GEBRETEKLE DAGNEW</v>
      </c>
      <c r="H13" s="20" t="str">
        <f t="shared" si="1"/>
        <v>4045</v>
      </c>
    </row>
    <row r="14" spans="1:8" x14ac:dyDescent="0.25">
      <c r="A14" s="8">
        <v>43097.171296296299</v>
      </c>
      <c r="B14" s="20" t="s">
        <v>384</v>
      </c>
      <c r="C14" s="20" t="s">
        <v>706</v>
      </c>
      <c r="D14" s="136">
        <v>1830000</v>
      </c>
      <c r="E14" s="20" t="s">
        <v>345</v>
      </c>
      <c r="F14" s="20" t="s">
        <v>346</v>
      </c>
      <c r="G14" s="8" t="str">
        <f t="shared" si="0"/>
        <v>YORK EDGAR</v>
      </c>
      <c r="H14" s="20" t="str">
        <f t="shared" si="1"/>
        <v>4061</v>
      </c>
    </row>
    <row r="15" spans="1:8" x14ac:dyDescent="0.25">
      <c r="A15" s="8">
        <v>43097.174895833334</v>
      </c>
      <c r="B15" s="20" t="s">
        <v>693</v>
      </c>
      <c r="C15" s="20" t="s">
        <v>707</v>
      </c>
      <c r="D15" s="136">
        <v>3840000</v>
      </c>
      <c r="E15" s="20" t="s">
        <v>557</v>
      </c>
      <c r="F15" s="20" t="s">
        <v>558</v>
      </c>
      <c r="G15" s="8" t="str">
        <f t="shared" si="0"/>
        <v>LONG FULLER</v>
      </c>
      <c r="H15" s="20" t="str">
        <f t="shared" si="1"/>
        <v>4014</v>
      </c>
    </row>
    <row r="16" spans="1:8" x14ac:dyDescent="0.25">
      <c r="A16" s="8">
        <v>43097.175451388888</v>
      </c>
      <c r="B16" s="20" t="s">
        <v>350</v>
      </c>
      <c r="C16" s="20" t="s">
        <v>708</v>
      </c>
      <c r="D16" s="136">
        <v>3040000</v>
      </c>
      <c r="E16" s="20" t="s">
        <v>367</v>
      </c>
      <c r="F16" s="20" t="s">
        <v>709</v>
      </c>
      <c r="G16" s="8" t="str">
        <f t="shared" si="0"/>
        <v>WILLIAMS DONTE</v>
      </c>
      <c r="H16" s="20" t="str">
        <f t="shared" si="1"/>
        <v>4055</v>
      </c>
    </row>
    <row r="17" spans="1:8" x14ac:dyDescent="0.25">
      <c r="A17" s="8">
        <v>43097.18236111111</v>
      </c>
      <c r="B17" s="20" t="s">
        <v>601</v>
      </c>
      <c r="C17" s="20" t="s">
        <v>710</v>
      </c>
      <c r="D17" s="136">
        <v>1100000</v>
      </c>
      <c r="E17" s="20" t="s">
        <v>604</v>
      </c>
      <c r="F17" s="20" t="s">
        <v>605</v>
      </c>
      <c r="G17" s="8" t="str">
        <f t="shared" si="0"/>
        <v>GEBRETEKLE DAGNEW</v>
      </c>
      <c r="H17" s="20" t="str">
        <f t="shared" si="1"/>
        <v>4046</v>
      </c>
    </row>
    <row r="18" spans="1:8" x14ac:dyDescent="0.25">
      <c r="A18" s="8">
        <v>43097.193807870368</v>
      </c>
      <c r="B18" s="20" t="s">
        <v>711</v>
      </c>
      <c r="C18" s="20" t="s">
        <v>712</v>
      </c>
      <c r="D18" s="136">
        <v>3040000</v>
      </c>
      <c r="E18" s="20" t="s">
        <v>367</v>
      </c>
      <c r="F18" s="20" t="s">
        <v>709</v>
      </c>
      <c r="G18" s="8" t="str">
        <f t="shared" si="0"/>
        <v>WILLIAMS DONTE</v>
      </c>
      <c r="H18" s="20" t="str">
        <f t="shared" si="1"/>
        <v>4056</v>
      </c>
    </row>
    <row r="19" spans="1:8" x14ac:dyDescent="0.25">
      <c r="A19" s="8">
        <v>43097.193923611114</v>
      </c>
      <c r="B19" s="20" t="s">
        <v>552</v>
      </c>
      <c r="C19" s="20" t="s">
        <v>713</v>
      </c>
      <c r="D19" s="136">
        <v>2010000</v>
      </c>
      <c r="E19" s="20" t="s">
        <v>701</v>
      </c>
      <c r="F19" s="20" t="s">
        <v>702</v>
      </c>
      <c r="G19" s="8" t="str">
        <f t="shared" si="0"/>
        <v>MAELZER KURT</v>
      </c>
      <c r="H19" s="20" t="str">
        <f t="shared" si="1"/>
        <v>4041</v>
      </c>
    </row>
    <row r="20" spans="1:8" x14ac:dyDescent="0.25">
      <c r="A20" s="8">
        <v>43097.199965277781</v>
      </c>
      <c r="B20" s="20" t="s">
        <v>600</v>
      </c>
      <c r="C20" s="20" t="s">
        <v>673</v>
      </c>
      <c r="D20" s="136">
        <v>1230000</v>
      </c>
      <c r="E20" s="20" t="s">
        <v>486</v>
      </c>
      <c r="F20" s="20" t="s">
        <v>487</v>
      </c>
      <c r="G20" s="8" t="str">
        <f t="shared" si="0"/>
        <v>YANAI IAN</v>
      </c>
      <c r="H20" s="20" t="str">
        <f t="shared" si="1"/>
        <v>4003</v>
      </c>
    </row>
    <row r="21" spans="1:8" x14ac:dyDescent="0.25">
      <c r="A21" s="8">
        <v>43097.200046296297</v>
      </c>
      <c r="B21" s="20" t="s">
        <v>564</v>
      </c>
      <c r="C21" s="20" t="s">
        <v>714</v>
      </c>
      <c r="D21" s="136">
        <v>2440000</v>
      </c>
      <c r="E21" s="20" t="s">
        <v>450</v>
      </c>
      <c r="F21" s="20" t="s">
        <v>451</v>
      </c>
      <c r="G21" s="8" t="str">
        <f t="shared" si="0"/>
        <v>LOPES KIMBERLY</v>
      </c>
      <c r="H21" s="20" t="str">
        <f t="shared" si="1"/>
        <v>4016</v>
      </c>
    </row>
    <row r="22" spans="1:8" x14ac:dyDescent="0.25">
      <c r="A22" s="26">
        <v>43097.201666666668</v>
      </c>
      <c r="B22" s="20" t="s">
        <v>382</v>
      </c>
      <c r="C22" s="20" t="s">
        <v>715</v>
      </c>
      <c r="D22" s="136">
        <v>1830000</v>
      </c>
      <c r="E22" s="20" t="s">
        <v>345</v>
      </c>
      <c r="F22" s="20" t="s">
        <v>346</v>
      </c>
      <c r="G22" s="8" t="str">
        <f t="shared" si="0"/>
        <v>YORK EDGAR</v>
      </c>
      <c r="H22" s="20" t="str">
        <f t="shared" si="1"/>
        <v>4062</v>
      </c>
    </row>
    <row r="23" spans="1:8" x14ac:dyDescent="0.25">
      <c r="A23" s="8">
        <v>43097.209374999999</v>
      </c>
      <c r="B23" s="20" t="s">
        <v>680</v>
      </c>
      <c r="C23" s="20" t="s">
        <v>716</v>
      </c>
      <c r="D23" s="136">
        <v>3840000</v>
      </c>
      <c r="E23" s="20" t="s">
        <v>557</v>
      </c>
      <c r="F23" s="20" t="s">
        <v>558</v>
      </c>
      <c r="G23" s="8" t="str">
        <f t="shared" si="0"/>
        <v>LONG FULLER</v>
      </c>
      <c r="H23" s="20" t="str">
        <f t="shared" si="1"/>
        <v>4013</v>
      </c>
    </row>
    <row r="24" spans="1:8" x14ac:dyDescent="0.25">
      <c r="A24" s="8">
        <v>43097.209432870368</v>
      </c>
      <c r="B24" s="20" t="s">
        <v>610</v>
      </c>
      <c r="C24" s="20" t="s">
        <v>717</v>
      </c>
      <c r="D24" s="136">
        <v>1230000</v>
      </c>
      <c r="E24" s="20" t="s">
        <v>486</v>
      </c>
      <c r="F24" s="20" t="s">
        <v>487</v>
      </c>
      <c r="G24" s="8" t="str">
        <f t="shared" si="0"/>
        <v>YANAI IAN</v>
      </c>
      <c r="H24" s="20" t="str">
        <f t="shared" si="1"/>
        <v>4004</v>
      </c>
    </row>
    <row r="25" spans="1:8" x14ac:dyDescent="0.25">
      <c r="A25" s="8">
        <v>43097.211284722223</v>
      </c>
      <c r="B25" s="20" t="s">
        <v>676</v>
      </c>
      <c r="C25" s="20" t="s">
        <v>718</v>
      </c>
      <c r="D25" s="136">
        <v>2440000</v>
      </c>
      <c r="E25" s="20" t="s">
        <v>450</v>
      </c>
      <c r="F25" s="20" t="s">
        <v>451</v>
      </c>
      <c r="G25" s="8" t="str">
        <f t="shared" si="0"/>
        <v>LOPES KIMBERLY</v>
      </c>
      <c r="H25" s="20" t="str">
        <f t="shared" si="1"/>
        <v>4015</v>
      </c>
    </row>
    <row r="26" spans="1:8" x14ac:dyDescent="0.25">
      <c r="A26" s="8">
        <v>43097.213831018518</v>
      </c>
      <c r="B26" s="20" t="s">
        <v>603</v>
      </c>
      <c r="C26" s="20" t="s">
        <v>719</v>
      </c>
      <c r="D26" s="136">
        <v>1100000</v>
      </c>
      <c r="E26" s="20" t="s">
        <v>604</v>
      </c>
      <c r="F26" s="20" t="s">
        <v>605</v>
      </c>
      <c r="G26" s="8" t="str">
        <f t="shared" si="0"/>
        <v>GEBRETEKLE DAGNEW</v>
      </c>
      <c r="H26" s="20" t="str">
        <f t="shared" si="1"/>
        <v>4045</v>
      </c>
    </row>
    <row r="27" spans="1:8" x14ac:dyDescent="0.25">
      <c r="A27" s="8">
        <v>43097.219548611109</v>
      </c>
      <c r="B27" s="20" t="s">
        <v>685</v>
      </c>
      <c r="C27" s="20" t="s">
        <v>720</v>
      </c>
      <c r="D27" s="136">
        <v>2600000</v>
      </c>
      <c r="E27" s="20" t="s">
        <v>485</v>
      </c>
      <c r="F27" s="20" t="s">
        <v>482</v>
      </c>
      <c r="G27" s="8" t="str">
        <f t="shared" si="0"/>
        <v>DAVIDSON DAVID</v>
      </c>
      <c r="H27" s="20" t="str">
        <f t="shared" si="1"/>
        <v>4063</v>
      </c>
    </row>
    <row r="28" spans="1:8" x14ac:dyDescent="0.25">
      <c r="A28" s="8">
        <v>43097.227476851855</v>
      </c>
      <c r="B28" s="20" t="s">
        <v>553</v>
      </c>
      <c r="C28" s="20" t="s">
        <v>721</v>
      </c>
      <c r="D28" s="136">
        <v>2010000</v>
      </c>
      <c r="E28" s="20" t="s">
        <v>701</v>
      </c>
      <c r="F28" s="20" t="s">
        <v>702</v>
      </c>
      <c r="G28" s="8" t="str">
        <f t="shared" si="0"/>
        <v>MAELZER KURT</v>
      </c>
      <c r="H28" s="20" t="str">
        <f t="shared" si="1"/>
        <v>4042</v>
      </c>
    </row>
    <row r="29" spans="1:8" x14ac:dyDescent="0.25">
      <c r="A29" s="8">
        <v>43097.228310185186</v>
      </c>
      <c r="B29" s="20" t="s">
        <v>564</v>
      </c>
      <c r="C29" s="20" t="s">
        <v>722</v>
      </c>
      <c r="D29" s="136">
        <v>2440000</v>
      </c>
      <c r="E29" s="20" t="s">
        <v>450</v>
      </c>
      <c r="F29" s="20" t="s">
        <v>451</v>
      </c>
      <c r="G29" s="8" t="str">
        <f t="shared" si="0"/>
        <v>LOPES KIMBERLY</v>
      </c>
      <c r="H29" s="20" t="str">
        <f t="shared" si="1"/>
        <v>4016</v>
      </c>
    </row>
    <row r="30" spans="1:8" x14ac:dyDescent="0.25">
      <c r="A30" s="8">
        <v>43097.231064814812</v>
      </c>
      <c r="B30" s="20" t="s">
        <v>723</v>
      </c>
      <c r="C30" s="20" t="s">
        <v>724</v>
      </c>
      <c r="D30" s="136">
        <v>2600000</v>
      </c>
      <c r="E30" s="20" t="s">
        <v>485</v>
      </c>
      <c r="F30" s="20" t="s">
        <v>482</v>
      </c>
      <c r="G30" s="8" t="str">
        <f t="shared" si="0"/>
        <v>DAVIDSON DAVID</v>
      </c>
      <c r="H30" s="20" t="str">
        <f t="shared" si="1"/>
        <v>4064</v>
      </c>
    </row>
    <row r="31" spans="1:8" x14ac:dyDescent="0.25">
      <c r="A31" s="8">
        <v>43097.233020833337</v>
      </c>
      <c r="B31" s="20" t="s">
        <v>350</v>
      </c>
      <c r="C31" s="20" t="s">
        <v>725</v>
      </c>
      <c r="D31" s="136">
        <v>3040000</v>
      </c>
      <c r="E31" s="20" t="s">
        <v>367</v>
      </c>
      <c r="F31" s="20" t="s">
        <v>709</v>
      </c>
      <c r="G31" s="8" t="str">
        <f t="shared" si="0"/>
        <v>WILLIAMS DONTE</v>
      </c>
      <c r="H31" s="20" t="str">
        <f t="shared" si="1"/>
        <v>4055</v>
      </c>
    </row>
    <row r="32" spans="1:8" x14ac:dyDescent="0.25">
      <c r="A32" s="8">
        <v>43097.236446759256</v>
      </c>
      <c r="B32" s="20" t="s">
        <v>384</v>
      </c>
      <c r="C32" s="20" t="s">
        <v>726</v>
      </c>
      <c r="D32" s="136">
        <v>1830000</v>
      </c>
      <c r="E32" s="20" t="s">
        <v>345</v>
      </c>
      <c r="F32" s="20" t="s">
        <v>346</v>
      </c>
      <c r="G32" s="8" t="str">
        <f t="shared" si="0"/>
        <v>YORK EDGAR</v>
      </c>
      <c r="H32" s="20" t="str">
        <f t="shared" si="1"/>
        <v>4061</v>
      </c>
    </row>
    <row r="33" spans="1:8" x14ac:dyDescent="0.25">
      <c r="A33" s="8">
        <v>43097.240173611113</v>
      </c>
      <c r="B33" s="20" t="s">
        <v>361</v>
      </c>
      <c r="C33" s="20" t="s">
        <v>727</v>
      </c>
      <c r="D33" s="136">
        <v>3000000</v>
      </c>
      <c r="E33" s="20" t="s">
        <v>494</v>
      </c>
      <c r="F33" s="20" t="s">
        <v>495</v>
      </c>
      <c r="G33" s="8" t="str">
        <f t="shared" si="0"/>
        <v>FORTUNATO FRANK</v>
      </c>
      <c r="H33" s="20" t="str">
        <f t="shared" si="1"/>
        <v>4017</v>
      </c>
    </row>
    <row r="34" spans="1:8" x14ac:dyDescent="0.25">
      <c r="A34" s="8">
        <v>43097.245358796295</v>
      </c>
      <c r="B34" s="20" t="s">
        <v>600</v>
      </c>
      <c r="C34" s="20" t="s">
        <v>728</v>
      </c>
      <c r="D34" s="136">
        <v>1230000</v>
      </c>
      <c r="E34" s="20" t="s">
        <v>486</v>
      </c>
      <c r="F34" s="20" t="s">
        <v>487</v>
      </c>
      <c r="G34" s="8" t="str">
        <f t="shared" si="0"/>
        <v>YANAI IAN</v>
      </c>
      <c r="H34" s="20" t="str">
        <f t="shared" si="1"/>
        <v>4003</v>
      </c>
    </row>
    <row r="35" spans="1:8" x14ac:dyDescent="0.25">
      <c r="A35" s="8">
        <v>43097.247002314813</v>
      </c>
      <c r="B35" s="20" t="s">
        <v>693</v>
      </c>
      <c r="C35" s="20" t="s">
        <v>729</v>
      </c>
      <c r="D35" s="136">
        <v>3840000</v>
      </c>
      <c r="E35" s="20" t="s">
        <v>557</v>
      </c>
      <c r="F35" s="20" t="s">
        <v>558</v>
      </c>
      <c r="G35" s="8" t="str">
        <f t="shared" si="0"/>
        <v>LONG FULLER</v>
      </c>
      <c r="H35" s="20" t="str">
        <f t="shared" si="1"/>
        <v>4014</v>
      </c>
    </row>
    <row r="36" spans="1:8" x14ac:dyDescent="0.25">
      <c r="A36" s="8">
        <v>43097.247106481482</v>
      </c>
      <c r="B36" s="20" t="s">
        <v>676</v>
      </c>
      <c r="C36" s="20" t="s">
        <v>730</v>
      </c>
      <c r="D36" s="136">
        <v>2440000</v>
      </c>
      <c r="E36" s="20" t="s">
        <v>450</v>
      </c>
      <c r="F36" s="20" t="s">
        <v>451</v>
      </c>
      <c r="G36" s="8" t="str">
        <f t="shared" si="0"/>
        <v>LOPES KIMBERLY</v>
      </c>
      <c r="H36" s="20" t="str">
        <f t="shared" si="1"/>
        <v>4015</v>
      </c>
    </row>
    <row r="37" spans="1:8" x14ac:dyDescent="0.25">
      <c r="A37" s="8">
        <v>43097.251296296294</v>
      </c>
      <c r="B37" s="20" t="s">
        <v>359</v>
      </c>
      <c r="C37" s="20" t="s">
        <v>731</v>
      </c>
      <c r="D37" s="136">
        <v>3000000</v>
      </c>
      <c r="E37" s="20" t="s">
        <v>494</v>
      </c>
      <c r="F37" s="20" t="s">
        <v>495</v>
      </c>
      <c r="G37" s="8" t="str">
        <f t="shared" si="0"/>
        <v>FORTUNATO FRANK</v>
      </c>
      <c r="H37" s="20" t="str">
        <f t="shared" si="1"/>
        <v>4018</v>
      </c>
    </row>
    <row r="38" spans="1:8" x14ac:dyDescent="0.25">
      <c r="A38" s="8">
        <v>43097.255347222221</v>
      </c>
      <c r="B38" s="20" t="s">
        <v>601</v>
      </c>
      <c r="C38" s="20" t="s">
        <v>732</v>
      </c>
      <c r="D38" s="136">
        <v>3260000</v>
      </c>
      <c r="E38" s="20" t="s">
        <v>733</v>
      </c>
      <c r="F38" s="20" t="s">
        <v>734</v>
      </c>
      <c r="G38" s="8" t="str">
        <f t="shared" si="0"/>
        <v>PAGE MARCUS</v>
      </c>
      <c r="H38" s="20" t="str">
        <f t="shared" si="1"/>
        <v>4046</v>
      </c>
    </row>
    <row r="39" spans="1:8" x14ac:dyDescent="0.25">
      <c r="A39" s="8">
        <v>43097.256979166668</v>
      </c>
      <c r="B39" s="20" t="s">
        <v>552</v>
      </c>
      <c r="C39" s="20" t="s">
        <v>721</v>
      </c>
      <c r="D39" s="136">
        <v>2010000</v>
      </c>
      <c r="E39" s="20" t="s">
        <v>701</v>
      </c>
      <c r="F39" s="20" t="s">
        <v>702</v>
      </c>
      <c r="G39" s="8" t="str">
        <f t="shared" si="0"/>
        <v>MAELZER KURT</v>
      </c>
      <c r="H39" s="20" t="str">
        <f t="shared" si="1"/>
        <v>4041</v>
      </c>
    </row>
    <row r="40" spans="1:8" x14ac:dyDescent="0.25">
      <c r="A40" s="8">
        <v>43097.257708333331</v>
      </c>
      <c r="B40" s="25" t="s">
        <v>552</v>
      </c>
      <c r="C40" s="20" t="s">
        <v>735</v>
      </c>
      <c r="D40" s="136">
        <v>2010000</v>
      </c>
      <c r="E40" s="20" t="s">
        <v>701</v>
      </c>
      <c r="F40" s="20" t="s">
        <v>702</v>
      </c>
      <c r="G40" s="8" t="str">
        <f t="shared" si="0"/>
        <v>MAELZER KURT</v>
      </c>
      <c r="H40" s="20" t="str">
        <f t="shared" si="1"/>
        <v>4041</v>
      </c>
    </row>
    <row r="41" spans="1:8" x14ac:dyDescent="0.25">
      <c r="A41" s="8">
        <v>43097.267465277779</v>
      </c>
      <c r="B41" s="20" t="s">
        <v>685</v>
      </c>
      <c r="C41" s="20" t="s">
        <v>736</v>
      </c>
      <c r="D41" s="136">
        <v>2600000</v>
      </c>
      <c r="E41" s="20" t="s">
        <v>485</v>
      </c>
      <c r="F41" s="20" t="s">
        <v>482</v>
      </c>
      <c r="G41" s="8" t="str">
        <f t="shared" si="0"/>
        <v>DAVIDSON DAVID</v>
      </c>
      <c r="H41" s="20" t="str">
        <f t="shared" si="1"/>
        <v>4063</v>
      </c>
    </row>
    <row r="42" spans="1:8" x14ac:dyDescent="0.25">
      <c r="A42" s="8">
        <v>43097.267766203702</v>
      </c>
      <c r="B42" s="20" t="s">
        <v>711</v>
      </c>
      <c r="C42" s="20" t="s">
        <v>737</v>
      </c>
      <c r="D42" s="136">
        <v>3040000</v>
      </c>
      <c r="E42" s="20" t="s">
        <v>367</v>
      </c>
      <c r="F42" s="20" t="s">
        <v>709</v>
      </c>
      <c r="G42" s="8" t="str">
        <f t="shared" si="0"/>
        <v>WILLIAMS DONTE</v>
      </c>
      <c r="H42" s="20" t="str">
        <f t="shared" si="1"/>
        <v>4056</v>
      </c>
    </row>
    <row r="43" spans="1:8" x14ac:dyDescent="0.25">
      <c r="A43" s="8">
        <v>43097.268518518518</v>
      </c>
      <c r="B43" s="20" t="s">
        <v>361</v>
      </c>
      <c r="C43" s="20" t="s">
        <v>738</v>
      </c>
      <c r="D43" s="136">
        <v>3000000</v>
      </c>
      <c r="E43" s="20" t="s">
        <v>494</v>
      </c>
      <c r="F43" s="20" t="s">
        <v>495</v>
      </c>
      <c r="G43" s="8" t="str">
        <f t="shared" si="0"/>
        <v>FORTUNATO FRANK</v>
      </c>
      <c r="H43" s="20" t="str">
        <f t="shared" si="1"/>
        <v>4017</v>
      </c>
    </row>
    <row r="44" spans="1:8" x14ac:dyDescent="0.25">
      <c r="A44" s="8">
        <v>43097.273356481484</v>
      </c>
      <c r="B44" s="20" t="s">
        <v>564</v>
      </c>
      <c r="C44" s="20" t="s">
        <v>739</v>
      </c>
      <c r="D44" s="136">
        <v>2440000</v>
      </c>
      <c r="E44" s="20" t="s">
        <v>450</v>
      </c>
      <c r="F44" s="20" t="s">
        <v>451</v>
      </c>
      <c r="G44" s="8" t="str">
        <f t="shared" si="0"/>
        <v>LOPES KIMBERLY</v>
      </c>
      <c r="H44" s="20" t="str">
        <f t="shared" si="1"/>
        <v>4016</v>
      </c>
    </row>
    <row r="45" spans="1:8" x14ac:dyDescent="0.25">
      <c r="A45" s="8">
        <v>43097.274456018517</v>
      </c>
      <c r="B45" s="20" t="s">
        <v>382</v>
      </c>
      <c r="C45" s="20" t="s">
        <v>740</v>
      </c>
      <c r="D45" s="136">
        <v>1830000</v>
      </c>
      <c r="E45" s="20" t="s">
        <v>345</v>
      </c>
      <c r="F45" s="20" t="s">
        <v>346</v>
      </c>
      <c r="G45" s="8" t="str">
        <f t="shared" si="0"/>
        <v>YORK EDGAR</v>
      </c>
      <c r="H45" s="20" t="str">
        <f t="shared" si="1"/>
        <v>4062</v>
      </c>
    </row>
    <row r="46" spans="1:8" x14ac:dyDescent="0.25">
      <c r="A46" s="8">
        <v>43097.284386574072</v>
      </c>
      <c r="B46" s="20" t="s">
        <v>680</v>
      </c>
      <c r="C46" s="20" t="s">
        <v>741</v>
      </c>
      <c r="D46" s="136">
        <v>3840000</v>
      </c>
      <c r="E46" s="20" t="s">
        <v>557</v>
      </c>
      <c r="F46" s="20" t="s">
        <v>558</v>
      </c>
      <c r="G46" s="8" t="str">
        <f t="shared" si="0"/>
        <v>LONG FULLER</v>
      </c>
      <c r="H46" s="20" t="str">
        <f t="shared" si="1"/>
        <v>4013</v>
      </c>
    </row>
    <row r="47" spans="1:8" x14ac:dyDescent="0.25">
      <c r="A47" s="8">
        <v>43097.285694444443</v>
      </c>
      <c r="B47" s="20" t="s">
        <v>610</v>
      </c>
      <c r="C47" s="20" t="s">
        <v>742</v>
      </c>
      <c r="D47" s="136">
        <v>1230000</v>
      </c>
      <c r="E47" s="20" t="s">
        <v>486</v>
      </c>
      <c r="F47" s="20" t="s">
        <v>487</v>
      </c>
      <c r="G47" s="8" t="str">
        <f t="shared" si="0"/>
        <v>YANAI IAN</v>
      </c>
      <c r="H47" s="20" t="str">
        <f t="shared" si="1"/>
        <v>4004</v>
      </c>
    </row>
    <row r="48" spans="1:8" x14ac:dyDescent="0.25">
      <c r="A48" s="8">
        <v>43097.287222222221</v>
      </c>
      <c r="B48" s="20" t="s">
        <v>603</v>
      </c>
      <c r="C48" s="20" t="s">
        <v>743</v>
      </c>
      <c r="D48" s="136">
        <v>3260000</v>
      </c>
      <c r="E48" s="20" t="s">
        <v>733</v>
      </c>
      <c r="F48" s="20" t="s">
        <v>734</v>
      </c>
      <c r="G48" s="8" t="str">
        <f t="shared" si="0"/>
        <v>PAGE MARCUS</v>
      </c>
      <c r="H48" s="20" t="str">
        <f t="shared" si="1"/>
        <v>4045</v>
      </c>
    </row>
    <row r="49" spans="1:8" x14ac:dyDescent="0.25">
      <c r="A49" s="8">
        <v>43097.289131944446</v>
      </c>
      <c r="B49" s="20" t="s">
        <v>676</v>
      </c>
      <c r="C49" s="20" t="s">
        <v>677</v>
      </c>
      <c r="D49" s="136">
        <v>2440000</v>
      </c>
      <c r="E49" s="20" t="s">
        <v>450</v>
      </c>
      <c r="F49" s="20" t="s">
        <v>451</v>
      </c>
      <c r="G49" s="8" t="str">
        <f t="shared" si="0"/>
        <v>LOPES KIMBERLY</v>
      </c>
      <c r="H49" s="20" t="str">
        <f t="shared" si="1"/>
        <v>4015</v>
      </c>
    </row>
    <row r="50" spans="1:8" x14ac:dyDescent="0.25">
      <c r="A50" s="8">
        <v>43097.290289351855</v>
      </c>
      <c r="B50" s="20" t="s">
        <v>359</v>
      </c>
      <c r="C50" s="20" t="s">
        <v>744</v>
      </c>
      <c r="D50" s="136">
        <v>3000000</v>
      </c>
      <c r="E50" s="20" t="s">
        <v>494</v>
      </c>
      <c r="F50" s="20" t="s">
        <v>495</v>
      </c>
      <c r="G50" s="8" t="str">
        <f t="shared" si="0"/>
        <v>FORTUNATO FRANK</v>
      </c>
      <c r="H50" s="20" t="str">
        <f t="shared" si="1"/>
        <v>4018</v>
      </c>
    </row>
    <row r="51" spans="1:8" x14ac:dyDescent="0.25">
      <c r="A51" s="8">
        <v>43097.298182870371</v>
      </c>
      <c r="B51" s="20" t="s">
        <v>553</v>
      </c>
      <c r="C51" s="20" t="s">
        <v>745</v>
      </c>
      <c r="D51" s="136">
        <v>2010000</v>
      </c>
      <c r="E51" s="20" t="s">
        <v>701</v>
      </c>
      <c r="F51" s="20" t="s">
        <v>702</v>
      </c>
      <c r="G51" s="8" t="str">
        <f t="shared" si="0"/>
        <v>MAELZER KURT</v>
      </c>
      <c r="H51" s="20" t="str">
        <f t="shared" si="1"/>
        <v>4042</v>
      </c>
    </row>
    <row r="52" spans="1:8" x14ac:dyDescent="0.25">
      <c r="A52" s="8">
        <v>43097.30741898148</v>
      </c>
      <c r="B52" s="20" t="s">
        <v>350</v>
      </c>
      <c r="C52" s="20" t="s">
        <v>746</v>
      </c>
      <c r="D52" s="136">
        <v>3040000</v>
      </c>
      <c r="E52" s="20" t="s">
        <v>367</v>
      </c>
      <c r="F52" s="20" t="s">
        <v>709</v>
      </c>
      <c r="G52" s="8" t="str">
        <f t="shared" si="0"/>
        <v>WILLIAMS DONTE</v>
      </c>
      <c r="H52" s="20" t="str">
        <f t="shared" si="1"/>
        <v>4055</v>
      </c>
    </row>
    <row r="53" spans="1:8" x14ac:dyDescent="0.25">
      <c r="A53" s="8">
        <v>43097.308171296296</v>
      </c>
      <c r="B53" s="20" t="s">
        <v>723</v>
      </c>
      <c r="C53" s="20" t="s">
        <v>747</v>
      </c>
      <c r="D53" s="136">
        <v>2600000</v>
      </c>
      <c r="E53" s="20" t="s">
        <v>485</v>
      </c>
      <c r="F53" s="20" t="s">
        <v>482</v>
      </c>
      <c r="G53" s="8" t="str">
        <f t="shared" si="0"/>
        <v>DAVIDSON DAVID</v>
      </c>
      <c r="H53" s="20" t="str">
        <f t="shared" si="1"/>
        <v>4064</v>
      </c>
    </row>
    <row r="54" spans="1:8" x14ac:dyDescent="0.25">
      <c r="A54" s="8">
        <v>43097.310416666667</v>
      </c>
      <c r="B54" s="20" t="s">
        <v>361</v>
      </c>
      <c r="C54" s="20" t="s">
        <v>748</v>
      </c>
      <c r="D54" s="136">
        <v>3000000</v>
      </c>
      <c r="E54" s="20" t="s">
        <v>494</v>
      </c>
      <c r="F54" s="20" t="s">
        <v>495</v>
      </c>
      <c r="G54" s="8" t="str">
        <f t="shared" si="0"/>
        <v>FORTUNATO FRANK</v>
      </c>
      <c r="H54" s="20" t="str">
        <f t="shared" si="1"/>
        <v>4017</v>
      </c>
    </row>
    <row r="55" spans="1:8" x14ac:dyDescent="0.25">
      <c r="A55" s="8">
        <v>43097.31145833333</v>
      </c>
      <c r="B55" s="20" t="s">
        <v>564</v>
      </c>
      <c r="C55" s="20" t="s">
        <v>678</v>
      </c>
      <c r="D55" s="136">
        <v>2440000</v>
      </c>
      <c r="E55" s="20" t="s">
        <v>450</v>
      </c>
      <c r="F55" s="20" t="s">
        <v>451</v>
      </c>
      <c r="G55" s="8" t="str">
        <f t="shared" si="0"/>
        <v>LOPES KIMBERLY</v>
      </c>
      <c r="H55" s="20" t="str">
        <f t="shared" si="1"/>
        <v>4016</v>
      </c>
    </row>
    <row r="56" spans="1:8" x14ac:dyDescent="0.25">
      <c r="A56" s="8">
        <v>43097.31759259259</v>
      </c>
      <c r="B56" s="20" t="s">
        <v>384</v>
      </c>
      <c r="C56" s="20" t="s">
        <v>749</v>
      </c>
      <c r="D56" s="136">
        <v>1830000</v>
      </c>
      <c r="E56" s="20" t="s">
        <v>345</v>
      </c>
      <c r="F56" s="20" t="s">
        <v>346</v>
      </c>
      <c r="G56" s="8" t="str">
        <f t="shared" si="0"/>
        <v>YORK EDGAR</v>
      </c>
      <c r="H56" s="20" t="str">
        <f t="shared" si="1"/>
        <v>4061</v>
      </c>
    </row>
    <row r="57" spans="1:8" x14ac:dyDescent="0.25">
      <c r="A57" s="8">
        <v>43097.317766203705</v>
      </c>
      <c r="B57" s="20" t="s">
        <v>600</v>
      </c>
      <c r="C57" s="20" t="s">
        <v>750</v>
      </c>
      <c r="D57" s="136">
        <v>1230000</v>
      </c>
      <c r="E57" s="20" t="s">
        <v>486</v>
      </c>
      <c r="F57" s="20" t="s">
        <v>487</v>
      </c>
      <c r="G57" s="8" t="str">
        <f t="shared" si="0"/>
        <v>YANAI IAN</v>
      </c>
      <c r="H57" s="20" t="str">
        <f t="shared" si="1"/>
        <v>4003</v>
      </c>
    </row>
    <row r="58" spans="1:8" x14ac:dyDescent="0.25">
      <c r="A58" s="8">
        <v>43097.31827546296</v>
      </c>
      <c r="B58" s="20" t="s">
        <v>693</v>
      </c>
      <c r="C58" s="20" t="s">
        <v>751</v>
      </c>
      <c r="D58" s="136">
        <v>3840000</v>
      </c>
      <c r="E58" s="20" t="s">
        <v>557</v>
      </c>
      <c r="F58" s="20" t="s">
        <v>558</v>
      </c>
      <c r="G58" s="8" t="str">
        <f t="shared" si="0"/>
        <v>LONG FULLER</v>
      </c>
      <c r="H58" s="20" t="str">
        <f t="shared" si="1"/>
        <v>4014</v>
      </c>
    </row>
    <row r="59" spans="1:8" x14ac:dyDescent="0.25">
      <c r="A59" s="8">
        <v>43097.328368055554</v>
      </c>
      <c r="B59" s="20" t="s">
        <v>601</v>
      </c>
      <c r="C59" s="20" t="s">
        <v>752</v>
      </c>
      <c r="D59" s="136">
        <v>1100000</v>
      </c>
      <c r="E59" s="20" t="s">
        <v>604</v>
      </c>
      <c r="F59" s="20" t="s">
        <v>605</v>
      </c>
      <c r="G59" s="8" t="str">
        <f t="shared" si="0"/>
        <v>GEBRETEKLE DAGNEW</v>
      </c>
      <c r="H59" s="20" t="str">
        <f t="shared" si="1"/>
        <v>4046</v>
      </c>
    </row>
    <row r="60" spans="1:8" x14ac:dyDescent="0.25">
      <c r="A60" s="8">
        <v>43097.331122685187</v>
      </c>
      <c r="B60" s="20" t="s">
        <v>676</v>
      </c>
      <c r="C60" s="20" t="s">
        <v>753</v>
      </c>
      <c r="D60" s="136">
        <v>2440000</v>
      </c>
      <c r="E60" s="20" t="s">
        <v>450</v>
      </c>
      <c r="F60" s="20" t="s">
        <v>451</v>
      </c>
      <c r="G60" s="8" t="str">
        <f t="shared" si="0"/>
        <v>LOPES KIMBERLY</v>
      </c>
      <c r="H60" s="20" t="str">
        <f t="shared" si="1"/>
        <v>4015</v>
      </c>
    </row>
    <row r="61" spans="1:8" x14ac:dyDescent="0.25">
      <c r="A61" s="8">
        <v>43097.332349537035</v>
      </c>
      <c r="B61" s="20" t="s">
        <v>359</v>
      </c>
      <c r="C61" s="20" t="s">
        <v>679</v>
      </c>
      <c r="D61" s="136">
        <v>3000000</v>
      </c>
      <c r="E61" s="20" t="s">
        <v>494</v>
      </c>
      <c r="F61" s="20" t="s">
        <v>495</v>
      </c>
      <c r="G61" s="8" t="str">
        <f t="shared" si="0"/>
        <v>FORTUNATO FRANK</v>
      </c>
      <c r="H61" s="20" t="str">
        <f t="shared" si="1"/>
        <v>4018</v>
      </c>
    </row>
    <row r="62" spans="1:8" x14ac:dyDescent="0.25">
      <c r="A62" s="8">
        <v>43097.333518518521</v>
      </c>
      <c r="B62" s="20" t="s">
        <v>552</v>
      </c>
      <c r="C62" s="20" t="s">
        <v>754</v>
      </c>
      <c r="D62" s="136">
        <v>2010000</v>
      </c>
      <c r="E62" s="20" t="s">
        <v>701</v>
      </c>
      <c r="F62" s="20" t="s">
        <v>702</v>
      </c>
      <c r="G62" s="8" t="str">
        <f t="shared" si="0"/>
        <v>MAELZER KURT</v>
      </c>
      <c r="H62" s="20" t="str">
        <f t="shared" si="1"/>
        <v>4041</v>
      </c>
    </row>
    <row r="63" spans="1:8" x14ac:dyDescent="0.25">
      <c r="A63" s="8">
        <v>43097.339050925926</v>
      </c>
      <c r="B63" s="20" t="s">
        <v>711</v>
      </c>
      <c r="C63" s="20" t="s">
        <v>755</v>
      </c>
      <c r="D63" s="136">
        <v>3040000</v>
      </c>
      <c r="E63" s="20" t="s">
        <v>367</v>
      </c>
      <c r="F63" s="20" t="s">
        <v>709</v>
      </c>
      <c r="G63" s="8" t="str">
        <f t="shared" si="0"/>
        <v>WILLIAMS DONTE</v>
      </c>
      <c r="H63" s="20" t="str">
        <f t="shared" si="1"/>
        <v>4056</v>
      </c>
    </row>
    <row r="64" spans="1:8" x14ac:dyDescent="0.25">
      <c r="A64" s="26">
        <v>43097.339699074073</v>
      </c>
      <c r="B64" s="20" t="s">
        <v>685</v>
      </c>
      <c r="C64" s="20" t="s">
        <v>756</v>
      </c>
      <c r="D64" s="136">
        <v>2600000</v>
      </c>
      <c r="E64" s="20" t="s">
        <v>485</v>
      </c>
      <c r="F64" s="20" t="s">
        <v>482</v>
      </c>
      <c r="G64" s="8" t="str">
        <f t="shared" si="0"/>
        <v>DAVIDSON DAVID</v>
      </c>
      <c r="H64" s="20" t="str">
        <f t="shared" si="1"/>
        <v>4063</v>
      </c>
    </row>
    <row r="65" spans="1:8" x14ac:dyDescent="0.25">
      <c r="A65" s="8">
        <v>43097.348981481482</v>
      </c>
      <c r="B65" s="20" t="s">
        <v>382</v>
      </c>
      <c r="C65" s="20" t="s">
        <v>757</v>
      </c>
      <c r="D65" s="136">
        <v>1830000</v>
      </c>
      <c r="E65" s="20" t="s">
        <v>345</v>
      </c>
      <c r="F65" s="20" t="s">
        <v>346</v>
      </c>
      <c r="G65" s="8" t="str">
        <f t="shared" si="0"/>
        <v>YORK EDGAR</v>
      </c>
      <c r="H65" s="20" t="str">
        <f t="shared" si="1"/>
        <v>4062</v>
      </c>
    </row>
    <row r="66" spans="1:8" x14ac:dyDescent="0.25">
      <c r="A66" s="8">
        <v>43097.352118055554</v>
      </c>
      <c r="B66" s="20" t="s">
        <v>361</v>
      </c>
      <c r="C66" s="20" t="s">
        <v>758</v>
      </c>
      <c r="D66" s="136">
        <v>3000000</v>
      </c>
      <c r="E66" s="20" t="s">
        <v>494</v>
      </c>
      <c r="F66" s="20" t="s">
        <v>495</v>
      </c>
      <c r="G66" s="8" t="str">
        <f t="shared" si="0"/>
        <v>FORTUNATO FRANK</v>
      </c>
      <c r="H66" s="20" t="str">
        <f t="shared" si="1"/>
        <v>4017</v>
      </c>
    </row>
    <row r="67" spans="1:8" x14ac:dyDescent="0.25">
      <c r="A67" s="8">
        <v>43097.352511574078</v>
      </c>
      <c r="B67" s="20" t="s">
        <v>564</v>
      </c>
      <c r="C67" s="20" t="s">
        <v>759</v>
      </c>
      <c r="D67" s="136">
        <v>2440000</v>
      </c>
      <c r="E67" s="20" t="s">
        <v>450</v>
      </c>
      <c r="F67" s="20" t="s">
        <v>451</v>
      </c>
      <c r="G67" s="8" t="str">
        <f t="shared" ref="G67:G130" si="2">E67&amp;" "&amp;F67</f>
        <v>LOPES KIMBERLY</v>
      </c>
      <c r="H67" s="20" t="str">
        <f t="shared" ref="H67:H130" si="3">MID(B67,13,4)</f>
        <v>4016</v>
      </c>
    </row>
    <row r="68" spans="1:8" x14ac:dyDescent="0.25">
      <c r="A68" s="8">
        <v>43097.353761574072</v>
      </c>
      <c r="B68" s="20" t="s">
        <v>680</v>
      </c>
      <c r="C68" s="20" t="s">
        <v>681</v>
      </c>
      <c r="D68" s="136">
        <v>3840000</v>
      </c>
      <c r="E68" s="20" t="s">
        <v>557</v>
      </c>
      <c r="F68" s="20" t="s">
        <v>558</v>
      </c>
      <c r="G68" s="8" t="str">
        <f t="shared" si="2"/>
        <v>LONG FULLER</v>
      </c>
      <c r="H68" s="20" t="str">
        <f t="shared" si="3"/>
        <v>4013</v>
      </c>
    </row>
    <row r="69" spans="1:8" x14ac:dyDescent="0.25">
      <c r="A69" s="8">
        <v>43097.359293981484</v>
      </c>
      <c r="B69" s="20" t="s">
        <v>603</v>
      </c>
      <c r="C69" s="20" t="s">
        <v>760</v>
      </c>
      <c r="D69" s="136">
        <v>1100000</v>
      </c>
      <c r="E69" s="20" t="s">
        <v>604</v>
      </c>
      <c r="F69" s="20" t="s">
        <v>605</v>
      </c>
      <c r="G69" s="8" t="str">
        <f t="shared" si="2"/>
        <v>GEBRETEKLE DAGNEW</v>
      </c>
      <c r="H69" s="20" t="str">
        <f t="shared" si="3"/>
        <v>4045</v>
      </c>
    </row>
    <row r="70" spans="1:8" x14ac:dyDescent="0.25">
      <c r="A70" s="8">
        <v>43097.361388888887</v>
      </c>
      <c r="B70" s="20" t="s">
        <v>610</v>
      </c>
      <c r="C70" s="20" t="s">
        <v>761</v>
      </c>
      <c r="D70" s="136">
        <v>1230000</v>
      </c>
      <c r="E70" s="20" t="s">
        <v>486</v>
      </c>
      <c r="F70" s="20" t="s">
        <v>487</v>
      </c>
      <c r="G70" s="8" t="str">
        <f t="shared" si="2"/>
        <v>YANAI IAN</v>
      </c>
      <c r="H70" s="20" t="str">
        <f t="shared" si="3"/>
        <v>4004</v>
      </c>
    </row>
    <row r="71" spans="1:8" x14ac:dyDescent="0.25">
      <c r="A71" s="8">
        <v>43097.370532407411</v>
      </c>
      <c r="B71" s="20" t="s">
        <v>553</v>
      </c>
      <c r="C71" s="20" t="s">
        <v>762</v>
      </c>
      <c r="D71" s="136">
        <v>2010000</v>
      </c>
      <c r="E71" s="20" t="s">
        <v>701</v>
      </c>
      <c r="F71" s="20" t="s">
        <v>702</v>
      </c>
      <c r="G71" s="8" t="str">
        <f t="shared" si="2"/>
        <v>MAELZER KURT</v>
      </c>
      <c r="H71" s="20" t="str">
        <f t="shared" si="3"/>
        <v>4042</v>
      </c>
    </row>
    <row r="72" spans="1:8" x14ac:dyDescent="0.25">
      <c r="A72" s="8">
        <v>43097.373356481483</v>
      </c>
      <c r="B72" s="20" t="s">
        <v>359</v>
      </c>
      <c r="C72" s="20" t="s">
        <v>763</v>
      </c>
      <c r="D72" s="136">
        <v>3000000</v>
      </c>
      <c r="E72" s="20" t="s">
        <v>494</v>
      </c>
      <c r="F72" s="20" t="s">
        <v>495</v>
      </c>
      <c r="G72" s="8" t="str">
        <f t="shared" si="2"/>
        <v>FORTUNATO FRANK</v>
      </c>
      <c r="H72" s="20" t="str">
        <f t="shared" si="3"/>
        <v>4018</v>
      </c>
    </row>
    <row r="73" spans="1:8" x14ac:dyDescent="0.25">
      <c r="A73" s="8">
        <v>43097.379618055558</v>
      </c>
      <c r="B73" s="20" t="s">
        <v>350</v>
      </c>
      <c r="C73" s="20" t="s">
        <v>764</v>
      </c>
      <c r="D73" s="136">
        <v>3040000</v>
      </c>
      <c r="E73" s="20" t="s">
        <v>367</v>
      </c>
      <c r="F73" s="20" t="s">
        <v>709</v>
      </c>
      <c r="G73" s="8" t="str">
        <f t="shared" si="2"/>
        <v>WILLIAMS DONTE</v>
      </c>
      <c r="H73" s="20" t="str">
        <f t="shared" si="3"/>
        <v>4055</v>
      </c>
    </row>
    <row r="74" spans="1:8" x14ac:dyDescent="0.25">
      <c r="A74" s="8">
        <v>43097.379710648151</v>
      </c>
      <c r="B74" s="20" t="s">
        <v>384</v>
      </c>
      <c r="C74" s="20" t="s">
        <v>765</v>
      </c>
      <c r="D74" s="136">
        <v>1830000</v>
      </c>
      <c r="E74" s="20" t="s">
        <v>345</v>
      </c>
      <c r="F74" s="20" t="s">
        <v>346</v>
      </c>
      <c r="G74" s="8" t="str">
        <f t="shared" si="2"/>
        <v>YORK EDGAR</v>
      </c>
      <c r="H74" s="20" t="str">
        <f t="shared" si="3"/>
        <v>4061</v>
      </c>
    </row>
    <row r="75" spans="1:8" x14ac:dyDescent="0.25">
      <c r="A75" s="8">
        <v>43097.38077546296</v>
      </c>
      <c r="B75" s="20" t="s">
        <v>723</v>
      </c>
      <c r="C75" s="20" t="s">
        <v>766</v>
      </c>
      <c r="D75" s="136">
        <v>2600000</v>
      </c>
      <c r="E75" s="20" t="s">
        <v>485</v>
      </c>
      <c r="F75" s="20" t="s">
        <v>482</v>
      </c>
      <c r="G75" s="8" t="str">
        <f t="shared" si="2"/>
        <v>DAVIDSON DAVID</v>
      </c>
      <c r="H75" s="20" t="str">
        <f t="shared" si="3"/>
        <v>4064</v>
      </c>
    </row>
    <row r="76" spans="1:8" x14ac:dyDescent="0.25">
      <c r="A76" s="8">
        <v>43097.390462962961</v>
      </c>
      <c r="B76" s="20" t="s">
        <v>693</v>
      </c>
      <c r="C76" s="20" t="s">
        <v>767</v>
      </c>
      <c r="D76" s="136">
        <v>3840000</v>
      </c>
      <c r="E76" s="20" t="s">
        <v>557</v>
      </c>
      <c r="F76" s="20" t="s">
        <v>558</v>
      </c>
      <c r="G76" s="8" t="str">
        <f t="shared" si="2"/>
        <v>LONG FULLER</v>
      </c>
      <c r="H76" s="20" t="str">
        <f t="shared" si="3"/>
        <v>4014</v>
      </c>
    </row>
    <row r="77" spans="1:8" x14ac:dyDescent="0.25">
      <c r="A77" s="8">
        <v>43097.392048611109</v>
      </c>
      <c r="B77" s="20" t="s">
        <v>600</v>
      </c>
      <c r="C77" s="20" t="s">
        <v>768</v>
      </c>
      <c r="D77" s="136">
        <v>1230000</v>
      </c>
      <c r="E77" s="20" t="s">
        <v>486</v>
      </c>
      <c r="F77" s="20" t="s">
        <v>487</v>
      </c>
      <c r="G77" s="8" t="str">
        <f t="shared" si="2"/>
        <v>YANAI IAN</v>
      </c>
      <c r="H77" s="20" t="str">
        <f t="shared" si="3"/>
        <v>4003</v>
      </c>
    </row>
    <row r="78" spans="1:8" x14ac:dyDescent="0.25">
      <c r="A78" s="8">
        <v>43097.39398148148</v>
      </c>
      <c r="B78" s="20" t="s">
        <v>361</v>
      </c>
      <c r="C78" s="20" t="s">
        <v>769</v>
      </c>
      <c r="D78" s="136">
        <v>3000000</v>
      </c>
      <c r="E78" s="20" t="s">
        <v>494</v>
      </c>
      <c r="F78" s="20" t="s">
        <v>495</v>
      </c>
      <c r="G78" s="8" t="str">
        <f t="shared" si="2"/>
        <v>FORTUNATO FRANK</v>
      </c>
      <c r="H78" s="20" t="str">
        <f t="shared" si="3"/>
        <v>4017</v>
      </c>
    </row>
    <row r="79" spans="1:8" x14ac:dyDescent="0.25">
      <c r="A79" s="8">
        <v>43097.400752314818</v>
      </c>
      <c r="B79" s="20" t="s">
        <v>601</v>
      </c>
      <c r="C79" s="20" t="s">
        <v>682</v>
      </c>
      <c r="D79" s="136">
        <v>1100000</v>
      </c>
      <c r="E79" s="20" t="s">
        <v>604</v>
      </c>
      <c r="F79" s="20" t="s">
        <v>605</v>
      </c>
      <c r="G79" s="8" t="str">
        <f t="shared" si="2"/>
        <v>GEBRETEKLE DAGNEW</v>
      </c>
      <c r="H79" s="20" t="str">
        <f t="shared" si="3"/>
        <v>4046</v>
      </c>
    </row>
    <row r="80" spans="1:8" x14ac:dyDescent="0.25">
      <c r="A80" s="8">
        <v>43097.408935185187</v>
      </c>
      <c r="B80" s="20" t="s">
        <v>552</v>
      </c>
      <c r="C80" s="20" t="s">
        <v>770</v>
      </c>
      <c r="D80" s="136">
        <v>2010000</v>
      </c>
      <c r="E80" s="20" t="s">
        <v>701</v>
      </c>
      <c r="F80" s="20" t="s">
        <v>702</v>
      </c>
      <c r="G80" s="8" t="str">
        <f t="shared" si="2"/>
        <v>MAELZER KURT</v>
      </c>
      <c r="H80" s="20" t="str">
        <f t="shared" si="3"/>
        <v>4041</v>
      </c>
    </row>
    <row r="81" spans="1:8" x14ac:dyDescent="0.25">
      <c r="A81" s="8">
        <v>43097.412638888891</v>
      </c>
      <c r="B81" s="20" t="s">
        <v>711</v>
      </c>
      <c r="C81" s="20" t="s">
        <v>771</v>
      </c>
      <c r="D81" s="136">
        <v>3040000</v>
      </c>
      <c r="E81" s="20" t="s">
        <v>367</v>
      </c>
      <c r="F81" s="20" t="s">
        <v>709</v>
      </c>
      <c r="G81" s="8" t="str">
        <f t="shared" si="2"/>
        <v>WILLIAMS DONTE</v>
      </c>
      <c r="H81" s="20" t="str">
        <f t="shared" si="3"/>
        <v>4056</v>
      </c>
    </row>
    <row r="82" spans="1:8" x14ac:dyDescent="0.25">
      <c r="A82" s="8">
        <v>43097.413634259261</v>
      </c>
      <c r="B82" s="20" t="s">
        <v>685</v>
      </c>
      <c r="C82" s="20" t="s">
        <v>772</v>
      </c>
      <c r="D82" s="136">
        <v>2600000</v>
      </c>
      <c r="E82" s="20" t="s">
        <v>485</v>
      </c>
      <c r="F82" s="20" t="s">
        <v>482</v>
      </c>
      <c r="G82" s="8" t="str">
        <f t="shared" si="2"/>
        <v>DAVIDSON DAVID</v>
      </c>
      <c r="H82" s="20" t="str">
        <f t="shared" si="3"/>
        <v>4063</v>
      </c>
    </row>
    <row r="83" spans="1:8" x14ac:dyDescent="0.25">
      <c r="A83" s="8">
        <v>43097.415000000001</v>
      </c>
      <c r="B83" s="20" t="s">
        <v>359</v>
      </c>
      <c r="C83" s="20" t="s">
        <v>683</v>
      </c>
      <c r="D83" s="136">
        <v>3000000</v>
      </c>
      <c r="E83" s="20" t="s">
        <v>494</v>
      </c>
      <c r="F83" s="20" t="s">
        <v>495</v>
      </c>
      <c r="G83" s="8" t="str">
        <f t="shared" si="2"/>
        <v>FORTUNATO FRANK</v>
      </c>
      <c r="H83" s="20" t="str">
        <f t="shared" si="3"/>
        <v>4018</v>
      </c>
    </row>
    <row r="84" spans="1:8" x14ac:dyDescent="0.25">
      <c r="A84" s="8">
        <v>43097.421134259261</v>
      </c>
      <c r="B84" s="20" t="s">
        <v>382</v>
      </c>
      <c r="C84" s="20" t="s">
        <v>773</v>
      </c>
      <c r="D84" s="136">
        <v>2440000</v>
      </c>
      <c r="E84" s="20" t="s">
        <v>450</v>
      </c>
      <c r="F84" s="20" t="s">
        <v>451</v>
      </c>
      <c r="G84" s="8" t="str">
        <f t="shared" si="2"/>
        <v>LOPES KIMBERLY</v>
      </c>
      <c r="H84" s="20" t="str">
        <f t="shared" si="3"/>
        <v>4062</v>
      </c>
    </row>
    <row r="85" spans="1:8" x14ac:dyDescent="0.25">
      <c r="A85" s="8">
        <v>43097.425833333335</v>
      </c>
      <c r="B85" s="20" t="s">
        <v>680</v>
      </c>
      <c r="C85" s="20" t="s">
        <v>774</v>
      </c>
      <c r="D85" s="136">
        <v>3840000</v>
      </c>
      <c r="E85" s="20" t="s">
        <v>557</v>
      </c>
      <c r="F85" s="20" t="s">
        <v>558</v>
      </c>
      <c r="G85" s="8" t="str">
        <f t="shared" si="2"/>
        <v>LONG FULLER</v>
      </c>
      <c r="H85" s="20" t="str">
        <f t="shared" si="3"/>
        <v>4013</v>
      </c>
    </row>
    <row r="86" spans="1:8" x14ac:dyDescent="0.25">
      <c r="A86" s="8">
        <v>43097.432372685187</v>
      </c>
      <c r="B86" s="20" t="s">
        <v>610</v>
      </c>
      <c r="C86" s="20" t="s">
        <v>775</v>
      </c>
      <c r="D86" s="136">
        <v>1230000</v>
      </c>
      <c r="E86" s="20" t="s">
        <v>486</v>
      </c>
      <c r="F86" s="20" t="s">
        <v>487</v>
      </c>
      <c r="G86" s="8" t="str">
        <f t="shared" si="2"/>
        <v>YANAI IAN</v>
      </c>
      <c r="H86" s="20" t="str">
        <f t="shared" si="3"/>
        <v>4004</v>
      </c>
    </row>
    <row r="87" spans="1:8" x14ac:dyDescent="0.25">
      <c r="A87" s="8">
        <v>43097.434236111112</v>
      </c>
      <c r="B87" s="20" t="s">
        <v>603</v>
      </c>
      <c r="C87" s="20" t="s">
        <v>776</v>
      </c>
      <c r="D87" s="136">
        <v>1100000</v>
      </c>
      <c r="E87" s="20" t="s">
        <v>604</v>
      </c>
      <c r="F87" s="20" t="s">
        <v>605</v>
      </c>
      <c r="G87" s="8" t="str">
        <f t="shared" si="2"/>
        <v>GEBRETEKLE DAGNEW</v>
      </c>
      <c r="H87" s="20" t="str">
        <f t="shared" si="3"/>
        <v>4045</v>
      </c>
    </row>
    <row r="88" spans="1:8" x14ac:dyDescent="0.25">
      <c r="A88" s="8">
        <v>43097.436122685183</v>
      </c>
      <c r="B88" s="20" t="s">
        <v>361</v>
      </c>
      <c r="C88" s="20" t="s">
        <v>777</v>
      </c>
      <c r="D88" s="136">
        <v>3000000</v>
      </c>
      <c r="E88" s="20" t="s">
        <v>494</v>
      </c>
      <c r="F88" s="20" t="s">
        <v>495</v>
      </c>
      <c r="G88" s="8" t="str">
        <f t="shared" si="2"/>
        <v>FORTUNATO FRANK</v>
      </c>
      <c r="H88" s="20" t="str">
        <f t="shared" si="3"/>
        <v>4017</v>
      </c>
    </row>
    <row r="89" spans="1:8" x14ac:dyDescent="0.25">
      <c r="A89" s="8">
        <v>43097.444074074076</v>
      </c>
      <c r="B89" s="20" t="s">
        <v>553</v>
      </c>
      <c r="C89" s="20" t="s">
        <v>778</v>
      </c>
      <c r="D89" s="136">
        <v>2550000</v>
      </c>
      <c r="E89" s="20" t="s">
        <v>779</v>
      </c>
      <c r="F89" s="20" t="s">
        <v>780</v>
      </c>
      <c r="G89" s="8" t="str">
        <f t="shared" si="2"/>
        <v>BADERTSCHER DIANE</v>
      </c>
      <c r="H89" s="20" t="str">
        <f t="shared" si="3"/>
        <v>4042</v>
      </c>
    </row>
    <row r="90" spans="1:8" x14ac:dyDescent="0.25">
      <c r="A90" s="8">
        <v>43097.451736111114</v>
      </c>
      <c r="B90" s="20" t="s">
        <v>350</v>
      </c>
      <c r="C90" s="20" t="s">
        <v>781</v>
      </c>
      <c r="D90" s="136">
        <v>3040000</v>
      </c>
      <c r="E90" s="20" t="s">
        <v>367</v>
      </c>
      <c r="F90" s="20" t="s">
        <v>709</v>
      </c>
      <c r="G90" s="8" t="str">
        <f t="shared" si="2"/>
        <v>WILLIAMS DONTE</v>
      </c>
      <c r="H90" s="20" t="str">
        <f t="shared" si="3"/>
        <v>4055</v>
      </c>
    </row>
    <row r="91" spans="1:8" x14ac:dyDescent="0.25">
      <c r="A91" s="8">
        <v>43097.453715277778</v>
      </c>
      <c r="B91" s="20" t="s">
        <v>723</v>
      </c>
      <c r="C91" s="20" t="s">
        <v>782</v>
      </c>
      <c r="D91" s="136">
        <v>2600000</v>
      </c>
      <c r="E91" s="20" t="s">
        <v>485</v>
      </c>
      <c r="F91" s="20" t="s">
        <v>482</v>
      </c>
      <c r="G91" s="8" t="str">
        <f t="shared" si="2"/>
        <v>DAVIDSON DAVID</v>
      </c>
      <c r="H91" s="20" t="str">
        <f t="shared" si="3"/>
        <v>4064</v>
      </c>
    </row>
    <row r="92" spans="1:8" x14ac:dyDescent="0.25">
      <c r="A92" s="8">
        <v>43097.457025462965</v>
      </c>
      <c r="B92" s="20" t="s">
        <v>359</v>
      </c>
      <c r="C92" s="20" t="s">
        <v>783</v>
      </c>
      <c r="D92" s="136">
        <v>3000000</v>
      </c>
      <c r="E92" s="20" t="s">
        <v>494</v>
      </c>
      <c r="F92" s="20" t="s">
        <v>495</v>
      </c>
      <c r="G92" s="8" t="str">
        <f t="shared" si="2"/>
        <v>FORTUNATO FRANK</v>
      </c>
      <c r="H92" s="20" t="str">
        <f t="shared" si="3"/>
        <v>4018</v>
      </c>
    </row>
    <row r="93" spans="1:8" x14ac:dyDescent="0.25">
      <c r="A93" s="8">
        <v>43097.457361111112</v>
      </c>
      <c r="B93" s="20" t="s">
        <v>384</v>
      </c>
      <c r="C93" s="20" t="s">
        <v>784</v>
      </c>
      <c r="D93" s="136">
        <v>2440000</v>
      </c>
      <c r="E93" s="20" t="s">
        <v>450</v>
      </c>
      <c r="F93" s="20" t="s">
        <v>451</v>
      </c>
      <c r="G93" s="8" t="str">
        <f t="shared" si="2"/>
        <v>LOPES KIMBERLY</v>
      </c>
      <c r="H93" s="20" t="str">
        <f t="shared" si="3"/>
        <v>4061</v>
      </c>
    </row>
    <row r="94" spans="1:8" x14ac:dyDescent="0.25">
      <c r="A94" s="8">
        <v>43097.464247685188</v>
      </c>
      <c r="B94" s="20" t="s">
        <v>600</v>
      </c>
      <c r="C94" s="20" t="s">
        <v>785</v>
      </c>
      <c r="D94" s="136">
        <v>1230000</v>
      </c>
      <c r="E94" s="20" t="s">
        <v>486</v>
      </c>
      <c r="F94" s="20" t="s">
        <v>487</v>
      </c>
      <c r="G94" s="8" t="str">
        <f t="shared" si="2"/>
        <v>YANAI IAN</v>
      </c>
      <c r="H94" s="20" t="str">
        <f t="shared" si="3"/>
        <v>4003</v>
      </c>
    </row>
    <row r="95" spans="1:8" x14ac:dyDescent="0.25">
      <c r="A95" s="8">
        <v>43097.467013888891</v>
      </c>
      <c r="B95" s="20" t="s">
        <v>693</v>
      </c>
      <c r="C95" s="20" t="s">
        <v>786</v>
      </c>
      <c r="D95" s="136">
        <v>1770000</v>
      </c>
      <c r="E95" s="20" t="s">
        <v>559</v>
      </c>
      <c r="F95" s="20" t="s">
        <v>560</v>
      </c>
      <c r="G95" s="8" t="str">
        <f t="shared" si="2"/>
        <v>BRUDER RICHARD</v>
      </c>
      <c r="H95" s="20" t="str">
        <f t="shared" si="3"/>
        <v>4014</v>
      </c>
    </row>
    <row r="96" spans="1:8" x14ac:dyDescent="0.25">
      <c r="A96" s="8">
        <v>43097.47457175926</v>
      </c>
      <c r="B96" s="20" t="s">
        <v>601</v>
      </c>
      <c r="C96" s="20" t="s">
        <v>787</v>
      </c>
      <c r="D96" s="136">
        <v>880000</v>
      </c>
      <c r="E96" s="20" t="s">
        <v>481</v>
      </c>
      <c r="F96" s="20" t="s">
        <v>351</v>
      </c>
      <c r="G96" s="8" t="str">
        <f t="shared" si="2"/>
        <v>STEWART MICHAEL</v>
      </c>
      <c r="H96" s="20" t="str">
        <f t="shared" si="3"/>
        <v>4046</v>
      </c>
    </row>
    <row r="97" spans="1:8" x14ac:dyDescent="0.25">
      <c r="A97" s="8">
        <v>43097.477118055554</v>
      </c>
      <c r="B97" s="20" t="s">
        <v>361</v>
      </c>
      <c r="C97" s="20" t="s">
        <v>788</v>
      </c>
      <c r="D97" s="136">
        <v>3000000</v>
      </c>
      <c r="E97" s="20" t="s">
        <v>494</v>
      </c>
      <c r="F97" s="20" t="s">
        <v>495</v>
      </c>
      <c r="G97" s="8" t="str">
        <f t="shared" si="2"/>
        <v>FORTUNATO FRANK</v>
      </c>
      <c r="H97" s="20" t="str">
        <f t="shared" si="3"/>
        <v>4017</v>
      </c>
    </row>
    <row r="98" spans="1:8" x14ac:dyDescent="0.25">
      <c r="A98" s="8">
        <v>43097.484097222223</v>
      </c>
      <c r="B98" s="20" t="s">
        <v>552</v>
      </c>
      <c r="C98" s="20" t="s">
        <v>789</v>
      </c>
      <c r="D98" s="136">
        <v>2550000</v>
      </c>
      <c r="E98" s="20" t="s">
        <v>779</v>
      </c>
      <c r="F98" s="20" t="s">
        <v>780</v>
      </c>
      <c r="G98" s="8" t="str">
        <f t="shared" si="2"/>
        <v>BADERTSCHER DIANE</v>
      </c>
      <c r="H98" s="20" t="str">
        <f t="shared" si="3"/>
        <v>4041</v>
      </c>
    </row>
    <row r="99" spans="1:8" x14ac:dyDescent="0.25">
      <c r="A99" s="8">
        <v>43097.485844907409</v>
      </c>
      <c r="B99" s="20" t="s">
        <v>685</v>
      </c>
      <c r="C99" s="20" t="s">
        <v>790</v>
      </c>
      <c r="D99" s="136">
        <v>2600000</v>
      </c>
      <c r="E99" s="20" t="s">
        <v>485</v>
      </c>
      <c r="F99" s="20" t="s">
        <v>482</v>
      </c>
      <c r="G99" s="8" t="str">
        <f t="shared" si="2"/>
        <v>DAVIDSON DAVID</v>
      </c>
      <c r="H99" s="20" t="str">
        <f t="shared" si="3"/>
        <v>4063</v>
      </c>
    </row>
    <row r="100" spans="1:8" x14ac:dyDescent="0.25">
      <c r="A100" s="8">
        <v>43097.486886574072</v>
      </c>
      <c r="B100" s="20" t="s">
        <v>711</v>
      </c>
      <c r="C100" s="20" t="s">
        <v>791</v>
      </c>
      <c r="D100" s="136">
        <v>1300000</v>
      </c>
      <c r="E100" s="20" t="s">
        <v>357</v>
      </c>
      <c r="F100" s="20" t="s">
        <v>358</v>
      </c>
      <c r="G100" s="8" t="str">
        <f t="shared" si="2"/>
        <v>LEVIN SCOTT</v>
      </c>
      <c r="H100" s="20" t="str">
        <f t="shared" si="3"/>
        <v>4056</v>
      </c>
    </row>
    <row r="101" spans="1:8" x14ac:dyDescent="0.25">
      <c r="A101" s="8">
        <v>43097.497465277775</v>
      </c>
      <c r="B101" s="20" t="s">
        <v>382</v>
      </c>
      <c r="C101" s="20" t="s">
        <v>792</v>
      </c>
      <c r="D101" s="136">
        <v>3810000</v>
      </c>
      <c r="E101" s="20" t="s">
        <v>608</v>
      </c>
      <c r="F101" s="20" t="s">
        <v>609</v>
      </c>
      <c r="G101" s="8" t="str">
        <f t="shared" si="2"/>
        <v>LORI SANTOS</v>
      </c>
      <c r="H101" s="20" t="str">
        <f t="shared" si="3"/>
        <v>4062</v>
      </c>
    </row>
    <row r="102" spans="1:8" x14ac:dyDescent="0.25">
      <c r="A102" s="8">
        <v>43097.498831018522</v>
      </c>
      <c r="B102" s="20" t="s">
        <v>359</v>
      </c>
      <c r="C102" s="20" t="s">
        <v>793</v>
      </c>
      <c r="D102" s="136">
        <v>3000000</v>
      </c>
      <c r="E102" s="20" t="s">
        <v>494</v>
      </c>
      <c r="F102" s="20" t="s">
        <v>495</v>
      </c>
      <c r="G102" s="8" t="str">
        <f t="shared" si="2"/>
        <v>FORTUNATO FRANK</v>
      </c>
      <c r="H102" s="20" t="str">
        <f t="shared" si="3"/>
        <v>4018</v>
      </c>
    </row>
    <row r="103" spans="1:8" x14ac:dyDescent="0.25">
      <c r="A103" s="8">
        <v>43097.506331018521</v>
      </c>
      <c r="B103" s="20" t="s">
        <v>680</v>
      </c>
      <c r="C103" s="20" t="s">
        <v>794</v>
      </c>
      <c r="D103" s="136">
        <v>1770000</v>
      </c>
      <c r="E103" s="20" t="s">
        <v>559</v>
      </c>
      <c r="F103" s="20" t="s">
        <v>560</v>
      </c>
      <c r="G103" s="8" t="str">
        <f t="shared" si="2"/>
        <v>BRUDER RICHARD</v>
      </c>
      <c r="H103" s="20" t="str">
        <f t="shared" si="3"/>
        <v>4013</v>
      </c>
    </row>
    <row r="104" spans="1:8" x14ac:dyDescent="0.25">
      <c r="A104" s="8">
        <v>43097.506701388891</v>
      </c>
      <c r="B104" s="20" t="s">
        <v>610</v>
      </c>
      <c r="C104" s="20" t="s">
        <v>795</v>
      </c>
      <c r="D104" s="136">
        <v>2030000</v>
      </c>
      <c r="E104" s="20" t="s">
        <v>561</v>
      </c>
      <c r="F104" s="20" t="s">
        <v>482</v>
      </c>
      <c r="G104" s="8" t="str">
        <f t="shared" si="2"/>
        <v>KILLION DAVID</v>
      </c>
      <c r="H104" s="20" t="str">
        <f t="shared" si="3"/>
        <v>4004</v>
      </c>
    </row>
    <row r="105" spans="1:8" x14ac:dyDescent="0.25">
      <c r="A105" s="8">
        <v>43097.516296296293</v>
      </c>
      <c r="B105" s="20" t="s">
        <v>603</v>
      </c>
      <c r="C105" s="20" t="s">
        <v>796</v>
      </c>
      <c r="D105" s="136">
        <v>880000</v>
      </c>
      <c r="E105" s="20" t="s">
        <v>481</v>
      </c>
      <c r="F105" s="20" t="s">
        <v>351</v>
      </c>
      <c r="G105" s="8" t="str">
        <f t="shared" si="2"/>
        <v>STEWART MICHAEL</v>
      </c>
      <c r="H105" s="20" t="str">
        <f t="shared" si="3"/>
        <v>4045</v>
      </c>
    </row>
    <row r="106" spans="1:8" x14ac:dyDescent="0.25">
      <c r="A106" s="8">
        <v>43097.517372685186</v>
      </c>
      <c r="B106" s="20" t="s">
        <v>553</v>
      </c>
      <c r="C106" s="20" t="s">
        <v>797</v>
      </c>
      <c r="D106" s="136">
        <v>2550000</v>
      </c>
      <c r="E106" s="20" t="s">
        <v>779</v>
      </c>
      <c r="F106" s="20" t="s">
        <v>780</v>
      </c>
      <c r="G106" s="8" t="str">
        <f t="shared" si="2"/>
        <v>BADERTSCHER DIANE</v>
      </c>
      <c r="H106" s="20" t="str">
        <f t="shared" si="3"/>
        <v>4042</v>
      </c>
    </row>
    <row r="107" spans="1:8" x14ac:dyDescent="0.25">
      <c r="A107" s="8">
        <v>43097.519409722219</v>
      </c>
      <c r="B107" s="20" t="s">
        <v>361</v>
      </c>
      <c r="C107" s="20" t="s">
        <v>798</v>
      </c>
      <c r="D107" s="136">
        <v>3000000</v>
      </c>
      <c r="E107" s="20" t="s">
        <v>494</v>
      </c>
      <c r="F107" s="20" t="s">
        <v>495</v>
      </c>
      <c r="G107" s="8" t="str">
        <f t="shared" si="2"/>
        <v>FORTUNATO FRANK</v>
      </c>
      <c r="H107" s="20" t="str">
        <f t="shared" si="3"/>
        <v>4017</v>
      </c>
    </row>
    <row r="108" spans="1:8" x14ac:dyDescent="0.25">
      <c r="A108" s="8">
        <v>43097.522233796299</v>
      </c>
      <c r="B108" s="20" t="s">
        <v>350</v>
      </c>
      <c r="C108" s="20" t="s">
        <v>684</v>
      </c>
      <c r="D108" s="136">
        <v>1300000</v>
      </c>
      <c r="E108" s="20" t="s">
        <v>357</v>
      </c>
      <c r="F108" s="20" t="s">
        <v>358</v>
      </c>
      <c r="G108" s="8" t="str">
        <f t="shared" si="2"/>
        <v>LEVIN SCOTT</v>
      </c>
      <c r="H108" s="20" t="str">
        <f t="shared" si="3"/>
        <v>4055</v>
      </c>
    </row>
    <row r="109" spans="1:8" x14ac:dyDescent="0.25">
      <c r="A109" s="8">
        <v>43097.527708333335</v>
      </c>
      <c r="B109" s="20" t="s">
        <v>723</v>
      </c>
      <c r="C109" s="20" t="s">
        <v>799</v>
      </c>
      <c r="D109" s="136">
        <v>2420000</v>
      </c>
      <c r="E109" s="20" t="s">
        <v>606</v>
      </c>
      <c r="F109" s="20" t="s">
        <v>607</v>
      </c>
      <c r="G109" s="8" t="str">
        <f t="shared" si="2"/>
        <v>HOLCOMB KAMDEN</v>
      </c>
      <c r="H109" s="20" t="str">
        <f t="shared" si="3"/>
        <v>4064</v>
      </c>
    </row>
    <row r="110" spans="1:8" x14ac:dyDescent="0.25">
      <c r="A110" s="8">
        <v>43097.538124999999</v>
      </c>
      <c r="B110" s="20" t="s">
        <v>384</v>
      </c>
      <c r="C110" s="20" t="s">
        <v>800</v>
      </c>
      <c r="D110" s="136">
        <v>3810000</v>
      </c>
      <c r="E110" s="20" t="s">
        <v>608</v>
      </c>
      <c r="F110" s="20" t="s">
        <v>609</v>
      </c>
      <c r="G110" s="8" t="str">
        <f t="shared" si="2"/>
        <v>LORI SANTOS</v>
      </c>
      <c r="H110" s="20" t="str">
        <f t="shared" si="3"/>
        <v>4061</v>
      </c>
    </row>
    <row r="111" spans="1:8" x14ac:dyDescent="0.25">
      <c r="A111" s="8">
        <v>43097.53875</v>
      </c>
      <c r="B111" s="20" t="s">
        <v>693</v>
      </c>
      <c r="C111" s="20" t="s">
        <v>801</v>
      </c>
      <c r="D111" s="136">
        <v>1770000</v>
      </c>
      <c r="E111" s="20" t="s">
        <v>559</v>
      </c>
      <c r="F111" s="20" t="s">
        <v>560</v>
      </c>
      <c r="G111" s="8" t="str">
        <f t="shared" si="2"/>
        <v>BRUDER RICHARD</v>
      </c>
      <c r="H111" s="20" t="str">
        <f t="shared" si="3"/>
        <v>4014</v>
      </c>
    </row>
    <row r="112" spans="1:8" x14ac:dyDescent="0.25">
      <c r="A112" s="8">
        <v>43097.542731481481</v>
      </c>
      <c r="B112" s="20" t="s">
        <v>600</v>
      </c>
      <c r="C112" s="20" t="s">
        <v>802</v>
      </c>
      <c r="D112" s="136">
        <v>2030000</v>
      </c>
      <c r="E112" s="20" t="s">
        <v>561</v>
      </c>
      <c r="F112" s="20" t="s">
        <v>482</v>
      </c>
      <c r="G112" s="8" t="str">
        <f t="shared" si="2"/>
        <v>KILLION DAVID</v>
      </c>
      <c r="H112" s="20" t="str">
        <f t="shared" si="3"/>
        <v>4003</v>
      </c>
    </row>
    <row r="113" spans="1:8" x14ac:dyDescent="0.25">
      <c r="A113" s="8">
        <v>43097.542986111112</v>
      </c>
      <c r="B113" s="20" t="s">
        <v>359</v>
      </c>
      <c r="C113" s="20" t="s">
        <v>803</v>
      </c>
      <c r="D113" s="136">
        <v>2000000</v>
      </c>
      <c r="E113" s="20" t="s">
        <v>393</v>
      </c>
      <c r="F113" s="20" t="s">
        <v>394</v>
      </c>
      <c r="G113" s="8" t="str">
        <f t="shared" si="2"/>
        <v>STAMBAUGH JAMES</v>
      </c>
      <c r="H113" s="20" t="str">
        <f t="shared" si="3"/>
        <v>4018</v>
      </c>
    </row>
    <row r="114" spans="1:8" x14ac:dyDescent="0.25">
      <c r="A114" s="8">
        <v>43097.549131944441</v>
      </c>
      <c r="B114" s="20" t="s">
        <v>601</v>
      </c>
      <c r="C114" s="20" t="s">
        <v>804</v>
      </c>
      <c r="D114" s="136">
        <v>880000</v>
      </c>
      <c r="E114" s="20" t="s">
        <v>481</v>
      </c>
      <c r="F114" s="20" t="s">
        <v>351</v>
      </c>
      <c r="G114" s="8" t="str">
        <f t="shared" si="2"/>
        <v>STEWART MICHAEL</v>
      </c>
      <c r="H114" s="20" t="str">
        <f t="shared" si="3"/>
        <v>4046</v>
      </c>
    </row>
    <row r="115" spans="1:8" x14ac:dyDescent="0.25">
      <c r="A115" s="8">
        <v>43097.555</v>
      </c>
      <c r="B115" s="20" t="s">
        <v>552</v>
      </c>
      <c r="C115" s="20" t="s">
        <v>805</v>
      </c>
      <c r="D115" s="136">
        <v>2550000</v>
      </c>
      <c r="E115" s="20" t="s">
        <v>779</v>
      </c>
      <c r="F115" s="20" t="s">
        <v>780</v>
      </c>
      <c r="G115" s="8" t="str">
        <f t="shared" si="2"/>
        <v>BADERTSCHER DIANE</v>
      </c>
      <c r="H115" s="20" t="str">
        <f t="shared" si="3"/>
        <v>4041</v>
      </c>
    </row>
    <row r="116" spans="1:8" x14ac:dyDescent="0.25">
      <c r="A116" s="8">
        <v>43097.55872685185</v>
      </c>
      <c r="B116" s="20" t="s">
        <v>361</v>
      </c>
      <c r="C116" s="20" t="s">
        <v>806</v>
      </c>
      <c r="D116" s="136">
        <v>2000000</v>
      </c>
      <c r="E116" s="20" t="s">
        <v>393</v>
      </c>
      <c r="F116" s="20" t="s">
        <v>394</v>
      </c>
      <c r="G116" s="8" t="str">
        <f t="shared" si="2"/>
        <v>STAMBAUGH JAMES</v>
      </c>
      <c r="H116" s="20" t="str">
        <f t="shared" si="3"/>
        <v>4017</v>
      </c>
    </row>
    <row r="117" spans="1:8" x14ac:dyDescent="0.25">
      <c r="A117" s="8">
        <v>43097.560358796298</v>
      </c>
      <c r="B117" s="20" t="s">
        <v>361</v>
      </c>
      <c r="C117" s="20" t="s">
        <v>806</v>
      </c>
      <c r="D117" s="136">
        <v>2000000</v>
      </c>
      <c r="E117" s="20" t="s">
        <v>393</v>
      </c>
      <c r="F117" s="20" t="s">
        <v>394</v>
      </c>
      <c r="G117" s="8" t="str">
        <f t="shared" si="2"/>
        <v>STAMBAUGH JAMES</v>
      </c>
      <c r="H117" s="20" t="str">
        <f t="shared" si="3"/>
        <v>4017</v>
      </c>
    </row>
    <row r="118" spans="1:8" x14ac:dyDescent="0.25">
      <c r="A118" s="8">
        <v>43097.560763888891</v>
      </c>
      <c r="B118" s="20" t="s">
        <v>711</v>
      </c>
      <c r="C118" s="20" t="s">
        <v>807</v>
      </c>
      <c r="D118" s="136">
        <v>1300000</v>
      </c>
      <c r="E118" s="20" t="s">
        <v>357</v>
      </c>
      <c r="F118" s="20" t="s">
        <v>358</v>
      </c>
      <c r="G118" s="8" t="str">
        <f t="shared" si="2"/>
        <v>LEVIN SCOTT</v>
      </c>
      <c r="H118" s="20" t="str">
        <f t="shared" si="3"/>
        <v>4056</v>
      </c>
    </row>
    <row r="119" spans="1:8" x14ac:dyDescent="0.25">
      <c r="A119" s="8">
        <v>43097.568437499998</v>
      </c>
      <c r="B119" s="20" t="s">
        <v>685</v>
      </c>
      <c r="C119" s="20" t="s">
        <v>686</v>
      </c>
      <c r="D119" s="136">
        <v>2420000</v>
      </c>
      <c r="E119" s="20" t="s">
        <v>606</v>
      </c>
      <c r="F119" s="20" t="s">
        <v>607</v>
      </c>
      <c r="G119" s="8" t="str">
        <f t="shared" si="2"/>
        <v>HOLCOMB KAMDEN</v>
      </c>
      <c r="H119" s="20" t="str">
        <f t="shared" si="3"/>
        <v>4063</v>
      </c>
    </row>
    <row r="120" spans="1:8" x14ac:dyDescent="0.25">
      <c r="A120" s="8">
        <v>43097.569363425922</v>
      </c>
      <c r="B120" s="20" t="s">
        <v>382</v>
      </c>
      <c r="C120" s="20" t="s">
        <v>808</v>
      </c>
      <c r="D120" s="136">
        <v>3810000</v>
      </c>
      <c r="E120" s="20" t="s">
        <v>608</v>
      </c>
      <c r="F120" s="20" t="s">
        <v>609</v>
      </c>
      <c r="G120" s="8" t="str">
        <f t="shared" si="2"/>
        <v>LORI SANTOS</v>
      </c>
      <c r="H120" s="20" t="str">
        <f t="shared" si="3"/>
        <v>4062</v>
      </c>
    </row>
    <row r="121" spans="1:8" x14ac:dyDescent="0.25">
      <c r="A121" s="8">
        <v>43097.5700462963</v>
      </c>
      <c r="B121" s="20" t="s">
        <v>361</v>
      </c>
      <c r="C121" s="20" t="s">
        <v>806</v>
      </c>
      <c r="D121" s="136">
        <v>2000000</v>
      </c>
      <c r="E121" s="20" t="s">
        <v>393</v>
      </c>
      <c r="F121" s="20" t="s">
        <v>394</v>
      </c>
      <c r="G121" s="8" t="str">
        <f t="shared" si="2"/>
        <v>STAMBAUGH JAMES</v>
      </c>
      <c r="H121" s="20" t="str">
        <f t="shared" si="3"/>
        <v>4017</v>
      </c>
    </row>
    <row r="122" spans="1:8" x14ac:dyDescent="0.25">
      <c r="A122" s="8">
        <v>43097.577627314815</v>
      </c>
      <c r="B122" s="25" t="s">
        <v>610</v>
      </c>
      <c r="C122" s="20" t="s">
        <v>809</v>
      </c>
      <c r="D122" s="136">
        <v>2140000</v>
      </c>
      <c r="E122" s="20" t="s">
        <v>488</v>
      </c>
      <c r="F122" s="20" t="s">
        <v>489</v>
      </c>
      <c r="G122" s="8" t="str">
        <f t="shared" si="2"/>
        <v>ROBINSON KADDIBA</v>
      </c>
      <c r="H122" s="20" t="str">
        <f t="shared" si="3"/>
        <v>4004</v>
      </c>
    </row>
    <row r="123" spans="1:8" x14ac:dyDescent="0.25">
      <c r="A123" s="8">
        <v>43097.578425925924</v>
      </c>
      <c r="B123" s="20" t="s">
        <v>680</v>
      </c>
      <c r="C123" s="20" t="s">
        <v>810</v>
      </c>
      <c r="D123" s="136">
        <v>1770000</v>
      </c>
      <c r="E123" s="20" t="s">
        <v>559</v>
      </c>
      <c r="F123" s="20" t="s">
        <v>560</v>
      </c>
      <c r="G123" s="8" t="str">
        <f t="shared" si="2"/>
        <v>BRUDER RICHARD</v>
      </c>
      <c r="H123" s="20" t="str">
        <f t="shared" si="3"/>
        <v>4013</v>
      </c>
    </row>
    <row r="124" spans="1:8" x14ac:dyDescent="0.25">
      <c r="A124" s="8">
        <v>43097.58730324074</v>
      </c>
      <c r="B124" s="20" t="s">
        <v>603</v>
      </c>
      <c r="C124" s="20" t="s">
        <v>811</v>
      </c>
      <c r="D124" s="136">
        <v>880000</v>
      </c>
      <c r="E124" s="20" t="s">
        <v>481</v>
      </c>
      <c r="F124" s="20" t="s">
        <v>351</v>
      </c>
      <c r="G124" s="8" t="str">
        <f t="shared" si="2"/>
        <v>STEWART MICHAEL</v>
      </c>
      <c r="H124" s="20" t="str">
        <f t="shared" si="3"/>
        <v>4045</v>
      </c>
    </row>
    <row r="125" spans="1:8" x14ac:dyDescent="0.25">
      <c r="A125" s="8">
        <v>43097.587592592594</v>
      </c>
      <c r="B125" s="20" t="s">
        <v>359</v>
      </c>
      <c r="C125" s="20" t="s">
        <v>812</v>
      </c>
      <c r="D125" s="136">
        <v>2000000</v>
      </c>
      <c r="E125" s="20" t="s">
        <v>393</v>
      </c>
      <c r="F125" s="20" t="s">
        <v>394</v>
      </c>
      <c r="G125" s="8" t="str">
        <f t="shared" si="2"/>
        <v>STAMBAUGH JAMES</v>
      </c>
      <c r="H125" s="20" t="str">
        <f t="shared" si="3"/>
        <v>4018</v>
      </c>
    </row>
    <row r="126" spans="1:8" x14ac:dyDescent="0.25">
      <c r="A126" s="8">
        <v>43097.591099537036</v>
      </c>
      <c r="B126" s="20" t="s">
        <v>685</v>
      </c>
      <c r="C126" s="20" t="s">
        <v>686</v>
      </c>
      <c r="D126" s="136">
        <v>2420000</v>
      </c>
      <c r="E126" s="20" t="s">
        <v>606</v>
      </c>
      <c r="F126" s="20" t="s">
        <v>607</v>
      </c>
      <c r="G126" s="8" t="str">
        <f t="shared" si="2"/>
        <v>HOLCOMB KAMDEN</v>
      </c>
      <c r="H126" s="20" t="str">
        <f t="shared" si="3"/>
        <v>4063</v>
      </c>
    </row>
    <row r="127" spans="1:8" x14ac:dyDescent="0.25">
      <c r="A127" s="8">
        <v>43097.59138888889</v>
      </c>
      <c r="B127" s="20" t="s">
        <v>350</v>
      </c>
      <c r="C127" s="20" t="s">
        <v>813</v>
      </c>
      <c r="D127" s="136">
        <v>1300000</v>
      </c>
      <c r="E127" s="20" t="s">
        <v>357</v>
      </c>
      <c r="F127" s="20" t="s">
        <v>358</v>
      </c>
      <c r="G127" s="8" t="str">
        <f t="shared" si="2"/>
        <v>LEVIN SCOTT</v>
      </c>
      <c r="H127" s="20" t="str">
        <f t="shared" si="3"/>
        <v>4055</v>
      </c>
    </row>
    <row r="128" spans="1:8" x14ac:dyDescent="0.25">
      <c r="A128" s="8">
        <v>43097.592627314814</v>
      </c>
      <c r="B128" s="20" t="s">
        <v>553</v>
      </c>
      <c r="C128" s="20" t="s">
        <v>814</v>
      </c>
      <c r="D128" s="136">
        <v>2030000</v>
      </c>
      <c r="E128" s="20" t="s">
        <v>561</v>
      </c>
      <c r="F128" s="20" t="s">
        <v>482</v>
      </c>
      <c r="G128" s="8" t="str">
        <f t="shared" si="2"/>
        <v>KILLION DAVID</v>
      </c>
      <c r="H128" s="20" t="str">
        <f t="shared" si="3"/>
        <v>4042</v>
      </c>
    </row>
    <row r="129" spans="1:8" x14ac:dyDescent="0.25">
      <c r="A129" s="8">
        <v>43097.599791666667</v>
      </c>
      <c r="B129" s="20" t="s">
        <v>723</v>
      </c>
      <c r="C129" s="20" t="s">
        <v>815</v>
      </c>
      <c r="D129" s="136">
        <v>2420000</v>
      </c>
      <c r="E129" s="20" t="s">
        <v>606</v>
      </c>
      <c r="F129" s="20" t="s">
        <v>607</v>
      </c>
      <c r="G129" s="8" t="str">
        <f t="shared" si="2"/>
        <v>HOLCOMB KAMDEN</v>
      </c>
      <c r="H129" s="20" t="str">
        <f t="shared" si="3"/>
        <v>4064</v>
      </c>
    </row>
    <row r="130" spans="1:8" x14ac:dyDescent="0.25">
      <c r="A130" s="8">
        <v>43097.602175925924</v>
      </c>
      <c r="B130" s="20" t="s">
        <v>361</v>
      </c>
      <c r="C130" s="20" t="s">
        <v>816</v>
      </c>
      <c r="D130" s="136">
        <v>2000000</v>
      </c>
      <c r="E130" s="20" t="s">
        <v>393</v>
      </c>
      <c r="F130" s="20" t="s">
        <v>394</v>
      </c>
      <c r="G130" s="8" t="str">
        <f t="shared" si="2"/>
        <v>STAMBAUGH JAMES</v>
      </c>
      <c r="H130" s="20" t="str">
        <f t="shared" si="3"/>
        <v>4017</v>
      </c>
    </row>
    <row r="131" spans="1:8" x14ac:dyDescent="0.25">
      <c r="A131" s="8">
        <v>43097.610312500001</v>
      </c>
      <c r="B131" s="20" t="s">
        <v>384</v>
      </c>
      <c r="C131" s="20" t="s">
        <v>817</v>
      </c>
      <c r="D131" s="136">
        <v>3810000</v>
      </c>
      <c r="E131" s="20" t="s">
        <v>608</v>
      </c>
      <c r="F131" s="20" t="s">
        <v>609</v>
      </c>
      <c r="G131" s="8" t="str">
        <f t="shared" ref="G131:G194" si="4">E131&amp;" "&amp;F131</f>
        <v>LORI SANTOS</v>
      </c>
      <c r="H131" s="20" t="str">
        <f t="shared" ref="H131:H194" si="5">MID(B131,13,4)</f>
        <v>4061</v>
      </c>
    </row>
    <row r="132" spans="1:8" x14ac:dyDescent="0.25">
      <c r="A132" s="8">
        <v>43097.611724537041</v>
      </c>
      <c r="B132" s="20" t="s">
        <v>693</v>
      </c>
      <c r="C132" s="20" t="s">
        <v>818</v>
      </c>
      <c r="D132" s="136">
        <v>1770000</v>
      </c>
      <c r="E132" s="20" t="s">
        <v>559</v>
      </c>
      <c r="F132" s="20" t="s">
        <v>560</v>
      </c>
      <c r="G132" s="8" t="str">
        <f t="shared" si="4"/>
        <v>BRUDER RICHARD</v>
      </c>
      <c r="H132" s="20" t="str">
        <f t="shared" si="5"/>
        <v>4014</v>
      </c>
    </row>
    <row r="133" spans="1:8" x14ac:dyDescent="0.25">
      <c r="A133" s="8">
        <v>43097.619768518518</v>
      </c>
      <c r="B133" s="20" t="s">
        <v>600</v>
      </c>
      <c r="C133" s="20" t="s">
        <v>687</v>
      </c>
      <c r="D133" s="136">
        <v>2140000</v>
      </c>
      <c r="E133" s="20" t="s">
        <v>488</v>
      </c>
      <c r="F133" s="20" t="s">
        <v>489</v>
      </c>
      <c r="G133" s="8" t="str">
        <f t="shared" si="4"/>
        <v>ROBINSON KADDIBA</v>
      </c>
      <c r="H133" s="20" t="str">
        <f t="shared" si="5"/>
        <v>4003</v>
      </c>
    </row>
    <row r="134" spans="1:8" x14ac:dyDescent="0.25">
      <c r="A134" s="8">
        <v>43097.621701388889</v>
      </c>
      <c r="B134" s="20" t="s">
        <v>601</v>
      </c>
      <c r="C134" s="20" t="s">
        <v>819</v>
      </c>
      <c r="D134" s="136">
        <v>880000</v>
      </c>
      <c r="E134" s="20" t="s">
        <v>481</v>
      </c>
      <c r="F134" s="20" t="s">
        <v>351</v>
      </c>
      <c r="G134" s="8" t="str">
        <f t="shared" si="4"/>
        <v>STEWART MICHAEL</v>
      </c>
      <c r="H134" s="20" t="str">
        <f t="shared" si="5"/>
        <v>4046</v>
      </c>
    </row>
    <row r="135" spans="1:8" x14ac:dyDescent="0.25">
      <c r="A135" s="8">
        <v>43097.627199074072</v>
      </c>
      <c r="B135" s="20" t="s">
        <v>552</v>
      </c>
      <c r="C135" s="20" t="s">
        <v>820</v>
      </c>
      <c r="D135" s="136">
        <v>2030000</v>
      </c>
      <c r="E135" s="20" t="s">
        <v>561</v>
      </c>
      <c r="F135" s="20" t="s">
        <v>482</v>
      </c>
      <c r="G135" s="8" t="str">
        <f t="shared" si="4"/>
        <v>KILLION DAVID</v>
      </c>
      <c r="H135" s="20" t="str">
        <f t="shared" si="5"/>
        <v>4041</v>
      </c>
    </row>
    <row r="136" spans="1:8" x14ac:dyDescent="0.25">
      <c r="A136" s="8">
        <v>43097.627453703702</v>
      </c>
      <c r="B136" s="20" t="s">
        <v>359</v>
      </c>
      <c r="C136" s="20" t="s">
        <v>821</v>
      </c>
      <c r="D136" s="136">
        <v>2000000</v>
      </c>
      <c r="E136" s="20" t="s">
        <v>393</v>
      </c>
      <c r="F136" s="20" t="s">
        <v>394</v>
      </c>
      <c r="G136" s="8" t="str">
        <f t="shared" si="4"/>
        <v>STAMBAUGH JAMES</v>
      </c>
      <c r="H136" s="20" t="str">
        <f t="shared" si="5"/>
        <v>4018</v>
      </c>
    </row>
    <row r="137" spans="1:8" x14ac:dyDescent="0.25">
      <c r="A137" s="8">
        <v>43097.635104166664</v>
      </c>
      <c r="B137" s="20" t="s">
        <v>711</v>
      </c>
      <c r="C137" s="20" t="s">
        <v>822</v>
      </c>
      <c r="D137" s="136">
        <v>1300000</v>
      </c>
      <c r="E137" s="20" t="s">
        <v>357</v>
      </c>
      <c r="F137" s="20" t="s">
        <v>358</v>
      </c>
      <c r="G137" s="8" t="str">
        <f t="shared" si="4"/>
        <v>LEVIN SCOTT</v>
      </c>
      <c r="H137" s="20" t="str">
        <f t="shared" si="5"/>
        <v>4056</v>
      </c>
    </row>
    <row r="138" spans="1:8" x14ac:dyDescent="0.25">
      <c r="A138" s="8">
        <v>43097.63753472222</v>
      </c>
      <c r="B138" s="20" t="s">
        <v>676</v>
      </c>
      <c r="C138" s="20" t="s">
        <v>823</v>
      </c>
      <c r="D138" s="136">
        <v>3220000</v>
      </c>
      <c r="E138" s="20" t="s">
        <v>377</v>
      </c>
      <c r="F138" s="20" t="s">
        <v>378</v>
      </c>
      <c r="G138" s="8" t="str">
        <f t="shared" si="4"/>
        <v>RESPASS AARON</v>
      </c>
      <c r="H138" s="20" t="str">
        <f t="shared" si="5"/>
        <v>4015</v>
      </c>
    </row>
    <row r="139" spans="1:8" x14ac:dyDescent="0.25">
      <c r="A139" s="8">
        <v>43097.642488425925</v>
      </c>
      <c r="B139" s="20" t="s">
        <v>685</v>
      </c>
      <c r="C139" s="20" t="s">
        <v>688</v>
      </c>
      <c r="D139" s="136">
        <v>2420000</v>
      </c>
      <c r="E139" s="20" t="s">
        <v>606</v>
      </c>
      <c r="F139" s="20" t="s">
        <v>607</v>
      </c>
      <c r="G139" s="8" t="str">
        <f t="shared" si="4"/>
        <v>HOLCOMB KAMDEN</v>
      </c>
      <c r="H139" s="20" t="str">
        <f t="shared" si="5"/>
        <v>4063</v>
      </c>
    </row>
    <row r="140" spans="1:8" x14ac:dyDescent="0.25">
      <c r="A140" s="8">
        <v>43097.642812500002</v>
      </c>
      <c r="B140" s="20" t="s">
        <v>361</v>
      </c>
      <c r="C140" s="20" t="s">
        <v>824</v>
      </c>
      <c r="D140" s="136">
        <v>2000000</v>
      </c>
      <c r="E140" s="20" t="s">
        <v>393</v>
      </c>
      <c r="F140" s="20" t="s">
        <v>394</v>
      </c>
      <c r="G140" s="8" t="str">
        <f t="shared" si="4"/>
        <v>STAMBAUGH JAMES</v>
      </c>
      <c r="H140" s="20" t="str">
        <f t="shared" si="5"/>
        <v>4017</v>
      </c>
    </row>
    <row r="141" spans="1:8" x14ac:dyDescent="0.25">
      <c r="A141" s="8">
        <v>43097.643599537034</v>
      </c>
      <c r="B141" s="20" t="s">
        <v>382</v>
      </c>
      <c r="C141" s="20" t="s">
        <v>825</v>
      </c>
      <c r="D141" s="136">
        <v>3810000</v>
      </c>
      <c r="E141" s="20" t="s">
        <v>608</v>
      </c>
      <c r="F141" s="20" t="s">
        <v>609</v>
      </c>
      <c r="G141" s="8" t="str">
        <f t="shared" si="4"/>
        <v>LORI SANTOS</v>
      </c>
      <c r="H141" s="20" t="str">
        <f t="shared" si="5"/>
        <v>4062</v>
      </c>
    </row>
    <row r="142" spans="1:8" x14ac:dyDescent="0.25">
      <c r="A142" s="8">
        <v>43097.650694444441</v>
      </c>
      <c r="B142" s="20" t="s">
        <v>564</v>
      </c>
      <c r="C142" s="20" t="s">
        <v>826</v>
      </c>
      <c r="D142" s="136">
        <v>3130000</v>
      </c>
      <c r="E142" s="20" t="s">
        <v>562</v>
      </c>
      <c r="F142" s="20" t="s">
        <v>563</v>
      </c>
      <c r="G142" s="8" t="str">
        <f t="shared" si="4"/>
        <v>ZEWDU DEREJE</v>
      </c>
      <c r="H142" s="20" t="str">
        <f t="shared" si="5"/>
        <v>4016</v>
      </c>
    </row>
    <row r="143" spans="1:8" x14ac:dyDescent="0.25">
      <c r="A143" s="8">
        <v>43097.651134259257</v>
      </c>
      <c r="B143" s="20" t="s">
        <v>680</v>
      </c>
      <c r="C143" s="20" t="s">
        <v>827</v>
      </c>
      <c r="D143" s="136">
        <v>1770000</v>
      </c>
      <c r="E143" s="20" t="s">
        <v>559</v>
      </c>
      <c r="F143" s="20" t="s">
        <v>560</v>
      </c>
      <c r="G143" s="8" t="str">
        <f t="shared" si="4"/>
        <v>BRUDER RICHARD</v>
      </c>
      <c r="H143" s="20" t="str">
        <f t="shared" si="5"/>
        <v>4013</v>
      </c>
    </row>
    <row r="144" spans="1:8" x14ac:dyDescent="0.25">
      <c r="A144" s="8">
        <v>43097.652453703704</v>
      </c>
      <c r="B144" s="20" t="s">
        <v>610</v>
      </c>
      <c r="C144" s="20" t="s">
        <v>828</v>
      </c>
      <c r="D144" s="136">
        <v>2140000</v>
      </c>
      <c r="E144" s="20" t="s">
        <v>488</v>
      </c>
      <c r="F144" s="20" t="s">
        <v>489</v>
      </c>
      <c r="G144" s="8" t="str">
        <f t="shared" si="4"/>
        <v>ROBINSON KADDIBA</v>
      </c>
      <c r="H144" s="20" t="str">
        <f t="shared" si="5"/>
        <v>4004</v>
      </c>
    </row>
    <row r="145" spans="1:8" x14ac:dyDescent="0.25">
      <c r="A145" s="8">
        <v>43097.66138888889</v>
      </c>
      <c r="B145" s="20" t="s">
        <v>603</v>
      </c>
      <c r="C145" s="20" t="s">
        <v>829</v>
      </c>
      <c r="D145" s="136">
        <v>880000</v>
      </c>
      <c r="E145" s="20" t="s">
        <v>481</v>
      </c>
      <c r="F145" s="20" t="s">
        <v>351</v>
      </c>
      <c r="G145" s="8" t="str">
        <f t="shared" si="4"/>
        <v>STEWART MICHAEL</v>
      </c>
      <c r="H145" s="20" t="str">
        <f t="shared" si="5"/>
        <v>4045</v>
      </c>
    </row>
    <row r="146" spans="1:8" x14ac:dyDescent="0.25">
      <c r="A146" s="8">
        <v>43097.662152777775</v>
      </c>
      <c r="B146" s="20" t="s">
        <v>553</v>
      </c>
      <c r="C146" s="20" t="s">
        <v>830</v>
      </c>
      <c r="D146" s="136">
        <v>2550000</v>
      </c>
      <c r="E146" s="20" t="s">
        <v>779</v>
      </c>
      <c r="F146" s="20" t="s">
        <v>780</v>
      </c>
      <c r="G146" s="8" t="str">
        <f t="shared" si="4"/>
        <v>BADERTSCHER DIANE</v>
      </c>
      <c r="H146" s="20" t="str">
        <f t="shared" si="5"/>
        <v>4042</v>
      </c>
    </row>
    <row r="147" spans="1:8" x14ac:dyDescent="0.25">
      <c r="A147" s="8">
        <v>43097.664803240739</v>
      </c>
      <c r="B147" s="20" t="s">
        <v>676</v>
      </c>
      <c r="C147" s="20" t="s">
        <v>831</v>
      </c>
      <c r="D147" s="136">
        <v>3130000</v>
      </c>
      <c r="E147" s="20" t="s">
        <v>562</v>
      </c>
      <c r="F147" s="20" t="s">
        <v>563</v>
      </c>
      <c r="G147" s="8" t="str">
        <f t="shared" si="4"/>
        <v>ZEWDU DEREJE</v>
      </c>
      <c r="H147" s="20" t="str">
        <f t="shared" si="5"/>
        <v>4015</v>
      </c>
    </row>
    <row r="148" spans="1:8" x14ac:dyDescent="0.25">
      <c r="A148" s="8">
        <v>43097.666863425926</v>
      </c>
      <c r="B148" s="20" t="s">
        <v>685</v>
      </c>
      <c r="C148" s="20" t="s">
        <v>688</v>
      </c>
      <c r="D148" s="136">
        <v>2420000</v>
      </c>
      <c r="E148" s="20" t="s">
        <v>606</v>
      </c>
      <c r="F148" s="20" t="s">
        <v>607</v>
      </c>
      <c r="G148" s="8" t="str">
        <f t="shared" si="4"/>
        <v>HOLCOMB KAMDEN</v>
      </c>
      <c r="H148" s="20" t="str">
        <f t="shared" si="5"/>
        <v>4063</v>
      </c>
    </row>
    <row r="149" spans="1:8" x14ac:dyDescent="0.25">
      <c r="A149" s="8">
        <v>43097.666956018518</v>
      </c>
      <c r="B149" s="20" t="s">
        <v>350</v>
      </c>
      <c r="C149" s="20" t="s">
        <v>832</v>
      </c>
      <c r="D149" s="136">
        <v>1300000</v>
      </c>
      <c r="E149" s="20" t="s">
        <v>357</v>
      </c>
      <c r="F149" s="20" t="s">
        <v>358</v>
      </c>
      <c r="G149" s="8" t="str">
        <f t="shared" si="4"/>
        <v>LEVIN SCOTT</v>
      </c>
      <c r="H149" s="20" t="str">
        <f t="shared" si="5"/>
        <v>4055</v>
      </c>
    </row>
    <row r="150" spans="1:8" x14ac:dyDescent="0.25">
      <c r="A150" s="8">
        <v>43097.669918981483</v>
      </c>
      <c r="B150" s="20" t="s">
        <v>443</v>
      </c>
      <c r="C150" s="20" t="s">
        <v>833</v>
      </c>
      <c r="D150" s="136">
        <v>1760000</v>
      </c>
      <c r="E150" s="20" t="s">
        <v>834</v>
      </c>
      <c r="F150" s="20" t="s">
        <v>835</v>
      </c>
      <c r="G150" s="8" t="str">
        <f t="shared" si="4"/>
        <v>STRICKLAND EVAN</v>
      </c>
      <c r="H150" s="20" t="str">
        <f t="shared" si="5"/>
        <v>4050</v>
      </c>
    </row>
    <row r="151" spans="1:8" x14ac:dyDescent="0.25">
      <c r="A151" s="8">
        <v>43097.670127314814</v>
      </c>
      <c r="B151" s="20" t="s">
        <v>359</v>
      </c>
      <c r="C151" s="20" t="s">
        <v>836</v>
      </c>
      <c r="D151" s="136">
        <v>2000000</v>
      </c>
      <c r="E151" s="20" t="s">
        <v>393</v>
      </c>
      <c r="F151" s="20" t="s">
        <v>394</v>
      </c>
      <c r="G151" s="8" t="str">
        <f t="shared" si="4"/>
        <v>STAMBAUGH JAMES</v>
      </c>
      <c r="H151" s="20" t="str">
        <f t="shared" si="5"/>
        <v>4018</v>
      </c>
    </row>
    <row r="152" spans="1:8" x14ac:dyDescent="0.25">
      <c r="A152" s="8">
        <v>43097.672812500001</v>
      </c>
      <c r="B152" s="20" t="s">
        <v>723</v>
      </c>
      <c r="C152" s="20" t="s">
        <v>837</v>
      </c>
      <c r="D152" s="136">
        <v>2420000</v>
      </c>
      <c r="E152" s="20" t="s">
        <v>606</v>
      </c>
      <c r="F152" s="20" t="s">
        <v>607</v>
      </c>
      <c r="G152" s="8" t="str">
        <f t="shared" si="4"/>
        <v>HOLCOMB KAMDEN</v>
      </c>
      <c r="H152" s="20" t="str">
        <f t="shared" si="5"/>
        <v>4064</v>
      </c>
    </row>
    <row r="153" spans="1:8" x14ac:dyDescent="0.25">
      <c r="A153" s="8">
        <v>43097.676041666666</v>
      </c>
      <c r="B153" s="20" t="s">
        <v>384</v>
      </c>
      <c r="C153" s="20" t="s">
        <v>838</v>
      </c>
      <c r="D153" s="136">
        <v>3810000</v>
      </c>
      <c r="E153" s="20" t="s">
        <v>608</v>
      </c>
      <c r="F153" s="20" t="s">
        <v>609</v>
      </c>
      <c r="G153" s="8" t="str">
        <f t="shared" si="4"/>
        <v>LORI SANTOS</v>
      </c>
      <c r="H153" s="20" t="str">
        <f t="shared" si="5"/>
        <v>4061</v>
      </c>
    </row>
    <row r="154" spans="1:8" x14ac:dyDescent="0.25">
      <c r="A154" s="8">
        <v>43097.684861111113</v>
      </c>
      <c r="B154" s="20" t="s">
        <v>693</v>
      </c>
      <c r="C154" s="20" t="s">
        <v>839</v>
      </c>
      <c r="D154" s="136">
        <v>1770000</v>
      </c>
      <c r="E154" s="20" t="s">
        <v>559</v>
      </c>
      <c r="F154" s="20" t="s">
        <v>560</v>
      </c>
      <c r="G154" s="8" t="str">
        <f t="shared" si="4"/>
        <v>BRUDER RICHARD</v>
      </c>
      <c r="H154" s="20" t="str">
        <f t="shared" si="5"/>
        <v>4014</v>
      </c>
    </row>
    <row r="155" spans="1:8" x14ac:dyDescent="0.25">
      <c r="A155" s="8">
        <v>43097.685289351852</v>
      </c>
      <c r="B155" s="20" t="s">
        <v>361</v>
      </c>
      <c r="C155" s="20" t="s">
        <v>840</v>
      </c>
      <c r="D155" s="136">
        <v>2000000</v>
      </c>
      <c r="E155" s="20" t="s">
        <v>393</v>
      </c>
      <c r="F155" s="20" t="s">
        <v>394</v>
      </c>
      <c r="G155" s="8" t="str">
        <f t="shared" si="4"/>
        <v>STAMBAUGH JAMES</v>
      </c>
      <c r="H155" s="20" t="str">
        <f t="shared" si="5"/>
        <v>4017</v>
      </c>
    </row>
    <row r="156" spans="1:8" x14ac:dyDescent="0.25">
      <c r="A156" s="8">
        <v>43097.690567129626</v>
      </c>
      <c r="B156" s="20" t="s">
        <v>600</v>
      </c>
      <c r="C156" s="20" t="s">
        <v>689</v>
      </c>
      <c r="D156" s="136">
        <v>2140000</v>
      </c>
      <c r="E156" s="20" t="s">
        <v>488</v>
      </c>
      <c r="F156" s="20" t="s">
        <v>489</v>
      </c>
      <c r="G156" s="8" t="str">
        <f t="shared" si="4"/>
        <v>ROBINSON KADDIBA</v>
      </c>
      <c r="H156" s="20" t="str">
        <f t="shared" si="5"/>
        <v>4003</v>
      </c>
    </row>
    <row r="157" spans="1:8" x14ac:dyDescent="0.25">
      <c r="A157" s="8">
        <v>43097.69091435185</v>
      </c>
      <c r="B157" s="20" t="s">
        <v>564</v>
      </c>
      <c r="C157" s="20" t="s">
        <v>841</v>
      </c>
      <c r="D157" s="136">
        <v>3220000</v>
      </c>
      <c r="E157" s="20" t="s">
        <v>377</v>
      </c>
      <c r="F157" s="20" t="s">
        <v>378</v>
      </c>
      <c r="G157" s="8" t="str">
        <f t="shared" si="4"/>
        <v>RESPASS AARON</v>
      </c>
      <c r="H157" s="20" t="str">
        <f t="shared" si="5"/>
        <v>4016</v>
      </c>
    </row>
    <row r="158" spans="1:8" x14ac:dyDescent="0.25">
      <c r="A158" s="8">
        <v>43097.694097222222</v>
      </c>
      <c r="B158" s="20" t="s">
        <v>601</v>
      </c>
      <c r="C158" s="20" t="s">
        <v>842</v>
      </c>
      <c r="D158" s="136">
        <v>880000</v>
      </c>
      <c r="E158" s="20" t="s">
        <v>481</v>
      </c>
      <c r="F158" s="20" t="s">
        <v>351</v>
      </c>
      <c r="G158" s="8" t="str">
        <f t="shared" si="4"/>
        <v>STEWART MICHAEL</v>
      </c>
      <c r="H158" s="20" t="str">
        <f t="shared" si="5"/>
        <v>4046</v>
      </c>
    </row>
    <row r="159" spans="1:8" x14ac:dyDescent="0.25">
      <c r="A159" s="8">
        <v>43097.701111111113</v>
      </c>
      <c r="B159" s="20" t="s">
        <v>552</v>
      </c>
      <c r="C159" s="20" t="s">
        <v>843</v>
      </c>
      <c r="D159" s="136">
        <v>2550000</v>
      </c>
      <c r="E159" s="20" t="s">
        <v>779</v>
      </c>
      <c r="F159" s="20" t="s">
        <v>780</v>
      </c>
      <c r="G159" s="8" t="str">
        <f t="shared" si="4"/>
        <v>BADERTSCHER DIANE</v>
      </c>
      <c r="H159" s="20" t="str">
        <f t="shared" si="5"/>
        <v>4041</v>
      </c>
    </row>
    <row r="160" spans="1:8" x14ac:dyDescent="0.25">
      <c r="A160" s="8">
        <v>43097.704641203702</v>
      </c>
      <c r="B160" s="20" t="s">
        <v>711</v>
      </c>
      <c r="C160" s="20" t="s">
        <v>844</v>
      </c>
      <c r="D160" s="136">
        <v>1300000</v>
      </c>
      <c r="E160" s="20" t="s">
        <v>357</v>
      </c>
      <c r="F160" s="20" t="s">
        <v>358</v>
      </c>
      <c r="G160" s="8" t="str">
        <f t="shared" si="4"/>
        <v>LEVIN SCOTT</v>
      </c>
      <c r="H160" s="20" t="str">
        <f t="shared" si="5"/>
        <v>4056</v>
      </c>
    </row>
    <row r="161" spans="1:8" x14ac:dyDescent="0.25">
      <c r="A161" s="8">
        <v>43097.706932870373</v>
      </c>
      <c r="B161" s="20" t="s">
        <v>676</v>
      </c>
      <c r="C161" s="20" t="s">
        <v>845</v>
      </c>
      <c r="D161" s="136">
        <v>3220000</v>
      </c>
      <c r="E161" s="20" t="s">
        <v>377</v>
      </c>
      <c r="F161" s="20" t="s">
        <v>378</v>
      </c>
      <c r="G161" s="8" t="str">
        <f t="shared" si="4"/>
        <v>RESPASS AARON</v>
      </c>
      <c r="H161" s="20" t="str">
        <f t="shared" si="5"/>
        <v>4015</v>
      </c>
    </row>
    <row r="162" spans="1:8" x14ac:dyDescent="0.25">
      <c r="A162" s="8">
        <v>43097.707071759258</v>
      </c>
      <c r="B162" s="20" t="s">
        <v>383</v>
      </c>
      <c r="C162" s="20" t="s">
        <v>846</v>
      </c>
      <c r="D162" s="136">
        <v>1810000</v>
      </c>
      <c r="E162" s="20" t="s">
        <v>496</v>
      </c>
      <c r="F162" s="20" t="s">
        <v>394</v>
      </c>
      <c r="G162" s="8" t="str">
        <f t="shared" si="4"/>
        <v>NEWELL JAMES</v>
      </c>
      <c r="H162" s="20" t="str">
        <f t="shared" si="5"/>
        <v>4022</v>
      </c>
    </row>
    <row r="163" spans="1:8" x14ac:dyDescent="0.25">
      <c r="A163" s="8">
        <v>43097.712048611109</v>
      </c>
      <c r="B163" s="20" t="s">
        <v>359</v>
      </c>
      <c r="C163" s="20" t="s">
        <v>847</v>
      </c>
      <c r="D163" s="136">
        <v>2000000</v>
      </c>
      <c r="E163" s="20" t="s">
        <v>393</v>
      </c>
      <c r="F163" s="20" t="s">
        <v>394</v>
      </c>
      <c r="G163" s="8" t="str">
        <f t="shared" si="4"/>
        <v>STAMBAUGH JAMES</v>
      </c>
      <c r="H163" s="20" t="str">
        <f t="shared" si="5"/>
        <v>4018</v>
      </c>
    </row>
    <row r="164" spans="1:8" x14ac:dyDescent="0.25">
      <c r="A164" s="8">
        <v>43097.714872685188</v>
      </c>
      <c r="B164" s="20" t="s">
        <v>685</v>
      </c>
      <c r="C164" s="20" t="s">
        <v>848</v>
      </c>
      <c r="D164" s="136">
        <v>2420000</v>
      </c>
      <c r="E164" s="20" t="s">
        <v>606</v>
      </c>
      <c r="F164" s="20" t="s">
        <v>607</v>
      </c>
      <c r="G164" s="8" t="str">
        <f t="shared" si="4"/>
        <v>HOLCOMB KAMDEN</v>
      </c>
      <c r="H164" s="20" t="str">
        <f t="shared" si="5"/>
        <v>4063</v>
      </c>
    </row>
    <row r="165" spans="1:8" x14ac:dyDescent="0.25">
      <c r="A165" s="8">
        <v>43097.717083333337</v>
      </c>
      <c r="B165" s="20" t="s">
        <v>382</v>
      </c>
      <c r="C165" s="20" t="s">
        <v>849</v>
      </c>
      <c r="D165" s="136">
        <v>3810000</v>
      </c>
      <c r="E165" s="20" t="s">
        <v>608</v>
      </c>
      <c r="F165" s="20" t="s">
        <v>609</v>
      </c>
      <c r="G165" s="8" t="str">
        <f t="shared" si="4"/>
        <v>LORI SANTOS</v>
      </c>
      <c r="H165" s="20" t="str">
        <f t="shared" si="5"/>
        <v>4062</v>
      </c>
    </row>
    <row r="166" spans="1:8" x14ac:dyDescent="0.25">
      <c r="A166" s="8">
        <v>43097.724421296298</v>
      </c>
      <c r="B166" s="20" t="s">
        <v>680</v>
      </c>
      <c r="C166" s="20" t="s">
        <v>850</v>
      </c>
      <c r="D166" s="136">
        <v>1770000</v>
      </c>
      <c r="E166" s="20" t="s">
        <v>559</v>
      </c>
      <c r="F166" s="20" t="s">
        <v>560</v>
      </c>
      <c r="G166" s="8" t="str">
        <f t="shared" si="4"/>
        <v>BRUDER RICHARD</v>
      </c>
      <c r="H166" s="20" t="str">
        <f t="shared" si="5"/>
        <v>4013</v>
      </c>
    </row>
    <row r="167" spans="1:8" x14ac:dyDescent="0.25">
      <c r="A167" s="8">
        <v>43097.726678240739</v>
      </c>
      <c r="B167" s="20" t="s">
        <v>610</v>
      </c>
      <c r="C167" s="20" t="s">
        <v>851</v>
      </c>
      <c r="D167" s="136">
        <v>2140000</v>
      </c>
      <c r="E167" s="20" t="s">
        <v>488</v>
      </c>
      <c r="F167" s="20" t="s">
        <v>489</v>
      </c>
      <c r="G167" s="8" t="str">
        <f t="shared" si="4"/>
        <v>ROBINSON KADDIBA</v>
      </c>
      <c r="H167" s="20" t="str">
        <f t="shared" si="5"/>
        <v>4004</v>
      </c>
    </row>
    <row r="168" spans="1:8" x14ac:dyDescent="0.25">
      <c r="A168" s="8">
        <v>43097.726840277777</v>
      </c>
      <c r="B168" s="20" t="s">
        <v>361</v>
      </c>
      <c r="C168" s="20" t="s">
        <v>852</v>
      </c>
      <c r="D168" s="136">
        <v>2000000</v>
      </c>
      <c r="E168" s="20" t="s">
        <v>393</v>
      </c>
      <c r="F168" s="20" t="s">
        <v>394</v>
      </c>
      <c r="G168" s="8" t="str">
        <f t="shared" si="4"/>
        <v>STAMBAUGH JAMES</v>
      </c>
      <c r="H168" s="20" t="str">
        <f t="shared" si="5"/>
        <v>4017</v>
      </c>
    </row>
    <row r="169" spans="1:8" x14ac:dyDescent="0.25">
      <c r="A169" s="8">
        <v>43097.734201388892</v>
      </c>
      <c r="B169" s="20" t="s">
        <v>564</v>
      </c>
      <c r="C169" s="20" t="s">
        <v>853</v>
      </c>
      <c r="D169" s="136">
        <v>3220000</v>
      </c>
      <c r="E169" s="20" t="s">
        <v>377</v>
      </c>
      <c r="F169" s="20" t="s">
        <v>378</v>
      </c>
      <c r="G169" s="8" t="str">
        <f t="shared" si="4"/>
        <v>RESPASS AARON</v>
      </c>
      <c r="H169" s="20" t="str">
        <f t="shared" si="5"/>
        <v>4016</v>
      </c>
    </row>
    <row r="170" spans="1:8" x14ac:dyDescent="0.25">
      <c r="A170" s="8">
        <v>43097.734976851854</v>
      </c>
      <c r="B170" s="20" t="s">
        <v>603</v>
      </c>
      <c r="C170" s="20" t="s">
        <v>854</v>
      </c>
      <c r="D170" s="136">
        <v>880000</v>
      </c>
      <c r="E170" s="20" t="s">
        <v>481</v>
      </c>
      <c r="F170" s="20" t="s">
        <v>351</v>
      </c>
      <c r="G170" s="8" t="str">
        <f t="shared" si="4"/>
        <v>STEWART MICHAEL</v>
      </c>
      <c r="H170" s="20" t="str">
        <f t="shared" si="5"/>
        <v>4045</v>
      </c>
    </row>
    <row r="171" spans="1:8" x14ac:dyDescent="0.25">
      <c r="A171" s="8">
        <v>43097.737199074072</v>
      </c>
      <c r="B171" s="20" t="s">
        <v>449</v>
      </c>
      <c r="C171" s="20" t="s">
        <v>855</v>
      </c>
      <c r="D171" s="136">
        <v>3700000</v>
      </c>
      <c r="E171" s="20" t="s">
        <v>444</v>
      </c>
      <c r="F171" s="20" t="s">
        <v>368</v>
      </c>
      <c r="G171" s="8" t="str">
        <f t="shared" si="4"/>
        <v>AUSTIN THOMPSON</v>
      </c>
      <c r="H171" s="20" t="str">
        <f t="shared" si="5"/>
        <v>4051</v>
      </c>
    </row>
    <row r="172" spans="1:8" x14ac:dyDescent="0.25">
      <c r="A172" s="8">
        <v>43097.738298611112</v>
      </c>
      <c r="B172" s="20" t="s">
        <v>553</v>
      </c>
      <c r="C172" s="20" t="s">
        <v>856</v>
      </c>
      <c r="D172" s="136">
        <v>890000</v>
      </c>
      <c r="E172" s="20" t="s">
        <v>343</v>
      </c>
      <c r="F172" s="20" t="s">
        <v>344</v>
      </c>
      <c r="G172" s="8" t="str">
        <f t="shared" si="4"/>
        <v>LOZA FIDEL</v>
      </c>
      <c r="H172" s="20" t="str">
        <f t="shared" si="5"/>
        <v>4042</v>
      </c>
    </row>
    <row r="173" spans="1:8" x14ac:dyDescent="0.25">
      <c r="A173" s="8">
        <v>43097.741215277776</v>
      </c>
      <c r="B173" s="20" t="s">
        <v>350</v>
      </c>
      <c r="C173" s="20" t="s">
        <v>857</v>
      </c>
      <c r="D173" s="136">
        <v>1300000</v>
      </c>
      <c r="E173" s="20" t="s">
        <v>357</v>
      </c>
      <c r="F173" s="20" t="s">
        <v>358</v>
      </c>
      <c r="G173" s="8" t="str">
        <f t="shared" si="4"/>
        <v>LEVIN SCOTT</v>
      </c>
      <c r="H173" s="20" t="str">
        <f t="shared" si="5"/>
        <v>4055</v>
      </c>
    </row>
    <row r="174" spans="1:8" x14ac:dyDescent="0.25">
      <c r="A174" s="8">
        <v>43097.745787037034</v>
      </c>
      <c r="B174" s="20" t="s">
        <v>723</v>
      </c>
      <c r="C174" s="20" t="s">
        <v>858</v>
      </c>
      <c r="D174" s="136">
        <v>3130000</v>
      </c>
      <c r="E174" s="20" t="s">
        <v>562</v>
      </c>
      <c r="F174" s="20" t="s">
        <v>563</v>
      </c>
      <c r="G174" s="8" t="str">
        <f t="shared" si="4"/>
        <v>ZEWDU DEREJE</v>
      </c>
      <c r="H174" s="20" t="str">
        <f t="shared" si="5"/>
        <v>4064</v>
      </c>
    </row>
    <row r="175" spans="1:8" x14ac:dyDescent="0.25">
      <c r="A175" s="8">
        <v>43097.749560185184</v>
      </c>
      <c r="B175" s="20" t="s">
        <v>676</v>
      </c>
      <c r="C175" s="20" t="s">
        <v>859</v>
      </c>
      <c r="D175" s="136">
        <v>3220000</v>
      </c>
      <c r="E175" s="20" t="s">
        <v>377</v>
      </c>
      <c r="F175" s="20" t="s">
        <v>378</v>
      </c>
      <c r="G175" s="8" t="str">
        <f t="shared" si="4"/>
        <v>RESPASS AARON</v>
      </c>
      <c r="H175" s="20" t="str">
        <f t="shared" si="5"/>
        <v>4015</v>
      </c>
    </row>
    <row r="176" spans="1:8" x14ac:dyDescent="0.25">
      <c r="A176" s="8">
        <v>43097.750023148146</v>
      </c>
      <c r="B176" s="20" t="s">
        <v>384</v>
      </c>
      <c r="C176" s="20" t="s">
        <v>860</v>
      </c>
      <c r="D176" s="136">
        <v>3810000</v>
      </c>
      <c r="E176" s="20" t="s">
        <v>608</v>
      </c>
      <c r="F176" s="20" t="s">
        <v>609</v>
      </c>
      <c r="G176" s="8" t="str">
        <f t="shared" si="4"/>
        <v>LORI SANTOS</v>
      </c>
      <c r="H176" s="20" t="str">
        <f t="shared" si="5"/>
        <v>4061</v>
      </c>
    </row>
    <row r="177" spans="1:8" x14ac:dyDescent="0.25">
      <c r="A177" s="8">
        <v>43097.753495370373</v>
      </c>
      <c r="B177" s="20" t="s">
        <v>359</v>
      </c>
      <c r="C177" s="20" t="s">
        <v>861</v>
      </c>
      <c r="D177" s="136">
        <v>2000000</v>
      </c>
      <c r="E177" s="20" t="s">
        <v>393</v>
      </c>
      <c r="F177" s="20" t="s">
        <v>394</v>
      </c>
      <c r="G177" s="8" t="str">
        <f t="shared" si="4"/>
        <v>STAMBAUGH JAMES</v>
      </c>
      <c r="H177" s="20" t="str">
        <f t="shared" si="5"/>
        <v>4018</v>
      </c>
    </row>
    <row r="178" spans="1:8" x14ac:dyDescent="0.25">
      <c r="A178" s="8">
        <v>43097.755312499998</v>
      </c>
      <c r="B178" s="20" t="s">
        <v>693</v>
      </c>
      <c r="C178" s="20" t="s">
        <v>862</v>
      </c>
      <c r="D178" s="136">
        <v>3340000</v>
      </c>
      <c r="E178" s="20" t="s">
        <v>863</v>
      </c>
      <c r="F178" s="20" t="s">
        <v>864</v>
      </c>
      <c r="G178" s="8" t="str">
        <f t="shared" si="4"/>
        <v>ELBAUM MIKE</v>
      </c>
      <c r="H178" s="20" t="str">
        <f t="shared" si="5"/>
        <v>4014</v>
      </c>
    </row>
    <row r="179" spans="1:8" x14ac:dyDescent="0.25">
      <c r="A179" s="8">
        <v>43097.756550925929</v>
      </c>
      <c r="B179" s="20" t="s">
        <v>600</v>
      </c>
      <c r="C179" s="20" t="s">
        <v>865</v>
      </c>
      <c r="D179" s="136">
        <v>2140000</v>
      </c>
      <c r="E179" s="20" t="s">
        <v>488</v>
      </c>
      <c r="F179" s="20" t="s">
        <v>489</v>
      </c>
      <c r="G179" s="8" t="str">
        <f t="shared" si="4"/>
        <v>ROBINSON KADDIBA</v>
      </c>
      <c r="H179" s="20" t="str">
        <f t="shared" si="5"/>
        <v>4003</v>
      </c>
    </row>
    <row r="180" spans="1:8" x14ac:dyDescent="0.25">
      <c r="A180" s="8">
        <v>43097.767592592594</v>
      </c>
      <c r="B180" s="20" t="s">
        <v>601</v>
      </c>
      <c r="C180" s="20" t="s">
        <v>866</v>
      </c>
      <c r="D180" s="136">
        <v>3320000</v>
      </c>
      <c r="E180" s="20" t="s">
        <v>362</v>
      </c>
      <c r="F180" s="20" t="s">
        <v>363</v>
      </c>
      <c r="G180" s="8" t="str">
        <f t="shared" si="4"/>
        <v>NICHOLSON WESLEY</v>
      </c>
      <c r="H180" s="20" t="str">
        <f t="shared" si="5"/>
        <v>4046</v>
      </c>
    </row>
    <row r="181" spans="1:8" x14ac:dyDescent="0.25">
      <c r="A181" s="8">
        <v>43097.767604166664</v>
      </c>
      <c r="B181" s="20" t="s">
        <v>361</v>
      </c>
      <c r="C181" s="20" t="s">
        <v>867</v>
      </c>
      <c r="D181" s="136">
        <v>2000000</v>
      </c>
      <c r="E181" s="20" t="s">
        <v>393</v>
      </c>
      <c r="F181" s="20" t="s">
        <v>394</v>
      </c>
      <c r="G181" s="8" t="str">
        <f t="shared" si="4"/>
        <v>STAMBAUGH JAMES</v>
      </c>
      <c r="H181" s="20" t="str">
        <f t="shared" si="5"/>
        <v>4017</v>
      </c>
    </row>
    <row r="182" spans="1:8" x14ac:dyDescent="0.25">
      <c r="A182" s="8">
        <v>43097.775960648149</v>
      </c>
      <c r="B182" s="20" t="s">
        <v>564</v>
      </c>
      <c r="C182" s="20" t="s">
        <v>868</v>
      </c>
      <c r="D182" s="136">
        <v>3220000</v>
      </c>
      <c r="E182" s="20" t="s">
        <v>377</v>
      </c>
      <c r="F182" s="20" t="s">
        <v>378</v>
      </c>
      <c r="G182" s="8" t="str">
        <f t="shared" si="4"/>
        <v>RESPASS AARON</v>
      </c>
      <c r="H182" s="20" t="str">
        <f t="shared" si="5"/>
        <v>4016</v>
      </c>
    </row>
    <row r="183" spans="1:8" x14ac:dyDescent="0.25">
      <c r="A183" s="8">
        <v>43097.776018518518</v>
      </c>
      <c r="B183" s="20" t="s">
        <v>711</v>
      </c>
      <c r="C183" s="20" t="s">
        <v>869</v>
      </c>
      <c r="D183" s="136">
        <v>1300000</v>
      </c>
      <c r="E183" s="20" t="s">
        <v>357</v>
      </c>
      <c r="F183" s="20" t="s">
        <v>358</v>
      </c>
      <c r="G183" s="8" t="str">
        <f t="shared" si="4"/>
        <v>LEVIN SCOTT</v>
      </c>
      <c r="H183" s="20" t="str">
        <f t="shared" si="5"/>
        <v>4056</v>
      </c>
    </row>
    <row r="184" spans="1:8" x14ac:dyDescent="0.25">
      <c r="A184" s="8">
        <v>43097.777256944442</v>
      </c>
      <c r="B184" s="20" t="s">
        <v>552</v>
      </c>
      <c r="C184" s="20" t="s">
        <v>870</v>
      </c>
      <c r="D184" s="136">
        <v>890000</v>
      </c>
      <c r="E184" s="20" t="s">
        <v>343</v>
      </c>
      <c r="F184" s="20" t="s">
        <v>344</v>
      </c>
      <c r="G184" s="8" t="str">
        <f t="shared" si="4"/>
        <v>LOZA FIDEL</v>
      </c>
      <c r="H184" s="20" t="str">
        <f t="shared" si="5"/>
        <v>4041</v>
      </c>
    </row>
    <row r="185" spans="1:8" x14ac:dyDescent="0.25">
      <c r="A185" s="8">
        <v>43097.785532407404</v>
      </c>
      <c r="B185" s="20" t="s">
        <v>685</v>
      </c>
      <c r="C185" s="20" t="s">
        <v>871</v>
      </c>
      <c r="D185" s="136">
        <v>3130000</v>
      </c>
      <c r="E185" s="20" t="s">
        <v>562</v>
      </c>
      <c r="F185" s="20" t="s">
        <v>563</v>
      </c>
      <c r="G185" s="8" t="str">
        <f t="shared" si="4"/>
        <v>ZEWDU DEREJE</v>
      </c>
      <c r="H185" s="20" t="str">
        <f t="shared" si="5"/>
        <v>4063</v>
      </c>
    </row>
    <row r="186" spans="1:8" x14ac:dyDescent="0.25">
      <c r="A186" s="8">
        <v>43097.787870370368</v>
      </c>
      <c r="B186" s="20" t="s">
        <v>680</v>
      </c>
      <c r="C186" s="20" t="s">
        <v>872</v>
      </c>
      <c r="D186" s="136">
        <v>3340000</v>
      </c>
      <c r="E186" s="20" t="s">
        <v>863</v>
      </c>
      <c r="F186" s="20" t="s">
        <v>864</v>
      </c>
      <c r="G186" s="8" t="str">
        <f t="shared" si="4"/>
        <v>ELBAUM MIKE</v>
      </c>
      <c r="H186" s="20" t="str">
        <f t="shared" si="5"/>
        <v>4013</v>
      </c>
    </row>
    <row r="187" spans="1:8" x14ac:dyDescent="0.25">
      <c r="A187" s="8">
        <v>43097.789131944446</v>
      </c>
      <c r="B187" s="20" t="s">
        <v>676</v>
      </c>
      <c r="C187" s="20" t="s">
        <v>873</v>
      </c>
      <c r="D187" s="136">
        <v>3220000</v>
      </c>
      <c r="E187" s="20" t="s">
        <v>377</v>
      </c>
      <c r="F187" s="20" t="s">
        <v>378</v>
      </c>
      <c r="G187" s="8" t="str">
        <f t="shared" si="4"/>
        <v>RESPASS AARON</v>
      </c>
      <c r="H187" s="20" t="str">
        <f t="shared" si="5"/>
        <v>4015</v>
      </c>
    </row>
    <row r="188" spans="1:8" x14ac:dyDescent="0.25">
      <c r="A188" s="8">
        <v>43097.790775462963</v>
      </c>
      <c r="B188" s="20" t="s">
        <v>382</v>
      </c>
      <c r="C188" s="20" t="s">
        <v>874</v>
      </c>
      <c r="D188" s="136">
        <v>3310000</v>
      </c>
      <c r="E188" s="20" t="s">
        <v>535</v>
      </c>
      <c r="F188" s="20" t="s">
        <v>536</v>
      </c>
      <c r="G188" s="8" t="str">
        <f t="shared" si="4"/>
        <v>ANDERS STEVEN</v>
      </c>
      <c r="H188" s="20" t="str">
        <f t="shared" si="5"/>
        <v>4062</v>
      </c>
    </row>
    <row r="189" spans="1:8" x14ac:dyDescent="0.25">
      <c r="A189" s="8">
        <v>43097.794490740744</v>
      </c>
      <c r="B189" s="20" t="s">
        <v>359</v>
      </c>
      <c r="C189" s="20" t="s">
        <v>875</v>
      </c>
      <c r="D189" s="136">
        <v>2000000</v>
      </c>
      <c r="E189" s="20" t="s">
        <v>393</v>
      </c>
      <c r="F189" s="20" t="s">
        <v>394</v>
      </c>
      <c r="G189" s="8" t="str">
        <f t="shared" si="4"/>
        <v>STAMBAUGH JAMES</v>
      </c>
      <c r="H189" s="20" t="str">
        <f t="shared" si="5"/>
        <v>4018</v>
      </c>
    </row>
    <row r="190" spans="1:8" x14ac:dyDescent="0.25">
      <c r="A190" s="8">
        <v>43097.797326388885</v>
      </c>
      <c r="B190" s="20" t="s">
        <v>610</v>
      </c>
      <c r="C190" s="20" t="s">
        <v>876</v>
      </c>
      <c r="D190" s="136">
        <v>2140000</v>
      </c>
      <c r="E190" s="20" t="s">
        <v>488</v>
      </c>
      <c r="F190" s="20" t="s">
        <v>489</v>
      </c>
      <c r="G190" s="8" t="str">
        <f t="shared" si="4"/>
        <v>ROBINSON KADDIBA</v>
      </c>
      <c r="H190" s="20" t="str">
        <f t="shared" si="5"/>
        <v>4004</v>
      </c>
    </row>
    <row r="191" spans="1:8" x14ac:dyDescent="0.25">
      <c r="A191" s="8">
        <v>43097.807002314818</v>
      </c>
      <c r="B191" s="20" t="s">
        <v>603</v>
      </c>
      <c r="C191" s="20" t="s">
        <v>690</v>
      </c>
      <c r="D191" s="136">
        <v>3320000</v>
      </c>
      <c r="E191" s="20" t="s">
        <v>362</v>
      </c>
      <c r="F191" s="20" t="s">
        <v>363</v>
      </c>
      <c r="G191" s="8" t="str">
        <f t="shared" si="4"/>
        <v>NICHOLSON WESLEY</v>
      </c>
      <c r="H191" s="20" t="str">
        <f t="shared" si="5"/>
        <v>4045</v>
      </c>
    </row>
    <row r="192" spans="1:8" x14ac:dyDescent="0.25">
      <c r="A192" s="8">
        <v>43097.807928240742</v>
      </c>
      <c r="B192" s="20" t="s">
        <v>553</v>
      </c>
      <c r="C192" s="20" t="s">
        <v>877</v>
      </c>
      <c r="D192" s="136">
        <v>890000</v>
      </c>
      <c r="E192" s="20" t="s">
        <v>343</v>
      </c>
      <c r="F192" s="20" t="s">
        <v>344</v>
      </c>
      <c r="G192" s="8" t="str">
        <f t="shared" si="4"/>
        <v>LOZA FIDEL</v>
      </c>
      <c r="H192" s="20" t="str">
        <f t="shared" si="5"/>
        <v>4042</v>
      </c>
    </row>
    <row r="193" spans="1:8" x14ac:dyDescent="0.25">
      <c r="A193" s="8">
        <v>43097.808206018519</v>
      </c>
      <c r="B193" s="20" t="s">
        <v>361</v>
      </c>
      <c r="C193" s="20" t="s">
        <v>878</v>
      </c>
      <c r="D193" s="136">
        <v>2000000</v>
      </c>
      <c r="E193" s="20" t="s">
        <v>393</v>
      </c>
      <c r="F193" s="20" t="s">
        <v>394</v>
      </c>
      <c r="G193" s="8" t="str">
        <f t="shared" si="4"/>
        <v>STAMBAUGH JAMES</v>
      </c>
      <c r="H193" s="20" t="str">
        <f t="shared" si="5"/>
        <v>4017</v>
      </c>
    </row>
    <row r="194" spans="1:8" x14ac:dyDescent="0.25">
      <c r="A194" s="8">
        <v>43097.827002314814</v>
      </c>
      <c r="B194" s="20" t="s">
        <v>693</v>
      </c>
      <c r="C194" s="20" t="s">
        <v>879</v>
      </c>
      <c r="D194" s="136">
        <v>3340000</v>
      </c>
      <c r="E194" s="20" t="s">
        <v>863</v>
      </c>
      <c r="F194" s="20" t="s">
        <v>864</v>
      </c>
      <c r="G194" s="8" t="str">
        <f t="shared" si="4"/>
        <v>ELBAUM MIKE</v>
      </c>
      <c r="H194" s="20" t="str">
        <f t="shared" si="5"/>
        <v>4014</v>
      </c>
    </row>
    <row r="195" spans="1:8" x14ac:dyDescent="0.25">
      <c r="A195" s="8">
        <v>43097.83017361111</v>
      </c>
      <c r="B195" s="20" t="s">
        <v>384</v>
      </c>
      <c r="C195" s="20" t="s">
        <v>880</v>
      </c>
      <c r="D195" s="136">
        <v>3310000</v>
      </c>
      <c r="E195" s="20" t="s">
        <v>535</v>
      </c>
      <c r="F195" s="20" t="s">
        <v>536</v>
      </c>
      <c r="G195" s="8" t="str">
        <f t="shared" ref="G195:G258" si="6">E195&amp;" "&amp;F195</f>
        <v>ANDERS STEVEN</v>
      </c>
      <c r="H195" s="20" t="str">
        <f t="shared" ref="H195:H258" si="7">MID(B195,13,4)</f>
        <v>4061</v>
      </c>
    </row>
    <row r="196" spans="1:8" x14ac:dyDescent="0.25">
      <c r="A196" s="8">
        <v>43097.836782407408</v>
      </c>
      <c r="B196" s="20" t="s">
        <v>359</v>
      </c>
      <c r="C196" s="20" t="s">
        <v>881</v>
      </c>
      <c r="D196" s="136">
        <v>2000000</v>
      </c>
      <c r="E196" s="20" t="s">
        <v>393</v>
      </c>
      <c r="F196" s="20" t="s">
        <v>394</v>
      </c>
      <c r="G196" s="8" t="str">
        <f t="shared" si="6"/>
        <v>STAMBAUGH JAMES</v>
      </c>
      <c r="H196" s="20" t="str">
        <f t="shared" si="7"/>
        <v>4018</v>
      </c>
    </row>
    <row r="197" spans="1:8" x14ac:dyDescent="0.25">
      <c r="A197" s="8">
        <v>43097.84412037037</v>
      </c>
      <c r="B197" s="20" t="s">
        <v>601</v>
      </c>
      <c r="C197" s="20" t="s">
        <v>882</v>
      </c>
      <c r="D197" s="136">
        <v>2420000</v>
      </c>
      <c r="E197" s="20" t="s">
        <v>606</v>
      </c>
      <c r="F197" s="20" t="s">
        <v>607</v>
      </c>
      <c r="G197" s="8" t="str">
        <f t="shared" si="6"/>
        <v>HOLCOMB KAMDEN</v>
      </c>
      <c r="H197" s="20" t="str">
        <f t="shared" si="7"/>
        <v>4046</v>
      </c>
    </row>
    <row r="198" spans="1:8" x14ac:dyDescent="0.25">
      <c r="A198" s="8">
        <v>43097.848935185182</v>
      </c>
      <c r="B198" s="20" t="s">
        <v>552</v>
      </c>
      <c r="C198" s="20" t="s">
        <v>883</v>
      </c>
      <c r="D198" s="136">
        <v>890000</v>
      </c>
      <c r="E198" s="20" t="s">
        <v>343</v>
      </c>
      <c r="F198" s="20" t="s">
        <v>344</v>
      </c>
      <c r="G198" s="8" t="str">
        <f t="shared" si="6"/>
        <v>LOZA FIDEL</v>
      </c>
      <c r="H198" s="20" t="str">
        <f t="shared" si="7"/>
        <v>4041</v>
      </c>
    </row>
    <row r="199" spans="1:8" x14ac:dyDescent="0.25">
      <c r="A199" s="8">
        <v>43097.84951388889</v>
      </c>
      <c r="B199" s="20" t="s">
        <v>723</v>
      </c>
      <c r="C199" s="20" t="s">
        <v>884</v>
      </c>
      <c r="D199" s="136">
        <v>3320000</v>
      </c>
      <c r="E199" s="20" t="s">
        <v>362</v>
      </c>
      <c r="F199" s="20" t="s">
        <v>363</v>
      </c>
      <c r="G199" s="8" t="str">
        <f t="shared" si="6"/>
        <v>NICHOLSON WESLEY</v>
      </c>
      <c r="H199" s="20" t="str">
        <f t="shared" si="7"/>
        <v>4064</v>
      </c>
    </row>
    <row r="200" spans="1:8" x14ac:dyDescent="0.25">
      <c r="A200" s="8">
        <v>43097.850578703707</v>
      </c>
      <c r="B200" s="20" t="s">
        <v>361</v>
      </c>
      <c r="C200" s="20" t="s">
        <v>885</v>
      </c>
      <c r="D200" s="136">
        <v>2000000</v>
      </c>
      <c r="E200" s="20" t="s">
        <v>393</v>
      </c>
      <c r="F200" s="20" t="s">
        <v>394</v>
      </c>
      <c r="G200" s="8" t="str">
        <f t="shared" si="6"/>
        <v>STAMBAUGH JAMES</v>
      </c>
      <c r="H200" s="20" t="str">
        <f t="shared" si="7"/>
        <v>4017</v>
      </c>
    </row>
    <row r="201" spans="1:8" x14ac:dyDescent="0.25">
      <c r="A201" s="8">
        <v>43097.859375</v>
      </c>
      <c r="B201" s="20" t="s">
        <v>680</v>
      </c>
      <c r="C201" s="20" t="s">
        <v>886</v>
      </c>
      <c r="D201" s="136">
        <v>3340000</v>
      </c>
      <c r="E201" s="20" t="s">
        <v>863</v>
      </c>
      <c r="F201" s="20" t="s">
        <v>864</v>
      </c>
      <c r="G201" s="8" t="str">
        <f t="shared" si="6"/>
        <v>ELBAUM MIKE</v>
      </c>
      <c r="H201" s="20" t="str">
        <f t="shared" si="7"/>
        <v>4013</v>
      </c>
    </row>
    <row r="202" spans="1:8" x14ac:dyDescent="0.25">
      <c r="A202" s="26">
        <v>43097.872523148151</v>
      </c>
      <c r="B202" s="20" t="s">
        <v>382</v>
      </c>
      <c r="C202" s="20" t="s">
        <v>887</v>
      </c>
      <c r="D202" s="136">
        <v>3310000</v>
      </c>
      <c r="E202" s="20" t="s">
        <v>535</v>
      </c>
      <c r="F202" s="20" t="s">
        <v>536</v>
      </c>
      <c r="G202" s="8" t="str">
        <f t="shared" si="6"/>
        <v>ANDERS STEVEN</v>
      </c>
      <c r="H202" s="20" t="str">
        <f t="shared" si="7"/>
        <v>4062</v>
      </c>
    </row>
    <row r="203" spans="1:8" x14ac:dyDescent="0.25">
      <c r="A203" s="8">
        <v>43097.877442129633</v>
      </c>
      <c r="B203" s="20" t="s">
        <v>359</v>
      </c>
      <c r="C203" s="20" t="s">
        <v>691</v>
      </c>
      <c r="D203" s="136">
        <v>3220000</v>
      </c>
      <c r="E203" s="20" t="s">
        <v>377</v>
      </c>
      <c r="F203" s="20" t="s">
        <v>378</v>
      </c>
      <c r="G203" s="8" t="str">
        <f t="shared" si="6"/>
        <v>RESPASS AARON</v>
      </c>
      <c r="H203" s="20" t="str">
        <f t="shared" si="7"/>
        <v>4018</v>
      </c>
    </row>
    <row r="204" spans="1:8" x14ac:dyDescent="0.25">
      <c r="A204" s="8">
        <v>43097.880879629629</v>
      </c>
      <c r="B204" s="20" t="s">
        <v>553</v>
      </c>
      <c r="C204" s="20" t="s">
        <v>888</v>
      </c>
      <c r="D204" s="136">
        <v>890000</v>
      </c>
      <c r="E204" s="20" t="s">
        <v>343</v>
      </c>
      <c r="F204" s="20" t="s">
        <v>344</v>
      </c>
      <c r="G204" s="8" t="str">
        <f t="shared" si="6"/>
        <v>LOZA FIDEL</v>
      </c>
      <c r="H204" s="20" t="str">
        <f t="shared" si="7"/>
        <v>4042</v>
      </c>
    </row>
    <row r="205" spans="1:8" x14ac:dyDescent="0.25">
      <c r="A205" s="8">
        <v>43097.886979166666</v>
      </c>
      <c r="B205" s="20" t="s">
        <v>685</v>
      </c>
      <c r="C205" s="20" t="s">
        <v>889</v>
      </c>
      <c r="D205" s="136">
        <v>3320000</v>
      </c>
      <c r="E205" s="20" t="s">
        <v>362</v>
      </c>
      <c r="F205" s="20" t="s">
        <v>363</v>
      </c>
      <c r="G205" s="8" t="str">
        <f t="shared" si="6"/>
        <v>NICHOLSON WESLEY</v>
      </c>
      <c r="H205" s="20" t="str">
        <f t="shared" si="7"/>
        <v>4063</v>
      </c>
    </row>
    <row r="206" spans="1:8" x14ac:dyDescent="0.25">
      <c r="A206" s="8">
        <v>43097.894317129627</v>
      </c>
      <c r="B206" s="20" t="s">
        <v>361</v>
      </c>
      <c r="C206" s="20" t="s">
        <v>890</v>
      </c>
      <c r="D206" s="136">
        <v>3220000</v>
      </c>
      <c r="E206" s="20" t="s">
        <v>377</v>
      </c>
      <c r="F206" s="20" t="s">
        <v>378</v>
      </c>
      <c r="G206" s="8" t="str">
        <f t="shared" si="6"/>
        <v>RESPASS AARON</v>
      </c>
      <c r="H206" s="20" t="str">
        <f t="shared" si="7"/>
        <v>4017</v>
      </c>
    </row>
    <row r="207" spans="1:8" x14ac:dyDescent="0.25">
      <c r="A207" s="8">
        <v>43097.900879629633</v>
      </c>
      <c r="B207" s="20" t="s">
        <v>693</v>
      </c>
      <c r="C207" s="20" t="s">
        <v>694</v>
      </c>
      <c r="D207" s="136">
        <v>3340000</v>
      </c>
      <c r="E207" s="20" t="s">
        <v>863</v>
      </c>
      <c r="F207" s="20" t="s">
        <v>864</v>
      </c>
      <c r="G207" s="8" t="str">
        <f t="shared" si="6"/>
        <v>ELBAUM MIKE</v>
      </c>
      <c r="H207" s="20" t="str">
        <f t="shared" si="7"/>
        <v>4014</v>
      </c>
    </row>
    <row r="208" spans="1:8" x14ac:dyDescent="0.25">
      <c r="A208" s="8">
        <v>43097.913310185184</v>
      </c>
      <c r="B208" s="20" t="s">
        <v>384</v>
      </c>
      <c r="C208" s="20" t="s">
        <v>692</v>
      </c>
      <c r="D208" s="136">
        <v>3310000</v>
      </c>
      <c r="E208" s="20" t="s">
        <v>535</v>
      </c>
      <c r="F208" s="20" t="s">
        <v>536</v>
      </c>
      <c r="G208" s="8" t="str">
        <f t="shared" si="6"/>
        <v>ANDERS STEVEN</v>
      </c>
      <c r="H208" s="20" t="str">
        <f t="shared" si="7"/>
        <v>4061</v>
      </c>
    </row>
    <row r="209" spans="1:8" x14ac:dyDescent="0.25">
      <c r="A209" s="8">
        <v>43097.922337962962</v>
      </c>
      <c r="B209" s="20" t="s">
        <v>359</v>
      </c>
      <c r="C209" s="20" t="s">
        <v>891</v>
      </c>
      <c r="D209" s="136">
        <v>3220000</v>
      </c>
      <c r="E209" s="20" t="s">
        <v>377</v>
      </c>
      <c r="F209" s="20" t="s">
        <v>378</v>
      </c>
      <c r="G209" s="8" t="str">
        <f t="shared" si="6"/>
        <v>RESPASS AARON</v>
      </c>
      <c r="H209" s="20" t="str">
        <f t="shared" si="7"/>
        <v>4018</v>
      </c>
    </row>
    <row r="210" spans="1:8" x14ac:dyDescent="0.25">
      <c r="A210" s="8">
        <v>43097.929618055554</v>
      </c>
      <c r="B210" s="20" t="s">
        <v>723</v>
      </c>
      <c r="C210" s="20" t="s">
        <v>892</v>
      </c>
      <c r="D210" s="136">
        <v>3320000</v>
      </c>
      <c r="E210" s="20" t="s">
        <v>362</v>
      </c>
      <c r="F210" s="20" t="s">
        <v>363</v>
      </c>
      <c r="G210" s="8" t="str">
        <f t="shared" si="6"/>
        <v>NICHOLSON WESLEY</v>
      </c>
      <c r="H210" s="20" t="str">
        <f t="shared" si="7"/>
        <v>4064</v>
      </c>
    </row>
    <row r="211" spans="1:8" x14ac:dyDescent="0.25">
      <c r="A211" s="8">
        <v>43097.932789351849</v>
      </c>
      <c r="B211" s="20" t="s">
        <v>552</v>
      </c>
      <c r="C211" s="20" t="s">
        <v>893</v>
      </c>
      <c r="D211" s="136">
        <v>890000</v>
      </c>
      <c r="E211" s="20" t="s">
        <v>343</v>
      </c>
      <c r="F211" s="20" t="s">
        <v>344</v>
      </c>
      <c r="G211" s="8" t="str">
        <f t="shared" si="6"/>
        <v>LOZA FIDEL</v>
      </c>
      <c r="H211" s="20" t="str">
        <f t="shared" si="7"/>
        <v>4041</v>
      </c>
    </row>
    <row r="212" spans="1:8" x14ac:dyDescent="0.25">
      <c r="A212" s="8">
        <v>43097.936435185184</v>
      </c>
      <c r="B212" s="20" t="s">
        <v>361</v>
      </c>
      <c r="C212" s="20" t="s">
        <v>894</v>
      </c>
      <c r="D212" s="136">
        <v>3220000</v>
      </c>
      <c r="E212" s="20" t="s">
        <v>377</v>
      </c>
      <c r="F212" s="20" t="s">
        <v>378</v>
      </c>
      <c r="G212" s="8" t="str">
        <f t="shared" si="6"/>
        <v>RESPASS AARON</v>
      </c>
      <c r="H212" s="20" t="str">
        <f t="shared" si="7"/>
        <v>4017</v>
      </c>
    </row>
    <row r="213" spans="1:8" x14ac:dyDescent="0.25">
      <c r="A213" s="8">
        <v>43097.946898148148</v>
      </c>
      <c r="B213" s="20" t="s">
        <v>680</v>
      </c>
      <c r="C213" s="20" t="s">
        <v>895</v>
      </c>
      <c r="D213" s="136">
        <v>3340000</v>
      </c>
      <c r="E213" s="20" t="s">
        <v>863</v>
      </c>
      <c r="F213" s="20" t="s">
        <v>864</v>
      </c>
      <c r="G213" s="8" t="str">
        <f t="shared" si="6"/>
        <v>ELBAUM MIKE</v>
      </c>
      <c r="H213" s="20" t="str">
        <f t="shared" si="7"/>
        <v>4013</v>
      </c>
    </row>
    <row r="214" spans="1:8" x14ac:dyDescent="0.25">
      <c r="A214" s="8">
        <v>43097.957152777781</v>
      </c>
      <c r="B214" s="20" t="s">
        <v>382</v>
      </c>
      <c r="C214" s="20" t="s">
        <v>695</v>
      </c>
      <c r="D214" s="136">
        <v>3310000</v>
      </c>
      <c r="E214" s="20" t="s">
        <v>535</v>
      </c>
      <c r="F214" s="20" t="s">
        <v>536</v>
      </c>
      <c r="G214" s="8" t="str">
        <f t="shared" si="6"/>
        <v>ANDERS STEVEN</v>
      </c>
      <c r="H214" s="20" t="str">
        <f t="shared" si="7"/>
        <v>4062</v>
      </c>
    </row>
    <row r="215" spans="1:8" x14ac:dyDescent="0.25">
      <c r="A215" s="8">
        <v>43097.962905092594</v>
      </c>
      <c r="B215" s="20" t="s">
        <v>359</v>
      </c>
      <c r="C215" s="20" t="s">
        <v>896</v>
      </c>
      <c r="D215" s="136">
        <v>3220000</v>
      </c>
      <c r="E215" s="20" t="s">
        <v>377</v>
      </c>
      <c r="F215" s="20" t="s">
        <v>378</v>
      </c>
      <c r="G215" s="8" t="str">
        <f t="shared" si="6"/>
        <v>RESPASS AARON</v>
      </c>
      <c r="H215" s="20" t="str">
        <f t="shared" si="7"/>
        <v>4018</v>
      </c>
    </row>
    <row r="216" spans="1:8" x14ac:dyDescent="0.25">
      <c r="A216" s="8">
        <v>43097.972719907404</v>
      </c>
      <c r="B216" s="20" t="s">
        <v>685</v>
      </c>
      <c r="C216" s="20" t="s">
        <v>897</v>
      </c>
      <c r="D216" s="136">
        <v>3320000</v>
      </c>
      <c r="E216" s="20" t="s">
        <v>362</v>
      </c>
      <c r="F216" s="20" t="s">
        <v>363</v>
      </c>
      <c r="G216" s="8" t="str">
        <f t="shared" si="6"/>
        <v>NICHOLSON WESLEY</v>
      </c>
      <c r="H216" s="20" t="str">
        <f t="shared" si="7"/>
        <v>4063</v>
      </c>
    </row>
    <row r="217" spans="1:8" x14ac:dyDescent="0.25">
      <c r="A217" s="8">
        <v>43097.976261574076</v>
      </c>
      <c r="B217" s="20" t="s">
        <v>361</v>
      </c>
      <c r="C217" s="20" t="s">
        <v>696</v>
      </c>
      <c r="D217" s="136">
        <v>3220000</v>
      </c>
      <c r="E217" s="20" t="s">
        <v>377</v>
      </c>
      <c r="F217" s="20" t="s">
        <v>378</v>
      </c>
      <c r="G217" s="8" t="str">
        <f t="shared" si="6"/>
        <v>RESPASS AARON</v>
      </c>
      <c r="H217" s="20" t="str">
        <f t="shared" si="7"/>
        <v>4017</v>
      </c>
    </row>
    <row r="218" spans="1:8" x14ac:dyDescent="0.25">
      <c r="A218" s="8">
        <v>43097.977534722224</v>
      </c>
      <c r="B218" s="20" t="s">
        <v>553</v>
      </c>
      <c r="C218" s="20" t="s">
        <v>898</v>
      </c>
      <c r="D218" s="136">
        <v>890000</v>
      </c>
      <c r="E218" s="20" t="s">
        <v>343</v>
      </c>
      <c r="F218" s="20" t="s">
        <v>344</v>
      </c>
      <c r="G218" s="8" t="str">
        <f t="shared" si="6"/>
        <v>LOZA FIDEL</v>
      </c>
      <c r="H218" s="20" t="str">
        <f t="shared" si="7"/>
        <v>4042</v>
      </c>
    </row>
    <row r="219" spans="1:8" x14ac:dyDescent="0.25">
      <c r="A219" s="8">
        <v>43097.988136574073</v>
      </c>
      <c r="B219" s="20" t="s">
        <v>693</v>
      </c>
      <c r="C219" s="20" t="s">
        <v>899</v>
      </c>
      <c r="D219" s="136">
        <v>3340000</v>
      </c>
      <c r="E219" s="20" t="s">
        <v>863</v>
      </c>
      <c r="F219" s="20" t="s">
        <v>864</v>
      </c>
      <c r="G219" s="8" t="str">
        <f t="shared" si="6"/>
        <v>ELBAUM MIKE</v>
      </c>
      <c r="H219" s="20" t="str">
        <f t="shared" si="7"/>
        <v>4014</v>
      </c>
    </row>
    <row r="220" spans="1:8" x14ac:dyDescent="0.25">
      <c r="A220" s="8">
        <v>43097.994062500002</v>
      </c>
      <c r="B220" s="20" t="s">
        <v>384</v>
      </c>
      <c r="C220" s="20" t="s">
        <v>900</v>
      </c>
      <c r="D220" s="136">
        <v>3310000</v>
      </c>
      <c r="E220" s="20" t="s">
        <v>535</v>
      </c>
      <c r="F220" s="20" t="s">
        <v>536</v>
      </c>
      <c r="G220" s="8" t="str">
        <f t="shared" si="6"/>
        <v>ANDERS STEVEN</v>
      </c>
      <c r="H220" s="20" t="str">
        <f t="shared" si="7"/>
        <v>4061</v>
      </c>
    </row>
    <row r="221" spans="1:8" x14ac:dyDescent="0.25">
      <c r="A221" s="8">
        <v>43098.016909722224</v>
      </c>
      <c r="B221" s="20" t="s">
        <v>552</v>
      </c>
      <c r="C221" s="20" t="s">
        <v>901</v>
      </c>
      <c r="D221" s="136">
        <v>890000</v>
      </c>
      <c r="E221" s="20" t="s">
        <v>343</v>
      </c>
      <c r="F221" s="20" t="s">
        <v>344</v>
      </c>
      <c r="G221" s="8" t="str">
        <f t="shared" si="6"/>
        <v>LOZA FIDEL</v>
      </c>
      <c r="H221" s="20" t="str">
        <f t="shared" si="7"/>
        <v>4041</v>
      </c>
    </row>
    <row r="222" spans="1:8" x14ac:dyDescent="0.25">
      <c r="A222" s="8">
        <v>43098.018946759257</v>
      </c>
      <c r="B222" s="20" t="s">
        <v>723</v>
      </c>
      <c r="C222" s="20" t="s">
        <v>902</v>
      </c>
      <c r="D222" s="136">
        <v>3320000</v>
      </c>
      <c r="E222" s="20" t="s">
        <v>362</v>
      </c>
      <c r="F222" s="20" t="s">
        <v>363</v>
      </c>
      <c r="G222" s="8" t="str">
        <f t="shared" si="6"/>
        <v>NICHOLSON WESLEY</v>
      </c>
      <c r="H222" s="20" t="str">
        <f t="shared" si="7"/>
        <v>4064</v>
      </c>
    </row>
    <row r="223" spans="1:8" x14ac:dyDescent="0.25">
      <c r="A223" s="8">
        <v>43098.026250000003</v>
      </c>
      <c r="B223" s="20" t="s">
        <v>680</v>
      </c>
      <c r="C223" s="20" t="s">
        <v>903</v>
      </c>
      <c r="D223" s="136">
        <v>3340000</v>
      </c>
      <c r="E223" s="20" t="s">
        <v>863</v>
      </c>
      <c r="F223" s="20" t="s">
        <v>864</v>
      </c>
      <c r="G223" s="8" t="str">
        <f t="shared" si="6"/>
        <v>ELBAUM MIKE</v>
      </c>
      <c r="H223" s="20" t="str">
        <f t="shared" si="7"/>
        <v>4013</v>
      </c>
    </row>
    <row r="224" spans="1:8" x14ac:dyDescent="0.25">
      <c r="A224" s="8">
        <v>43098.027418981481</v>
      </c>
      <c r="B224" t="s">
        <v>382</v>
      </c>
      <c r="C224" t="s">
        <v>904</v>
      </c>
      <c r="D224" s="136">
        <v>3310000</v>
      </c>
      <c r="E224" t="s">
        <v>535</v>
      </c>
      <c r="F224" s="20" t="s">
        <v>536</v>
      </c>
      <c r="G224" s="8" t="str">
        <f t="shared" si="6"/>
        <v>ANDERS STEVEN</v>
      </c>
      <c r="H224" s="20" t="str">
        <f t="shared" si="7"/>
        <v>4062</v>
      </c>
    </row>
    <row r="225" spans="1:8" x14ac:dyDescent="0.25">
      <c r="A225" s="8">
        <v>43098.048159722224</v>
      </c>
      <c r="B225" t="s">
        <v>553</v>
      </c>
      <c r="C225" t="s">
        <v>905</v>
      </c>
      <c r="D225" s="136">
        <v>890000</v>
      </c>
      <c r="E225" t="s">
        <v>343</v>
      </c>
      <c r="F225" s="20" t="s">
        <v>344</v>
      </c>
      <c r="G225" s="8" t="str">
        <f t="shared" si="6"/>
        <v>LOZA FIDEL</v>
      </c>
      <c r="H225" s="20" t="str">
        <f t="shared" si="7"/>
        <v>4042</v>
      </c>
    </row>
    <row r="226" spans="1:8" x14ac:dyDescent="0.25">
      <c r="A226" s="8">
        <v>43098.054571759261</v>
      </c>
      <c r="B226" t="s">
        <v>685</v>
      </c>
      <c r="C226" t="s">
        <v>906</v>
      </c>
      <c r="D226" s="136">
        <v>3320000</v>
      </c>
      <c r="E226" t="s">
        <v>362</v>
      </c>
      <c r="F226" s="20" t="s">
        <v>363</v>
      </c>
      <c r="G226" s="8" t="str">
        <f t="shared" si="6"/>
        <v>NICHOLSON WESLEY</v>
      </c>
      <c r="H226" s="20" t="str">
        <f t="shared" si="7"/>
        <v>4063</v>
      </c>
    </row>
    <row r="227" spans="1:8" x14ac:dyDescent="0.25">
      <c r="A227" s="8">
        <v>43098.066689814812</v>
      </c>
      <c r="B227" t="s">
        <v>693</v>
      </c>
      <c r="C227" t="s">
        <v>907</v>
      </c>
      <c r="D227" s="136">
        <v>3340000</v>
      </c>
      <c r="E227" t="s">
        <v>863</v>
      </c>
      <c r="F227" s="20" t="s">
        <v>864</v>
      </c>
      <c r="G227" s="8" t="str">
        <f t="shared" si="6"/>
        <v>ELBAUM MIKE</v>
      </c>
      <c r="H227" s="20" t="str">
        <f t="shared" si="7"/>
        <v>4014</v>
      </c>
    </row>
    <row r="228" spans="1:8" x14ac:dyDescent="0.25">
      <c r="A228" s="8">
        <v>43098.093252314815</v>
      </c>
      <c r="B228" t="s">
        <v>723</v>
      </c>
      <c r="C228" t="s">
        <v>908</v>
      </c>
      <c r="D228" s="136">
        <v>3320000</v>
      </c>
      <c r="E228" t="s">
        <v>362</v>
      </c>
      <c r="F228" s="20" t="s">
        <v>363</v>
      </c>
      <c r="G228" s="8" t="str">
        <f t="shared" si="6"/>
        <v>NICHOLSON WESLEY</v>
      </c>
      <c r="H228" s="20" t="str">
        <f t="shared" si="7"/>
        <v>4064</v>
      </c>
    </row>
    <row r="229" spans="1:8" x14ac:dyDescent="0.25">
      <c r="A229" s="8">
        <v>43098.096759259257</v>
      </c>
      <c r="B229" t="s">
        <v>383</v>
      </c>
      <c r="C229" t="s">
        <v>909</v>
      </c>
      <c r="D229" s="136">
        <v>1800000</v>
      </c>
      <c r="E229" t="s">
        <v>910</v>
      </c>
      <c r="F229" s="20" t="s">
        <v>911</v>
      </c>
      <c r="G229" s="8" t="str">
        <f t="shared" si="6"/>
        <v>CHANDLER KELVIN</v>
      </c>
      <c r="H229" s="20" t="str">
        <f t="shared" si="7"/>
        <v>4022</v>
      </c>
    </row>
    <row r="230" spans="1:8" x14ac:dyDescent="0.25">
      <c r="A230" s="8">
        <v>43098.097615740742</v>
      </c>
      <c r="B230" t="s">
        <v>383</v>
      </c>
      <c r="C230" t="s">
        <v>912</v>
      </c>
      <c r="D230" s="136">
        <v>1800000</v>
      </c>
      <c r="E230" t="s">
        <v>910</v>
      </c>
      <c r="F230" s="20" t="s">
        <v>911</v>
      </c>
      <c r="G230" s="8" t="str">
        <f t="shared" si="6"/>
        <v>CHANDLER KELVIN</v>
      </c>
      <c r="H230" s="20" t="str">
        <f t="shared" si="7"/>
        <v>4022</v>
      </c>
    </row>
    <row r="231" spans="1:8" x14ac:dyDescent="0.25">
      <c r="A231" s="8">
        <v>43098.11241898148</v>
      </c>
      <c r="B231" t="s">
        <v>556</v>
      </c>
      <c r="C231" t="s">
        <v>909</v>
      </c>
      <c r="D231" s="136">
        <v>1800000</v>
      </c>
      <c r="E231" t="s">
        <v>910</v>
      </c>
      <c r="F231" s="20" t="s">
        <v>911</v>
      </c>
      <c r="G231" s="8" t="str">
        <f t="shared" si="6"/>
        <v>CHANDLER KELVIN</v>
      </c>
      <c r="H231" s="20" t="str">
        <f t="shared" si="7"/>
        <v>4021</v>
      </c>
    </row>
    <row r="232" spans="1:8" x14ac:dyDescent="0.25">
      <c r="A232" s="8">
        <v>43098.113321759258</v>
      </c>
      <c r="B232" t="s">
        <v>370</v>
      </c>
      <c r="C232" t="s">
        <v>913</v>
      </c>
      <c r="D232" s="136">
        <v>1830000</v>
      </c>
      <c r="E232" t="s">
        <v>345</v>
      </c>
      <c r="F232" s="20" t="s">
        <v>346</v>
      </c>
      <c r="G232" s="8" t="str">
        <f t="shared" si="6"/>
        <v>YORK EDGAR</v>
      </c>
      <c r="H232" s="20" t="str">
        <f t="shared" si="7"/>
        <v>4011</v>
      </c>
    </row>
    <row r="233" spans="1:8" x14ac:dyDescent="0.25">
      <c r="A233" s="8">
        <v>43098.114016203705</v>
      </c>
      <c r="B233" t="s">
        <v>370</v>
      </c>
      <c r="C233" t="s">
        <v>913</v>
      </c>
      <c r="D233" s="136">
        <v>1830000</v>
      </c>
      <c r="E233" t="s">
        <v>345</v>
      </c>
      <c r="F233" s="20" t="s">
        <v>346</v>
      </c>
      <c r="G233" s="8" t="str">
        <f t="shared" si="6"/>
        <v>YORK EDGAR</v>
      </c>
      <c r="H233" s="20" t="str">
        <f t="shared" si="7"/>
        <v>4011</v>
      </c>
    </row>
    <row r="234" spans="1:8" x14ac:dyDescent="0.25">
      <c r="A234" s="8">
        <v>43098.114560185182</v>
      </c>
      <c r="B234" t="s">
        <v>370</v>
      </c>
      <c r="C234" t="s">
        <v>913</v>
      </c>
      <c r="D234" s="136">
        <v>1830000</v>
      </c>
      <c r="E234" t="s">
        <v>345</v>
      </c>
      <c r="F234" s="20" t="s">
        <v>346</v>
      </c>
      <c r="G234" s="8" t="str">
        <f t="shared" si="6"/>
        <v>YORK EDGAR</v>
      </c>
      <c r="H234" s="20" t="str">
        <f t="shared" si="7"/>
        <v>4011</v>
      </c>
    </row>
    <row r="235" spans="1:8" x14ac:dyDescent="0.25">
      <c r="A235" s="8">
        <v>43097.029699074075</v>
      </c>
      <c r="B235" t="s">
        <v>447</v>
      </c>
      <c r="C235" t="s">
        <v>611</v>
      </c>
      <c r="D235" s="136">
        <v>3320000</v>
      </c>
      <c r="E235" t="s">
        <v>362</v>
      </c>
      <c r="F235" s="20" t="s">
        <v>363</v>
      </c>
      <c r="G235" s="8" t="str">
        <f t="shared" si="6"/>
        <v>NICHOLSON WESLEY</v>
      </c>
      <c r="H235" s="20" t="str">
        <f t="shared" si="7"/>
        <v>4052</v>
      </c>
    </row>
    <row r="236" spans="1:8" x14ac:dyDescent="0.25">
      <c r="A236" s="8">
        <v>43097.030092592591</v>
      </c>
      <c r="B236" t="s">
        <v>554</v>
      </c>
      <c r="C236" t="s">
        <v>612</v>
      </c>
      <c r="D236" s="136">
        <v>2540000</v>
      </c>
      <c r="E236" t="s">
        <v>452</v>
      </c>
      <c r="F236" s="20" t="s">
        <v>453</v>
      </c>
      <c r="G236" s="8" t="str">
        <f t="shared" si="6"/>
        <v>MCREYNOLDS KYLE</v>
      </c>
      <c r="H236" s="20" t="str">
        <f t="shared" si="7"/>
        <v>4031</v>
      </c>
    </row>
    <row r="237" spans="1:8" x14ac:dyDescent="0.25">
      <c r="A237" s="8">
        <v>43097.04886574074</v>
      </c>
      <c r="B237" t="s">
        <v>391</v>
      </c>
      <c r="C237" t="s">
        <v>602</v>
      </c>
      <c r="D237" s="136">
        <v>3220000</v>
      </c>
      <c r="E237" t="s">
        <v>377</v>
      </c>
      <c r="F237" s="20" t="s">
        <v>378</v>
      </c>
      <c r="G237" s="8" t="str">
        <f t="shared" si="6"/>
        <v>RESPASS AARON</v>
      </c>
      <c r="H237" s="20" t="str">
        <f t="shared" si="7"/>
        <v>4030</v>
      </c>
    </row>
    <row r="238" spans="1:8" x14ac:dyDescent="0.25">
      <c r="A238" s="8">
        <v>43097.052569444444</v>
      </c>
      <c r="B238" t="s">
        <v>534</v>
      </c>
      <c r="C238" t="s">
        <v>613</v>
      </c>
      <c r="D238" s="136">
        <v>3310000</v>
      </c>
      <c r="E238" t="s">
        <v>535</v>
      </c>
      <c r="F238" s="20" t="s">
        <v>536</v>
      </c>
      <c r="G238" s="8" t="str">
        <f t="shared" si="6"/>
        <v>ANDERS STEVEN</v>
      </c>
      <c r="H238" s="20" t="str">
        <f t="shared" si="7"/>
        <v>4005</v>
      </c>
    </row>
    <row r="239" spans="1:8" x14ac:dyDescent="0.25">
      <c r="A239" s="8">
        <v>43097.068032407406</v>
      </c>
      <c r="B239" t="s">
        <v>555</v>
      </c>
      <c r="C239" t="s">
        <v>614</v>
      </c>
      <c r="D239" s="136">
        <v>2540000</v>
      </c>
      <c r="E239" t="s">
        <v>452</v>
      </c>
      <c r="F239" s="20" t="s">
        <v>453</v>
      </c>
      <c r="G239" s="8" t="str">
        <f t="shared" si="6"/>
        <v>MCREYNOLDS KYLE</v>
      </c>
      <c r="H239" s="20" t="str">
        <f t="shared" si="7"/>
        <v>4032</v>
      </c>
    </row>
    <row r="240" spans="1:8" x14ac:dyDescent="0.25">
      <c r="A240" s="8">
        <v>43097.089270833334</v>
      </c>
      <c r="B240" t="s">
        <v>533</v>
      </c>
      <c r="C240" t="s">
        <v>615</v>
      </c>
      <c r="D240" s="136">
        <v>3310000</v>
      </c>
      <c r="E240" t="s">
        <v>535</v>
      </c>
      <c r="F240" s="20" t="s">
        <v>536</v>
      </c>
      <c r="G240" s="8" t="str">
        <f t="shared" si="6"/>
        <v>ANDERS STEVEN</v>
      </c>
      <c r="H240" s="20" t="str">
        <f t="shared" si="7"/>
        <v>4006</v>
      </c>
    </row>
    <row r="241" spans="1:8" x14ac:dyDescent="0.25">
      <c r="A241" s="8">
        <v>43097.114027777781</v>
      </c>
      <c r="B241" t="s">
        <v>442</v>
      </c>
      <c r="C241" t="s">
        <v>616</v>
      </c>
      <c r="D241" s="136">
        <v>1830000</v>
      </c>
      <c r="E241" t="s">
        <v>345</v>
      </c>
      <c r="F241" s="20" t="s">
        <v>346</v>
      </c>
      <c r="G241" s="8" t="str">
        <f t="shared" si="6"/>
        <v>YORK EDGAR</v>
      </c>
      <c r="H241" s="20" t="str">
        <f t="shared" si="7"/>
        <v>4049</v>
      </c>
    </row>
    <row r="242" spans="1:8" x14ac:dyDescent="0.25">
      <c r="A242" s="8">
        <v>43089.970289351855</v>
      </c>
      <c r="B242" t="s">
        <v>507</v>
      </c>
      <c r="C242" t="s">
        <v>508</v>
      </c>
      <c r="D242" s="136">
        <v>2540000</v>
      </c>
      <c r="E242" t="s">
        <v>452</v>
      </c>
      <c r="F242" s="20" t="s">
        <v>453</v>
      </c>
      <c r="G242" s="8" t="str">
        <f t="shared" si="6"/>
        <v>MCREYNOLDS KYLE</v>
      </c>
      <c r="H242" s="20" t="str">
        <f t="shared" si="7"/>
        <v>4019</v>
      </c>
    </row>
    <row r="243" spans="1:8" x14ac:dyDescent="0.25">
      <c r="A243" s="8">
        <v>43089.974745370368</v>
      </c>
      <c r="B243" t="s">
        <v>382</v>
      </c>
      <c r="C243" t="s">
        <v>509</v>
      </c>
      <c r="D243" s="136">
        <v>3220000</v>
      </c>
      <c r="E243" t="s">
        <v>377</v>
      </c>
      <c r="F243" s="20" t="s">
        <v>378</v>
      </c>
      <c r="G243" s="8" t="str">
        <f t="shared" si="6"/>
        <v>RESPASS AARON</v>
      </c>
      <c r="H243" s="20" t="str">
        <f t="shared" si="7"/>
        <v>4062</v>
      </c>
    </row>
    <row r="244" spans="1:8" x14ac:dyDescent="0.25">
      <c r="A244" s="8">
        <v>43089.975104166668</v>
      </c>
      <c r="B244" t="s">
        <v>467</v>
      </c>
      <c r="C244" t="s">
        <v>510</v>
      </c>
      <c r="D244" s="136">
        <v>2000000</v>
      </c>
      <c r="E244" t="s">
        <v>393</v>
      </c>
      <c r="F244" s="20" t="s">
        <v>394</v>
      </c>
      <c r="G244" s="8" t="str">
        <f t="shared" si="6"/>
        <v>STAMBAUGH JAMES</v>
      </c>
      <c r="H244" s="20" t="str">
        <f t="shared" si="7"/>
        <v>4053</v>
      </c>
    </row>
    <row r="245" spans="1:8" x14ac:dyDescent="0.25">
      <c r="A245" s="8">
        <v>43089.985462962963</v>
      </c>
      <c r="B245" t="s">
        <v>470</v>
      </c>
      <c r="C245" t="s">
        <v>511</v>
      </c>
      <c r="D245" s="136">
        <v>890000</v>
      </c>
      <c r="E245" t="s">
        <v>343</v>
      </c>
      <c r="F245" s="20" t="s">
        <v>344</v>
      </c>
      <c r="G245" s="8" t="str">
        <f t="shared" si="6"/>
        <v>LOZA FIDEL</v>
      </c>
      <c r="H245" s="20" t="str">
        <f t="shared" si="7"/>
        <v>4044</v>
      </c>
    </row>
    <row r="246" spans="1:8" x14ac:dyDescent="0.25">
      <c r="A246" s="8">
        <v>43089.996122685188</v>
      </c>
      <c r="B246" t="s">
        <v>468</v>
      </c>
      <c r="C246" t="s">
        <v>512</v>
      </c>
      <c r="D246" s="136">
        <v>3320000</v>
      </c>
      <c r="E246" t="s">
        <v>362</v>
      </c>
      <c r="F246" s="20" t="s">
        <v>363</v>
      </c>
      <c r="G246" s="8" t="str">
        <f t="shared" si="6"/>
        <v>NICHOLSON WESLEY</v>
      </c>
      <c r="H246" s="20" t="str">
        <f t="shared" si="7"/>
        <v>4009</v>
      </c>
    </row>
    <row r="247" spans="1:8" x14ac:dyDescent="0.25">
      <c r="A247" s="8">
        <v>43090.006643518522</v>
      </c>
      <c r="B247" t="s">
        <v>505</v>
      </c>
      <c r="C247" t="s">
        <v>513</v>
      </c>
      <c r="D247" s="136">
        <v>2540000</v>
      </c>
      <c r="E247" t="s">
        <v>452</v>
      </c>
      <c r="F247" s="20" t="s">
        <v>453</v>
      </c>
      <c r="G247" s="8" t="str">
        <f t="shared" si="6"/>
        <v>MCREYNOLDS KYLE</v>
      </c>
      <c r="H247" s="20" t="str">
        <f t="shared" si="7"/>
        <v>4020</v>
      </c>
    </row>
    <row r="248" spans="1:8" x14ac:dyDescent="0.25">
      <c r="A248" s="8">
        <v>43090.016736111109</v>
      </c>
      <c r="B248" t="s">
        <v>384</v>
      </c>
      <c r="C248" t="s">
        <v>514</v>
      </c>
      <c r="D248" s="136">
        <v>3220000</v>
      </c>
      <c r="E248" t="s">
        <v>377</v>
      </c>
      <c r="F248" s="20" t="s">
        <v>378</v>
      </c>
      <c r="G248" s="8" t="str">
        <f t="shared" si="6"/>
        <v>RESPASS AARON</v>
      </c>
      <c r="H248" s="20" t="str">
        <f t="shared" si="7"/>
        <v>4061</v>
      </c>
    </row>
    <row r="249" spans="1:8" x14ac:dyDescent="0.25">
      <c r="A249" s="8">
        <v>43090.03025462963</v>
      </c>
      <c r="B249" t="s">
        <v>441</v>
      </c>
      <c r="C249" t="s">
        <v>515</v>
      </c>
      <c r="D249" s="136">
        <v>3320000</v>
      </c>
      <c r="E249" t="s">
        <v>362</v>
      </c>
      <c r="F249" s="20" t="s">
        <v>363</v>
      </c>
      <c r="G249" s="8" t="str">
        <f t="shared" si="6"/>
        <v>NICHOLSON WESLEY</v>
      </c>
      <c r="H249" s="20" t="str">
        <f t="shared" si="7"/>
        <v>4010</v>
      </c>
    </row>
    <row r="250" spans="1:8" x14ac:dyDescent="0.25">
      <c r="A250" s="8">
        <v>43090.036608796298</v>
      </c>
      <c r="B250" t="s">
        <v>471</v>
      </c>
      <c r="C250" t="s">
        <v>516</v>
      </c>
      <c r="D250" s="136">
        <v>890000</v>
      </c>
      <c r="E250" t="s">
        <v>343</v>
      </c>
      <c r="F250" s="20" t="s">
        <v>344</v>
      </c>
      <c r="G250" s="8" t="str">
        <f t="shared" si="6"/>
        <v>LOZA FIDEL</v>
      </c>
      <c r="H250" s="20" t="str">
        <f t="shared" si="7"/>
        <v>4043</v>
      </c>
    </row>
    <row r="251" spans="1:8" x14ac:dyDescent="0.25">
      <c r="A251" s="8">
        <v>43090.047465277778</v>
      </c>
      <c r="B251" t="s">
        <v>382</v>
      </c>
      <c r="C251" t="s">
        <v>517</v>
      </c>
      <c r="D251" s="136">
        <v>3220000</v>
      </c>
      <c r="E251" t="s">
        <v>377</v>
      </c>
      <c r="F251" s="20" t="s">
        <v>378</v>
      </c>
      <c r="G251" s="8" t="str">
        <f t="shared" si="6"/>
        <v>RESPASS AARON</v>
      </c>
      <c r="H251" s="20" t="str">
        <f t="shared" si="7"/>
        <v>4062</v>
      </c>
    </row>
    <row r="252" spans="1:8" x14ac:dyDescent="0.25">
      <c r="A252" s="8">
        <v>43090.052488425928</v>
      </c>
      <c r="B252" t="s">
        <v>507</v>
      </c>
      <c r="C252" t="s">
        <v>518</v>
      </c>
      <c r="D252" s="136">
        <v>2540000</v>
      </c>
      <c r="E252" t="s">
        <v>452</v>
      </c>
      <c r="F252" s="20" t="s">
        <v>453</v>
      </c>
      <c r="G252" s="8" t="str">
        <f t="shared" si="6"/>
        <v>MCREYNOLDS KYLE</v>
      </c>
      <c r="H252" s="20" t="str">
        <f t="shared" si="7"/>
        <v>4019</v>
      </c>
    </row>
    <row r="253" spans="1:8" x14ac:dyDescent="0.25">
      <c r="A253" s="8">
        <v>43090.068472222221</v>
      </c>
      <c r="B253" t="s">
        <v>470</v>
      </c>
      <c r="C253" t="s">
        <v>506</v>
      </c>
      <c r="D253" s="136">
        <v>890000</v>
      </c>
      <c r="E253" t="s">
        <v>343</v>
      </c>
      <c r="F253" s="20" t="s">
        <v>344</v>
      </c>
      <c r="G253" s="8" t="str">
        <f t="shared" si="6"/>
        <v>LOZA FIDEL</v>
      </c>
      <c r="H253" s="20" t="str">
        <f t="shared" si="7"/>
        <v>4044</v>
      </c>
    </row>
    <row r="254" spans="1:8" x14ac:dyDescent="0.25">
      <c r="A254" s="8">
        <v>43090.090127314812</v>
      </c>
      <c r="B254" t="s">
        <v>505</v>
      </c>
      <c r="C254" t="s">
        <v>519</v>
      </c>
      <c r="D254" s="136">
        <v>2540000</v>
      </c>
      <c r="E254" t="s">
        <v>452</v>
      </c>
      <c r="F254" s="20" t="s">
        <v>453</v>
      </c>
      <c r="G254" s="8" t="str">
        <f t="shared" si="6"/>
        <v>MCREYNOLDS KYLE</v>
      </c>
      <c r="H254" s="20" t="str">
        <f t="shared" si="7"/>
        <v>4020</v>
      </c>
    </row>
    <row r="255" spans="1:8" x14ac:dyDescent="0.25">
      <c r="A255" s="8">
        <v>43090.112013888887</v>
      </c>
      <c r="B255" t="s">
        <v>350</v>
      </c>
      <c r="C255" t="s">
        <v>520</v>
      </c>
      <c r="D255" s="136">
        <v>1830000</v>
      </c>
      <c r="E255" t="s">
        <v>345</v>
      </c>
      <c r="F255" s="20" t="s">
        <v>346</v>
      </c>
      <c r="G255" s="8" t="str">
        <f t="shared" si="6"/>
        <v>YORK EDGAR</v>
      </c>
      <c r="H255" s="20" t="str">
        <f t="shared" si="7"/>
        <v>4055</v>
      </c>
    </row>
    <row r="256" spans="1:8" x14ac:dyDescent="0.25">
      <c r="A256" s="8">
        <v>43057.109247685185</v>
      </c>
      <c r="B256" t="s">
        <v>441</v>
      </c>
      <c r="C256" t="s">
        <v>466</v>
      </c>
      <c r="D256" s="136">
        <v>3680000</v>
      </c>
      <c r="E256" t="s">
        <v>464</v>
      </c>
      <c r="F256" s="20" t="s">
        <v>465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442</v>
      </c>
      <c r="C257" t="s">
        <v>454</v>
      </c>
      <c r="D257" s="136">
        <v>2540000</v>
      </c>
      <c r="E257" t="s">
        <v>452</v>
      </c>
      <c r="F257" s="20" t="s">
        <v>453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356</v>
      </c>
      <c r="C258" t="s">
        <v>448</v>
      </c>
      <c r="D258" s="136">
        <v>3700000</v>
      </c>
      <c r="E258" t="s">
        <v>444</v>
      </c>
      <c r="F258" s="20" t="s">
        <v>368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441</v>
      </c>
      <c r="C259" t="s">
        <v>455</v>
      </c>
      <c r="D259" s="136">
        <v>3320000</v>
      </c>
      <c r="E259" t="s">
        <v>362</v>
      </c>
      <c r="F259" s="20" t="s">
        <v>363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449</v>
      </c>
      <c r="C260" t="s">
        <v>456</v>
      </c>
      <c r="D260" s="136">
        <v>890000</v>
      </c>
      <c r="E260" t="s">
        <v>343</v>
      </c>
      <c r="F260" s="20" t="s">
        <v>344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443</v>
      </c>
      <c r="C261" t="s">
        <v>457</v>
      </c>
      <c r="D261" s="136">
        <v>2440000</v>
      </c>
      <c r="E261" t="s">
        <v>450</v>
      </c>
      <c r="F261" s="20" t="s">
        <v>451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389</v>
      </c>
      <c r="C262" t="s">
        <v>458</v>
      </c>
      <c r="D262" s="136">
        <v>3700000</v>
      </c>
      <c r="E262" t="s">
        <v>444</v>
      </c>
      <c r="F262" s="20" t="s">
        <v>368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447</v>
      </c>
      <c r="C263" t="s">
        <v>459</v>
      </c>
      <c r="D263" s="136">
        <v>890000</v>
      </c>
      <c r="E263" t="s">
        <v>343</v>
      </c>
      <c r="F263" s="20" t="s">
        <v>344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356</v>
      </c>
      <c r="C264" t="s">
        <v>460</v>
      </c>
      <c r="D264" s="136">
        <v>3700000</v>
      </c>
      <c r="E264" t="s">
        <v>444</v>
      </c>
      <c r="F264" s="20" t="s">
        <v>368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385</v>
      </c>
      <c r="C265" t="s">
        <v>397</v>
      </c>
      <c r="D265" s="136">
        <v>3670000</v>
      </c>
      <c r="E265" t="s">
        <v>381</v>
      </c>
      <c r="F265" s="20" t="s">
        <v>367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359</v>
      </c>
      <c r="C266" t="s">
        <v>398</v>
      </c>
      <c r="D266" s="136">
        <v>2000000</v>
      </c>
      <c r="E266" t="s">
        <v>393</v>
      </c>
      <c r="F266" s="20" t="s">
        <v>394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383</v>
      </c>
      <c r="C267" t="s">
        <v>399</v>
      </c>
      <c r="D267" s="136">
        <v>1300000</v>
      </c>
      <c r="E267" t="s">
        <v>357</v>
      </c>
      <c r="F267" s="20" t="s">
        <v>358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389</v>
      </c>
      <c r="C268" t="s">
        <v>400</v>
      </c>
      <c r="D268" s="136">
        <v>2230000</v>
      </c>
      <c r="E268" t="s">
        <v>392</v>
      </c>
      <c r="F268" s="20" t="s">
        <v>351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361</v>
      </c>
      <c r="C269" t="s">
        <v>401</v>
      </c>
      <c r="D269" s="136">
        <v>2000000</v>
      </c>
      <c r="E269" t="s">
        <v>393</v>
      </c>
      <c r="F269" s="20" t="s">
        <v>394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355</v>
      </c>
      <c r="C270" t="s">
        <v>402</v>
      </c>
      <c r="D270" s="136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370</v>
      </c>
      <c r="C271" t="s">
        <v>403</v>
      </c>
      <c r="D271" s="136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382</v>
      </c>
      <c r="C272" t="s">
        <v>404</v>
      </c>
      <c r="D272" s="136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390</v>
      </c>
      <c r="C273" t="s">
        <v>405</v>
      </c>
      <c r="D273" s="136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391</v>
      </c>
      <c r="C274" t="s">
        <v>406</v>
      </c>
      <c r="D274" s="136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366</v>
      </c>
      <c r="C275" t="s">
        <v>407</v>
      </c>
      <c r="D275" s="136">
        <v>2040000</v>
      </c>
      <c r="E275" t="s">
        <v>395</v>
      </c>
      <c r="F275" s="20" t="s">
        <v>396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384</v>
      </c>
      <c r="C276" t="s">
        <v>408</v>
      </c>
      <c r="D276" s="136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356</v>
      </c>
      <c r="C277" t="s">
        <v>409</v>
      </c>
      <c r="D277" s="136">
        <v>2230000</v>
      </c>
      <c r="E277" t="s">
        <v>392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360</v>
      </c>
      <c r="C278" t="s">
        <v>410</v>
      </c>
      <c r="D278" s="136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382</v>
      </c>
      <c r="C279" t="s">
        <v>411</v>
      </c>
      <c r="D279" s="136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369</v>
      </c>
      <c r="C280" t="s">
        <v>412</v>
      </c>
      <c r="D280" s="136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385</v>
      </c>
      <c r="C281" t="s">
        <v>386</v>
      </c>
      <c r="D281" s="136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384</v>
      </c>
      <c r="C282" t="s">
        <v>413</v>
      </c>
      <c r="D282" s="136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365</v>
      </c>
      <c r="C283" t="s">
        <v>414</v>
      </c>
      <c r="D283" s="136">
        <v>2040000</v>
      </c>
      <c r="E283" t="s">
        <v>395</v>
      </c>
      <c r="F283" s="20" t="s">
        <v>396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355</v>
      </c>
      <c r="C284" t="s">
        <v>415</v>
      </c>
      <c r="D284" s="136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370</v>
      </c>
      <c r="C285" t="s">
        <v>416</v>
      </c>
      <c r="D285" s="136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382</v>
      </c>
      <c r="C286" t="s">
        <v>417</v>
      </c>
      <c r="D286" s="136">
        <v>2000000</v>
      </c>
      <c r="E286" t="s">
        <v>393</v>
      </c>
      <c r="F286" s="20" t="s">
        <v>394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382</v>
      </c>
      <c r="C287" t="s">
        <v>417</v>
      </c>
      <c r="D287" s="136">
        <v>2000000</v>
      </c>
      <c r="E287" t="s">
        <v>393</v>
      </c>
      <c r="F287" s="20" t="s">
        <v>394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391</v>
      </c>
      <c r="C288" t="s">
        <v>418</v>
      </c>
      <c r="D288" s="136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366</v>
      </c>
      <c r="C289" t="s">
        <v>419</v>
      </c>
      <c r="D289" s="136">
        <v>2040000</v>
      </c>
      <c r="E289" t="s">
        <v>395</v>
      </c>
      <c r="F289" s="20" t="s">
        <v>396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384</v>
      </c>
      <c r="C290" t="s">
        <v>420</v>
      </c>
      <c r="D290" s="136">
        <v>2000000</v>
      </c>
      <c r="E290" t="s">
        <v>393</v>
      </c>
      <c r="F290" s="20" t="s">
        <v>394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369</v>
      </c>
      <c r="C291" t="s">
        <v>421</v>
      </c>
      <c r="D291" s="136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360</v>
      </c>
      <c r="C292" t="s">
        <v>422</v>
      </c>
      <c r="D292" s="136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382</v>
      </c>
      <c r="C293" t="s">
        <v>423</v>
      </c>
      <c r="D293" s="136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385</v>
      </c>
      <c r="C294" t="s">
        <v>387</v>
      </c>
      <c r="D294" s="136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365</v>
      </c>
      <c r="C295" t="s">
        <v>424</v>
      </c>
      <c r="D295" s="136">
        <v>2040000</v>
      </c>
      <c r="E295" t="s">
        <v>395</v>
      </c>
      <c r="F295" s="20" t="s">
        <v>396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384</v>
      </c>
      <c r="C296" t="s">
        <v>425</v>
      </c>
      <c r="D296" s="136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355</v>
      </c>
      <c r="C297" t="s">
        <v>426</v>
      </c>
      <c r="D297" s="136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370</v>
      </c>
      <c r="C298" t="s">
        <v>427</v>
      </c>
      <c r="D298" s="136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382</v>
      </c>
      <c r="C299" t="s">
        <v>428</v>
      </c>
      <c r="D299" s="136">
        <v>2000000</v>
      </c>
      <c r="E299" t="s">
        <v>393</v>
      </c>
      <c r="F299" s="20" t="s">
        <v>394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391</v>
      </c>
      <c r="C300" t="s">
        <v>429</v>
      </c>
      <c r="D300" s="136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366</v>
      </c>
      <c r="C301" t="s">
        <v>430</v>
      </c>
      <c r="D301" s="136">
        <v>2040000</v>
      </c>
      <c r="E301" t="s">
        <v>395</v>
      </c>
      <c r="F301" s="20" t="s">
        <v>396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384</v>
      </c>
      <c r="C302" t="s">
        <v>431</v>
      </c>
      <c r="D302" s="136">
        <v>2000000</v>
      </c>
      <c r="E302" t="s">
        <v>393</v>
      </c>
      <c r="F302" s="20" t="s">
        <v>394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360</v>
      </c>
      <c r="C303" t="s">
        <v>388</v>
      </c>
      <c r="D303" s="136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369</v>
      </c>
      <c r="C304" t="s">
        <v>432</v>
      </c>
      <c r="D304" s="136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385</v>
      </c>
      <c r="C305" t="s">
        <v>433</v>
      </c>
      <c r="D305" s="136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365</v>
      </c>
      <c r="C306" t="s">
        <v>434</v>
      </c>
      <c r="D306" s="136">
        <v>2040000</v>
      </c>
      <c r="E306" t="s">
        <v>395</v>
      </c>
      <c r="F306" s="20" t="s">
        <v>396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355</v>
      </c>
      <c r="C307" t="s">
        <v>435</v>
      </c>
      <c r="D307" s="136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370</v>
      </c>
      <c r="C308" t="s">
        <v>436</v>
      </c>
      <c r="D308" s="136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391</v>
      </c>
      <c r="C309" t="s">
        <v>437</v>
      </c>
      <c r="D309" s="136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366</v>
      </c>
      <c r="C310" t="s">
        <v>438</v>
      </c>
      <c r="D310" s="136">
        <v>2040000</v>
      </c>
      <c r="E310" t="s">
        <v>395</v>
      </c>
      <c r="F310" s="20" t="s">
        <v>396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369</v>
      </c>
      <c r="C311" t="s">
        <v>439</v>
      </c>
      <c r="D311" s="136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365</v>
      </c>
      <c r="C312" t="s">
        <v>440</v>
      </c>
      <c r="D312" s="136">
        <v>2040000</v>
      </c>
      <c r="E312" t="s">
        <v>395</v>
      </c>
      <c r="F312" s="20" t="s">
        <v>396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350</v>
      </c>
      <c r="C313" t="s">
        <v>364</v>
      </c>
      <c r="D313" s="136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40625" defaultRowHeight="15" x14ac:dyDescent="0.25"/>
  <cols>
    <col min="1" max="1" width="22.5703125" style="139" customWidth="1"/>
    <col min="2" max="2" width="8.42578125" style="139" bestFit="1" customWidth="1"/>
    <col min="3" max="3" width="12.5703125" style="139" bestFit="1" customWidth="1"/>
    <col min="4" max="4" width="18.5703125" style="129" bestFit="1" customWidth="1"/>
    <col min="5" max="5" width="9.85546875" style="139" bestFit="1" customWidth="1"/>
    <col min="6" max="6" width="9" style="139" bestFit="1" customWidth="1"/>
    <col min="7" max="7" width="8.85546875" style="139" bestFit="1" customWidth="1"/>
    <col min="8" max="8" width="14" style="139" bestFit="1" customWidth="1"/>
    <col min="9" max="9" width="21.140625" style="139" bestFit="1" customWidth="1"/>
    <col min="10" max="10" width="8.7109375" style="139" bestFit="1" customWidth="1"/>
    <col min="11" max="11" width="11.28515625" style="139" bestFit="1" customWidth="1"/>
    <col min="12" max="12" width="11" style="139" bestFit="1" customWidth="1"/>
    <col min="13" max="13" width="11.28515625" style="139" bestFit="1" customWidth="1"/>
    <col min="14" max="14" width="13.7109375" style="139" bestFit="1" customWidth="1"/>
    <col min="15" max="15" width="14.85546875" style="139" bestFit="1" customWidth="1"/>
    <col min="16" max="16" width="16.7109375" style="139" bestFit="1" customWidth="1"/>
    <col min="17" max="17" width="9.42578125" style="109" bestFit="1" customWidth="1"/>
    <col min="18" max="16384" width="9.140625" style="109"/>
  </cols>
  <sheetData>
    <row r="1" spans="1:20" s="110" customFormat="1" x14ac:dyDescent="0.25">
      <c r="A1" s="216" t="s">
        <v>156</v>
      </c>
      <c r="B1" s="216" t="s">
        <v>159</v>
      </c>
      <c r="C1" s="216" t="s">
        <v>152</v>
      </c>
      <c r="D1" s="134" t="s">
        <v>164</v>
      </c>
      <c r="E1" s="216" t="s">
        <v>153</v>
      </c>
      <c r="F1" s="216" t="s">
        <v>151</v>
      </c>
      <c r="G1" s="216" t="s">
        <v>149</v>
      </c>
      <c r="H1" s="216" t="s">
        <v>162</v>
      </c>
      <c r="I1" s="216" t="s">
        <v>163</v>
      </c>
      <c r="J1" s="216" t="s">
        <v>157</v>
      </c>
      <c r="K1" s="216" t="s">
        <v>155</v>
      </c>
      <c r="L1" s="216" t="s">
        <v>150</v>
      </c>
      <c r="M1" s="216" t="s">
        <v>160</v>
      </c>
      <c r="N1" s="216" t="s">
        <v>333</v>
      </c>
      <c r="O1" s="216" t="s">
        <v>154</v>
      </c>
      <c r="P1" s="216" t="s">
        <v>161</v>
      </c>
      <c r="Q1" s="216" t="s">
        <v>334</v>
      </c>
      <c r="R1" s="216" t="s">
        <v>158</v>
      </c>
      <c r="S1"/>
      <c r="T1"/>
    </row>
    <row r="2" spans="1:20" x14ac:dyDescent="0.25">
      <c r="A2" s="194">
        <v>42.8</v>
      </c>
      <c r="B2" s="194">
        <v>0.05</v>
      </c>
      <c r="C2" s="194">
        <v>12.33</v>
      </c>
      <c r="D2" s="8">
        <v>43097.083333333336</v>
      </c>
      <c r="E2" s="194">
        <v>0.28000000000000003</v>
      </c>
      <c r="F2" s="194" t="s">
        <v>462</v>
      </c>
      <c r="G2" s="194">
        <v>343.63</v>
      </c>
      <c r="H2" s="194">
        <v>0</v>
      </c>
      <c r="I2" s="194">
        <v>0</v>
      </c>
      <c r="J2" s="194">
        <v>1018.21</v>
      </c>
      <c r="K2" s="194" t="s">
        <v>461</v>
      </c>
      <c r="L2" s="194">
        <v>42.8</v>
      </c>
      <c r="M2" s="194">
        <v>1514444400</v>
      </c>
      <c r="N2" s="194">
        <v>0</v>
      </c>
      <c r="O2" s="194">
        <v>3.73</v>
      </c>
      <c r="P2" s="194">
        <v>284</v>
      </c>
      <c r="Q2" s="194">
        <v>6.86</v>
      </c>
      <c r="R2" s="194">
        <v>1.1299999999999999</v>
      </c>
      <c r="S2"/>
      <c r="T2"/>
    </row>
    <row r="3" spans="1:20" x14ac:dyDescent="0.25">
      <c r="A3" s="194">
        <v>42.56</v>
      </c>
      <c r="B3" s="194">
        <v>0.05</v>
      </c>
      <c r="C3" s="194">
        <v>12.26</v>
      </c>
      <c r="D3" s="8">
        <v>43097.125</v>
      </c>
      <c r="E3" s="194">
        <v>0.28999999999999998</v>
      </c>
      <c r="F3" s="194" t="s">
        <v>462</v>
      </c>
      <c r="G3" s="194">
        <v>343.54</v>
      </c>
      <c r="H3" s="194">
        <v>0</v>
      </c>
      <c r="I3" s="194">
        <v>0</v>
      </c>
      <c r="J3" s="194">
        <v>1019.85</v>
      </c>
      <c r="K3" s="194" t="s">
        <v>461</v>
      </c>
      <c r="L3" s="194">
        <v>42.56</v>
      </c>
      <c r="M3" s="194">
        <v>1514448000</v>
      </c>
      <c r="N3" s="194">
        <v>0</v>
      </c>
      <c r="O3" s="194">
        <v>6.33</v>
      </c>
      <c r="P3" s="194">
        <v>282</v>
      </c>
      <c r="Q3" s="194">
        <v>7.97</v>
      </c>
      <c r="R3" s="194">
        <v>1.57</v>
      </c>
      <c r="S3"/>
      <c r="T3"/>
    </row>
    <row r="4" spans="1:20" x14ac:dyDescent="0.25">
      <c r="A4" s="194">
        <v>41.21</v>
      </c>
      <c r="B4" s="194">
        <v>0.03</v>
      </c>
      <c r="C4" s="194">
        <v>11.36</v>
      </c>
      <c r="D4" s="8">
        <v>43097.166666666664</v>
      </c>
      <c r="E4" s="194">
        <v>0.28999999999999998</v>
      </c>
      <c r="F4" s="194" t="s">
        <v>462</v>
      </c>
      <c r="G4" s="194">
        <v>343.64</v>
      </c>
      <c r="H4" s="194">
        <v>0</v>
      </c>
      <c r="I4" s="194">
        <v>0</v>
      </c>
      <c r="J4" s="194">
        <v>1020.41</v>
      </c>
      <c r="K4" s="194" t="s">
        <v>461</v>
      </c>
      <c r="L4" s="194">
        <v>41.21</v>
      </c>
      <c r="M4" s="194">
        <v>1514451600</v>
      </c>
      <c r="N4" s="194">
        <v>0</v>
      </c>
      <c r="O4" s="194">
        <v>3.76</v>
      </c>
      <c r="P4" s="194">
        <v>274</v>
      </c>
      <c r="Q4" s="194">
        <v>8.7200000000000006</v>
      </c>
      <c r="R4" s="194">
        <v>0.95</v>
      </c>
      <c r="S4"/>
      <c r="T4"/>
    </row>
    <row r="5" spans="1:20" x14ac:dyDescent="0.25">
      <c r="A5" s="194">
        <v>39.78</v>
      </c>
      <c r="B5" s="194">
        <v>0.05</v>
      </c>
      <c r="C5" s="194">
        <v>11.21</v>
      </c>
      <c r="D5" s="8">
        <v>43097.208333333336</v>
      </c>
      <c r="E5" s="194">
        <v>0.3</v>
      </c>
      <c r="F5" s="194" t="s">
        <v>462</v>
      </c>
      <c r="G5" s="194">
        <v>344.33</v>
      </c>
      <c r="H5" s="194">
        <v>0</v>
      </c>
      <c r="I5" s="194">
        <v>0</v>
      </c>
      <c r="J5" s="194">
        <v>1018.54</v>
      </c>
      <c r="K5" s="194" t="s">
        <v>461</v>
      </c>
      <c r="L5" s="194">
        <v>39.78</v>
      </c>
      <c r="M5" s="194">
        <v>1514455200</v>
      </c>
      <c r="N5" s="194">
        <v>0</v>
      </c>
      <c r="O5" s="194">
        <v>3.86</v>
      </c>
      <c r="P5" s="194">
        <v>287</v>
      </c>
      <c r="Q5" s="194">
        <v>9.3000000000000007</v>
      </c>
      <c r="R5" s="194">
        <v>0.89</v>
      </c>
      <c r="S5"/>
      <c r="T5"/>
    </row>
    <row r="6" spans="1:20" x14ac:dyDescent="0.25">
      <c r="A6" s="194">
        <v>40.18</v>
      </c>
      <c r="B6" s="194">
        <v>0.06</v>
      </c>
      <c r="C6" s="194">
        <v>11.07</v>
      </c>
      <c r="D6" s="8">
        <v>43097.25</v>
      </c>
      <c r="E6" s="194">
        <v>0.3</v>
      </c>
      <c r="F6" s="194" t="s">
        <v>462</v>
      </c>
      <c r="G6" s="194">
        <v>345.02</v>
      </c>
      <c r="H6" s="194">
        <v>0</v>
      </c>
      <c r="I6" s="194">
        <v>0</v>
      </c>
      <c r="J6" s="194">
        <v>1019.11</v>
      </c>
      <c r="K6" s="194" t="s">
        <v>461</v>
      </c>
      <c r="L6" s="194">
        <v>40.18</v>
      </c>
      <c r="M6" s="194">
        <v>1514458800</v>
      </c>
      <c r="N6" s="194">
        <v>0</v>
      </c>
      <c r="O6" s="194">
        <v>6.28</v>
      </c>
      <c r="P6" s="194">
        <v>217</v>
      </c>
      <c r="Q6" s="194">
        <v>9.64</v>
      </c>
      <c r="R6" s="194">
        <v>0.73</v>
      </c>
      <c r="S6"/>
      <c r="T6"/>
    </row>
    <row r="7" spans="1:20" x14ac:dyDescent="0.25">
      <c r="A7" s="194">
        <v>38.46</v>
      </c>
      <c r="B7" s="194">
        <v>0.05</v>
      </c>
      <c r="C7" s="194">
        <v>10.74</v>
      </c>
      <c r="D7" s="8">
        <v>43097.291666666664</v>
      </c>
      <c r="E7" s="194">
        <v>0.31</v>
      </c>
      <c r="F7" s="194" t="s">
        <v>462</v>
      </c>
      <c r="G7" s="194">
        <v>346.51</v>
      </c>
      <c r="H7" s="194">
        <v>0</v>
      </c>
      <c r="I7" s="194">
        <v>0</v>
      </c>
      <c r="J7" s="194">
        <v>1019.64</v>
      </c>
      <c r="K7" s="194" t="s">
        <v>461</v>
      </c>
      <c r="L7" s="194">
        <v>38.46</v>
      </c>
      <c r="M7" s="194">
        <v>1514462400</v>
      </c>
      <c r="N7" s="194">
        <v>0</v>
      </c>
      <c r="O7" s="194">
        <v>3.2</v>
      </c>
      <c r="P7" s="194">
        <v>181</v>
      </c>
      <c r="Q7" s="194">
        <v>8.9600000000000009</v>
      </c>
      <c r="R7" s="194">
        <v>0.63</v>
      </c>
      <c r="S7"/>
      <c r="T7"/>
    </row>
    <row r="8" spans="1:20" x14ac:dyDescent="0.25">
      <c r="A8" s="194">
        <v>38.31</v>
      </c>
      <c r="B8" s="194">
        <v>0.03</v>
      </c>
      <c r="C8" s="194">
        <v>10.49</v>
      </c>
      <c r="D8" s="8">
        <v>43097.333333333336</v>
      </c>
      <c r="E8" s="194">
        <v>0.31</v>
      </c>
      <c r="F8" s="194" t="s">
        <v>462</v>
      </c>
      <c r="G8" s="194">
        <v>344.51</v>
      </c>
      <c r="H8" s="194">
        <v>0</v>
      </c>
      <c r="I8" s="194">
        <v>0</v>
      </c>
      <c r="J8" s="194">
        <v>1021.06</v>
      </c>
      <c r="K8" s="194" t="s">
        <v>461</v>
      </c>
      <c r="L8" s="194">
        <v>38.31</v>
      </c>
      <c r="M8" s="194">
        <v>1514466000</v>
      </c>
      <c r="N8" s="194">
        <v>0</v>
      </c>
      <c r="O8" s="194">
        <v>4.07</v>
      </c>
      <c r="P8" s="194">
        <v>111</v>
      </c>
      <c r="Q8" s="194">
        <v>8.36</v>
      </c>
      <c r="R8" s="194">
        <v>0.86</v>
      </c>
      <c r="S8"/>
      <c r="T8"/>
    </row>
    <row r="9" spans="1:20" x14ac:dyDescent="0.25">
      <c r="A9" s="194">
        <v>38.25</v>
      </c>
      <c r="B9" s="194">
        <v>0.06</v>
      </c>
      <c r="C9" s="194">
        <v>10.65</v>
      </c>
      <c r="D9" s="8">
        <v>43097.375</v>
      </c>
      <c r="E9" s="194">
        <v>0.31</v>
      </c>
      <c r="F9" s="194" t="s">
        <v>462</v>
      </c>
      <c r="G9" s="194">
        <v>341.4</v>
      </c>
      <c r="H9" s="194">
        <v>0</v>
      </c>
      <c r="I9" s="194">
        <v>0</v>
      </c>
      <c r="J9" s="194">
        <v>1022.3</v>
      </c>
      <c r="K9" s="194" t="s">
        <v>461</v>
      </c>
      <c r="L9" s="194">
        <v>38.25</v>
      </c>
      <c r="M9" s="194">
        <v>1514469600</v>
      </c>
      <c r="N9" s="194">
        <v>0</v>
      </c>
      <c r="O9" s="194">
        <v>3.73</v>
      </c>
      <c r="P9" s="194">
        <v>257</v>
      </c>
      <c r="Q9" s="194">
        <v>6.83</v>
      </c>
      <c r="R9" s="194">
        <v>0.12</v>
      </c>
      <c r="S9"/>
      <c r="T9"/>
    </row>
    <row r="10" spans="1:20" x14ac:dyDescent="0.25">
      <c r="A10" s="194">
        <v>37.58</v>
      </c>
      <c r="B10" s="194">
        <v>0.1</v>
      </c>
      <c r="C10" s="194">
        <v>11.54</v>
      </c>
      <c r="D10" s="8">
        <v>43097.416666666664</v>
      </c>
      <c r="E10" s="194">
        <v>0.34</v>
      </c>
      <c r="F10" s="194" t="s">
        <v>617</v>
      </c>
      <c r="G10" s="194">
        <v>338.8</v>
      </c>
      <c r="H10" s="194">
        <v>0</v>
      </c>
      <c r="I10" s="194">
        <v>0</v>
      </c>
      <c r="J10" s="194">
        <v>1023.65</v>
      </c>
      <c r="K10" s="194" t="s">
        <v>461</v>
      </c>
      <c r="L10" s="194">
        <v>37.58</v>
      </c>
      <c r="M10" s="194">
        <v>1514473200</v>
      </c>
      <c r="N10" s="194">
        <v>0</v>
      </c>
      <c r="O10" s="194">
        <v>3.67</v>
      </c>
      <c r="P10" s="194">
        <v>202</v>
      </c>
      <c r="Q10" s="194">
        <v>5.97</v>
      </c>
      <c r="R10" s="194">
        <v>7.0000000000000007E-2</v>
      </c>
      <c r="S10"/>
      <c r="T10"/>
    </row>
    <row r="11" spans="1:20" x14ac:dyDescent="0.25">
      <c r="A11" s="194">
        <v>41.37</v>
      </c>
      <c r="B11" s="194">
        <v>0.08</v>
      </c>
      <c r="C11" s="194">
        <v>13.07</v>
      </c>
      <c r="D11" s="8">
        <v>43097.458333333336</v>
      </c>
      <c r="E11" s="194">
        <v>0.31</v>
      </c>
      <c r="F11" s="194" t="s">
        <v>617</v>
      </c>
      <c r="G11" s="194">
        <v>337.49</v>
      </c>
      <c r="H11" s="194">
        <v>0</v>
      </c>
      <c r="I11" s="194">
        <v>0</v>
      </c>
      <c r="J11" s="194">
        <v>1022.39</v>
      </c>
      <c r="K11" s="194" t="s">
        <v>461</v>
      </c>
      <c r="L11" s="194">
        <v>41.37</v>
      </c>
      <c r="M11" s="194">
        <v>1514476800</v>
      </c>
      <c r="N11" s="194">
        <v>1</v>
      </c>
      <c r="O11" s="194">
        <v>5.59</v>
      </c>
      <c r="P11" s="194">
        <v>124</v>
      </c>
      <c r="Q11" s="194">
        <v>7.05</v>
      </c>
      <c r="R11" s="194">
        <v>1.48</v>
      </c>
      <c r="S11"/>
      <c r="T11"/>
    </row>
    <row r="12" spans="1:20" x14ac:dyDescent="0.25">
      <c r="A12" s="194">
        <v>45.15</v>
      </c>
      <c r="B12" s="194">
        <v>0.05</v>
      </c>
      <c r="C12" s="194">
        <v>14.72</v>
      </c>
      <c r="D12" s="8">
        <v>43097.5</v>
      </c>
      <c r="E12" s="194">
        <v>0.28999999999999998</v>
      </c>
      <c r="F12" s="194" t="s">
        <v>617</v>
      </c>
      <c r="G12" s="194">
        <v>336.89</v>
      </c>
      <c r="H12" s="194">
        <v>0</v>
      </c>
      <c r="I12" s="194">
        <v>0</v>
      </c>
      <c r="J12" s="194">
        <v>1023.45</v>
      </c>
      <c r="K12" s="194" t="s">
        <v>461</v>
      </c>
      <c r="L12" s="194">
        <v>45.15</v>
      </c>
      <c r="M12" s="194">
        <v>1514480400</v>
      </c>
      <c r="N12" s="194">
        <v>1</v>
      </c>
      <c r="O12" s="194">
        <v>3.64</v>
      </c>
      <c r="P12" s="194">
        <v>103</v>
      </c>
      <c r="Q12" s="194">
        <v>8.66</v>
      </c>
      <c r="R12" s="194">
        <v>2.77</v>
      </c>
      <c r="S12"/>
      <c r="T12"/>
    </row>
    <row r="13" spans="1:20" x14ac:dyDescent="0.25">
      <c r="A13" s="194">
        <v>45.81</v>
      </c>
      <c r="B13" s="194">
        <v>0.1</v>
      </c>
      <c r="C13" s="194">
        <v>16.21</v>
      </c>
      <c r="D13" s="8">
        <v>43097.541666666664</v>
      </c>
      <c r="E13" s="194">
        <v>0.3</v>
      </c>
      <c r="F13" s="194" t="s">
        <v>617</v>
      </c>
      <c r="G13" s="194">
        <v>339.42</v>
      </c>
      <c r="H13" s="194">
        <v>0</v>
      </c>
      <c r="I13" s="194">
        <v>0</v>
      </c>
      <c r="J13" s="194">
        <v>1022.41</v>
      </c>
      <c r="K13" s="194" t="s">
        <v>461</v>
      </c>
      <c r="L13" s="194">
        <v>45.81</v>
      </c>
      <c r="M13" s="194">
        <v>1514484000</v>
      </c>
      <c r="N13" s="194">
        <v>2</v>
      </c>
      <c r="O13" s="194">
        <v>5.44</v>
      </c>
      <c r="P13" s="194">
        <v>63</v>
      </c>
      <c r="Q13" s="194">
        <v>9.61</v>
      </c>
      <c r="R13" s="194">
        <v>2.92</v>
      </c>
      <c r="S13"/>
      <c r="T13"/>
    </row>
    <row r="14" spans="1:20" x14ac:dyDescent="0.25">
      <c r="A14" s="194">
        <v>40.35</v>
      </c>
      <c r="B14" s="194">
        <v>0.06</v>
      </c>
      <c r="C14" s="194">
        <v>20.7</v>
      </c>
      <c r="D14" s="8">
        <v>43097.583333333336</v>
      </c>
      <c r="E14" s="194">
        <v>0.42</v>
      </c>
      <c r="F14" s="194" t="s">
        <v>617</v>
      </c>
      <c r="G14" s="194">
        <v>338.21</v>
      </c>
      <c r="H14" s="194">
        <v>0</v>
      </c>
      <c r="I14" s="194">
        <v>0</v>
      </c>
      <c r="J14" s="194">
        <v>1021.26</v>
      </c>
      <c r="K14" s="194" t="s">
        <v>461</v>
      </c>
      <c r="L14" s="194">
        <v>42.24</v>
      </c>
      <c r="M14" s="194">
        <v>1514487600</v>
      </c>
      <c r="N14" s="194">
        <v>2</v>
      </c>
      <c r="O14" s="194">
        <v>5.87</v>
      </c>
      <c r="P14" s="194">
        <v>16</v>
      </c>
      <c r="Q14" s="194">
        <v>10.39</v>
      </c>
      <c r="R14" s="194">
        <v>3.52</v>
      </c>
      <c r="S14"/>
      <c r="T14"/>
    </row>
    <row r="15" spans="1:20" x14ac:dyDescent="0.25">
      <c r="A15" s="194">
        <v>38.409999999999997</v>
      </c>
      <c r="B15" s="194">
        <v>0.09</v>
      </c>
      <c r="C15" s="194">
        <v>21.89</v>
      </c>
      <c r="D15" s="8">
        <v>43097.625</v>
      </c>
      <c r="E15" s="194">
        <v>0.47</v>
      </c>
      <c r="F15" s="194" t="s">
        <v>617</v>
      </c>
      <c r="G15" s="194">
        <v>336.59</v>
      </c>
      <c r="H15" s="194">
        <v>0</v>
      </c>
      <c r="I15" s="194">
        <v>0</v>
      </c>
      <c r="J15" s="194">
        <v>1020.72</v>
      </c>
      <c r="K15" s="194" t="s">
        <v>461</v>
      </c>
      <c r="L15" s="194">
        <v>40.590000000000003</v>
      </c>
      <c r="M15" s="194">
        <v>1514491200</v>
      </c>
      <c r="N15" s="194">
        <v>2</v>
      </c>
      <c r="O15" s="194">
        <v>5.51</v>
      </c>
      <c r="P15" s="194">
        <v>1</v>
      </c>
      <c r="Q15" s="194">
        <v>9.8800000000000008</v>
      </c>
      <c r="R15" s="194">
        <v>3.58</v>
      </c>
      <c r="S15"/>
      <c r="T15"/>
    </row>
    <row r="16" spans="1:20" x14ac:dyDescent="0.25">
      <c r="A16" s="194">
        <v>39.270000000000003</v>
      </c>
      <c r="B16" s="194">
        <v>0.08</v>
      </c>
      <c r="C16" s="194">
        <v>22.26</v>
      </c>
      <c r="D16" s="8">
        <v>43097.666666666664</v>
      </c>
      <c r="E16" s="194">
        <v>0.5</v>
      </c>
      <c r="F16" s="194" t="s">
        <v>617</v>
      </c>
      <c r="G16" s="194">
        <v>334.87</v>
      </c>
      <c r="H16" s="194">
        <v>0</v>
      </c>
      <c r="I16" s="194">
        <v>0</v>
      </c>
      <c r="J16" s="194">
        <v>1020.43</v>
      </c>
      <c r="K16" s="194" t="s">
        <v>461</v>
      </c>
      <c r="L16" s="194">
        <v>39.270000000000003</v>
      </c>
      <c r="M16" s="194">
        <v>1514494800</v>
      </c>
      <c r="N16" s="194">
        <v>1</v>
      </c>
      <c r="O16" s="194">
        <v>4.6399999999999997</v>
      </c>
      <c r="P16" s="194">
        <v>2</v>
      </c>
      <c r="Q16" s="194">
        <v>7.33</v>
      </c>
      <c r="R16" s="194">
        <v>2.61</v>
      </c>
      <c r="S16"/>
      <c r="T16"/>
    </row>
    <row r="17" spans="1:20" x14ac:dyDescent="0.25">
      <c r="A17" s="194">
        <v>38.729999999999997</v>
      </c>
      <c r="B17" s="194">
        <v>0.09</v>
      </c>
      <c r="C17" s="194">
        <v>22.85</v>
      </c>
      <c r="D17" s="8">
        <v>43097.708333333336</v>
      </c>
      <c r="E17" s="194">
        <v>0.52</v>
      </c>
      <c r="F17" s="194" t="s">
        <v>617</v>
      </c>
      <c r="G17" s="194">
        <v>333.25</v>
      </c>
      <c r="H17" s="194">
        <v>0</v>
      </c>
      <c r="I17" s="194">
        <v>0</v>
      </c>
      <c r="J17" s="194">
        <v>1020.72</v>
      </c>
      <c r="K17" s="194" t="s">
        <v>461</v>
      </c>
      <c r="L17" s="194">
        <v>38.729999999999997</v>
      </c>
      <c r="M17" s="194">
        <v>1514498400</v>
      </c>
      <c r="N17" s="194">
        <v>1</v>
      </c>
      <c r="O17" s="194">
        <v>4.6399999999999997</v>
      </c>
      <c r="P17" s="194">
        <v>3</v>
      </c>
      <c r="Q17" s="194">
        <v>5.19</v>
      </c>
      <c r="R17" s="194">
        <v>1.44</v>
      </c>
      <c r="S17"/>
      <c r="T17"/>
    </row>
    <row r="18" spans="1:20" x14ac:dyDescent="0.25">
      <c r="A18" s="194">
        <v>37.770000000000003</v>
      </c>
      <c r="B18" s="194">
        <v>0.08</v>
      </c>
      <c r="C18" s="194">
        <v>23.24</v>
      </c>
      <c r="D18" s="8">
        <v>43097.75</v>
      </c>
      <c r="E18" s="194">
        <v>0.55000000000000004</v>
      </c>
      <c r="F18" s="194" t="s">
        <v>617</v>
      </c>
      <c r="G18" s="194">
        <v>331.63</v>
      </c>
      <c r="H18" s="194">
        <v>0</v>
      </c>
      <c r="I18" s="194">
        <v>0</v>
      </c>
      <c r="J18" s="194">
        <v>1022.11</v>
      </c>
      <c r="K18" s="194" t="s">
        <v>461</v>
      </c>
      <c r="L18" s="194">
        <v>37.770000000000003</v>
      </c>
      <c r="M18" s="194">
        <v>1514502000</v>
      </c>
      <c r="N18" s="194">
        <v>0</v>
      </c>
      <c r="O18" s="194">
        <v>4.6399999999999997</v>
      </c>
      <c r="P18" s="194">
        <v>17</v>
      </c>
      <c r="Q18" s="194">
        <v>6.55</v>
      </c>
      <c r="R18" s="194">
        <v>2.2999999999999998</v>
      </c>
      <c r="S18"/>
      <c r="T18"/>
    </row>
    <row r="19" spans="1:20" x14ac:dyDescent="0.25">
      <c r="A19" s="194">
        <v>33.82</v>
      </c>
      <c r="B19" s="194">
        <v>7.0000000000000007E-2</v>
      </c>
      <c r="C19" s="194">
        <v>22.95</v>
      </c>
      <c r="D19" s="8">
        <v>43097.791666666664</v>
      </c>
      <c r="E19" s="194">
        <v>0.64</v>
      </c>
      <c r="F19" s="194" t="s">
        <v>462</v>
      </c>
      <c r="G19" s="194">
        <v>327.97</v>
      </c>
      <c r="H19" s="194">
        <v>0</v>
      </c>
      <c r="I19" s="194">
        <v>0</v>
      </c>
      <c r="J19" s="194">
        <v>1022.84</v>
      </c>
      <c r="K19" s="194" t="s">
        <v>461</v>
      </c>
      <c r="L19" s="194">
        <v>33.82</v>
      </c>
      <c r="M19" s="194">
        <v>1514505600</v>
      </c>
      <c r="N19" s="194">
        <v>0</v>
      </c>
      <c r="O19" s="194">
        <v>4.3499999999999996</v>
      </c>
      <c r="P19" s="194">
        <v>21</v>
      </c>
      <c r="Q19" s="194">
        <v>3.76</v>
      </c>
      <c r="R19" s="194">
        <v>0.97</v>
      </c>
      <c r="S19"/>
      <c r="T19"/>
    </row>
    <row r="20" spans="1:20" x14ac:dyDescent="0.25">
      <c r="A20" s="194">
        <v>30.89</v>
      </c>
      <c r="B20" s="194">
        <v>0.08</v>
      </c>
      <c r="C20" s="194">
        <v>22.47</v>
      </c>
      <c r="D20" s="8">
        <v>43097.833333333336</v>
      </c>
      <c r="E20" s="194">
        <v>0.71</v>
      </c>
      <c r="F20" s="194" t="s">
        <v>462</v>
      </c>
      <c r="G20" s="194">
        <v>327.14999999999998</v>
      </c>
      <c r="H20" s="194">
        <v>0</v>
      </c>
      <c r="I20" s="194">
        <v>0</v>
      </c>
      <c r="J20" s="194">
        <v>1023.39</v>
      </c>
      <c r="K20" s="194" t="s">
        <v>461</v>
      </c>
      <c r="L20" s="194">
        <v>30.89</v>
      </c>
      <c r="M20" s="194">
        <v>1514509200</v>
      </c>
      <c r="N20" s="194">
        <v>0</v>
      </c>
      <c r="O20" s="194">
        <v>4.62</v>
      </c>
      <c r="P20" s="194">
        <v>57</v>
      </c>
      <c r="Q20" s="194">
        <v>3.24</v>
      </c>
      <c r="R20" s="194">
        <v>0.64</v>
      </c>
      <c r="S20"/>
      <c r="T20"/>
    </row>
    <row r="21" spans="1:20" x14ac:dyDescent="0.25">
      <c r="A21" s="194">
        <v>29.18</v>
      </c>
      <c r="B21" s="194">
        <v>0.06</v>
      </c>
      <c r="C21" s="194">
        <v>22.25</v>
      </c>
      <c r="D21" s="8">
        <v>43097.875</v>
      </c>
      <c r="E21" s="194">
        <v>0.75</v>
      </c>
      <c r="F21" s="194" t="s">
        <v>462</v>
      </c>
      <c r="G21" s="194">
        <v>326.95</v>
      </c>
      <c r="H21" s="194">
        <v>0</v>
      </c>
      <c r="I21" s="194">
        <v>0</v>
      </c>
      <c r="J21" s="194">
        <v>1023.28</v>
      </c>
      <c r="K21" s="194" t="s">
        <v>461</v>
      </c>
      <c r="L21" s="194">
        <v>29.18</v>
      </c>
      <c r="M21" s="194">
        <v>1514512800</v>
      </c>
      <c r="N21" s="194">
        <v>0</v>
      </c>
      <c r="O21" s="194">
        <v>4.6500000000000004</v>
      </c>
      <c r="P21" s="194">
        <v>168</v>
      </c>
      <c r="Q21" s="194">
        <v>3.53</v>
      </c>
      <c r="R21" s="194">
        <v>0.37</v>
      </c>
      <c r="S21"/>
      <c r="T21"/>
    </row>
    <row r="22" spans="1:20" x14ac:dyDescent="0.25">
      <c r="A22" s="194">
        <v>28.79</v>
      </c>
      <c r="B22" s="194">
        <v>0.08</v>
      </c>
      <c r="C22" s="194">
        <v>21.99</v>
      </c>
      <c r="D22" s="8">
        <v>43097.916666666664</v>
      </c>
      <c r="E22" s="194">
        <v>0.75</v>
      </c>
      <c r="F22" s="194" t="s">
        <v>462</v>
      </c>
      <c r="G22" s="194">
        <v>327.45999999999998</v>
      </c>
      <c r="H22" s="194">
        <v>0</v>
      </c>
      <c r="I22" s="194">
        <v>0</v>
      </c>
      <c r="J22" s="194">
        <v>1023.48</v>
      </c>
      <c r="K22" s="194" t="s">
        <v>461</v>
      </c>
      <c r="L22" s="194">
        <v>28.79</v>
      </c>
      <c r="M22" s="194">
        <v>1514516400</v>
      </c>
      <c r="N22" s="194">
        <v>0</v>
      </c>
      <c r="O22" s="194">
        <v>4.82</v>
      </c>
      <c r="P22" s="194">
        <v>219</v>
      </c>
      <c r="Q22" s="194">
        <v>4.0999999999999996</v>
      </c>
      <c r="R22" s="194">
        <v>0.8</v>
      </c>
      <c r="S22"/>
      <c r="T22"/>
    </row>
    <row r="23" spans="1:20" x14ac:dyDescent="0.25">
      <c r="A23" s="194">
        <v>28.55</v>
      </c>
      <c r="B23" s="194">
        <v>0.14000000000000001</v>
      </c>
      <c r="C23" s="194">
        <v>21.94</v>
      </c>
      <c r="D23" s="8">
        <v>43097.958333333336</v>
      </c>
      <c r="E23" s="194">
        <v>0.76</v>
      </c>
      <c r="F23" s="194" t="s">
        <v>462</v>
      </c>
      <c r="G23" s="194">
        <v>328.69</v>
      </c>
      <c r="H23" s="194">
        <v>0</v>
      </c>
      <c r="I23" s="194">
        <v>0</v>
      </c>
      <c r="J23" s="194">
        <v>1022.18</v>
      </c>
      <c r="K23" s="194" t="s">
        <v>461</v>
      </c>
      <c r="L23" s="194">
        <v>28.55</v>
      </c>
      <c r="M23" s="194">
        <v>1514520000</v>
      </c>
      <c r="N23" s="194">
        <v>0</v>
      </c>
      <c r="O23" s="194">
        <v>4.82</v>
      </c>
      <c r="P23" s="194">
        <v>150</v>
      </c>
      <c r="Q23" s="194">
        <v>5.0999999999999996</v>
      </c>
      <c r="R23" s="194">
        <v>1.04</v>
      </c>
      <c r="S23"/>
      <c r="T23"/>
    </row>
    <row r="24" spans="1:20" x14ac:dyDescent="0.25">
      <c r="A24" s="194">
        <v>29.69</v>
      </c>
      <c r="B24" s="194">
        <v>0.09</v>
      </c>
      <c r="C24" s="194">
        <v>21.4</v>
      </c>
      <c r="D24" s="8">
        <v>43098</v>
      </c>
      <c r="E24" s="194">
        <v>0.71</v>
      </c>
      <c r="F24" s="194" t="s">
        <v>462</v>
      </c>
      <c r="G24" s="194">
        <v>330.52</v>
      </c>
      <c r="H24" s="194">
        <v>0</v>
      </c>
      <c r="I24" s="194">
        <v>0</v>
      </c>
      <c r="J24" s="194">
        <v>1020.39</v>
      </c>
      <c r="K24" s="194" t="s">
        <v>461</v>
      </c>
      <c r="L24" s="194">
        <v>29.69</v>
      </c>
      <c r="M24" s="194">
        <v>1514523600</v>
      </c>
      <c r="N24" s="194">
        <v>0</v>
      </c>
      <c r="O24" s="194">
        <v>4.2</v>
      </c>
      <c r="P24" s="194">
        <v>195</v>
      </c>
      <c r="Q24" s="194">
        <v>6.36</v>
      </c>
      <c r="R24" s="194">
        <v>1.45</v>
      </c>
      <c r="S24"/>
      <c r="T24"/>
    </row>
    <row r="25" spans="1:20" x14ac:dyDescent="0.25">
      <c r="A25" s="194">
        <v>30.24</v>
      </c>
      <c r="B25" s="194">
        <v>0.04</v>
      </c>
      <c r="C25" s="194">
        <v>20.2</v>
      </c>
      <c r="D25" s="8">
        <v>43098.041666666664</v>
      </c>
      <c r="E25" s="194">
        <v>0.66</v>
      </c>
      <c r="F25" s="194" t="s">
        <v>462</v>
      </c>
      <c r="G25" s="194">
        <v>328.88</v>
      </c>
      <c r="H25" s="194">
        <v>0</v>
      </c>
      <c r="I25" s="194">
        <v>0</v>
      </c>
      <c r="J25" s="194">
        <v>1018.19</v>
      </c>
      <c r="K25" s="194" t="s">
        <v>461</v>
      </c>
      <c r="L25" s="194">
        <v>30.24</v>
      </c>
      <c r="M25" s="194">
        <v>1514527200</v>
      </c>
      <c r="N25" s="194">
        <v>0</v>
      </c>
      <c r="O25" s="194">
        <v>3.89</v>
      </c>
      <c r="P25" s="194">
        <v>197</v>
      </c>
      <c r="Q25" s="194">
        <v>6.3</v>
      </c>
      <c r="R25" s="194">
        <v>0.86</v>
      </c>
      <c r="S25"/>
      <c r="T25"/>
    </row>
    <row r="26" spans="1:20" x14ac:dyDescent="0.25">
      <c r="A26" s="194">
        <v>31.59</v>
      </c>
      <c r="B26" s="194">
        <v>0.04</v>
      </c>
      <c r="C26" s="194">
        <v>18.37</v>
      </c>
      <c r="D26" s="8">
        <v>43098.083333333336</v>
      </c>
      <c r="E26" s="194">
        <v>0.57999999999999996</v>
      </c>
      <c r="F26" s="194" t="s">
        <v>462</v>
      </c>
      <c r="G26" s="194">
        <v>330.2</v>
      </c>
      <c r="H26" s="194">
        <v>0</v>
      </c>
      <c r="I26" s="194">
        <v>0</v>
      </c>
      <c r="J26" s="194">
        <v>1016.89</v>
      </c>
      <c r="K26" s="194" t="s">
        <v>461</v>
      </c>
      <c r="L26" s="194">
        <v>31.59</v>
      </c>
      <c r="M26" s="194">
        <v>1514530800</v>
      </c>
      <c r="N26" s="194">
        <v>0</v>
      </c>
      <c r="O26" s="194">
        <v>8.43</v>
      </c>
      <c r="P26" s="194">
        <v>209</v>
      </c>
      <c r="Q26" s="194">
        <v>5.46</v>
      </c>
      <c r="R26" s="194">
        <v>0.89</v>
      </c>
      <c r="S26"/>
      <c r="T26"/>
    </row>
    <row r="27" spans="1:20" x14ac:dyDescent="0.25">
      <c r="A27" s="194">
        <v>34.590000000000003</v>
      </c>
      <c r="B27" s="194">
        <v>0.05</v>
      </c>
      <c r="C27" s="194">
        <v>15.84</v>
      </c>
      <c r="D27" s="8">
        <v>43098.125</v>
      </c>
      <c r="E27" s="194">
        <v>0.46</v>
      </c>
      <c r="F27" s="194" t="s">
        <v>462</v>
      </c>
      <c r="G27" s="194">
        <v>331.92</v>
      </c>
      <c r="H27" s="194">
        <v>0</v>
      </c>
      <c r="I27" s="194">
        <v>0</v>
      </c>
      <c r="J27" s="194">
        <v>1016.12</v>
      </c>
      <c r="K27" s="194" t="s">
        <v>461</v>
      </c>
      <c r="L27" s="194">
        <v>34.590000000000003</v>
      </c>
      <c r="M27" s="194">
        <v>1514534400</v>
      </c>
      <c r="N27" s="194">
        <v>0</v>
      </c>
      <c r="O27" s="194">
        <v>3.84</v>
      </c>
      <c r="P27" s="194">
        <v>192</v>
      </c>
      <c r="Q27" s="194">
        <v>7.3</v>
      </c>
      <c r="R27" s="194">
        <v>1.57</v>
      </c>
      <c r="S27"/>
      <c r="T27"/>
    </row>
    <row r="28" spans="1:20" x14ac:dyDescent="0.25">
      <c r="A28" s="194">
        <v>37.200000000000003</v>
      </c>
      <c r="B28" s="194">
        <v>0.08</v>
      </c>
      <c r="C28" s="194">
        <v>14.13</v>
      </c>
      <c r="D28" s="8">
        <v>43098.166666666664</v>
      </c>
      <c r="E28" s="194">
        <v>0.38</v>
      </c>
      <c r="F28" s="194" t="s">
        <v>462</v>
      </c>
      <c r="G28" s="194">
        <v>333.24</v>
      </c>
      <c r="H28" s="194">
        <v>0</v>
      </c>
      <c r="I28" s="194">
        <v>0</v>
      </c>
      <c r="J28" s="194">
        <v>1015.9</v>
      </c>
      <c r="K28" s="194" t="s">
        <v>461</v>
      </c>
      <c r="L28" s="194">
        <v>37.200000000000003</v>
      </c>
      <c r="M28" s="194">
        <v>1514538000</v>
      </c>
      <c r="N28" s="194">
        <v>0</v>
      </c>
      <c r="O28" s="194">
        <v>5.83</v>
      </c>
      <c r="P28" s="194">
        <v>195</v>
      </c>
      <c r="Q28" s="194">
        <v>8.8699999999999992</v>
      </c>
      <c r="R28" s="194">
        <v>2.59</v>
      </c>
      <c r="S28"/>
      <c r="T28"/>
    </row>
    <row r="29" spans="1:20" x14ac:dyDescent="0.25">
      <c r="A29" s="194">
        <v>40.67</v>
      </c>
      <c r="B29" s="194">
        <v>0.05</v>
      </c>
      <c r="C29" s="194">
        <v>11.56</v>
      </c>
      <c r="D29" s="8">
        <v>43098.208333333336</v>
      </c>
      <c r="E29" s="194">
        <v>0.3</v>
      </c>
      <c r="F29" s="194" t="s">
        <v>462</v>
      </c>
      <c r="G29" s="194">
        <v>333.84</v>
      </c>
      <c r="H29" s="194">
        <v>0</v>
      </c>
      <c r="I29" s="194">
        <v>0</v>
      </c>
      <c r="J29" s="194">
        <v>1015.31</v>
      </c>
      <c r="K29" s="194" t="s">
        <v>461</v>
      </c>
      <c r="L29" s="194">
        <v>40.67</v>
      </c>
      <c r="M29" s="194">
        <v>1514541600</v>
      </c>
      <c r="N29" s="194">
        <v>0</v>
      </c>
      <c r="O29" s="194">
        <v>3.9</v>
      </c>
      <c r="P29" s="194">
        <v>194</v>
      </c>
      <c r="Q29" s="194">
        <v>8.51</v>
      </c>
      <c r="R29" s="194">
        <v>2</v>
      </c>
      <c r="S29"/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39" t="s">
        <v>179</v>
      </c>
    </row>
    <row r="33" spans="1:1" x14ac:dyDescent="0.25">
      <c r="A33" s="139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8" bestFit="1" customWidth="1"/>
    <col min="11" max="11" width="15.28515625" style="138" hidden="1" customWidth="1"/>
    <col min="12" max="12" width="13.5703125" style="138" hidden="1" customWidth="1"/>
    <col min="13" max="13" width="9" style="152" bestFit="1" customWidth="1"/>
    <col min="14" max="17" width="9.140625" style="138"/>
    <col min="20" max="24" width="9.140625" style="152"/>
    <col min="29" max="29" width="12.42578125" customWidth="1"/>
    <col min="30" max="30" width="9.140625" style="166"/>
    <col min="31" max="32" width="9.140625" style="56"/>
  </cols>
  <sheetData>
    <row r="1" spans="1:32" ht="45.75" x14ac:dyDescent="0.3">
      <c r="A1" s="11" t="s">
        <v>25</v>
      </c>
      <c r="C1" s="118" t="s">
        <v>96</v>
      </c>
      <c r="D1" s="119" t="s">
        <v>97</v>
      </c>
      <c r="J1" s="144" t="s">
        <v>98</v>
      </c>
      <c r="K1" s="144" t="s">
        <v>66</v>
      </c>
      <c r="L1" s="144" t="s">
        <v>67</v>
      </c>
      <c r="O1" s="145" t="s">
        <v>99</v>
      </c>
      <c r="T1" s="154" t="s">
        <v>324</v>
      </c>
      <c r="U1" s="154"/>
      <c r="V1" s="154"/>
      <c r="W1" s="154"/>
      <c r="X1" s="154"/>
    </row>
    <row r="2" spans="1:32" ht="15.75" thickBot="1" x14ac:dyDescent="0.3">
      <c r="A2" s="12">
        <v>43097</v>
      </c>
      <c r="B2" s="4"/>
      <c r="C2" s="120">
        <v>50</v>
      </c>
      <c r="D2" s="121">
        <v>25</v>
      </c>
      <c r="F2" t="s">
        <v>110</v>
      </c>
      <c r="J2" s="144"/>
      <c r="K2" s="144" t="s">
        <v>66</v>
      </c>
      <c r="L2" s="144" t="s">
        <v>67</v>
      </c>
      <c r="T2" s="153" t="s">
        <v>325</v>
      </c>
      <c r="U2" s="153">
        <v>167</v>
      </c>
      <c r="V2" s="153">
        <v>168</v>
      </c>
      <c r="W2" s="153">
        <v>199</v>
      </c>
      <c r="X2" s="153">
        <v>200</v>
      </c>
      <c r="AD2" t="s">
        <v>336</v>
      </c>
      <c r="AE2" s="56" t="s">
        <v>339</v>
      </c>
      <c r="AF2" s="56" t="s">
        <v>340</v>
      </c>
    </row>
    <row r="3" spans="1:32" x14ac:dyDescent="0.25">
      <c r="C3" s="56"/>
      <c r="F3" t="s">
        <v>52</v>
      </c>
      <c r="J3" s="146" t="s">
        <v>68</v>
      </c>
      <c r="K3" s="147">
        <v>2.7052</v>
      </c>
      <c r="L3" s="147">
        <v>2.7349999999999999</v>
      </c>
      <c r="M3" s="152">
        <f t="shared" ref="M3:M14" si="0">AVERAGE(K3:L3)</f>
        <v>2.7201</v>
      </c>
      <c r="O3" s="138" t="s">
        <v>100</v>
      </c>
      <c r="P3" s="138">
        <f>AVERAGE(1.0714,1.1016)</f>
        <v>1.0865</v>
      </c>
      <c r="T3" s="153" t="s">
        <v>326</v>
      </c>
      <c r="U3" s="153">
        <v>174</v>
      </c>
      <c r="V3" s="153">
        <v>176</v>
      </c>
      <c r="W3" s="153">
        <v>207</v>
      </c>
      <c r="X3" s="153">
        <v>210</v>
      </c>
      <c r="AC3" s="30" t="s">
        <v>102</v>
      </c>
      <c r="AD3" s="130">
        <v>23</v>
      </c>
      <c r="AE3" s="42">
        <v>100</v>
      </c>
      <c r="AF3" s="42">
        <v>299</v>
      </c>
    </row>
    <row r="4" spans="1:32" ht="45" x14ac:dyDescent="0.25">
      <c r="C4" s="118" t="s">
        <v>96</v>
      </c>
      <c r="D4" s="119" t="s">
        <v>97</v>
      </c>
      <c r="F4" t="s">
        <v>53</v>
      </c>
      <c r="J4" s="146" t="s">
        <v>69</v>
      </c>
      <c r="K4" s="147">
        <v>3.0830000000000002</v>
      </c>
      <c r="L4" s="147">
        <v>3.097</v>
      </c>
      <c r="M4" s="152">
        <f t="shared" si="0"/>
        <v>3.09</v>
      </c>
      <c r="T4" s="153" t="s">
        <v>327</v>
      </c>
      <c r="U4" s="153">
        <v>173</v>
      </c>
      <c r="V4" s="153">
        <v>175</v>
      </c>
      <c r="W4" s="153">
        <v>208</v>
      </c>
      <c r="X4" s="153">
        <v>209</v>
      </c>
      <c r="AC4" s="30" t="s">
        <v>103</v>
      </c>
      <c r="AD4" s="130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6" t="s">
        <v>70</v>
      </c>
      <c r="K5" s="147">
        <v>3.3136000000000001</v>
      </c>
      <c r="L5" s="147">
        <v>3.3256999999999999</v>
      </c>
      <c r="M5" s="152">
        <f t="shared" si="0"/>
        <v>3.3196500000000002</v>
      </c>
      <c r="T5" s="153" t="s">
        <v>328</v>
      </c>
      <c r="U5" s="153">
        <v>187</v>
      </c>
      <c r="V5" s="153">
        <v>188</v>
      </c>
      <c r="W5" s="153">
        <v>223</v>
      </c>
      <c r="X5" s="153">
        <v>224</v>
      </c>
      <c r="AC5" s="30" t="s">
        <v>337</v>
      </c>
      <c r="AD5" s="130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6" t="s">
        <v>71</v>
      </c>
      <c r="K6" s="147">
        <v>4.2778999999999998</v>
      </c>
      <c r="L6" s="147">
        <v>4.2961</v>
      </c>
      <c r="M6" s="152">
        <f t="shared" si="0"/>
        <v>4.2869999999999999</v>
      </c>
      <c r="T6" s="153"/>
      <c r="U6" s="153"/>
      <c r="V6" s="153"/>
      <c r="W6" s="153"/>
      <c r="X6" s="153"/>
      <c r="AC6" s="45" t="s">
        <v>103</v>
      </c>
      <c r="AD6" s="181">
        <v>5.65</v>
      </c>
      <c r="AE6" s="42">
        <v>1800</v>
      </c>
      <c r="AF6" s="42">
        <v>1899</v>
      </c>
    </row>
    <row r="7" spans="1:32" x14ac:dyDescent="0.25">
      <c r="C7" s="56"/>
      <c r="F7" t="s">
        <v>332</v>
      </c>
      <c r="J7" s="146" t="s">
        <v>72</v>
      </c>
      <c r="K7" s="147">
        <v>4.7865000000000002</v>
      </c>
      <c r="L7" s="147">
        <v>4.8048000000000002</v>
      </c>
      <c r="M7" s="152">
        <f t="shared" si="0"/>
        <v>4.7956500000000002</v>
      </c>
      <c r="T7" s="153"/>
      <c r="U7" s="153"/>
      <c r="V7" s="153"/>
      <c r="W7" s="153"/>
      <c r="X7" s="153"/>
      <c r="AC7" s="30" t="s">
        <v>338</v>
      </c>
      <c r="AD7" s="130">
        <v>99</v>
      </c>
      <c r="AE7" s="42">
        <v>0</v>
      </c>
      <c r="AF7" s="42">
        <v>99</v>
      </c>
    </row>
    <row r="8" spans="1:32" x14ac:dyDescent="0.25">
      <c r="C8" s="56"/>
      <c r="F8" t="s">
        <v>348</v>
      </c>
      <c r="J8" s="146" t="s">
        <v>73</v>
      </c>
      <c r="K8" s="147">
        <v>5.3155000000000001</v>
      </c>
      <c r="L8" s="147">
        <v>5.3277000000000001</v>
      </c>
      <c r="M8" s="152">
        <f t="shared" si="0"/>
        <v>5.3216000000000001</v>
      </c>
      <c r="T8" s="153"/>
      <c r="U8" s="153"/>
      <c r="V8" s="153"/>
      <c r="W8" s="153"/>
      <c r="X8" s="153"/>
      <c r="AC8" s="45" t="s">
        <v>341</v>
      </c>
      <c r="AD8" s="172">
        <v>9999</v>
      </c>
      <c r="AE8" s="130">
        <v>9999</v>
      </c>
      <c r="AF8" s="130">
        <v>9999</v>
      </c>
    </row>
    <row r="9" spans="1:32" x14ac:dyDescent="0.25">
      <c r="C9" s="56"/>
      <c r="J9" s="146" t="s">
        <v>74</v>
      </c>
      <c r="K9" s="147">
        <v>5.8117000000000001</v>
      </c>
      <c r="L9" s="147">
        <v>5.8300999999999998</v>
      </c>
      <c r="M9" s="152">
        <f t="shared" si="0"/>
        <v>5.8209</v>
      </c>
      <c r="T9" s="153"/>
      <c r="U9" s="153"/>
      <c r="V9" s="153"/>
      <c r="W9" s="153"/>
      <c r="X9" s="153"/>
    </row>
    <row r="10" spans="1:32" x14ac:dyDescent="0.25">
      <c r="C10" s="56"/>
      <c r="J10" s="146" t="s">
        <v>75</v>
      </c>
      <c r="K10" s="147">
        <v>5.8783000000000003</v>
      </c>
      <c r="L10" s="147">
        <v>5.8903999999999996</v>
      </c>
      <c r="M10" s="152">
        <f t="shared" si="0"/>
        <v>5.8843499999999995</v>
      </c>
      <c r="T10" s="153"/>
      <c r="U10" s="153"/>
      <c r="V10" s="153"/>
      <c r="W10" s="153"/>
      <c r="X10" s="153"/>
    </row>
    <row r="11" spans="1:32" x14ac:dyDescent="0.25">
      <c r="C11" s="56"/>
      <c r="J11" s="146" t="s">
        <v>76</v>
      </c>
      <c r="K11" s="147">
        <v>6.3068</v>
      </c>
      <c r="L11" s="147">
        <v>6.3308999999999997</v>
      </c>
      <c r="M11" s="152">
        <f t="shared" si="0"/>
        <v>6.3188499999999994</v>
      </c>
      <c r="T11" s="153"/>
      <c r="U11" s="153"/>
      <c r="V11" s="153"/>
      <c r="W11" s="153"/>
      <c r="X11" s="153"/>
    </row>
    <row r="12" spans="1:32" x14ac:dyDescent="0.25">
      <c r="C12" s="56"/>
      <c r="J12" s="146" t="s">
        <v>77</v>
      </c>
      <c r="K12" s="147">
        <v>7.8349000000000002</v>
      </c>
      <c r="L12" s="147">
        <v>7.8468999999999998</v>
      </c>
      <c r="M12" s="152">
        <f t="shared" si="0"/>
        <v>7.8408999999999995</v>
      </c>
      <c r="T12" s="153"/>
      <c r="U12" s="153"/>
      <c r="V12" s="153"/>
      <c r="W12" s="153"/>
      <c r="X12" s="153"/>
    </row>
    <row r="13" spans="1:32" x14ac:dyDescent="0.25">
      <c r="C13" s="56"/>
      <c r="J13" s="146" t="s">
        <v>78</v>
      </c>
      <c r="K13" s="147">
        <v>10.373799999999999</v>
      </c>
      <c r="L13" s="147">
        <v>10.38</v>
      </c>
      <c r="M13" s="152">
        <f t="shared" si="0"/>
        <v>10.376899999999999</v>
      </c>
      <c r="T13" s="153"/>
      <c r="U13" s="153"/>
      <c r="V13" s="153"/>
      <c r="W13" s="153"/>
      <c r="X13" s="153"/>
    </row>
    <row r="14" spans="1:32" x14ac:dyDescent="0.25">
      <c r="C14" s="56"/>
      <c r="J14" s="146" t="s">
        <v>79</v>
      </c>
      <c r="K14" s="147">
        <v>10.8954</v>
      </c>
      <c r="L14" s="147">
        <v>10.913500000000001</v>
      </c>
      <c r="M14" s="152">
        <f t="shared" si="0"/>
        <v>10.904450000000001</v>
      </c>
      <c r="T14" s="153"/>
      <c r="U14" s="153"/>
      <c r="V14" s="153"/>
      <c r="W14" s="153"/>
      <c r="X14" s="153"/>
    </row>
    <row r="15" spans="1:32" x14ac:dyDescent="0.25">
      <c r="C15" s="56"/>
      <c r="J15" s="146"/>
      <c r="K15" s="147"/>
      <c r="L15" s="147"/>
      <c r="T15" s="153"/>
      <c r="U15" s="153"/>
      <c r="V15" s="153"/>
      <c r="W15" s="153"/>
      <c r="X15" s="153"/>
    </row>
    <row r="16" spans="1:32" x14ac:dyDescent="0.25">
      <c r="C16" s="56"/>
      <c r="J16" s="146"/>
      <c r="K16" s="147"/>
      <c r="L16" s="147"/>
      <c r="T16" s="153"/>
      <c r="U16" s="153"/>
      <c r="V16" s="153"/>
      <c r="W16" s="153"/>
      <c r="X16" s="153"/>
    </row>
    <row r="17" spans="3:24" x14ac:dyDescent="0.25">
      <c r="C17" s="135" t="s">
        <v>180</v>
      </c>
      <c r="J17" s="146"/>
      <c r="K17" s="147"/>
      <c r="L17" s="147"/>
      <c r="T17" s="153"/>
      <c r="U17" s="153"/>
      <c r="V17" s="153"/>
      <c r="W17" s="153"/>
      <c r="X17" s="153"/>
    </row>
    <row r="18" spans="3:24" x14ac:dyDescent="0.25">
      <c r="C18" t="s">
        <v>1070</v>
      </c>
      <c r="J18" s="146" t="s">
        <v>85</v>
      </c>
      <c r="K18" s="147"/>
      <c r="L18" s="147"/>
      <c r="M18" s="152" t="str">
        <f>"""C:\Program Files (x86)\AstroGrep\AstroGrep.exe"""</f>
        <v>"C:\Program Files (x86)\AstroGrep\AstroGrep.exe"</v>
      </c>
      <c r="T18" s="153"/>
      <c r="U18" s="153"/>
      <c r="V18" s="153"/>
      <c r="W18" s="153"/>
      <c r="X18" s="153"/>
    </row>
    <row r="19" spans="3:24" x14ac:dyDescent="0.25">
      <c r="C19" t="s">
        <v>1071</v>
      </c>
      <c r="J19" s="146" t="s">
        <v>86</v>
      </c>
      <c r="K19" s="147"/>
      <c r="L19" s="147"/>
      <c r="M19" s="152" t="s">
        <v>109</v>
      </c>
      <c r="T19" s="153"/>
      <c r="U19" s="153"/>
      <c r="V19" s="153"/>
      <c r="W19" s="153"/>
      <c r="X19" s="153"/>
    </row>
    <row r="20" spans="3:24" x14ac:dyDescent="0.25">
      <c r="C20" t="s">
        <v>1072</v>
      </c>
      <c r="J20" s="138" t="s">
        <v>87</v>
      </c>
      <c r="M20" s="152" t="s">
        <v>551</v>
      </c>
      <c r="N20" s="152" t="s">
        <v>323</v>
      </c>
      <c r="T20" s="153"/>
      <c r="U20" s="153"/>
      <c r="V20" s="153"/>
      <c r="W20" s="153"/>
      <c r="X20" s="153"/>
    </row>
    <row r="21" spans="3:24" x14ac:dyDescent="0.25">
      <c r="C21" t="s">
        <v>1073</v>
      </c>
      <c r="J21" s="138" t="s">
        <v>90</v>
      </c>
      <c r="K21" s="138" t="s">
        <v>91</v>
      </c>
      <c r="M21" s="152" t="s">
        <v>172</v>
      </c>
      <c r="T21" s="153"/>
      <c r="U21" s="153"/>
      <c r="V21" s="153"/>
      <c r="W21" s="153"/>
      <c r="X21" s="153"/>
    </row>
    <row r="22" spans="3:24" x14ac:dyDescent="0.25">
      <c r="C22" t="s">
        <v>1074</v>
      </c>
      <c r="J22" s="138" t="s">
        <v>92</v>
      </c>
      <c r="K22" s="138" t="s">
        <v>108</v>
      </c>
      <c r="M22" s="152" t="s">
        <v>108</v>
      </c>
      <c r="T22" s="153"/>
      <c r="U22" s="153"/>
      <c r="V22" s="153"/>
      <c r="W22" s="153"/>
      <c r="X22" s="153"/>
    </row>
    <row r="23" spans="3:24" x14ac:dyDescent="0.25">
      <c r="C23" t="s">
        <v>1075</v>
      </c>
      <c r="J23" s="148" t="s">
        <v>94</v>
      </c>
      <c r="M23" s="152" t="str">
        <f>"-07"</f>
        <v>-07</v>
      </c>
      <c r="T23" s="153"/>
      <c r="U23" s="153"/>
      <c r="V23" s="153"/>
      <c r="W23" s="153"/>
      <c r="X23" s="153"/>
    </row>
    <row r="24" spans="3:24" x14ac:dyDescent="0.25">
      <c r="C24" t="s">
        <v>1076</v>
      </c>
      <c r="J24" s="138" t="s">
        <v>105</v>
      </c>
      <c r="M24" s="152" t="s">
        <v>107</v>
      </c>
      <c r="T24" s="153"/>
      <c r="U24" s="153"/>
      <c r="V24" s="153"/>
      <c r="W24" s="153"/>
      <c r="X24" s="153"/>
    </row>
    <row r="25" spans="3:24" x14ac:dyDescent="0.25">
      <c r="C25" t="s">
        <v>1077</v>
      </c>
      <c r="J25" s="138" t="s">
        <v>144</v>
      </c>
      <c r="M25" s="152" t="b">
        <v>1</v>
      </c>
    </row>
    <row r="26" spans="3:24" x14ac:dyDescent="0.25">
      <c r="C26" t="s">
        <v>1078</v>
      </c>
      <c r="J26" s="138" t="s">
        <v>145</v>
      </c>
      <c r="M26" s="152" t="str">
        <f>"%USERPROFILE%\Documents\GitHub\eaglep3-reporting\EC\"&amp;TEXT(A2,"yyyy-mm-dd")&amp;"-refined-times.txt"</f>
        <v>%USERPROFILE%\Documents\GitHub\eaglep3-reporting\EC\2017-12-28-refined-times.txt</v>
      </c>
    </row>
    <row r="27" spans="3:24" x14ac:dyDescent="0.25">
      <c r="C27" t="s">
        <v>1079</v>
      </c>
      <c r="J27" s="138" t="s">
        <v>174</v>
      </c>
      <c r="M27" s="152" t="str">
        <f>"%USERPROFILE%\Documents\GitHub\eaglep3-reporting\EC\"&amp;TEXT(A2,"YYYY-MM-DD")&amp;"-Enforcements.txt"</f>
        <v>%USERPROFILE%\Documents\GitHub\eaglep3-reporting\EC\2017-12-28-Enforcements.txt</v>
      </c>
    </row>
    <row r="28" spans="3:24" x14ac:dyDescent="0.25">
      <c r="C28" t="s">
        <v>1080</v>
      </c>
      <c r="J28" s="138" t="s">
        <v>175</v>
      </c>
      <c r="M28" s="152" t="str">
        <f>"%USERPROFILE%\Documents\GitHub\eaglep3-reporting\EC\"&amp;TEXT(A2,"YYYY-MM-DD")&amp;"-Runs-refined.txt"</f>
        <v>%USERPROFILE%\Documents\GitHub\eaglep3-reporting\EC\2017-12-28-Runs-refined.txt</v>
      </c>
    </row>
    <row r="29" spans="3:24" x14ac:dyDescent="0.25">
      <c r="C29" t="s">
        <v>1081</v>
      </c>
      <c r="J29" s="138" t="s">
        <v>176</v>
      </c>
      <c r="M29" s="152" t="str">
        <f>"%USERPROFILE%\Documents\GitHub\eaglep3-reporting\EC\"&amp;TEXT(A2,"YYYY-MM-DD")&amp;"-Trips.txt"</f>
        <v>%USERPROFILE%\Documents\GitHub\eaglep3-reporting\EC\2017-12-28-Trips.txt</v>
      </c>
    </row>
    <row r="30" spans="3:24" x14ac:dyDescent="0.25">
      <c r="J30" s="138" t="s">
        <v>177</v>
      </c>
      <c r="M30" s="152" t="str">
        <f>"%USERPROFILE%\Documents\GitHub\eaglep3-reporting\EC\"&amp;TEXT(A2,"YYYY-MM-DD")&amp;"-Weather.txt"</f>
        <v>%USERPROFILE%\Documents\GitHub\eaglep3-reporting\EC\2017-12-28-Weather.txt</v>
      </c>
    </row>
    <row r="31" spans="3:24" x14ac:dyDescent="0.25">
      <c r="J31" s="138" t="s">
        <v>188</v>
      </c>
      <c r="M31" s="152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2" bestFit="1" customWidth="1"/>
    <col min="2" max="7" width="9.140625" style="92"/>
    <col min="8" max="8" width="17.7109375" style="186" bestFit="1" customWidth="1"/>
    <col min="9" max="10" width="9.140625" style="186"/>
    <col min="11" max="16384" width="9.140625" style="92"/>
  </cols>
  <sheetData>
    <row r="1" spans="1:11" x14ac:dyDescent="0.25">
      <c r="A1" s="91" t="s">
        <v>115</v>
      </c>
      <c r="B1" s="91" t="s">
        <v>116</v>
      </c>
      <c r="C1" s="92" t="s">
        <v>117</v>
      </c>
      <c r="H1" s="166" t="s">
        <v>112</v>
      </c>
      <c r="I1" s="184" t="s">
        <v>352</v>
      </c>
      <c r="J1" s="166" t="s">
        <v>330</v>
      </c>
    </row>
    <row r="2" spans="1:11" x14ac:dyDescent="0.25">
      <c r="A2" s="92" t="s">
        <v>118</v>
      </c>
      <c r="B2" s="92" t="s">
        <v>119</v>
      </c>
      <c r="C2" s="92" t="s">
        <v>120</v>
      </c>
      <c r="H2" s="166" t="s">
        <v>113</v>
      </c>
      <c r="I2" s="166" t="s">
        <v>114</v>
      </c>
      <c r="J2" s="166" t="s">
        <v>331</v>
      </c>
    </row>
    <row r="3" spans="1:11" x14ac:dyDescent="0.25">
      <c r="A3" s="92" t="s">
        <v>121</v>
      </c>
      <c r="B3" s="92" t="s">
        <v>122</v>
      </c>
      <c r="C3" s="92" t="s">
        <v>123</v>
      </c>
      <c r="H3" s="166" t="s">
        <v>137</v>
      </c>
      <c r="I3" s="166">
        <v>1</v>
      </c>
      <c r="J3" s="166">
        <v>1</v>
      </c>
      <c r="K3" s="55"/>
    </row>
    <row r="4" spans="1:11" x14ac:dyDescent="0.25">
      <c r="A4" s="92" t="s">
        <v>124</v>
      </c>
      <c r="C4" s="92" t="s">
        <v>125</v>
      </c>
      <c r="H4" s="166" t="s">
        <v>138</v>
      </c>
      <c r="I4" s="166">
        <v>2</v>
      </c>
      <c r="J4" s="166">
        <v>1</v>
      </c>
      <c r="K4" s="55"/>
    </row>
    <row r="5" spans="1:11" x14ac:dyDescent="0.25">
      <c r="A5" s="92" t="s">
        <v>126</v>
      </c>
      <c r="C5" s="92" t="s">
        <v>127</v>
      </c>
      <c r="H5" s="166" t="s">
        <v>139</v>
      </c>
      <c r="I5" s="166">
        <v>338</v>
      </c>
      <c r="J5" s="166">
        <v>10</v>
      </c>
      <c r="K5" s="55"/>
    </row>
    <row r="6" spans="1:11" x14ac:dyDescent="0.25">
      <c r="A6" s="92" t="s">
        <v>128</v>
      </c>
      <c r="C6" s="92" t="s">
        <v>129</v>
      </c>
      <c r="H6" s="185" t="s">
        <v>140</v>
      </c>
      <c r="I6" s="185" t="s">
        <v>119</v>
      </c>
    </row>
    <row r="7" spans="1:11" x14ac:dyDescent="0.25">
      <c r="A7" s="92" t="s">
        <v>130</v>
      </c>
      <c r="C7" s="92" t="s">
        <v>131</v>
      </c>
    </row>
    <row r="8" spans="1:11" x14ac:dyDescent="0.25">
      <c r="C8" s="92" t="s">
        <v>132</v>
      </c>
    </row>
    <row r="9" spans="1:11" x14ac:dyDescent="0.25">
      <c r="C9" s="93" t="s">
        <v>165</v>
      </c>
    </row>
    <row r="10" spans="1:11" x14ac:dyDescent="0.25">
      <c r="C10" s="92" t="s">
        <v>133</v>
      </c>
    </row>
    <row r="11" spans="1:11" x14ac:dyDescent="0.25">
      <c r="C11" s="92" t="s">
        <v>134</v>
      </c>
    </row>
    <row r="12" spans="1:11" x14ac:dyDescent="0.25">
      <c r="C12" s="92" t="s">
        <v>135</v>
      </c>
    </row>
    <row r="13" spans="1:11" x14ac:dyDescent="0.25">
      <c r="C13" s="92" t="s">
        <v>136</v>
      </c>
    </row>
    <row r="14" spans="1:11" x14ac:dyDescent="0.25">
      <c r="C14" s="93" t="s">
        <v>166</v>
      </c>
    </row>
    <row r="15" spans="1:11" x14ac:dyDescent="0.25">
      <c r="C15" s="93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2018-01-03T16:32:28Z</dcterms:modified>
</cp:coreProperties>
</file>