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53222"/>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9180" windowHeight="3135"/>
  </bookViews>
  <sheets>
    <sheet name="Train Runs" sheetId="1" r:id="rId1"/>
    <sheet name="Enforcements" sheetId="3" r:id="rId2"/>
    <sheet name="Missing Trips" sheetId="6" r:id="rId3"/>
    <sheet name="Trips&amp;Operators" sheetId="4" r:id="rId4"/>
    <sheet name="Weather" sheetId="8" r:id="rId5"/>
    <sheet name="Variables" sheetId="5" r:id="rId6"/>
    <sheet name="Redmine List Values" sheetId="7" r:id="rId7"/>
    <sheet name="Slice Disagreement Check" sheetId="9" r:id="rId8"/>
  </sheets>
  <externalReferences>
    <externalReference r:id="rId9"/>
    <externalReference r:id="rId10"/>
  </externalReferences>
  <definedNames>
    <definedName name="_xlnm._FilterDatabase" localSheetId="1" hidden="1">Enforcements!$A$6:$AC$35</definedName>
    <definedName name="_xlnm._FilterDatabase" localSheetId="2" hidden="1">'Missing Trips'!$A$2:$J$120</definedName>
    <definedName name="_xlnm._FilterDatabase" localSheetId="0" hidden="1">'Train Runs'!$A$12:$AG$227</definedName>
    <definedName name="_xlnm._FilterDatabase" localSheetId="3" hidden="1">'Trips&amp;Operators'!$A$1:$E$211</definedName>
    <definedName name="astrogrep_path">Variables!$M$18</definedName>
    <definedName name="Denver_Train_Runs_04122016" localSheetId="0">'Train Runs'!$A$12:$J$54</definedName>
    <definedName name="dls3logs">Variables!$M$31</definedName>
    <definedName name="enforcements_txt">Variables!$M$27</definedName>
    <definedName name="outputrefinedruntimes">Variables!$M$25</definedName>
    <definedName name="redm_api_key">[1]Constants!$B$4</definedName>
    <definedName name="redm_url">[1]Constants!$B$5</definedName>
    <definedName name="redmine_api">'Redmine List Values'!$I$1</definedName>
    <definedName name="redmine_assignee">'Redmine List Values'!$I$5</definedName>
    <definedName name="redmine_op_impact">'Redmine List Values'!$I$6</definedName>
    <definedName name="redmine_priority">'Redmine List Values'!$I$4</definedName>
    <definedName name="redmine_status">'Redmine List Values'!$I$3</definedName>
    <definedName name="redmine_url">'Redmine List Values'!$I$2</definedName>
    <definedName name="RefinedRTDCRunTimesOutputFile">Variables!$M$26</definedName>
    <definedName name="refinertdcruntimes">Variables!$M$24</definedName>
    <definedName name="runsrefined_txt">Variables!$M$28</definedName>
    <definedName name="s3_bucket">Variables!$M$21</definedName>
    <definedName name="search_path">Variables!$M$19</definedName>
    <definedName name="search_regexp">Variables!$M$20</definedName>
    <definedName name="trips_txt">Variables!$M$29</definedName>
    <definedName name="utc_offset">Variables!$M$23</definedName>
    <definedName name="walkandungz">Variables!$M$22</definedName>
    <definedName name="weather_txt">Variables!$M$30</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12" i="3" l="1"/>
  <c r="Z13" i="3"/>
  <c r="Z11" i="3"/>
  <c r="P156" i="1"/>
  <c r="X159" i="1"/>
  <c r="X161" i="1"/>
  <c r="Y152" i="1"/>
  <c r="Y153" i="1"/>
  <c r="Y154" i="1"/>
  <c r="Y155" i="1"/>
  <c r="K14" i="1"/>
  <c r="L14" i="1"/>
  <c r="M14" i="1"/>
  <c r="N14" i="1" s="1"/>
  <c r="V14" i="1"/>
  <c r="Y14" i="1"/>
  <c r="Z14" i="1"/>
  <c r="AB14" i="1"/>
  <c r="AC14" i="1"/>
  <c r="AD14" i="1"/>
  <c r="AG14" i="1" s="1"/>
  <c r="AE14" i="1"/>
  <c r="AF14" i="1"/>
  <c r="AH14" i="1"/>
  <c r="AM14" i="1"/>
  <c r="AN14" i="1"/>
  <c r="K15" i="1"/>
  <c r="L15" i="1"/>
  <c r="M15" i="1"/>
  <c r="N15" i="1" s="1"/>
  <c r="V15" i="1"/>
  <c r="Y15" i="1"/>
  <c r="Z15" i="1"/>
  <c r="AB15" i="1"/>
  <c r="AC15" i="1"/>
  <c r="AD15" i="1"/>
  <c r="T15" i="1" s="1"/>
  <c r="AE15" i="1"/>
  <c r="AF15" i="1"/>
  <c r="AH15" i="1"/>
  <c r="AM15" i="1"/>
  <c r="AN15" i="1"/>
  <c r="K16" i="1"/>
  <c r="L16" i="1"/>
  <c r="M16" i="1"/>
  <c r="N16" i="1" s="1"/>
  <c r="V16" i="1"/>
  <c r="Y16" i="1"/>
  <c r="Z16" i="1"/>
  <c r="AB16" i="1"/>
  <c r="AC16" i="1"/>
  <c r="AD16" i="1"/>
  <c r="AG16" i="1" s="1"/>
  <c r="AE16" i="1"/>
  <c r="AF16" i="1"/>
  <c r="AH16" i="1"/>
  <c r="AM16" i="1"/>
  <c r="AN16" i="1"/>
  <c r="K17" i="1"/>
  <c r="L17" i="1"/>
  <c r="M17" i="1"/>
  <c r="N17" i="1" s="1"/>
  <c r="V17" i="1"/>
  <c r="Y17" i="1"/>
  <c r="Z17" i="1"/>
  <c r="AB17" i="1"/>
  <c r="AC17" i="1"/>
  <c r="AD17" i="1"/>
  <c r="AG17" i="1" s="1"/>
  <c r="AE17" i="1"/>
  <c r="AF17" i="1"/>
  <c r="AH17" i="1"/>
  <c r="AM17" i="1"/>
  <c r="AN17" i="1"/>
  <c r="K18" i="1"/>
  <c r="L18" i="1"/>
  <c r="M18" i="1"/>
  <c r="N18" i="1" s="1"/>
  <c r="V18" i="1"/>
  <c r="Y18" i="1"/>
  <c r="Z18" i="1"/>
  <c r="AB18" i="1"/>
  <c r="AC18" i="1"/>
  <c r="AD18" i="1"/>
  <c r="AG18" i="1" s="1"/>
  <c r="AE18" i="1"/>
  <c r="AF18" i="1"/>
  <c r="AH18" i="1"/>
  <c r="AM18" i="1"/>
  <c r="AN18" i="1"/>
  <c r="K19" i="1"/>
  <c r="L19" i="1"/>
  <c r="M19" i="1"/>
  <c r="N19" i="1" s="1"/>
  <c r="V19" i="1"/>
  <c r="Y19" i="1"/>
  <c r="Z19" i="1"/>
  <c r="AB19" i="1"/>
  <c r="AC19" i="1"/>
  <c r="AD19" i="1"/>
  <c r="T19" i="1" s="1"/>
  <c r="AE19" i="1"/>
  <c r="AF19" i="1"/>
  <c r="AG19" i="1"/>
  <c r="AH19" i="1"/>
  <c r="AM19" i="1"/>
  <c r="AN19" i="1"/>
  <c r="K20" i="1"/>
  <c r="L20" i="1"/>
  <c r="M20" i="1"/>
  <c r="N20" i="1" s="1"/>
  <c r="V20" i="1"/>
  <c r="Y20" i="1"/>
  <c r="Z20" i="1"/>
  <c r="AB20" i="1"/>
  <c r="AC20" i="1"/>
  <c r="AD20" i="1"/>
  <c r="AG20" i="1" s="1"/>
  <c r="AE20" i="1"/>
  <c r="AF20" i="1"/>
  <c r="AH20" i="1"/>
  <c r="AM20" i="1"/>
  <c r="AN20" i="1"/>
  <c r="K21" i="1"/>
  <c r="L21" i="1"/>
  <c r="M21" i="1"/>
  <c r="N21" i="1" s="1"/>
  <c r="V21" i="1"/>
  <c r="S18" i="3" s="1"/>
  <c r="Y21" i="1"/>
  <c r="Z21" i="1"/>
  <c r="AB21" i="1"/>
  <c r="AC21" i="1"/>
  <c r="AD21" i="1"/>
  <c r="AE21" i="1"/>
  <c r="AF21" i="1"/>
  <c r="AH21" i="1"/>
  <c r="AM21" i="1"/>
  <c r="AN21" i="1"/>
  <c r="K22" i="1"/>
  <c r="L22" i="1"/>
  <c r="M22" i="1"/>
  <c r="N22" i="1" s="1"/>
  <c r="V22" i="1"/>
  <c r="Y22" i="1"/>
  <c r="Z22" i="1"/>
  <c r="AB22" i="1"/>
  <c r="AC22" i="1"/>
  <c r="AD22" i="1"/>
  <c r="AG22" i="1" s="1"/>
  <c r="AE22" i="1"/>
  <c r="AF22" i="1"/>
  <c r="AH22" i="1"/>
  <c r="AM22" i="1"/>
  <c r="AN22" i="1"/>
  <c r="K23" i="1"/>
  <c r="L23" i="1"/>
  <c r="M23" i="1"/>
  <c r="N23" i="1" s="1"/>
  <c r="V23" i="1"/>
  <c r="Y23" i="1"/>
  <c r="Z23" i="1"/>
  <c r="AB23" i="1"/>
  <c r="AC23" i="1"/>
  <c r="AD23" i="1"/>
  <c r="T23" i="1" s="1"/>
  <c r="AE23" i="1"/>
  <c r="AF23" i="1"/>
  <c r="AH23" i="1"/>
  <c r="AM23" i="1"/>
  <c r="AN23" i="1"/>
  <c r="K24" i="1"/>
  <c r="L24" i="1"/>
  <c r="M24" i="1"/>
  <c r="N24" i="1" s="1"/>
  <c r="V24" i="1"/>
  <c r="Y24" i="1"/>
  <c r="Z24" i="1"/>
  <c r="AB24" i="1"/>
  <c r="AC24" i="1"/>
  <c r="AD24" i="1"/>
  <c r="AG24" i="1" s="1"/>
  <c r="AE24" i="1"/>
  <c r="AF24" i="1"/>
  <c r="AH24" i="1"/>
  <c r="AM24" i="1"/>
  <c r="AN24" i="1"/>
  <c r="K25" i="1"/>
  <c r="L25" i="1"/>
  <c r="M25" i="1"/>
  <c r="N25" i="1" s="1"/>
  <c r="V25" i="1"/>
  <c r="Y25" i="1"/>
  <c r="Z25" i="1"/>
  <c r="AB25" i="1"/>
  <c r="AC25" i="1"/>
  <c r="AD25" i="1"/>
  <c r="AG25" i="1" s="1"/>
  <c r="AE25" i="1"/>
  <c r="AF25" i="1"/>
  <c r="AH25" i="1"/>
  <c r="AM25" i="1"/>
  <c r="AN25" i="1"/>
  <c r="K26" i="1"/>
  <c r="L26" i="1"/>
  <c r="M26" i="1"/>
  <c r="N26" i="1" s="1"/>
  <c r="V26" i="1"/>
  <c r="S14" i="3" s="1"/>
  <c r="Y26" i="1"/>
  <c r="Z26" i="1"/>
  <c r="AB26" i="1"/>
  <c r="AC26" i="1"/>
  <c r="AD26" i="1"/>
  <c r="AG26" i="1" s="1"/>
  <c r="AE26" i="1"/>
  <c r="R14" i="3" s="1"/>
  <c r="AF26" i="1"/>
  <c r="AH26" i="1"/>
  <c r="AM26" i="1"/>
  <c r="AN26" i="1"/>
  <c r="K27" i="1"/>
  <c r="L27" i="1"/>
  <c r="M27" i="1"/>
  <c r="N27" i="1" s="1"/>
  <c r="V27" i="1"/>
  <c r="Y27" i="1"/>
  <c r="Z27" i="1"/>
  <c r="AB27" i="1"/>
  <c r="AC27" i="1"/>
  <c r="AD27" i="1"/>
  <c r="T27" i="1" s="1"/>
  <c r="AE27" i="1"/>
  <c r="AF27" i="1"/>
  <c r="AH27" i="1"/>
  <c r="AM27" i="1"/>
  <c r="AN27" i="1"/>
  <c r="K28" i="1"/>
  <c r="L28" i="1"/>
  <c r="M28" i="1"/>
  <c r="N28" i="1" s="1"/>
  <c r="V28" i="1"/>
  <c r="Y28" i="1"/>
  <c r="Z28" i="1"/>
  <c r="AB28" i="1"/>
  <c r="AC28" i="1"/>
  <c r="AD28" i="1"/>
  <c r="AG28" i="1" s="1"/>
  <c r="AE28" i="1"/>
  <c r="AF28" i="1"/>
  <c r="AH28" i="1"/>
  <c r="AM28" i="1"/>
  <c r="AN28" i="1"/>
  <c r="K29" i="1"/>
  <c r="L29" i="1"/>
  <c r="M29" i="1"/>
  <c r="N29" i="1" s="1"/>
  <c r="V29" i="1"/>
  <c r="Y29" i="1"/>
  <c r="Z29" i="1"/>
  <c r="AB29" i="1"/>
  <c r="AC29" i="1"/>
  <c r="AD29" i="1"/>
  <c r="AG29" i="1" s="1"/>
  <c r="AE29" i="1"/>
  <c r="AF29" i="1"/>
  <c r="AH29" i="1"/>
  <c r="AM29" i="1"/>
  <c r="AN29" i="1"/>
  <c r="K30" i="1"/>
  <c r="L30" i="1"/>
  <c r="M30" i="1"/>
  <c r="N30" i="1" s="1"/>
  <c r="V30" i="1"/>
  <c r="Y30" i="1"/>
  <c r="Z30" i="1"/>
  <c r="AB30" i="1"/>
  <c r="AC30" i="1"/>
  <c r="AD30" i="1"/>
  <c r="T30" i="1" s="1"/>
  <c r="AE30" i="1"/>
  <c r="AF30" i="1"/>
  <c r="AH30" i="1"/>
  <c r="AM30" i="1"/>
  <c r="AN30" i="1"/>
  <c r="K31" i="1"/>
  <c r="L31" i="1"/>
  <c r="M31" i="1"/>
  <c r="N31" i="1"/>
  <c r="V31" i="1"/>
  <c r="Y31" i="1"/>
  <c r="Z31" i="1"/>
  <c r="AB31" i="1"/>
  <c r="AC31" i="1"/>
  <c r="AD31" i="1"/>
  <c r="AG31" i="1" s="1"/>
  <c r="AE31" i="1"/>
  <c r="AF31" i="1"/>
  <c r="AH31" i="1"/>
  <c r="AM31" i="1"/>
  <c r="AN31" i="1"/>
  <c r="K32" i="1"/>
  <c r="L32" i="1"/>
  <c r="M32" i="1"/>
  <c r="N32" i="1" s="1"/>
  <c r="V32" i="1"/>
  <c r="Y32" i="1"/>
  <c r="Z32" i="1"/>
  <c r="AB32" i="1"/>
  <c r="AC32" i="1"/>
  <c r="AD32" i="1"/>
  <c r="AG32" i="1" s="1"/>
  <c r="AE32" i="1"/>
  <c r="AF32" i="1"/>
  <c r="AH32" i="1"/>
  <c r="AM32" i="1"/>
  <c r="AN32" i="1"/>
  <c r="K33" i="1"/>
  <c r="L33" i="1"/>
  <c r="M33" i="1"/>
  <c r="N33" i="1" s="1"/>
  <c r="V33" i="1"/>
  <c r="Y33" i="1"/>
  <c r="Z33" i="1"/>
  <c r="AB33" i="1"/>
  <c r="AC33" i="1"/>
  <c r="AD33" i="1"/>
  <c r="AG33" i="1" s="1"/>
  <c r="AE33" i="1"/>
  <c r="AF33" i="1"/>
  <c r="AH33" i="1"/>
  <c r="AM33" i="1"/>
  <c r="AN33" i="1"/>
  <c r="K34" i="1"/>
  <c r="L34" i="1"/>
  <c r="M34" i="1"/>
  <c r="N34" i="1" s="1"/>
  <c r="V34" i="1"/>
  <c r="Y34" i="1"/>
  <c r="Z34" i="1"/>
  <c r="AB34" i="1"/>
  <c r="AC34" i="1"/>
  <c r="AD34" i="1"/>
  <c r="T34" i="1" s="1"/>
  <c r="AE34" i="1"/>
  <c r="AF34" i="1"/>
  <c r="AH34" i="1"/>
  <c r="AM34" i="1"/>
  <c r="AN34" i="1"/>
  <c r="K35" i="1"/>
  <c r="L35" i="1"/>
  <c r="M35" i="1"/>
  <c r="N35" i="1" s="1"/>
  <c r="V35" i="1"/>
  <c r="Y35" i="1"/>
  <c r="Z35" i="1"/>
  <c r="AB35" i="1"/>
  <c r="AC35" i="1"/>
  <c r="AD35" i="1"/>
  <c r="AG35" i="1" s="1"/>
  <c r="AE35" i="1"/>
  <c r="AF35" i="1"/>
  <c r="AH35" i="1"/>
  <c r="AM35" i="1"/>
  <c r="AN35" i="1"/>
  <c r="K36" i="1"/>
  <c r="L36" i="1"/>
  <c r="M36" i="1"/>
  <c r="N36" i="1" s="1"/>
  <c r="V36" i="1"/>
  <c r="Y36" i="1"/>
  <c r="Z36" i="1"/>
  <c r="AB36" i="1"/>
  <c r="AC36" i="1"/>
  <c r="AD36" i="1"/>
  <c r="T36" i="1" s="1"/>
  <c r="AE36" i="1"/>
  <c r="AF36" i="1"/>
  <c r="AH36" i="1"/>
  <c r="AM36" i="1"/>
  <c r="AN36" i="1"/>
  <c r="K37" i="1"/>
  <c r="L37" i="1"/>
  <c r="M37" i="1"/>
  <c r="N37" i="1" s="1"/>
  <c r="V37" i="1"/>
  <c r="Y37" i="1"/>
  <c r="Z37" i="1"/>
  <c r="AB37" i="1"/>
  <c r="AC37" i="1"/>
  <c r="AD37" i="1"/>
  <c r="AG37" i="1" s="1"/>
  <c r="AE37" i="1"/>
  <c r="AF37" i="1"/>
  <c r="AH37" i="1"/>
  <c r="AM37" i="1"/>
  <c r="AN37" i="1"/>
  <c r="K38" i="1"/>
  <c r="L38" i="1"/>
  <c r="M38" i="1"/>
  <c r="N38" i="1" s="1"/>
  <c r="V38" i="1"/>
  <c r="Y38" i="1"/>
  <c r="Z38" i="1"/>
  <c r="AB38" i="1"/>
  <c r="AC38" i="1"/>
  <c r="AD38" i="1"/>
  <c r="T38" i="1" s="1"/>
  <c r="AE38" i="1"/>
  <c r="AF38" i="1"/>
  <c r="AH38" i="1"/>
  <c r="AM38" i="1"/>
  <c r="AN38" i="1"/>
  <c r="K39" i="1"/>
  <c r="L39" i="1"/>
  <c r="M39" i="1"/>
  <c r="N39" i="1" s="1"/>
  <c r="V39" i="1"/>
  <c r="Y39" i="1"/>
  <c r="Z39" i="1"/>
  <c r="AB39" i="1"/>
  <c r="AC39" i="1"/>
  <c r="AD39" i="1"/>
  <c r="AG39" i="1" s="1"/>
  <c r="AE39" i="1"/>
  <c r="R19" i="3" s="1"/>
  <c r="AF39" i="1"/>
  <c r="AH39" i="1"/>
  <c r="AM39" i="1"/>
  <c r="AN39" i="1"/>
  <c r="K40" i="1"/>
  <c r="L40" i="1"/>
  <c r="M40" i="1"/>
  <c r="N40" i="1" s="1"/>
  <c r="V40" i="1"/>
  <c r="S15" i="3" s="1"/>
  <c r="Y40" i="1"/>
  <c r="Z40" i="1"/>
  <c r="AB40" i="1"/>
  <c r="AC40" i="1"/>
  <c r="AD40" i="1"/>
  <c r="AG40" i="1" s="1"/>
  <c r="AE40" i="1"/>
  <c r="AF40" i="1"/>
  <c r="AH40" i="1"/>
  <c r="AM40" i="1"/>
  <c r="AN40" i="1"/>
  <c r="K41" i="1"/>
  <c r="L41" i="1"/>
  <c r="M41" i="1"/>
  <c r="N41" i="1" s="1"/>
  <c r="V41" i="1"/>
  <c r="Y41" i="1"/>
  <c r="Z41" i="1"/>
  <c r="AB41" i="1"/>
  <c r="AC41" i="1"/>
  <c r="AD41" i="1"/>
  <c r="AG41" i="1" s="1"/>
  <c r="AE41" i="1"/>
  <c r="AF41" i="1"/>
  <c r="AH41" i="1"/>
  <c r="AM41" i="1"/>
  <c r="AN41" i="1"/>
  <c r="K42" i="1"/>
  <c r="L42" i="1"/>
  <c r="M42" i="1"/>
  <c r="N42" i="1" s="1"/>
  <c r="V42" i="1"/>
  <c r="Y42" i="1"/>
  <c r="Z42" i="1"/>
  <c r="AB42" i="1"/>
  <c r="AC42" i="1"/>
  <c r="AD42" i="1"/>
  <c r="T42" i="1" s="1"/>
  <c r="AE42" i="1"/>
  <c r="AF42" i="1"/>
  <c r="AH42" i="1"/>
  <c r="AM42" i="1"/>
  <c r="AN42" i="1"/>
  <c r="K43" i="1"/>
  <c r="L43" i="1"/>
  <c r="M43" i="1"/>
  <c r="N43" i="1" s="1"/>
  <c r="V43" i="1"/>
  <c r="Y43" i="1"/>
  <c r="Z43" i="1"/>
  <c r="AB43" i="1"/>
  <c r="AC43" i="1"/>
  <c r="AD43" i="1"/>
  <c r="AG43" i="1" s="1"/>
  <c r="AE43" i="1"/>
  <c r="AF43" i="1"/>
  <c r="AH43" i="1"/>
  <c r="AM43" i="1"/>
  <c r="AN43" i="1"/>
  <c r="K44" i="1"/>
  <c r="L44" i="1"/>
  <c r="M44" i="1"/>
  <c r="N44" i="1" s="1"/>
  <c r="V44" i="1"/>
  <c r="Y44" i="1"/>
  <c r="Z44" i="1"/>
  <c r="AB44" i="1"/>
  <c r="AC44" i="1"/>
  <c r="AD44" i="1"/>
  <c r="AG44" i="1" s="1"/>
  <c r="AE44" i="1"/>
  <c r="R9" i="3" s="1"/>
  <c r="AF44" i="1"/>
  <c r="AH44" i="1"/>
  <c r="AM44" i="1"/>
  <c r="AN44" i="1"/>
  <c r="K45" i="1"/>
  <c r="L45" i="1"/>
  <c r="M45" i="1"/>
  <c r="N45" i="1" s="1"/>
  <c r="V45" i="1"/>
  <c r="Y45" i="1"/>
  <c r="Z45" i="1"/>
  <c r="AB45" i="1"/>
  <c r="AC45" i="1"/>
  <c r="AD45" i="1"/>
  <c r="AG45" i="1" s="1"/>
  <c r="AE45" i="1"/>
  <c r="AF45" i="1"/>
  <c r="AH45" i="1"/>
  <c r="AM45" i="1"/>
  <c r="AN45" i="1"/>
  <c r="K46" i="1"/>
  <c r="L46" i="1"/>
  <c r="M46" i="1"/>
  <c r="N46" i="1" s="1"/>
  <c r="V46" i="1"/>
  <c r="Y46" i="1"/>
  <c r="Z46" i="1"/>
  <c r="AB46" i="1"/>
  <c r="AC46" i="1"/>
  <c r="AD46" i="1"/>
  <c r="T46" i="1" s="1"/>
  <c r="AE46" i="1"/>
  <c r="AF46" i="1"/>
  <c r="AH46" i="1"/>
  <c r="AM46" i="1"/>
  <c r="AN46" i="1"/>
  <c r="K47" i="1"/>
  <c r="L47" i="1"/>
  <c r="M47" i="1"/>
  <c r="N47" i="1" s="1"/>
  <c r="V47" i="1"/>
  <c r="Y47" i="1"/>
  <c r="Z47" i="1"/>
  <c r="AB47" i="1"/>
  <c r="AC47" i="1"/>
  <c r="AD47" i="1"/>
  <c r="AE47" i="1"/>
  <c r="AF47" i="1"/>
  <c r="AH47" i="1"/>
  <c r="AM47" i="1"/>
  <c r="AN47" i="1"/>
  <c r="K48" i="1"/>
  <c r="L48" i="1"/>
  <c r="M48" i="1"/>
  <c r="N48" i="1" s="1"/>
  <c r="V48" i="1"/>
  <c r="Y48" i="1"/>
  <c r="Z48" i="1"/>
  <c r="AB48" i="1"/>
  <c r="AC48" i="1"/>
  <c r="AD48" i="1"/>
  <c r="AG48" i="1" s="1"/>
  <c r="AE48" i="1"/>
  <c r="AF48" i="1"/>
  <c r="AH48" i="1"/>
  <c r="AM48" i="1"/>
  <c r="AN48" i="1"/>
  <c r="K49" i="1"/>
  <c r="L49" i="1"/>
  <c r="M49" i="1"/>
  <c r="N49" i="1" s="1"/>
  <c r="V49" i="1"/>
  <c r="Y49" i="1"/>
  <c r="Z49" i="1"/>
  <c r="AB49" i="1"/>
  <c r="AC49" i="1"/>
  <c r="AD49" i="1"/>
  <c r="AG49" i="1" s="1"/>
  <c r="AE49" i="1"/>
  <c r="AF49" i="1"/>
  <c r="AH49" i="1"/>
  <c r="AM49" i="1"/>
  <c r="AN49" i="1"/>
  <c r="K50" i="1"/>
  <c r="L50" i="1"/>
  <c r="M50" i="1"/>
  <c r="N50" i="1" s="1"/>
  <c r="V50" i="1"/>
  <c r="Y50" i="1"/>
  <c r="Z50" i="1"/>
  <c r="AB50" i="1"/>
  <c r="AC50" i="1"/>
  <c r="AD50" i="1"/>
  <c r="T50" i="1" s="1"/>
  <c r="AE50" i="1"/>
  <c r="AF50" i="1"/>
  <c r="AH50" i="1"/>
  <c r="AM50" i="1"/>
  <c r="AN50" i="1"/>
  <c r="K51" i="1"/>
  <c r="L51" i="1"/>
  <c r="M51" i="1"/>
  <c r="N51" i="1" s="1"/>
  <c r="V51" i="1"/>
  <c r="Y51" i="1"/>
  <c r="Z51" i="1"/>
  <c r="AB51" i="1"/>
  <c r="AC51" i="1"/>
  <c r="AD51" i="1"/>
  <c r="T51" i="1" s="1"/>
  <c r="AE51" i="1"/>
  <c r="AF51" i="1"/>
  <c r="AH51" i="1"/>
  <c r="AM51" i="1"/>
  <c r="AN51" i="1"/>
  <c r="K52" i="1"/>
  <c r="L52" i="1"/>
  <c r="M52" i="1"/>
  <c r="N52" i="1" s="1"/>
  <c r="V52" i="1"/>
  <c r="Y52" i="1"/>
  <c r="Z52" i="1"/>
  <c r="AB52" i="1"/>
  <c r="AC52" i="1"/>
  <c r="AD52" i="1"/>
  <c r="AG52" i="1" s="1"/>
  <c r="AE52" i="1"/>
  <c r="AF52" i="1"/>
  <c r="AH52" i="1"/>
  <c r="AM52" i="1"/>
  <c r="AN52" i="1"/>
  <c r="K53" i="1"/>
  <c r="L53" i="1"/>
  <c r="M53" i="1"/>
  <c r="N53" i="1" s="1"/>
  <c r="V53" i="1"/>
  <c r="Y53" i="1"/>
  <c r="Z53" i="1"/>
  <c r="AB53" i="1"/>
  <c r="AC53" i="1"/>
  <c r="AD53" i="1"/>
  <c r="T53" i="1" s="1"/>
  <c r="AE53" i="1"/>
  <c r="AF53" i="1"/>
  <c r="AH53" i="1"/>
  <c r="AM53" i="1"/>
  <c r="AN53" i="1"/>
  <c r="K54" i="1"/>
  <c r="L54" i="1"/>
  <c r="M54" i="1"/>
  <c r="N54" i="1" s="1"/>
  <c r="V54" i="1"/>
  <c r="Y54" i="1"/>
  <c r="Z54" i="1"/>
  <c r="AB54" i="1"/>
  <c r="AC54" i="1"/>
  <c r="AD54" i="1"/>
  <c r="AE54" i="1"/>
  <c r="AF54" i="1"/>
  <c r="AH54" i="1"/>
  <c r="AM54" i="1"/>
  <c r="AN54" i="1"/>
  <c r="K55" i="1"/>
  <c r="L55" i="1"/>
  <c r="M55" i="1"/>
  <c r="N55" i="1" s="1"/>
  <c r="V55" i="1"/>
  <c r="Y55" i="1"/>
  <c r="Z55" i="1"/>
  <c r="AB55" i="1"/>
  <c r="AC55" i="1"/>
  <c r="AD55" i="1"/>
  <c r="T55" i="1" s="1"/>
  <c r="AE55" i="1"/>
  <c r="AF55" i="1"/>
  <c r="AH55" i="1"/>
  <c r="AM55" i="1"/>
  <c r="AN55" i="1"/>
  <c r="K56" i="1"/>
  <c r="L56" i="1"/>
  <c r="M56" i="1"/>
  <c r="N56" i="1" s="1"/>
  <c r="V56" i="1"/>
  <c r="Y56" i="1"/>
  <c r="Z56" i="1"/>
  <c r="AB56" i="1"/>
  <c r="AC56" i="1"/>
  <c r="AD56" i="1"/>
  <c r="AG56" i="1" s="1"/>
  <c r="AE56" i="1"/>
  <c r="AF56" i="1"/>
  <c r="AH56" i="1"/>
  <c r="AM56" i="1"/>
  <c r="AN56" i="1"/>
  <c r="K57" i="1"/>
  <c r="L57" i="1"/>
  <c r="M57" i="1"/>
  <c r="N57" i="1" s="1"/>
  <c r="V57" i="1"/>
  <c r="Y57" i="1"/>
  <c r="Z57" i="1"/>
  <c r="AB57" i="1"/>
  <c r="AC57" i="1"/>
  <c r="AD57" i="1"/>
  <c r="AG57" i="1" s="1"/>
  <c r="AE57" i="1"/>
  <c r="AF57" i="1"/>
  <c r="AH57" i="1"/>
  <c r="AM57" i="1"/>
  <c r="AN57" i="1"/>
  <c r="K58" i="1"/>
  <c r="L58" i="1"/>
  <c r="M58" i="1"/>
  <c r="N58" i="1" s="1"/>
  <c r="V58" i="1"/>
  <c r="Y58" i="1"/>
  <c r="Z58" i="1"/>
  <c r="AB58" i="1"/>
  <c r="AC58" i="1"/>
  <c r="AD58" i="1"/>
  <c r="AE58" i="1"/>
  <c r="AF58" i="1"/>
  <c r="AH58" i="1"/>
  <c r="AM58" i="1"/>
  <c r="AN58" i="1"/>
  <c r="K59" i="1"/>
  <c r="L59" i="1"/>
  <c r="M59" i="1"/>
  <c r="N59" i="1" s="1"/>
  <c r="V59" i="1"/>
  <c r="Y59" i="1"/>
  <c r="Z59" i="1"/>
  <c r="AB59" i="1"/>
  <c r="AC59" i="1"/>
  <c r="AD59" i="1"/>
  <c r="T59" i="1" s="1"/>
  <c r="AE59" i="1"/>
  <c r="AF59" i="1"/>
  <c r="AH59" i="1"/>
  <c r="AM59" i="1"/>
  <c r="AN59" i="1"/>
  <c r="K60" i="1"/>
  <c r="L60" i="1"/>
  <c r="M60" i="1"/>
  <c r="N60" i="1" s="1"/>
  <c r="V60" i="1"/>
  <c r="Y60" i="1"/>
  <c r="Z60" i="1"/>
  <c r="AB60" i="1"/>
  <c r="AC60" i="1"/>
  <c r="AD60" i="1"/>
  <c r="AG60" i="1" s="1"/>
  <c r="AE60" i="1"/>
  <c r="AF60" i="1"/>
  <c r="AH60" i="1"/>
  <c r="AM60" i="1"/>
  <c r="AN60" i="1"/>
  <c r="K61" i="1"/>
  <c r="L61" i="1"/>
  <c r="M61" i="1"/>
  <c r="N61" i="1" s="1"/>
  <c r="V61" i="1"/>
  <c r="Y61" i="1"/>
  <c r="Z61" i="1"/>
  <c r="AB61" i="1"/>
  <c r="AC61" i="1"/>
  <c r="AD61" i="1"/>
  <c r="AG61" i="1" s="1"/>
  <c r="AE61" i="1"/>
  <c r="R8" i="3" s="1"/>
  <c r="AF61" i="1"/>
  <c r="AH61" i="1"/>
  <c r="AM61" i="1"/>
  <c r="AN61" i="1"/>
  <c r="K62" i="1"/>
  <c r="L62" i="1"/>
  <c r="M62" i="1"/>
  <c r="N62" i="1" s="1"/>
  <c r="V62" i="1"/>
  <c r="Y62" i="1"/>
  <c r="Z62" i="1"/>
  <c r="AB62" i="1"/>
  <c r="AC62" i="1"/>
  <c r="AD62" i="1"/>
  <c r="T62" i="1" s="1"/>
  <c r="AE62" i="1"/>
  <c r="AF62" i="1"/>
  <c r="AH62" i="1"/>
  <c r="AM62" i="1"/>
  <c r="AN62" i="1"/>
  <c r="K63" i="1"/>
  <c r="L63" i="1"/>
  <c r="M63" i="1"/>
  <c r="N63" i="1" s="1"/>
  <c r="V63" i="1"/>
  <c r="Y63" i="1"/>
  <c r="Z63" i="1"/>
  <c r="AB63" i="1"/>
  <c r="AC63" i="1"/>
  <c r="AD63" i="1"/>
  <c r="T63" i="1" s="1"/>
  <c r="AE63" i="1"/>
  <c r="R12" i="3" s="1"/>
  <c r="AF63" i="1"/>
  <c r="AH63" i="1"/>
  <c r="AM63" i="1"/>
  <c r="AN63" i="1"/>
  <c r="K64" i="1"/>
  <c r="L64" i="1"/>
  <c r="M64" i="1"/>
  <c r="N64" i="1" s="1"/>
  <c r="V64" i="1"/>
  <c r="Y64" i="1"/>
  <c r="Z64" i="1"/>
  <c r="AB64" i="1"/>
  <c r="AC64" i="1"/>
  <c r="AD64" i="1"/>
  <c r="AG64" i="1" s="1"/>
  <c r="AE64" i="1"/>
  <c r="AF64" i="1"/>
  <c r="AH64" i="1"/>
  <c r="AM64" i="1"/>
  <c r="AN64" i="1"/>
  <c r="K65" i="1"/>
  <c r="L65" i="1"/>
  <c r="M65" i="1"/>
  <c r="N65" i="1" s="1"/>
  <c r="V65" i="1"/>
  <c r="Y65" i="1"/>
  <c r="Z65" i="1"/>
  <c r="AB65" i="1"/>
  <c r="AC65" i="1"/>
  <c r="AD65" i="1"/>
  <c r="AG65" i="1" s="1"/>
  <c r="AE65" i="1"/>
  <c r="AF65" i="1"/>
  <c r="AH65" i="1"/>
  <c r="AM65" i="1"/>
  <c r="AN65" i="1"/>
  <c r="K66" i="1"/>
  <c r="L66" i="1"/>
  <c r="M66" i="1"/>
  <c r="N66" i="1" s="1"/>
  <c r="V66" i="1"/>
  <c r="Y66" i="1"/>
  <c r="Z66" i="1"/>
  <c r="AB66" i="1"/>
  <c r="AC66" i="1"/>
  <c r="AD66" i="1"/>
  <c r="AE66" i="1"/>
  <c r="AF66" i="1"/>
  <c r="AH66" i="1"/>
  <c r="AM66" i="1"/>
  <c r="AN66" i="1"/>
  <c r="K67" i="1"/>
  <c r="L67" i="1"/>
  <c r="M67" i="1"/>
  <c r="N67" i="1" s="1"/>
  <c r="V67" i="1"/>
  <c r="Y67" i="1"/>
  <c r="Z67" i="1"/>
  <c r="AB67" i="1"/>
  <c r="AC67" i="1"/>
  <c r="AD67" i="1"/>
  <c r="T67" i="1" s="1"/>
  <c r="AE67" i="1"/>
  <c r="AF67" i="1"/>
  <c r="AH67" i="1"/>
  <c r="AM67" i="1"/>
  <c r="AN67" i="1"/>
  <c r="K68" i="1"/>
  <c r="L68" i="1"/>
  <c r="M68" i="1"/>
  <c r="N68" i="1" s="1"/>
  <c r="V68" i="1"/>
  <c r="Y68" i="1"/>
  <c r="Z68" i="1"/>
  <c r="AB68" i="1"/>
  <c r="AC68" i="1"/>
  <c r="AD68" i="1"/>
  <c r="AG68" i="1" s="1"/>
  <c r="AE68" i="1"/>
  <c r="AF68" i="1"/>
  <c r="AH68" i="1"/>
  <c r="AM68" i="1"/>
  <c r="AN68" i="1"/>
  <c r="K69" i="1"/>
  <c r="L69" i="1"/>
  <c r="M69" i="1"/>
  <c r="N69" i="1" s="1"/>
  <c r="V69" i="1"/>
  <c r="Y69" i="1"/>
  <c r="Z69" i="1"/>
  <c r="AB69" i="1"/>
  <c r="AC69" i="1"/>
  <c r="AD69" i="1"/>
  <c r="AG69" i="1" s="1"/>
  <c r="AE69" i="1"/>
  <c r="AF69" i="1"/>
  <c r="AH69" i="1"/>
  <c r="AM69" i="1"/>
  <c r="AN69" i="1"/>
  <c r="K70" i="1"/>
  <c r="L70" i="1"/>
  <c r="M70" i="1"/>
  <c r="N70" i="1" s="1"/>
  <c r="V70" i="1"/>
  <c r="Y70" i="1"/>
  <c r="Z70" i="1"/>
  <c r="AB70" i="1"/>
  <c r="AC70" i="1"/>
  <c r="AD70" i="1"/>
  <c r="T70" i="1" s="1"/>
  <c r="AE70" i="1"/>
  <c r="AF70" i="1"/>
  <c r="AH70" i="1"/>
  <c r="AM70" i="1"/>
  <c r="AN70" i="1"/>
  <c r="K71" i="1"/>
  <c r="L71" i="1"/>
  <c r="M71" i="1"/>
  <c r="N71" i="1" s="1"/>
  <c r="V71" i="1"/>
  <c r="Y71" i="1"/>
  <c r="Z71" i="1"/>
  <c r="AB71" i="1"/>
  <c r="AC71" i="1"/>
  <c r="AD71" i="1"/>
  <c r="T71" i="1" s="1"/>
  <c r="AE71" i="1"/>
  <c r="AF71" i="1"/>
  <c r="AH71" i="1"/>
  <c r="AM71" i="1"/>
  <c r="AN71" i="1"/>
  <c r="K72" i="1"/>
  <c r="L72" i="1"/>
  <c r="M72" i="1"/>
  <c r="N72" i="1" s="1"/>
  <c r="V72" i="1"/>
  <c r="Y72" i="1"/>
  <c r="Z72" i="1"/>
  <c r="AB72" i="1"/>
  <c r="AC72" i="1"/>
  <c r="AD72" i="1"/>
  <c r="AG72" i="1" s="1"/>
  <c r="AE72" i="1"/>
  <c r="AF72" i="1"/>
  <c r="AH72" i="1"/>
  <c r="AM72" i="1"/>
  <c r="AN72" i="1"/>
  <c r="K73" i="1"/>
  <c r="L73" i="1"/>
  <c r="M73" i="1"/>
  <c r="N73" i="1" s="1"/>
  <c r="V73" i="1"/>
  <c r="Y73" i="1"/>
  <c r="Z73" i="1"/>
  <c r="AB73" i="1"/>
  <c r="AC73" i="1"/>
  <c r="AD73" i="1"/>
  <c r="AG73" i="1" s="1"/>
  <c r="AE73" i="1"/>
  <c r="AF73" i="1"/>
  <c r="AH73" i="1"/>
  <c r="AM73" i="1"/>
  <c r="AN73" i="1"/>
  <c r="K74" i="1"/>
  <c r="L74" i="1"/>
  <c r="M74" i="1"/>
  <c r="N74" i="1" s="1"/>
  <c r="V74" i="1"/>
  <c r="Y74" i="1"/>
  <c r="Z74" i="1"/>
  <c r="AB74" i="1"/>
  <c r="AC74" i="1"/>
  <c r="AD74" i="1"/>
  <c r="T74" i="1" s="1"/>
  <c r="AE74" i="1"/>
  <c r="AF74" i="1"/>
  <c r="AH74" i="1"/>
  <c r="AM74" i="1"/>
  <c r="AN74" i="1"/>
  <c r="K75" i="1"/>
  <c r="L75" i="1"/>
  <c r="M75" i="1"/>
  <c r="N75" i="1" s="1"/>
  <c r="V75" i="1"/>
  <c r="Y75" i="1"/>
  <c r="Z75" i="1"/>
  <c r="AB75" i="1"/>
  <c r="AC75" i="1"/>
  <c r="AD75" i="1"/>
  <c r="T75" i="1" s="1"/>
  <c r="AE75" i="1"/>
  <c r="AF75" i="1"/>
  <c r="AH75" i="1"/>
  <c r="AM75" i="1"/>
  <c r="AN75" i="1"/>
  <c r="K76" i="1"/>
  <c r="L76" i="1"/>
  <c r="M76" i="1"/>
  <c r="N76" i="1" s="1"/>
  <c r="V76" i="1"/>
  <c r="Y76" i="1"/>
  <c r="Z76" i="1"/>
  <c r="AB76" i="1"/>
  <c r="AC76" i="1"/>
  <c r="AD76" i="1"/>
  <c r="AG76" i="1" s="1"/>
  <c r="AE76" i="1"/>
  <c r="AF76" i="1"/>
  <c r="AH76" i="1"/>
  <c r="AM76" i="1"/>
  <c r="AN76" i="1"/>
  <c r="K77" i="1"/>
  <c r="L77" i="1"/>
  <c r="M77" i="1"/>
  <c r="N77" i="1" s="1"/>
  <c r="V77" i="1"/>
  <c r="Y77" i="1"/>
  <c r="Z77" i="1"/>
  <c r="AB77" i="1"/>
  <c r="AC77" i="1"/>
  <c r="AD77" i="1"/>
  <c r="AG77" i="1" s="1"/>
  <c r="AE77" i="1"/>
  <c r="AF77" i="1"/>
  <c r="AH77" i="1"/>
  <c r="AM77" i="1"/>
  <c r="AN77" i="1"/>
  <c r="K78" i="1"/>
  <c r="L78" i="1"/>
  <c r="M78" i="1"/>
  <c r="N78" i="1" s="1"/>
  <c r="V78" i="1"/>
  <c r="Y78" i="1"/>
  <c r="Z78" i="1"/>
  <c r="AB78" i="1"/>
  <c r="AC78" i="1"/>
  <c r="AD78" i="1"/>
  <c r="AE78" i="1"/>
  <c r="AF78" i="1"/>
  <c r="AH78" i="1"/>
  <c r="AM78" i="1"/>
  <c r="AN78" i="1"/>
  <c r="K79" i="1"/>
  <c r="L79" i="1"/>
  <c r="M79" i="1"/>
  <c r="N79" i="1" s="1"/>
  <c r="V79" i="1"/>
  <c r="Y79" i="1"/>
  <c r="Z79" i="1"/>
  <c r="AB79" i="1"/>
  <c r="AC79" i="1"/>
  <c r="AD79" i="1"/>
  <c r="T79" i="1" s="1"/>
  <c r="AE79" i="1"/>
  <c r="AF79" i="1"/>
  <c r="AH79" i="1"/>
  <c r="AM79" i="1"/>
  <c r="AN79" i="1"/>
  <c r="K80" i="1"/>
  <c r="L80" i="1"/>
  <c r="M80" i="1"/>
  <c r="N80" i="1" s="1"/>
  <c r="V80" i="1"/>
  <c r="Y80" i="1"/>
  <c r="Z80" i="1"/>
  <c r="AB80" i="1"/>
  <c r="AC80" i="1"/>
  <c r="AD80" i="1"/>
  <c r="AG80" i="1" s="1"/>
  <c r="AE80" i="1"/>
  <c r="AF80" i="1"/>
  <c r="AH80" i="1"/>
  <c r="AM80" i="1"/>
  <c r="AN80" i="1"/>
  <c r="K81" i="1"/>
  <c r="L81" i="1"/>
  <c r="M81" i="1"/>
  <c r="N81" i="1" s="1"/>
  <c r="V81" i="1"/>
  <c r="Y81" i="1"/>
  <c r="Z81" i="1"/>
  <c r="AB81" i="1"/>
  <c r="AC81" i="1"/>
  <c r="AD81" i="1"/>
  <c r="AG81" i="1" s="1"/>
  <c r="AE81" i="1"/>
  <c r="AF81" i="1"/>
  <c r="AH81" i="1"/>
  <c r="AM81" i="1"/>
  <c r="AN81" i="1"/>
  <c r="K82" i="1"/>
  <c r="L82" i="1"/>
  <c r="M82" i="1"/>
  <c r="N82" i="1" s="1"/>
  <c r="V82" i="1"/>
  <c r="Y82" i="1"/>
  <c r="Z82" i="1"/>
  <c r="AB82" i="1"/>
  <c r="AC82" i="1"/>
  <c r="AD82" i="1"/>
  <c r="T82" i="1" s="1"/>
  <c r="AE82" i="1"/>
  <c r="AF82" i="1"/>
  <c r="AH82" i="1"/>
  <c r="AM82" i="1"/>
  <c r="AN82" i="1"/>
  <c r="K83" i="1"/>
  <c r="L83" i="1"/>
  <c r="M83" i="1"/>
  <c r="N83" i="1" s="1"/>
  <c r="V83" i="1"/>
  <c r="Y83" i="1"/>
  <c r="Z83" i="1"/>
  <c r="AB83" i="1"/>
  <c r="AC83" i="1"/>
  <c r="AD83" i="1"/>
  <c r="T83" i="1" s="1"/>
  <c r="AE83" i="1"/>
  <c r="AF83" i="1"/>
  <c r="AH83" i="1"/>
  <c r="AM83" i="1"/>
  <c r="AN83" i="1"/>
  <c r="K84" i="1"/>
  <c r="L84" i="1"/>
  <c r="M84" i="1"/>
  <c r="P84" i="1" s="1"/>
  <c r="V84" i="1"/>
  <c r="Y84" i="1"/>
  <c r="Z84" i="1"/>
  <c r="AB84" i="1"/>
  <c r="AC84" i="1"/>
  <c r="AD84" i="1"/>
  <c r="AE84" i="1"/>
  <c r="AF84" i="1"/>
  <c r="AH84" i="1"/>
  <c r="AM84" i="1"/>
  <c r="AN84" i="1"/>
  <c r="K85" i="1"/>
  <c r="L85" i="1"/>
  <c r="M85" i="1"/>
  <c r="N85" i="1" s="1"/>
  <c r="V85" i="1"/>
  <c r="Y85" i="1"/>
  <c r="Z85" i="1"/>
  <c r="AB85" i="1"/>
  <c r="AC85" i="1"/>
  <c r="AD85" i="1"/>
  <c r="AG85" i="1" s="1"/>
  <c r="AE85" i="1"/>
  <c r="AF85" i="1"/>
  <c r="AH85" i="1"/>
  <c r="AM85" i="1"/>
  <c r="AN85" i="1"/>
  <c r="K86" i="1"/>
  <c r="L86" i="1"/>
  <c r="M86" i="1"/>
  <c r="N86" i="1" s="1"/>
  <c r="V86" i="1"/>
  <c r="Y86" i="1"/>
  <c r="Z86" i="1"/>
  <c r="AB86" i="1"/>
  <c r="AC86" i="1"/>
  <c r="AD86" i="1"/>
  <c r="AE86" i="1"/>
  <c r="AF86" i="1"/>
  <c r="AH86" i="1"/>
  <c r="AM86" i="1"/>
  <c r="AN86" i="1"/>
  <c r="K87" i="1"/>
  <c r="L87" i="1"/>
  <c r="M87" i="1"/>
  <c r="N87" i="1" s="1"/>
  <c r="V87" i="1"/>
  <c r="Y87" i="1"/>
  <c r="Z87" i="1"/>
  <c r="AB87" i="1"/>
  <c r="AC87" i="1"/>
  <c r="AD87" i="1"/>
  <c r="T87" i="1" s="1"/>
  <c r="AE87" i="1"/>
  <c r="AF87" i="1"/>
  <c r="AH87" i="1"/>
  <c r="AM87" i="1"/>
  <c r="AN87" i="1"/>
  <c r="K88" i="1"/>
  <c r="L88" i="1"/>
  <c r="M88" i="1"/>
  <c r="N88" i="1" s="1"/>
  <c r="V88" i="1"/>
  <c r="Y88" i="1"/>
  <c r="Z88" i="1"/>
  <c r="AB88" i="1"/>
  <c r="AC88" i="1"/>
  <c r="AD88" i="1"/>
  <c r="AE88" i="1"/>
  <c r="AF88" i="1"/>
  <c r="AH88" i="1"/>
  <c r="AM88" i="1"/>
  <c r="AN88" i="1"/>
  <c r="K89" i="1"/>
  <c r="L89" i="1"/>
  <c r="M89" i="1"/>
  <c r="N89" i="1" s="1"/>
  <c r="V89" i="1"/>
  <c r="Y89" i="1"/>
  <c r="Z89" i="1"/>
  <c r="AB89" i="1"/>
  <c r="AC89" i="1"/>
  <c r="AD89" i="1"/>
  <c r="T89" i="1" s="1"/>
  <c r="AE89" i="1"/>
  <c r="AF89" i="1"/>
  <c r="AH89" i="1"/>
  <c r="AM89" i="1"/>
  <c r="AN89" i="1"/>
  <c r="K90" i="1"/>
  <c r="L90" i="1"/>
  <c r="M90" i="1"/>
  <c r="N90" i="1" s="1"/>
  <c r="V90" i="1"/>
  <c r="Y90" i="1"/>
  <c r="Z90" i="1"/>
  <c r="AB90" i="1"/>
  <c r="AC90" i="1"/>
  <c r="AD90" i="1"/>
  <c r="T90" i="1" s="1"/>
  <c r="AE90" i="1"/>
  <c r="AF90" i="1"/>
  <c r="AH90" i="1"/>
  <c r="AM90" i="1"/>
  <c r="AN90" i="1"/>
  <c r="K91" i="1"/>
  <c r="L91" i="1"/>
  <c r="M91" i="1"/>
  <c r="N91" i="1" s="1"/>
  <c r="V91" i="1"/>
  <c r="Y91" i="1"/>
  <c r="Z91" i="1"/>
  <c r="AB91" i="1"/>
  <c r="AC91" i="1"/>
  <c r="AD91" i="1"/>
  <c r="AG91" i="1" s="1"/>
  <c r="AE91" i="1"/>
  <c r="AF91" i="1"/>
  <c r="AH91" i="1"/>
  <c r="AM91" i="1"/>
  <c r="AN91" i="1"/>
  <c r="K92" i="1"/>
  <c r="L92" i="1"/>
  <c r="M92" i="1"/>
  <c r="N92" i="1" s="1"/>
  <c r="V92" i="1"/>
  <c r="Y92" i="1"/>
  <c r="Z92" i="1"/>
  <c r="AB92" i="1"/>
  <c r="AC92" i="1"/>
  <c r="AD92" i="1"/>
  <c r="AE92" i="1"/>
  <c r="AF92" i="1"/>
  <c r="AH92" i="1"/>
  <c r="AM92" i="1"/>
  <c r="AN92" i="1"/>
  <c r="K157" i="1"/>
  <c r="L157" i="1"/>
  <c r="M157" i="1"/>
  <c r="N157" i="1" s="1"/>
  <c r="V157" i="1"/>
  <c r="Y157" i="1"/>
  <c r="Z157" i="1"/>
  <c r="AB157" i="1"/>
  <c r="AC157" i="1"/>
  <c r="AD157" i="1"/>
  <c r="T157" i="1" s="1"/>
  <c r="AE157" i="1"/>
  <c r="AF157" i="1"/>
  <c r="AH93" i="1"/>
  <c r="AM93" i="1"/>
  <c r="AN93" i="1"/>
  <c r="K158" i="1"/>
  <c r="L158" i="1"/>
  <c r="M158" i="1"/>
  <c r="N158" i="1" s="1"/>
  <c r="V158" i="1"/>
  <c r="Y158" i="1"/>
  <c r="Z158" i="1"/>
  <c r="AB158" i="1"/>
  <c r="AC158" i="1"/>
  <c r="AD158" i="1"/>
  <c r="AG158" i="1" s="1"/>
  <c r="AE158" i="1"/>
  <c r="AF158" i="1"/>
  <c r="AH94" i="1"/>
  <c r="AM94" i="1"/>
  <c r="AN94" i="1"/>
  <c r="K159" i="1"/>
  <c r="L159" i="1"/>
  <c r="M159" i="1"/>
  <c r="N159" i="1" s="1"/>
  <c r="V159" i="1"/>
  <c r="Y159" i="1"/>
  <c r="Z159" i="1"/>
  <c r="AI159" i="1" s="1"/>
  <c r="AB159" i="1"/>
  <c r="AC159" i="1"/>
  <c r="AD159" i="1"/>
  <c r="AG159" i="1" s="1"/>
  <c r="AE159" i="1"/>
  <c r="AF159" i="1"/>
  <c r="AH95" i="1"/>
  <c r="AM95" i="1"/>
  <c r="AN95" i="1"/>
  <c r="K160" i="1"/>
  <c r="L160" i="1"/>
  <c r="M160" i="1"/>
  <c r="N160" i="1" s="1"/>
  <c r="V160" i="1"/>
  <c r="Y160" i="1"/>
  <c r="Z160" i="1"/>
  <c r="AB160" i="1"/>
  <c r="AC160" i="1"/>
  <c r="AD160" i="1"/>
  <c r="T160" i="1" s="1"/>
  <c r="AE160" i="1"/>
  <c r="AF160" i="1"/>
  <c r="AH96" i="1"/>
  <c r="AM96" i="1"/>
  <c r="AN96" i="1"/>
  <c r="K161" i="1"/>
  <c r="L161" i="1"/>
  <c r="M161" i="1"/>
  <c r="N161" i="1" s="1"/>
  <c r="V161" i="1"/>
  <c r="Y161" i="1"/>
  <c r="Z161" i="1"/>
  <c r="AB161" i="1"/>
  <c r="AC161" i="1"/>
  <c r="AD161" i="1"/>
  <c r="T161" i="1" s="1"/>
  <c r="AE161" i="1"/>
  <c r="AF161" i="1"/>
  <c r="AH97" i="1"/>
  <c r="AM97" i="1"/>
  <c r="AN97" i="1"/>
  <c r="K162" i="1"/>
  <c r="L162" i="1"/>
  <c r="M162" i="1"/>
  <c r="N162" i="1" s="1"/>
  <c r="V162" i="1"/>
  <c r="Y162" i="1"/>
  <c r="Z162" i="1"/>
  <c r="AB162" i="1"/>
  <c r="AC162" i="1"/>
  <c r="AD162" i="1"/>
  <c r="AG162" i="1" s="1"/>
  <c r="AE162" i="1"/>
  <c r="AF162" i="1"/>
  <c r="AH98" i="1"/>
  <c r="AM98" i="1"/>
  <c r="AN98" i="1"/>
  <c r="K163" i="1"/>
  <c r="L163" i="1"/>
  <c r="M163" i="1"/>
  <c r="N163" i="1" s="1"/>
  <c r="V163" i="1"/>
  <c r="Y163" i="1"/>
  <c r="Z163" i="1"/>
  <c r="AB163" i="1"/>
  <c r="AC163" i="1"/>
  <c r="AD163" i="1"/>
  <c r="AG163" i="1" s="1"/>
  <c r="AE163" i="1"/>
  <c r="AF163" i="1"/>
  <c r="AH99" i="1"/>
  <c r="AM99" i="1"/>
  <c r="AN99" i="1"/>
  <c r="K164" i="1"/>
  <c r="L164" i="1"/>
  <c r="M164" i="1"/>
  <c r="N164" i="1" s="1"/>
  <c r="V164" i="1"/>
  <c r="Y164" i="1"/>
  <c r="Z164" i="1"/>
  <c r="AB164" i="1"/>
  <c r="AC164" i="1"/>
  <c r="AD164" i="1"/>
  <c r="AE164" i="1"/>
  <c r="AF164" i="1"/>
  <c r="AH100" i="1"/>
  <c r="AM100" i="1"/>
  <c r="AN100" i="1"/>
  <c r="K165" i="1"/>
  <c r="L165" i="1"/>
  <c r="M165" i="1"/>
  <c r="N165" i="1" s="1"/>
  <c r="V165" i="1"/>
  <c r="Y165" i="1"/>
  <c r="Z165" i="1"/>
  <c r="AB165" i="1"/>
  <c r="AC165" i="1"/>
  <c r="AD165" i="1"/>
  <c r="T165" i="1" s="1"/>
  <c r="AE165" i="1"/>
  <c r="AF165" i="1"/>
  <c r="AH101" i="1"/>
  <c r="AM101" i="1"/>
  <c r="AN101" i="1"/>
  <c r="K166" i="1"/>
  <c r="L166" i="1"/>
  <c r="M166" i="1"/>
  <c r="N166" i="1" s="1"/>
  <c r="V166" i="1"/>
  <c r="Y166" i="1"/>
  <c r="Z166" i="1"/>
  <c r="AB166" i="1"/>
  <c r="AC166" i="1"/>
  <c r="AD166" i="1"/>
  <c r="T166" i="1" s="1"/>
  <c r="AE166" i="1"/>
  <c r="AF166" i="1"/>
  <c r="AH102" i="1"/>
  <c r="AM102" i="1"/>
  <c r="AN102" i="1"/>
  <c r="K93" i="1"/>
  <c r="L93" i="1"/>
  <c r="M93" i="1"/>
  <c r="N93" i="1" s="1"/>
  <c r="V93" i="1"/>
  <c r="Y93" i="1"/>
  <c r="Z93" i="1"/>
  <c r="AB93" i="1"/>
  <c r="AC93" i="1"/>
  <c r="AD93" i="1"/>
  <c r="AG93" i="1" s="1"/>
  <c r="AE93" i="1"/>
  <c r="AF93" i="1"/>
  <c r="AH103" i="1"/>
  <c r="AM103" i="1"/>
  <c r="AN103" i="1"/>
  <c r="K167" i="1"/>
  <c r="L167" i="1"/>
  <c r="M167" i="1"/>
  <c r="N167" i="1" s="1"/>
  <c r="V167" i="1"/>
  <c r="Y167" i="1"/>
  <c r="Z167" i="1"/>
  <c r="AB167" i="1"/>
  <c r="AC167" i="1"/>
  <c r="AD167" i="1"/>
  <c r="T167" i="1" s="1"/>
  <c r="AE167" i="1"/>
  <c r="AF167" i="1"/>
  <c r="AH104" i="1"/>
  <c r="AM104" i="1"/>
  <c r="AN104" i="1"/>
  <c r="K168" i="1"/>
  <c r="L168" i="1"/>
  <c r="M168" i="1"/>
  <c r="N168" i="1" s="1"/>
  <c r="V168" i="1"/>
  <c r="Y168" i="1"/>
  <c r="Z168" i="1"/>
  <c r="AB168" i="1"/>
  <c r="AC168" i="1"/>
  <c r="AD168" i="1"/>
  <c r="T168" i="1" s="1"/>
  <c r="AE168" i="1"/>
  <c r="AF168" i="1"/>
  <c r="AH105" i="1"/>
  <c r="AM105" i="1"/>
  <c r="AN105" i="1"/>
  <c r="K169" i="1"/>
  <c r="L169" i="1"/>
  <c r="M169" i="1"/>
  <c r="N169" i="1" s="1"/>
  <c r="V169" i="1"/>
  <c r="Y169" i="1"/>
  <c r="Z169" i="1"/>
  <c r="AB169" i="1"/>
  <c r="AC169" i="1"/>
  <c r="AD169" i="1"/>
  <c r="T169" i="1" s="1"/>
  <c r="AE169" i="1"/>
  <c r="AF169" i="1"/>
  <c r="AH106" i="1"/>
  <c r="AM106" i="1"/>
  <c r="AN106" i="1"/>
  <c r="K170" i="1"/>
  <c r="L170" i="1"/>
  <c r="M170" i="1"/>
  <c r="N170" i="1" s="1"/>
  <c r="V170" i="1"/>
  <c r="Y170" i="1"/>
  <c r="Z170" i="1"/>
  <c r="AB170" i="1"/>
  <c r="AC170" i="1"/>
  <c r="AD170" i="1"/>
  <c r="AG170" i="1" s="1"/>
  <c r="AE170" i="1"/>
  <c r="AF170" i="1"/>
  <c r="AH107" i="1"/>
  <c r="AM107" i="1"/>
  <c r="AN107" i="1"/>
  <c r="K171" i="1"/>
  <c r="L171" i="1"/>
  <c r="M171" i="1"/>
  <c r="N171" i="1" s="1"/>
  <c r="V171" i="1"/>
  <c r="Y171" i="1"/>
  <c r="Z171" i="1"/>
  <c r="AB171" i="1"/>
  <c r="AC171" i="1"/>
  <c r="AD171" i="1"/>
  <c r="T171" i="1" s="1"/>
  <c r="AE171" i="1"/>
  <c r="AF171" i="1"/>
  <c r="AH108" i="1"/>
  <c r="AM108" i="1"/>
  <c r="AN108" i="1"/>
  <c r="K172" i="1"/>
  <c r="L172" i="1"/>
  <c r="M172" i="1"/>
  <c r="N172" i="1" s="1"/>
  <c r="V172" i="1"/>
  <c r="Y172" i="1"/>
  <c r="Z172" i="1"/>
  <c r="AB172" i="1"/>
  <c r="AC172" i="1"/>
  <c r="AD172" i="1"/>
  <c r="T172" i="1" s="1"/>
  <c r="AE172" i="1"/>
  <c r="AF172" i="1"/>
  <c r="AH109" i="1"/>
  <c r="AM109" i="1"/>
  <c r="AN109" i="1"/>
  <c r="K173" i="1"/>
  <c r="L173" i="1"/>
  <c r="M173" i="1"/>
  <c r="N173" i="1" s="1"/>
  <c r="V173" i="1"/>
  <c r="Y173" i="1"/>
  <c r="Z173" i="1"/>
  <c r="AB173" i="1"/>
  <c r="AC173" i="1"/>
  <c r="AD173" i="1"/>
  <c r="T173" i="1" s="1"/>
  <c r="AE173" i="1"/>
  <c r="AF173" i="1"/>
  <c r="AH110" i="1"/>
  <c r="AM110" i="1"/>
  <c r="AN110" i="1"/>
  <c r="K174" i="1"/>
  <c r="L174" i="1"/>
  <c r="M174" i="1"/>
  <c r="N174" i="1" s="1"/>
  <c r="V174" i="1"/>
  <c r="Y174" i="1"/>
  <c r="Z174" i="1"/>
  <c r="AB174" i="1"/>
  <c r="AC174" i="1"/>
  <c r="AD174" i="1"/>
  <c r="AG174" i="1" s="1"/>
  <c r="AE174" i="1"/>
  <c r="AF174" i="1"/>
  <c r="AH111" i="1"/>
  <c r="AM111" i="1"/>
  <c r="AN111" i="1"/>
  <c r="K175" i="1"/>
  <c r="L175" i="1"/>
  <c r="M175" i="1"/>
  <c r="N175" i="1" s="1"/>
  <c r="V175" i="1"/>
  <c r="S26" i="3" s="1"/>
  <c r="Y175" i="1"/>
  <c r="Z175" i="1"/>
  <c r="AB175" i="1"/>
  <c r="AC175" i="1"/>
  <c r="AD175" i="1"/>
  <c r="T175" i="1" s="1"/>
  <c r="AE175" i="1"/>
  <c r="AF175" i="1"/>
  <c r="AH112" i="1"/>
  <c r="AM112" i="1"/>
  <c r="AN112" i="1"/>
  <c r="K176" i="1"/>
  <c r="L176" i="1"/>
  <c r="M176" i="1"/>
  <c r="N176" i="1" s="1"/>
  <c r="V176" i="1"/>
  <c r="Y176" i="1"/>
  <c r="Z176" i="1"/>
  <c r="AB176" i="1"/>
  <c r="AC176" i="1"/>
  <c r="AD176" i="1"/>
  <c r="T176" i="1" s="1"/>
  <c r="AE176" i="1"/>
  <c r="AF176" i="1"/>
  <c r="AH113" i="1"/>
  <c r="AM113" i="1"/>
  <c r="AN113" i="1"/>
  <c r="K94" i="1"/>
  <c r="L94" i="1"/>
  <c r="M94" i="1"/>
  <c r="N94" i="1" s="1"/>
  <c r="V94" i="1"/>
  <c r="Y94" i="1"/>
  <c r="Z94" i="1"/>
  <c r="AB94" i="1"/>
  <c r="AC94" i="1"/>
  <c r="AD94" i="1"/>
  <c r="T94" i="1" s="1"/>
  <c r="AE94" i="1"/>
  <c r="AF94" i="1"/>
  <c r="AH114" i="1"/>
  <c r="AM114" i="1"/>
  <c r="AN114" i="1"/>
  <c r="K177" i="1"/>
  <c r="L177" i="1"/>
  <c r="M177" i="1"/>
  <c r="N177" i="1" s="1"/>
  <c r="V177" i="1"/>
  <c r="Y177" i="1"/>
  <c r="Z177" i="1"/>
  <c r="AB177" i="1"/>
  <c r="AC177" i="1"/>
  <c r="AD177" i="1"/>
  <c r="AG177" i="1" s="1"/>
  <c r="AE177" i="1"/>
  <c r="AF177" i="1"/>
  <c r="AH115" i="1"/>
  <c r="AM115" i="1"/>
  <c r="AN115" i="1"/>
  <c r="K178" i="1"/>
  <c r="L178" i="1"/>
  <c r="M178" i="1"/>
  <c r="N178" i="1" s="1"/>
  <c r="V178" i="1"/>
  <c r="S24" i="3" s="1"/>
  <c r="Y178" i="1"/>
  <c r="Z178" i="1"/>
  <c r="AB178" i="1"/>
  <c r="AC178" i="1"/>
  <c r="AD178" i="1"/>
  <c r="AE178" i="1"/>
  <c r="AF178" i="1"/>
  <c r="AH116" i="1"/>
  <c r="AM116" i="1"/>
  <c r="AN116" i="1"/>
  <c r="K179" i="1"/>
  <c r="L179" i="1"/>
  <c r="M179" i="1"/>
  <c r="N179" i="1" s="1"/>
  <c r="V179" i="1"/>
  <c r="Y179" i="1"/>
  <c r="Z179" i="1"/>
  <c r="AB179" i="1"/>
  <c r="AC179" i="1"/>
  <c r="AD179" i="1"/>
  <c r="T179" i="1" s="1"/>
  <c r="AE179" i="1"/>
  <c r="AF179" i="1"/>
  <c r="AH117" i="1"/>
  <c r="AM117" i="1"/>
  <c r="AN117" i="1"/>
  <c r="K180" i="1"/>
  <c r="L180" i="1"/>
  <c r="M180" i="1"/>
  <c r="N180" i="1" s="1"/>
  <c r="V180" i="1"/>
  <c r="Y180" i="1"/>
  <c r="Z180" i="1"/>
  <c r="AB180" i="1"/>
  <c r="AC180" i="1"/>
  <c r="AD180" i="1"/>
  <c r="T180" i="1" s="1"/>
  <c r="AE180" i="1"/>
  <c r="AF180" i="1"/>
  <c r="AH118" i="1"/>
  <c r="AM118" i="1"/>
  <c r="AN118" i="1"/>
  <c r="K181" i="1"/>
  <c r="L181" i="1"/>
  <c r="M181" i="1"/>
  <c r="N181" i="1" s="1"/>
  <c r="V181" i="1"/>
  <c r="Y181" i="1"/>
  <c r="Z181" i="1"/>
  <c r="AB181" i="1"/>
  <c r="AC181" i="1"/>
  <c r="AD181" i="1"/>
  <c r="AG181" i="1" s="1"/>
  <c r="AE181" i="1"/>
  <c r="AF181" i="1"/>
  <c r="AH119" i="1"/>
  <c r="AM119" i="1"/>
  <c r="AN119" i="1"/>
  <c r="K182" i="1"/>
  <c r="L182" i="1"/>
  <c r="M182" i="1"/>
  <c r="N182" i="1" s="1"/>
  <c r="V182" i="1"/>
  <c r="S25" i="3" s="1"/>
  <c r="Y182" i="1"/>
  <c r="Z182" i="1"/>
  <c r="AB182" i="1"/>
  <c r="AC182" i="1"/>
  <c r="AD182" i="1"/>
  <c r="AE182" i="1"/>
  <c r="AF182" i="1"/>
  <c r="AH120" i="1"/>
  <c r="AM120" i="1"/>
  <c r="AN120" i="1"/>
  <c r="K183" i="1"/>
  <c r="L183" i="1"/>
  <c r="M183" i="1"/>
  <c r="N183" i="1" s="1"/>
  <c r="V183" i="1"/>
  <c r="Y183" i="1"/>
  <c r="Z183" i="1"/>
  <c r="AB183" i="1"/>
  <c r="AC183" i="1"/>
  <c r="AD183" i="1"/>
  <c r="T183" i="1" s="1"/>
  <c r="AE183" i="1"/>
  <c r="AF183" i="1"/>
  <c r="AH121" i="1"/>
  <c r="AM121" i="1"/>
  <c r="AN121" i="1"/>
  <c r="K184" i="1"/>
  <c r="L184" i="1"/>
  <c r="M184" i="1"/>
  <c r="N184" i="1" s="1"/>
  <c r="V184" i="1"/>
  <c r="Y184" i="1"/>
  <c r="AA184" i="1" s="1"/>
  <c r="Z184" i="1"/>
  <c r="AB184" i="1"/>
  <c r="AC184" i="1"/>
  <c r="AD184" i="1"/>
  <c r="T184" i="1" s="1"/>
  <c r="AE184" i="1"/>
  <c r="AF184" i="1"/>
  <c r="AH122" i="1"/>
  <c r="AM122" i="1"/>
  <c r="AN122" i="1"/>
  <c r="K185" i="1"/>
  <c r="L185" i="1"/>
  <c r="M185" i="1"/>
  <c r="N185" i="1" s="1"/>
  <c r="V185" i="1"/>
  <c r="Y185" i="1"/>
  <c r="Z185" i="1"/>
  <c r="AB185" i="1"/>
  <c r="AC185" i="1"/>
  <c r="AD185" i="1"/>
  <c r="AG185" i="1" s="1"/>
  <c r="AE185" i="1"/>
  <c r="AF185" i="1"/>
  <c r="AH123" i="1"/>
  <c r="AM123" i="1"/>
  <c r="AN123" i="1"/>
  <c r="K186" i="1"/>
  <c r="L186" i="1"/>
  <c r="M186" i="1"/>
  <c r="N186" i="1" s="1"/>
  <c r="V186" i="1"/>
  <c r="Y186" i="1"/>
  <c r="Z186" i="1"/>
  <c r="AB186" i="1"/>
  <c r="AC186" i="1"/>
  <c r="AD186" i="1"/>
  <c r="T186" i="1" s="1"/>
  <c r="AE186" i="1"/>
  <c r="AF186" i="1"/>
  <c r="AH124" i="1"/>
  <c r="AM124" i="1"/>
  <c r="AN124" i="1"/>
  <c r="K95" i="1"/>
  <c r="L95" i="1"/>
  <c r="M95" i="1"/>
  <c r="N95" i="1" s="1"/>
  <c r="V95" i="1"/>
  <c r="Y95" i="1"/>
  <c r="Z95" i="1"/>
  <c r="AB95" i="1"/>
  <c r="AC95" i="1"/>
  <c r="AD95" i="1"/>
  <c r="T95" i="1" s="1"/>
  <c r="AE95" i="1"/>
  <c r="AF95" i="1"/>
  <c r="K187" i="1"/>
  <c r="L187" i="1"/>
  <c r="M187" i="1"/>
  <c r="N187" i="1" s="1"/>
  <c r="V187" i="1"/>
  <c r="Y187" i="1"/>
  <c r="Z187" i="1"/>
  <c r="AB187" i="1"/>
  <c r="AC187" i="1"/>
  <c r="AD187" i="1"/>
  <c r="T187" i="1" s="1"/>
  <c r="AE187" i="1"/>
  <c r="AF187" i="1"/>
  <c r="AH125" i="1"/>
  <c r="AM125" i="1"/>
  <c r="AN125" i="1"/>
  <c r="K188" i="1"/>
  <c r="L188" i="1"/>
  <c r="M188" i="1"/>
  <c r="N188" i="1" s="1"/>
  <c r="V188" i="1"/>
  <c r="Y188" i="1"/>
  <c r="Z188" i="1"/>
  <c r="AB188" i="1"/>
  <c r="AC188" i="1"/>
  <c r="AD188" i="1"/>
  <c r="AE188" i="1"/>
  <c r="AF188" i="1"/>
  <c r="AH126" i="1"/>
  <c r="AM126" i="1"/>
  <c r="AN126" i="1"/>
  <c r="K189" i="1"/>
  <c r="L189" i="1"/>
  <c r="M189" i="1"/>
  <c r="N189" i="1" s="1"/>
  <c r="V189" i="1"/>
  <c r="Y189" i="1"/>
  <c r="Z189" i="1"/>
  <c r="AB189" i="1"/>
  <c r="AC189" i="1"/>
  <c r="AD189" i="1"/>
  <c r="AE189" i="1"/>
  <c r="AF189" i="1"/>
  <c r="AH127" i="1"/>
  <c r="AM127" i="1"/>
  <c r="AN127" i="1"/>
  <c r="K190" i="1"/>
  <c r="L190" i="1"/>
  <c r="M190" i="1"/>
  <c r="N190" i="1" s="1"/>
  <c r="V190" i="1"/>
  <c r="Y190" i="1"/>
  <c r="Z190" i="1"/>
  <c r="AB190" i="1"/>
  <c r="AC190" i="1"/>
  <c r="AD190" i="1"/>
  <c r="T190" i="1" s="1"/>
  <c r="AE190" i="1"/>
  <c r="AF190" i="1"/>
  <c r="AH128" i="1"/>
  <c r="AM128" i="1"/>
  <c r="AN128" i="1"/>
  <c r="K96" i="1"/>
  <c r="L96" i="1"/>
  <c r="M96" i="1"/>
  <c r="N96" i="1" s="1"/>
  <c r="V96" i="1"/>
  <c r="Y96" i="1"/>
  <c r="Z96" i="1"/>
  <c r="AB96" i="1"/>
  <c r="AC96" i="1"/>
  <c r="AD96" i="1"/>
  <c r="T96" i="1" s="1"/>
  <c r="AE96" i="1"/>
  <c r="AF96" i="1"/>
  <c r="AH129" i="1"/>
  <c r="AM129" i="1"/>
  <c r="AN129" i="1"/>
  <c r="K97" i="1"/>
  <c r="L97" i="1"/>
  <c r="M97" i="1"/>
  <c r="V97" i="1"/>
  <c r="S10" i="3" s="1"/>
  <c r="Y97" i="1"/>
  <c r="Z97" i="1"/>
  <c r="AB97" i="1"/>
  <c r="AC97" i="1"/>
  <c r="AD97" i="1"/>
  <c r="AG97" i="1" s="1"/>
  <c r="AE97" i="1"/>
  <c r="AF97" i="1"/>
  <c r="AH130" i="1"/>
  <c r="AM130" i="1"/>
  <c r="AN130" i="1"/>
  <c r="K98" i="1"/>
  <c r="L98" i="1"/>
  <c r="M98" i="1"/>
  <c r="P98" i="1" s="1"/>
  <c r="V98" i="1"/>
  <c r="Y98" i="1"/>
  <c r="Z98" i="1"/>
  <c r="AB98" i="1"/>
  <c r="AC98" i="1"/>
  <c r="AD98" i="1"/>
  <c r="T98" i="1" s="1"/>
  <c r="AE98" i="1"/>
  <c r="AF98" i="1"/>
  <c r="AH131" i="1"/>
  <c r="AM131" i="1"/>
  <c r="AN131" i="1"/>
  <c r="K99" i="1"/>
  <c r="L99" i="1"/>
  <c r="M99" i="1"/>
  <c r="N99" i="1" s="1"/>
  <c r="V99" i="1"/>
  <c r="Y99" i="1"/>
  <c r="Z99" i="1"/>
  <c r="AB99" i="1"/>
  <c r="AC99" i="1"/>
  <c r="AD99" i="1"/>
  <c r="AE99" i="1"/>
  <c r="AF99" i="1"/>
  <c r="AH132" i="1"/>
  <c r="AM132" i="1"/>
  <c r="AN132" i="1"/>
  <c r="K100" i="1"/>
  <c r="L100" i="1"/>
  <c r="M100" i="1"/>
  <c r="N100" i="1" s="1"/>
  <c r="V100" i="1"/>
  <c r="Y100" i="1"/>
  <c r="Z100" i="1"/>
  <c r="AB100" i="1"/>
  <c r="AC100" i="1"/>
  <c r="AD100" i="1"/>
  <c r="AE100" i="1"/>
  <c r="AF100" i="1"/>
  <c r="AH133" i="1"/>
  <c r="AM133" i="1"/>
  <c r="AN133" i="1"/>
  <c r="K101" i="1"/>
  <c r="L101" i="1"/>
  <c r="M101" i="1"/>
  <c r="N101" i="1" s="1"/>
  <c r="V101" i="1"/>
  <c r="Y101" i="1"/>
  <c r="Z101" i="1"/>
  <c r="AB101" i="1"/>
  <c r="AC101" i="1"/>
  <c r="AD101" i="1"/>
  <c r="AE101" i="1"/>
  <c r="AF101" i="1"/>
  <c r="AH134" i="1"/>
  <c r="AM134" i="1"/>
  <c r="AN134" i="1"/>
  <c r="K102" i="1"/>
  <c r="L102" i="1"/>
  <c r="M102" i="1"/>
  <c r="N102" i="1" s="1"/>
  <c r="V102" i="1"/>
  <c r="S20" i="3" s="1"/>
  <c r="Y102" i="1"/>
  <c r="Z102" i="1"/>
  <c r="AB102" i="1"/>
  <c r="AC102" i="1"/>
  <c r="AD102" i="1"/>
  <c r="T102" i="1" s="1"/>
  <c r="AE102" i="1"/>
  <c r="AF102" i="1"/>
  <c r="AH135" i="1"/>
  <c r="AM135" i="1"/>
  <c r="AN135" i="1"/>
  <c r="K103" i="1"/>
  <c r="L103" i="1"/>
  <c r="M103" i="1"/>
  <c r="N103" i="1" s="1"/>
  <c r="V103" i="1"/>
  <c r="Y103" i="1"/>
  <c r="Z103" i="1"/>
  <c r="AB103" i="1"/>
  <c r="AC103" i="1"/>
  <c r="AD103" i="1"/>
  <c r="AG103" i="1" s="1"/>
  <c r="AE103" i="1"/>
  <c r="AF103" i="1"/>
  <c r="AH136" i="1"/>
  <c r="AM136" i="1"/>
  <c r="AN136" i="1"/>
  <c r="K199" i="1"/>
  <c r="L199" i="1"/>
  <c r="M199" i="1"/>
  <c r="N199" i="1" s="1"/>
  <c r="V199" i="1"/>
  <c r="Y199" i="1"/>
  <c r="Z199" i="1"/>
  <c r="AB199" i="1"/>
  <c r="AC199" i="1"/>
  <c r="AD199" i="1"/>
  <c r="AE199" i="1"/>
  <c r="AF199" i="1"/>
  <c r="AH137" i="1"/>
  <c r="AM137" i="1"/>
  <c r="AN137" i="1"/>
  <c r="K200" i="1"/>
  <c r="L200" i="1"/>
  <c r="M200" i="1"/>
  <c r="N200" i="1" s="1"/>
  <c r="V200" i="1"/>
  <c r="Y200" i="1"/>
  <c r="Z200" i="1"/>
  <c r="AB200" i="1"/>
  <c r="AC200" i="1"/>
  <c r="AD200" i="1"/>
  <c r="AE200" i="1"/>
  <c r="AF200" i="1"/>
  <c r="AH138" i="1"/>
  <c r="AM138" i="1"/>
  <c r="AN138" i="1"/>
  <c r="K104" i="1"/>
  <c r="L104" i="1"/>
  <c r="M104" i="1"/>
  <c r="N104" i="1" s="1"/>
  <c r="V104" i="1"/>
  <c r="S21" i="3" s="1"/>
  <c r="Y104" i="1"/>
  <c r="Z104" i="1"/>
  <c r="AB104" i="1"/>
  <c r="AC104" i="1"/>
  <c r="AD104" i="1"/>
  <c r="AG104" i="1" s="1"/>
  <c r="AE104" i="1"/>
  <c r="AF104" i="1"/>
  <c r="AH139" i="1"/>
  <c r="AM139" i="1"/>
  <c r="AN139" i="1"/>
  <c r="K105" i="1"/>
  <c r="L105" i="1"/>
  <c r="M105" i="1"/>
  <c r="N105" i="1" s="1"/>
  <c r="V105" i="1"/>
  <c r="Y105" i="1"/>
  <c r="Z105" i="1"/>
  <c r="AB105" i="1"/>
  <c r="AC105" i="1"/>
  <c r="AD105" i="1"/>
  <c r="AG105" i="1" s="1"/>
  <c r="AE105" i="1"/>
  <c r="AF105" i="1"/>
  <c r="AH140" i="1"/>
  <c r="AM140" i="1"/>
  <c r="AN140" i="1"/>
  <c r="K106" i="1"/>
  <c r="L106" i="1"/>
  <c r="M106" i="1"/>
  <c r="N106" i="1" s="1"/>
  <c r="V106" i="1"/>
  <c r="Y106" i="1"/>
  <c r="Z106" i="1"/>
  <c r="AB106" i="1"/>
  <c r="AC106" i="1"/>
  <c r="AD106" i="1"/>
  <c r="AE106" i="1"/>
  <c r="AF106" i="1"/>
  <c r="AH141" i="1"/>
  <c r="AM141" i="1"/>
  <c r="AN141" i="1"/>
  <c r="K107" i="1"/>
  <c r="L107" i="1"/>
  <c r="M107" i="1"/>
  <c r="N107" i="1" s="1"/>
  <c r="V107" i="1"/>
  <c r="Y107" i="1"/>
  <c r="Z107" i="1"/>
  <c r="AB107" i="1"/>
  <c r="AC107" i="1"/>
  <c r="AD107" i="1"/>
  <c r="AE107" i="1"/>
  <c r="AF107" i="1"/>
  <c r="AH142" i="1"/>
  <c r="AM142" i="1"/>
  <c r="AN142" i="1"/>
  <c r="K108" i="1"/>
  <c r="L108" i="1"/>
  <c r="M108" i="1"/>
  <c r="N108" i="1" s="1"/>
  <c r="V108" i="1"/>
  <c r="Y108" i="1"/>
  <c r="Z108" i="1"/>
  <c r="AB108" i="1"/>
  <c r="AC108" i="1"/>
  <c r="AD108" i="1"/>
  <c r="AG108" i="1" s="1"/>
  <c r="AE108" i="1"/>
  <c r="AF108" i="1"/>
  <c r="AH143" i="1"/>
  <c r="AM143" i="1"/>
  <c r="AN143" i="1"/>
  <c r="K109" i="1"/>
  <c r="L109" i="1"/>
  <c r="M109" i="1"/>
  <c r="N109" i="1" s="1"/>
  <c r="V109" i="1"/>
  <c r="Y109" i="1"/>
  <c r="Z109" i="1"/>
  <c r="AB109" i="1"/>
  <c r="AC109" i="1"/>
  <c r="AD109" i="1"/>
  <c r="AG109" i="1" s="1"/>
  <c r="AE109" i="1"/>
  <c r="AF109" i="1"/>
  <c r="AH144" i="1"/>
  <c r="AM144" i="1"/>
  <c r="AN144" i="1"/>
  <c r="K110" i="1"/>
  <c r="L110" i="1"/>
  <c r="M110" i="1"/>
  <c r="N110" i="1" s="1"/>
  <c r="V110" i="1"/>
  <c r="Y110" i="1"/>
  <c r="Z110" i="1"/>
  <c r="AB110" i="1"/>
  <c r="AC110" i="1"/>
  <c r="AD110" i="1"/>
  <c r="AE110" i="1"/>
  <c r="AF110" i="1"/>
  <c r="AH145" i="1"/>
  <c r="AM145" i="1"/>
  <c r="AN145" i="1"/>
  <c r="K111" i="1"/>
  <c r="L111" i="1"/>
  <c r="M111" i="1"/>
  <c r="N111" i="1" s="1"/>
  <c r="V111" i="1"/>
  <c r="Y111" i="1"/>
  <c r="Z111" i="1"/>
  <c r="AB111" i="1"/>
  <c r="AC111" i="1"/>
  <c r="AD111" i="1"/>
  <c r="AE111" i="1"/>
  <c r="AF111" i="1"/>
  <c r="K112" i="1"/>
  <c r="L112" i="1"/>
  <c r="M112" i="1"/>
  <c r="N112" i="1" s="1"/>
  <c r="V112" i="1"/>
  <c r="Y112" i="1"/>
  <c r="Z112" i="1"/>
  <c r="AB112" i="1"/>
  <c r="AC112" i="1"/>
  <c r="AD112" i="1"/>
  <c r="AG112" i="1" s="1"/>
  <c r="AE112" i="1"/>
  <c r="AF112" i="1"/>
  <c r="AH146" i="1"/>
  <c r="AM146" i="1"/>
  <c r="AN146" i="1"/>
  <c r="K113" i="1"/>
  <c r="L113" i="1"/>
  <c r="M113" i="1"/>
  <c r="N113" i="1" s="1"/>
  <c r="V113" i="1"/>
  <c r="Y113" i="1"/>
  <c r="Z113" i="1"/>
  <c r="AB113" i="1"/>
  <c r="AC113" i="1"/>
  <c r="AD113" i="1"/>
  <c r="AG113" i="1" s="1"/>
  <c r="AE113" i="1"/>
  <c r="AF113" i="1"/>
  <c r="AH147" i="1"/>
  <c r="AM147" i="1"/>
  <c r="AN147" i="1"/>
  <c r="K114" i="1"/>
  <c r="L114" i="1"/>
  <c r="M114" i="1"/>
  <c r="N114" i="1" s="1"/>
  <c r="V114" i="1"/>
  <c r="S22" i="3" s="1"/>
  <c r="Y114" i="1"/>
  <c r="Z114" i="1"/>
  <c r="AB114" i="1"/>
  <c r="AC114" i="1"/>
  <c r="AD114" i="1"/>
  <c r="AE114" i="1"/>
  <c r="AF114" i="1"/>
  <c r="AH148" i="1"/>
  <c r="AM148" i="1"/>
  <c r="AN148" i="1"/>
  <c r="K115" i="1"/>
  <c r="L115" i="1"/>
  <c r="M115" i="1"/>
  <c r="N115" i="1" s="1"/>
  <c r="V115" i="1"/>
  <c r="Y115" i="1"/>
  <c r="Z115" i="1"/>
  <c r="AA115" i="1" s="1"/>
  <c r="AB115" i="1"/>
  <c r="AC115" i="1"/>
  <c r="AD115" i="1"/>
  <c r="AE115" i="1"/>
  <c r="AF115" i="1"/>
  <c r="AH149" i="1"/>
  <c r="AM149" i="1"/>
  <c r="AN149" i="1"/>
  <c r="K116" i="1"/>
  <c r="L116" i="1"/>
  <c r="M116" i="1"/>
  <c r="N116" i="1" s="1"/>
  <c r="T116" i="1"/>
  <c r="V116" i="1"/>
  <c r="S23" i="3" s="1"/>
  <c r="Y116" i="1"/>
  <c r="Z116" i="1"/>
  <c r="AA116" i="1"/>
  <c r="AB116" i="1"/>
  <c r="AC116" i="1"/>
  <c r="AD116" i="1"/>
  <c r="AG116" i="1" s="1"/>
  <c r="AE116" i="1"/>
  <c r="R23" i="3" s="1"/>
  <c r="AF116" i="1"/>
  <c r="AH150" i="1"/>
  <c r="AM150" i="1"/>
  <c r="AN150" i="1"/>
  <c r="K117" i="1"/>
  <c r="L117" i="1"/>
  <c r="M117" i="1"/>
  <c r="N117" i="1" s="1"/>
  <c r="V117" i="1"/>
  <c r="S16" i="3" s="1"/>
  <c r="Y117" i="1"/>
  <c r="Z117" i="1"/>
  <c r="AB117" i="1"/>
  <c r="AC117" i="1"/>
  <c r="AD117" i="1"/>
  <c r="AG117" i="1" s="1"/>
  <c r="AE117" i="1"/>
  <c r="R16" i="3" s="1"/>
  <c r="AF117" i="1"/>
  <c r="AH151" i="1"/>
  <c r="AM151" i="1"/>
  <c r="AN151" i="1"/>
  <c r="K118" i="1"/>
  <c r="L118" i="1"/>
  <c r="M118" i="1"/>
  <c r="N118" i="1" s="1"/>
  <c r="V118" i="1"/>
  <c r="Y118" i="1"/>
  <c r="Z118" i="1"/>
  <c r="AB118" i="1"/>
  <c r="AC118" i="1"/>
  <c r="AD118" i="1"/>
  <c r="AG118" i="1" s="1"/>
  <c r="AE118" i="1"/>
  <c r="AF118" i="1"/>
  <c r="K119" i="1"/>
  <c r="L119" i="1"/>
  <c r="M119" i="1"/>
  <c r="N119" i="1" s="1"/>
  <c r="V119" i="1"/>
  <c r="Y119" i="1"/>
  <c r="Z119" i="1"/>
  <c r="AB119" i="1"/>
  <c r="AC119" i="1"/>
  <c r="AD119" i="1"/>
  <c r="AE119" i="1"/>
  <c r="AF119" i="1"/>
  <c r="K120" i="1"/>
  <c r="L120" i="1"/>
  <c r="M120" i="1"/>
  <c r="N120" i="1" s="1"/>
  <c r="V120" i="1"/>
  <c r="Y120" i="1"/>
  <c r="Z120" i="1"/>
  <c r="AB120" i="1"/>
  <c r="AC120" i="1"/>
  <c r="AD120" i="1"/>
  <c r="AG120" i="1" s="1"/>
  <c r="AE120" i="1"/>
  <c r="AF120" i="1"/>
  <c r="AH152" i="1"/>
  <c r="AM152" i="1"/>
  <c r="AN152" i="1"/>
  <c r="K121" i="1"/>
  <c r="L121" i="1"/>
  <c r="M121" i="1"/>
  <c r="N121" i="1" s="1"/>
  <c r="V121" i="1"/>
  <c r="Y121" i="1"/>
  <c r="Z121" i="1"/>
  <c r="AB121" i="1"/>
  <c r="AC121" i="1"/>
  <c r="AD121" i="1"/>
  <c r="AG121" i="1" s="1"/>
  <c r="AE121" i="1"/>
  <c r="AF121" i="1"/>
  <c r="AH153" i="1"/>
  <c r="AM153" i="1"/>
  <c r="AN153" i="1"/>
  <c r="K122" i="1"/>
  <c r="L122" i="1"/>
  <c r="M122" i="1"/>
  <c r="N122" i="1" s="1"/>
  <c r="V122" i="1"/>
  <c r="Y122" i="1"/>
  <c r="Z122" i="1"/>
  <c r="AB122" i="1"/>
  <c r="AC122" i="1"/>
  <c r="AD122" i="1"/>
  <c r="T122" i="1" s="1"/>
  <c r="AE122" i="1"/>
  <c r="AF122" i="1"/>
  <c r="AH154" i="1"/>
  <c r="AM154" i="1"/>
  <c r="AN154" i="1"/>
  <c r="K123" i="1"/>
  <c r="L123" i="1"/>
  <c r="M123" i="1"/>
  <c r="N123" i="1" s="1"/>
  <c r="V123" i="1"/>
  <c r="Y123" i="1"/>
  <c r="Z123" i="1"/>
  <c r="AB123" i="1"/>
  <c r="AC123" i="1"/>
  <c r="AD123" i="1"/>
  <c r="AE123" i="1"/>
  <c r="AF123" i="1"/>
  <c r="AH155" i="1"/>
  <c r="AM155" i="1"/>
  <c r="AN155" i="1"/>
  <c r="K124" i="1"/>
  <c r="L124" i="1"/>
  <c r="M124" i="1"/>
  <c r="N124" i="1" s="1"/>
  <c r="V124" i="1"/>
  <c r="Y124" i="1"/>
  <c r="Z124" i="1"/>
  <c r="AB124" i="1"/>
  <c r="AC124" i="1"/>
  <c r="AD124" i="1"/>
  <c r="AG124" i="1" s="1"/>
  <c r="AE124" i="1"/>
  <c r="AF124" i="1"/>
  <c r="AH156" i="1"/>
  <c r="AM156" i="1"/>
  <c r="AN156" i="1"/>
  <c r="K125" i="1"/>
  <c r="L125" i="1"/>
  <c r="M125" i="1"/>
  <c r="N125" i="1" s="1"/>
  <c r="V125" i="1"/>
  <c r="Y125" i="1"/>
  <c r="Z125" i="1"/>
  <c r="AB125" i="1"/>
  <c r="AC125" i="1"/>
  <c r="AD125" i="1"/>
  <c r="T125" i="1" s="1"/>
  <c r="AE125" i="1"/>
  <c r="AF125" i="1"/>
  <c r="AH157" i="1"/>
  <c r="AM157" i="1"/>
  <c r="AN157" i="1"/>
  <c r="K126" i="1"/>
  <c r="L126" i="1"/>
  <c r="M126" i="1"/>
  <c r="N126" i="1" s="1"/>
  <c r="V126" i="1"/>
  <c r="S13" i="3" s="1"/>
  <c r="Y126" i="1"/>
  <c r="Z126" i="1"/>
  <c r="AB126" i="1"/>
  <c r="AC126" i="1"/>
  <c r="AD126" i="1"/>
  <c r="AE126" i="1"/>
  <c r="R13" i="3" s="1"/>
  <c r="AF126" i="1"/>
  <c r="AH158" i="1"/>
  <c r="AM158" i="1"/>
  <c r="AN158" i="1"/>
  <c r="K127" i="1"/>
  <c r="L127" i="1"/>
  <c r="M127" i="1"/>
  <c r="N127" i="1" s="1"/>
  <c r="V127" i="1"/>
  <c r="Y127" i="1"/>
  <c r="Z127" i="1"/>
  <c r="AB127" i="1"/>
  <c r="AC127" i="1"/>
  <c r="AD127" i="1"/>
  <c r="T127" i="1" s="1"/>
  <c r="AE127" i="1"/>
  <c r="AF127" i="1"/>
  <c r="AH159" i="1"/>
  <c r="AM159" i="1"/>
  <c r="AN159" i="1"/>
  <c r="K128" i="1"/>
  <c r="L128" i="1"/>
  <c r="M128" i="1"/>
  <c r="N128" i="1" s="1"/>
  <c r="V128" i="1"/>
  <c r="Y128" i="1"/>
  <c r="Z128" i="1"/>
  <c r="AB128" i="1"/>
  <c r="AC128" i="1"/>
  <c r="AD128" i="1"/>
  <c r="AG128" i="1" s="1"/>
  <c r="AE128" i="1"/>
  <c r="AF128" i="1"/>
  <c r="AH160" i="1"/>
  <c r="AM160" i="1"/>
  <c r="AN160" i="1"/>
  <c r="K129" i="1"/>
  <c r="L129" i="1"/>
  <c r="M129" i="1"/>
  <c r="N129" i="1" s="1"/>
  <c r="V129" i="1"/>
  <c r="Y129" i="1"/>
  <c r="Z129" i="1"/>
  <c r="AB129" i="1"/>
  <c r="AC129" i="1"/>
  <c r="AD129" i="1"/>
  <c r="AG129" i="1" s="1"/>
  <c r="AE129" i="1"/>
  <c r="AF129" i="1"/>
  <c r="AH161" i="1"/>
  <c r="AM161" i="1"/>
  <c r="AN161" i="1"/>
  <c r="K130" i="1"/>
  <c r="L130" i="1"/>
  <c r="M130" i="1"/>
  <c r="N130" i="1" s="1"/>
  <c r="V130" i="1"/>
  <c r="Y130" i="1"/>
  <c r="Z130" i="1"/>
  <c r="AB130" i="1"/>
  <c r="AC130" i="1"/>
  <c r="AD130" i="1"/>
  <c r="AE130" i="1"/>
  <c r="AF130" i="1"/>
  <c r="AH162" i="1"/>
  <c r="AM162" i="1"/>
  <c r="AN162" i="1"/>
  <c r="K131" i="1"/>
  <c r="L131" i="1"/>
  <c r="M131" i="1"/>
  <c r="N131" i="1" s="1"/>
  <c r="V131" i="1"/>
  <c r="Y131" i="1"/>
  <c r="Z131" i="1"/>
  <c r="AB131" i="1"/>
  <c r="AC131" i="1"/>
  <c r="AD131" i="1"/>
  <c r="AG131" i="1" s="1"/>
  <c r="AE131" i="1"/>
  <c r="AF131" i="1"/>
  <c r="AH163" i="1"/>
  <c r="AI163" i="1"/>
  <c r="AM163" i="1"/>
  <c r="AN163" i="1"/>
  <c r="K132" i="1"/>
  <c r="L132" i="1"/>
  <c r="M132" i="1"/>
  <c r="N132" i="1" s="1"/>
  <c r="V132" i="1"/>
  <c r="Y132" i="1"/>
  <c r="Z132" i="1"/>
  <c r="AB132" i="1"/>
  <c r="AC132" i="1"/>
  <c r="AD132" i="1"/>
  <c r="AG132" i="1" s="1"/>
  <c r="AE132" i="1"/>
  <c r="AF132" i="1"/>
  <c r="AH164" i="1"/>
  <c r="AM164" i="1"/>
  <c r="AN164" i="1"/>
  <c r="K133" i="1"/>
  <c r="L133" i="1"/>
  <c r="M133" i="1"/>
  <c r="N133" i="1" s="1"/>
  <c r="V133" i="1"/>
  <c r="Y133" i="1"/>
  <c r="Z133" i="1"/>
  <c r="AB133" i="1"/>
  <c r="AC133" i="1"/>
  <c r="AD133" i="1"/>
  <c r="T133" i="1" s="1"/>
  <c r="AE133" i="1"/>
  <c r="AF133" i="1"/>
  <c r="AH165" i="1"/>
  <c r="AM165" i="1"/>
  <c r="AN165" i="1"/>
  <c r="K134" i="1"/>
  <c r="L134" i="1"/>
  <c r="M134" i="1"/>
  <c r="N134" i="1" s="1"/>
  <c r="V134" i="1"/>
  <c r="S7" i="3" s="1"/>
  <c r="Y134" i="1"/>
  <c r="Z134" i="1"/>
  <c r="AB134" i="1"/>
  <c r="AC134" i="1"/>
  <c r="AD134" i="1"/>
  <c r="AE134" i="1"/>
  <c r="R7" i="3" s="1"/>
  <c r="AF134" i="1"/>
  <c r="AH166" i="1"/>
  <c r="AM166" i="1"/>
  <c r="AN166" i="1"/>
  <c r="K135" i="1"/>
  <c r="L135" i="1"/>
  <c r="M135" i="1"/>
  <c r="N135" i="1" s="1"/>
  <c r="V135" i="1"/>
  <c r="Y135" i="1"/>
  <c r="Z135" i="1"/>
  <c r="AB135" i="1"/>
  <c r="AC135" i="1"/>
  <c r="AD135" i="1"/>
  <c r="AG135" i="1" s="1"/>
  <c r="AE135" i="1"/>
  <c r="AF135" i="1"/>
  <c r="AH167" i="1"/>
  <c r="AM167" i="1"/>
  <c r="AN167" i="1"/>
  <c r="K136" i="1"/>
  <c r="L136" i="1"/>
  <c r="M136" i="1"/>
  <c r="N136" i="1" s="1"/>
  <c r="V136" i="1"/>
  <c r="Y136" i="1"/>
  <c r="Z136" i="1"/>
  <c r="AB136" i="1"/>
  <c r="AC136" i="1"/>
  <c r="AD136" i="1"/>
  <c r="AG136" i="1" s="1"/>
  <c r="AE136" i="1"/>
  <c r="AF136" i="1"/>
  <c r="AH168" i="1"/>
  <c r="AM168" i="1"/>
  <c r="AN168" i="1"/>
  <c r="K137" i="1"/>
  <c r="L137" i="1"/>
  <c r="M137" i="1"/>
  <c r="N137" i="1" s="1"/>
  <c r="V137" i="1"/>
  <c r="Y137" i="1"/>
  <c r="Z137" i="1"/>
  <c r="AB137" i="1"/>
  <c r="AC137" i="1"/>
  <c r="AD137" i="1"/>
  <c r="T137" i="1" s="1"/>
  <c r="AE137" i="1"/>
  <c r="AF137" i="1"/>
  <c r="AH169" i="1"/>
  <c r="AM169" i="1"/>
  <c r="AN169" i="1"/>
  <c r="K138" i="1"/>
  <c r="L138" i="1"/>
  <c r="M138" i="1"/>
  <c r="N138" i="1" s="1"/>
  <c r="V138" i="1"/>
  <c r="Y138" i="1"/>
  <c r="Z138" i="1"/>
  <c r="AB138" i="1"/>
  <c r="AC138" i="1"/>
  <c r="AD138" i="1"/>
  <c r="AE138" i="1"/>
  <c r="AF138" i="1"/>
  <c r="AH170" i="1"/>
  <c r="AM170" i="1"/>
  <c r="AN170" i="1"/>
  <c r="K139" i="1"/>
  <c r="L139" i="1"/>
  <c r="M139" i="1"/>
  <c r="N139" i="1" s="1"/>
  <c r="V139" i="1"/>
  <c r="Y139" i="1"/>
  <c r="Z139" i="1"/>
  <c r="AB139" i="1"/>
  <c r="AC139" i="1"/>
  <c r="AD139" i="1"/>
  <c r="AG139" i="1" s="1"/>
  <c r="AE139" i="1"/>
  <c r="AF139" i="1"/>
  <c r="AH171" i="1"/>
  <c r="AM171" i="1"/>
  <c r="AN171" i="1"/>
  <c r="K140" i="1"/>
  <c r="L140" i="1"/>
  <c r="M140" i="1"/>
  <c r="N140" i="1" s="1"/>
  <c r="V140" i="1"/>
  <c r="Y140" i="1"/>
  <c r="Z140" i="1"/>
  <c r="AB140" i="1"/>
  <c r="AC140" i="1"/>
  <c r="AD140" i="1"/>
  <c r="AG140" i="1" s="1"/>
  <c r="AE140" i="1"/>
  <c r="AF140" i="1"/>
  <c r="AH172" i="1"/>
  <c r="AM172" i="1"/>
  <c r="AN172" i="1"/>
  <c r="K141" i="1"/>
  <c r="L141" i="1"/>
  <c r="M141" i="1"/>
  <c r="N141" i="1" s="1"/>
  <c r="V141" i="1"/>
  <c r="Y141" i="1"/>
  <c r="Z141" i="1"/>
  <c r="AB141" i="1"/>
  <c r="AC141" i="1"/>
  <c r="AD141" i="1"/>
  <c r="T141" i="1" s="1"/>
  <c r="AE141" i="1"/>
  <c r="AF141" i="1"/>
  <c r="AH173" i="1"/>
  <c r="AM173" i="1"/>
  <c r="AN173" i="1"/>
  <c r="K142" i="1"/>
  <c r="L142" i="1"/>
  <c r="M142" i="1"/>
  <c r="N142" i="1" s="1"/>
  <c r="V142" i="1"/>
  <c r="Y142" i="1"/>
  <c r="Z142" i="1"/>
  <c r="AB142" i="1"/>
  <c r="AC142" i="1"/>
  <c r="AD142" i="1"/>
  <c r="AE142" i="1"/>
  <c r="AF142" i="1"/>
  <c r="AH174" i="1"/>
  <c r="AM174" i="1"/>
  <c r="AN174" i="1"/>
  <c r="K143" i="1"/>
  <c r="L143" i="1"/>
  <c r="M143" i="1"/>
  <c r="N143" i="1" s="1"/>
  <c r="V143" i="1"/>
  <c r="Y143" i="1"/>
  <c r="Z143" i="1"/>
  <c r="AB143" i="1"/>
  <c r="AC143" i="1"/>
  <c r="AD143" i="1"/>
  <c r="T143" i="1" s="1"/>
  <c r="AE143" i="1"/>
  <c r="AF143" i="1"/>
  <c r="AH175" i="1"/>
  <c r="AM175" i="1"/>
  <c r="AN175" i="1"/>
  <c r="K144" i="1"/>
  <c r="L144" i="1"/>
  <c r="M144" i="1"/>
  <c r="N144" i="1" s="1"/>
  <c r="V144" i="1"/>
  <c r="Y144" i="1"/>
  <c r="Z144" i="1"/>
  <c r="AB144" i="1"/>
  <c r="AC144" i="1"/>
  <c r="AD144" i="1"/>
  <c r="AG144" i="1" s="1"/>
  <c r="AE144" i="1"/>
  <c r="AF144" i="1"/>
  <c r="AH176" i="1"/>
  <c r="AM176" i="1"/>
  <c r="AN176" i="1"/>
  <c r="K145" i="1"/>
  <c r="L145" i="1"/>
  <c r="M145" i="1"/>
  <c r="N145" i="1" s="1"/>
  <c r="V145" i="1"/>
  <c r="Y145" i="1"/>
  <c r="Z145" i="1"/>
  <c r="AB145" i="1"/>
  <c r="AC145" i="1"/>
  <c r="AD145" i="1"/>
  <c r="T145" i="1" s="1"/>
  <c r="AE145" i="1"/>
  <c r="AF145" i="1"/>
  <c r="AH177" i="1"/>
  <c r="AM177" i="1"/>
  <c r="AN177" i="1"/>
  <c r="AH178" i="1"/>
  <c r="AM178" i="1"/>
  <c r="AN178" i="1"/>
  <c r="K146" i="1"/>
  <c r="L146" i="1"/>
  <c r="M146" i="1"/>
  <c r="N146" i="1" s="1"/>
  <c r="V146" i="1"/>
  <c r="Y146" i="1"/>
  <c r="Z146" i="1"/>
  <c r="AB146" i="1"/>
  <c r="AC146" i="1"/>
  <c r="AD146" i="1"/>
  <c r="T146" i="1" s="1"/>
  <c r="AE146" i="1"/>
  <c r="AF146" i="1"/>
  <c r="AH179" i="1"/>
  <c r="AM179" i="1"/>
  <c r="AN179" i="1"/>
  <c r="K147" i="1"/>
  <c r="L147" i="1"/>
  <c r="M147" i="1"/>
  <c r="N147" i="1" s="1"/>
  <c r="V147" i="1"/>
  <c r="S17" i="3" s="1"/>
  <c r="Y147" i="1"/>
  <c r="Z147" i="1"/>
  <c r="AB147" i="1"/>
  <c r="AC147" i="1"/>
  <c r="AD147" i="1"/>
  <c r="AG147" i="1" s="1"/>
  <c r="AE147" i="1"/>
  <c r="R17" i="3" s="1"/>
  <c r="AF147" i="1"/>
  <c r="AH180" i="1"/>
  <c r="AM180" i="1"/>
  <c r="AN180" i="1"/>
  <c r="K148" i="1"/>
  <c r="L148" i="1"/>
  <c r="M148" i="1"/>
  <c r="N148" i="1" s="1"/>
  <c r="V148" i="1"/>
  <c r="Y148" i="1"/>
  <c r="Z148" i="1"/>
  <c r="AB148" i="1"/>
  <c r="AC148" i="1"/>
  <c r="AD148" i="1"/>
  <c r="T148" i="1" s="1"/>
  <c r="AE148" i="1"/>
  <c r="AF148" i="1"/>
  <c r="AH181" i="1"/>
  <c r="AM181" i="1"/>
  <c r="AN181" i="1"/>
  <c r="K149" i="1"/>
  <c r="L149" i="1"/>
  <c r="M149" i="1"/>
  <c r="P149" i="1" s="1"/>
  <c r="V149" i="1"/>
  <c r="Y149" i="1"/>
  <c r="Z149" i="1"/>
  <c r="AB149" i="1"/>
  <c r="AC149" i="1"/>
  <c r="AD149" i="1"/>
  <c r="AE149" i="1"/>
  <c r="AF149" i="1"/>
  <c r="AH182" i="1"/>
  <c r="AM182" i="1"/>
  <c r="AN182" i="1"/>
  <c r="K150" i="1"/>
  <c r="L150" i="1"/>
  <c r="M150" i="1"/>
  <c r="N150" i="1" s="1"/>
  <c r="V150" i="1"/>
  <c r="Y150" i="1"/>
  <c r="Z150" i="1"/>
  <c r="AB150" i="1"/>
  <c r="AC150" i="1"/>
  <c r="AD150" i="1"/>
  <c r="T150" i="1" s="1"/>
  <c r="AE150" i="1"/>
  <c r="AF150" i="1"/>
  <c r="AH183" i="1"/>
  <c r="AM183" i="1"/>
  <c r="AN183" i="1"/>
  <c r="K151" i="1"/>
  <c r="L151" i="1"/>
  <c r="M151" i="1"/>
  <c r="P151" i="1" s="1"/>
  <c r="V151" i="1"/>
  <c r="Y151" i="1"/>
  <c r="AB151" i="1"/>
  <c r="AC151" i="1"/>
  <c r="AD151" i="1"/>
  <c r="AG151" i="1" s="1"/>
  <c r="AE151" i="1"/>
  <c r="AF151" i="1"/>
  <c r="AH184" i="1"/>
  <c r="AM184" i="1"/>
  <c r="AN184" i="1"/>
  <c r="AH185" i="1"/>
  <c r="AM185" i="1"/>
  <c r="AN185" i="1"/>
  <c r="AH186" i="1"/>
  <c r="AM186" i="1"/>
  <c r="AN186" i="1"/>
  <c r="K152" i="1"/>
  <c r="L152" i="1"/>
  <c r="M152" i="1"/>
  <c r="P152" i="1" s="1"/>
  <c r="V152" i="1"/>
  <c r="Z152" i="1"/>
  <c r="AB152" i="1"/>
  <c r="AC152" i="1"/>
  <c r="AD152" i="1"/>
  <c r="T152" i="1" s="1"/>
  <c r="AE152" i="1"/>
  <c r="AF152" i="1"/>
  <c r="AH187" i="1"/>
  <c r="AM187" i="1"/>
  <c r="AN187" i="1"/>
  <c r="K153" i="1"/>
  <c r="L153" i="1"/>
  <c r="M153" i="1"/>
  <c r="N153" i="1" s="1"/>
  <c r="V153" i="1"/>
  <c r="Z153" i="1"/>
  <c r="AB153" i="1"/>
  <c r="AC153" i="1"/>
  <c r="AD153" i="1"/>
  <c r="AG153" i="1" s="1"/>
  <c r="AE153" i="1"/>
  <c r="AF153" i="1"/>
  <c r="AH188" i="1"/>
  <c r="AM188" i="1"/>
  <c r="AN188" i="1"/>
  <c r="K154" i="1"/>
  <c r="L154" i="1"/>
  <c r="M154" i="1"/>
  <c r="N154" i="1" s="1"/>
  <c r="V154" i="1"/>
  <c r="Z154" i="1"/>
  <c r="AB154" i="1"/>
  <c r="AC154" i="1"/>
  <c r="AD154" i="1"/>
  <c r="T154" i="1" s="1"/>
  <c r="AE154" i="1"/>
  <c r="AF154" i="1"/>
  <c r="AH189" i="1"/>
  <c r="AM189" i="1"/>
  <c r="AN189" i="1"/>
  <c r="K155" i="1"/>
  <c r="L155" i="1"/>
  <c r="M155" i="1"/>
  <c r="N155" i="1" s="1"/>
  <c r="V155" i="1"/>
  <c r="Z155" i="1"/>
  <c r="AB155" i="1"/>
  <c r="AC155" i="1"/>
  <c r="AD155" i="1"/>
  <c r="AE155" i="1"/>
  <c r="AF155" i="1"/>
  <c r="AH190" i="1"/>
  <c r="AM190" i="1"/>
  <c r="AN190" i="1"/>
  <c r="K156" i="1"/>
  <c r="L156" i="1"/>
  <c r="M156" i="1"/>
  <c r="V156" i="1"/>
  <c r="Y156" i="1"/>
  <c r="Z156" i="1"/>
  <c r="AB156" i="1"/>
  <c r="AC156" i="1"/>
  <c r="AD156" i="1"/>
  <c r="T156" i="1" s="1"/>
  <c r="AE156" i="1"/>
  <c r="AF156" i="1"/>
  <c r="AH191" i="1"/>
  <c r="AM191" i="1"/>
  <c r="AN191" i="1"/>
  <c r="AH192" i="1"/>
  <c r="AM192" i="1"/>
  <c r="AN192" i="1"/>
  <c r="K191" i="1"/>
  <c r="L191" i="1"/>
  <c r="M191" i="1"/>
  <c r="N191" i="1" s="1"/>
  <c r="V191" i="1"/>
  <c r="Y191" i="1"/>
  <c r="Z191" i="1"/>
  <c r="AB191" i="1"/>
  <c r="AC191" i="1"/>
  <c r="AD191" i="1"/>
  <c r="T191" i="1" s="1"/>
  <c r="AE191" i="1"/>
  <c r="AF191" i="1"/>
  <c r="AH193" i="1"/>
  <c r="AM193" i="1"/>
  <c r="AN193" i="1"/>
  <c r="K192" i="1"/>
  <c r="L192" i="1"/>
  <c r="M192" i="1"/>
  <c r="N192" i="1" s="1"/>
  <c r="V192" i="1"/>
  <c r="Y192" i="1"/>
  <c r="Z192" i="1"/>
  <c r="AB192" i="1"/>
  <c r="AC192" i="1"/>
  <c r="AD192" i="1"/>
  <c r="AE192" i="1"/>
  <c r="AF192" i="1"/>
  <c r="AH194" i="1"/>
  <c r="AM194" i="1"/>
  <c r="AN194" i="1"/>
  <c r="K193" i="1"/>
  <c r="L193" i="1"/>
  <c r="M193" i="1"/>
  <c r="N193" i="1" s="1"/>
  <c r="V193" i="1"/>
  <c r="Y193" i="1"/>
  <c r="Z193" i="1"/>
  <c r="AB193" i="1"/>
  <c r="AC193" i="1"/>
  <c r="AD193" i="1"/>
  <c r="T193" i="1" s="1"/>
  <c r="AE193" i="1"/>
  <c r="AF193" i="1"/>
  <c r="AH195" i="1"/>
  <c r="AM195" i="1"/>
  <c r="AN195" i="1"/>
  <c r="K194" i="1"/>
  <c r="L194" i="1"/>
  <c r="M194" i="1"/>
  <c r="N194" i="1" s="1"/>
  <c r="V194" i="1"/>
  <c r="Y194" i="1"/>
  <c r="Z194" i="1"/>
  <c r="AB194" i="1"/>
  <c r="AC194" i="1"/>
  <c r="AD194" i="1"/>
  <c r="AG194" i="1" s="1"/>
  <c r="AE194" i="1"/>
  <c r="AF194" i="1"/>
  <c r="AH196" i="1"/>
  <c r="AM196" i="1"/>
  <c r="AN196" i="1"/>
  <c r="K195" i="1"/>
  <c r="L195" i="1"/>
  <c r="M195" i="1"/>
  <c r="N195" i="1" s="1"/>
  <c r="V195" i="1"/>
  <c r="Y195" i="1"/>
  <c r="Z195" i="1"/>
  <c r="AB195" i="1"/>
  <c r="AC195" i="1"/>
  <c r="AD195" i="1"/>
  <c r="T195" i="1" s="1"/>
  <c r="AE195" i="1"/>
  <c r="AF195" i="1"/>
  <c r="AH197" i="1"/>
  <c r="AM197" i="1"/>
  <c r="AN197" i="1"/>
  <c r="K196" i="1"/>
  <c r="L196" i="1"/>
  <c r="M196" i="1"/>
  <c r="N196" i="1" s="1"/>
  <c r="V196" i="1"/>
  <c r="Y196" i="1"/>
  <c r="Z196" i="1"/>
  <c r="AB196" i="1"/>
  <c r="AC196" i="1"/>
  <c r="AD196" i="1"/>
  <c r="AE196" i="1"/>
  <c r="AF196" i="1"/>
  <c r="AH198" i="1"/>
  <c r="AM198" i="1"/>
  <c r="AN198" i="1"/>
  <c r="K197" i="1"/>
  <c r="L197" i="1"/>
  <c r="M197" i="1"/>
  <c r="N197" i="1" s="1"/>
  <c r="V197" i="1"/>
  <c r="Y197" i="1"/>
  <c r="Z197" i="1"/>
  <c r="AB197" i="1"/>
  <c r="AC197" i="1"/>
  <c r="AD197" i="1"/>
  <c r="T197" i="1" s="1"/>
  <c r="AE197" i="1"/>
  <c r="AF197" i="1"/>
  <c r="AH199" i="1"/>
  <c r="AM199" i="1"/>
  <c r="AN199" i="1"/>
  <c r="K198" i="1"/>
  <c r="L198" i="1"/>
  <c r="M198" i="1"/>
  <c r="N198" i="1" s="1"/>
  <c r="V198" i="1"/>
  <c r="Y198" i="1"/>
  <c r="Z198" i="1"/>
  <c r="AB198" i="1"/>
  <c r="AC198" i="1"/>
  <c r="AD198" i="1"/>
  <c r="AG198" i="1" s="1"/>
  <c r="AE198" i="1"/>
  <c r="AF198" i="1"/>
  <c r="AH200" i="1"/>
  <c r="AM200" i="1"/>
  <c r="AN200" i="1"/>
  <c r="K201" i="1"/>
  <c r="L201" i="1"/>
  <c r="M201" i="1"/>
  <c r="N201" i="1" s="1"/>
  <c r="V201" i="1"/>
  <c r="S29" i="3" s="1"/>
  <c r="Y201" i="1"/>
  <c r="Z201" i="1"/>
  <c r="AB201" i="1"/>
  <c r="AC201" i="1"/>
  <c r="AD201" i="1"/>
  <c r="T201" i="1" s="1"/>
  <c r="AE201" i="1"/>
  <c r="R29" i="3" s="1"/>
  <c r="AF201" i="1"/>
  <c r="AH201" i="1"/>
  <c r="AM201" i="1"/>
  <c r="AN201" i="1"/>
  <c r="K202" i="1"/>
  <c r="L202" i="1"/>
  <c r="M202" i="1"/>
  <c r="N202" i="1" s="1"/>
  <c r="V202" i="1"/>
  <c r="Y202" i="1"/>
  <c r="Z202" i="1"/>
  <c r="AB202" i="1"/>
  <c r="AC202" i="1"/>
  <c r="AD202" i="1"/>
  <c r="AE202" i="1"/>
  <c r="AF202" i="1"/>
  <c r="AH202" i="1"/>
  <c r="AM202" i="1"/>
  <c r="AN202" i="1"/>
  <c r="K203" i="1"/>
  <c r="L203" i="1"/>
  <c r="M203" i="1"/>
  <c r="N203" i="1" s="1"/>
  <c r="V203" i="1"/>
  <c r="Y203" i="1"/>
  <c r="Z203" i="1"/>
  <c r="AB203" i="1"/>
  <c r="AC203" i="1"/>
  <c r="AD203" i="1"/>
  <c r="AG203" i="1" s="1"/>
  <c r="AE203" i="1"/>
  <c r="AF203" i="1"/>
  <c r="AH203" i="1"/>
  <c r="AM203" i="1"/>
  <c r="AN203" i="1"/>
  <c r="K204" i="1"/>
  <c r="L204" i="1"/>
  <c r="M204" i="1"/>
  <c r="N204" i="1" s="1"/>
  <c r="V204" i="1"/>
  <c r="Y204" i="1"/>
  <c r="Z204" i="1"/>
  <c r="AB204" i="1"/>
  <c r="AC204" i="1"/>
  <c r="AD204" i="1"/>
  <c r="AG204" i="1" s="1"/>
  <c r="AE204" i="1"/>
  <c r="AF204" i="1"/>
  <c r="AH204" i="1"/>
  <c r="AM204" i="1"/>
  <c r="AN204" i="1"/>
  <c r="K205" i="1"/>
  <c r="L205" i="1"/>
  <c r="M205" i="1"/>
  <c r="N205" i="1" s="1"/>
  <c r="V205" i="1"/>
  <c r="Y205" i="1"/>
  <c r="Z205" i="1"/>
  <c r="AB205" i="1"/>
  <c r="AC205" i="1"/>
  <c r="AD205" i="1"/>
  <c r="T205" i="1" s="1"/>
  <c r="AE205" i="1"/>
  <c r="AF205" i="1"/>
  <c r="AH205" i="1"/>
  <c r="AM205" i="1"/>
  <c r="AN205" i="1"/>
  <c r="K206" i="1"/>
  <c r="L206" i="1"/>
  <c r="M206" i="1"/>
  <c r="N206" i="1" s="1"/>
  <c r="V206" i="1"/>
  <c r="Y206" i="1"/>
  <c r="Z206" i="1"/>
  <c r="AB206" i="1"/>
  <c r="AC206" i="1"/>
  <c r="AD206" i="1"/>
  <c r="AE206" i="1"/>
  <c r="AF206" i="1"/>
  <c r="AH206" i="1"/>
  <c r="AM206" i="1"/>
  <c r="AN206" i="1"/>
  <c r="K207" i="1"/>
  <c r="L207" i="1"/>
  <c r="M207" i="1"/>
  <c r="N207" i="1" s="1"/>
  <c r="V207" i="1"/>
  <c r="Y207" i="1"/>
  <c r="Z207" i="1"/>
  <c r="AB207" i="1"/>
  <c r="AC207" i="1"/>
  <c r="AD207" i="1"/>
  <c r="T207" i="1" s="1"/>
  <c r="AE207" i="1"/>
  <c r="AF207" i="1"/>
  <c r="AH207" i="1"/>
  <c r="AM207" i="1"/>
  <c r="AN207" i="1"/>
  <c r="K208" i="1"/>
  <c r="L208" i="1"/>
  <c r="M208" i="1"/>
  <c r="N208" i="1" s="1"/>
  <c r="V208" i="1"/>
  <c r="Y208" i="1"/>
  <c r="Z208" i="1"/>
  <c r="AB208" i="1"/>
  <c r="AC208" i="1"/>
  <c r="AD208" i="1"/>
  <c r="AG208" i="1" s="1"/>
  <c r="AE208" i="1"/>
  <c r="AF208" i="1"/>
  <c r="AH208" i="1"/>
  <c r="AM208" i="1"/>
  <c r="AN208" i="1"/>
  <c r="K209" i="1"/>
  <c r="L209" i="1"/>
  <c r="M209" i="1"/>
  <c r="N209" i="1" s="1"/>
  <c r="V209" i="1"/>
  <c r="S27" i="3" s="1"/>
  <c r="Y209" i="1"/>
  <c r="Z209" i="1"/>
  <c r="AB209" i="1"/>
  <c r="AC209" i="1"/>
  <c r="AD209" i="1"/>
  <c r="T209" i="1" s="1"/>
  <c r="AE209" i="1"/>
  <c r="R27" i="3" s="1"/>
  <c r="AF209" i="1"/>
  <c r="AH209" i="1"/>
  <c r="AM209" i="1"/>
  <c r="AN209" i="1"/>
  <c r="K210" i="1"/>
  <c r="L210" i="1"/>
  <c r="M210" i="1"/>
  <c r="N210" i="1" s="1"/>
  <c r="V210" i="1"/>
  <c r="Y210" i="1"/>
  <c r="Z210" i="1"/>
  <c r="AB210" i="1"/>
  <c r="AC210" i="1"/>
  <c r="AD210" i="1"/>
  <c r="T210" i="1" s="1"/>
  <c r="AE210" i="1"/>
  <c r="AF210" i="1"/>
  <c r="AH210" i="1"/>
  <c r="AM210" i="1"/>
  <c r="AN210" i="1"/>
  <c r="K211" i="1"/>
  <c r="L211" i="1"/>
  <c r="M211" i="1"/>
  <c r="N211" i="1" s="1"/>
  <c r="V211" i="1"/>
  <c r="Y211" i="1"/>
  <c r="Z211" i="1"/>
  <c r="AB211" i="1"/>
  <c r="AC211" i="1"/>
  <c r="AD211" i="1"/>
  <c r="T211" i="1" s="1"/>
  <c r="AE211" i="1"/>
  <c r="AF211" i="1"/>
  <c r="AH211" i="1"/>
  <c r="AM211" i="1"/>
  <c r="AN211" i="1"/>
  <c r="K212" i="1"/>
  <c r="L212" i="1"/>
  <c r="M212" i="1"/>
  <c r="N212" i="1" s="1"/>
  <c r="V212" i="1"/>
  <c r="Y212" i="1"/>
  <c r="Z212" i="1"/>
  <c r="AB212" i="1"/>
  <c r="AC212" i="1"/>
  <c r="AD212" i="1"/>
  <c r="T212" i="1" s="1"/>
  <c r="AE212" i="1"/>
  <c r="AF212" i="1"/>
  <c r="AH212" i="1"/>
  <c r="AM212" i="1"/>
  <c r="AN212" i="1"/>
  <c r="K213" i="1"/>
  <c r="L213" i="1"/>
  <c r="M213" i="1"/>
  <c r="N213" i="1" s="1"/>
  <c r="V213" i="1"/>
  <c r="Y213" i="1"/>
  <c r="Z213" i="1"/>
  <c r="AB213" i="1"/>
  <c r="AC213" i="1"/>
  <c r="AD213" i="1"/>
  <c r="T213" i="1" s="1"/>
  <c r="AE213" i="1"/>
  <c r="AF213" i="1"/>
  <c r="AH213" i="1"/>
  <c r="AM213" i="1"/>
  <c r="AN213" i="1"/>
  <c r="K214" i="1"/>
  <c r="L214" i="1"/>
  <c r="M214" i="1"/>
  <c r="N214" i="1" s="1"/>
  <c r="V214" i="1"/>
  <c r="Y214" i="1"/>
  <c r="Z214" i="1"/>
  <c r="AB214" i="1"/>
  <c r="AC214" i="1"/>
  <c r="AD214" i="1"/>
  <c r="AE214" i="1"/>
  <c r="AF214" i="1"/>
  <c r="AH214" i="1"/>
  <c r="AM214" i="1"/>
  <c r="AN214" i="1"/>
  <c r="K215" i="1"/>
  <c r="L215" i="1"/>
  <c r="M215" i="1"/>
  <c r="N215" i="1" s="1"/>
  <c r="V215" i="1"/>
  <c r="Y215" i="1"/>
  <c r="Z215" i="1"/>
  <c r="AB215" i="1"/>
  <c r="AC215" i="1"/>
  <c r="AD215" i="1"/>
  <c r="T215" i="1" s="1"/>
  <c r="AE215" i="1"/>
  <c r="AF215" i="1"/>
  <c r="AH215" i="1"/>
  <c r="AM215" i="1"/>
  <c r="AN215" i="1"/>
  <c r="K216" i="1"/>
  <c r="L216" i="1"/>
  <c r="M216" i="1"/>
  <c r="N216" i="1" s="1"/>
  <c r="V216" i="1"/>
  <c r="Y216" i="1"/>
  <c r="Z216" i="1"/>
  <c r="AB216" i="1"/>
  <c r="AC216" i="1"/>
  <c r="AD216" i="1"/>
  <c r="AG216" i="1" s="1"/>
  <c r="AE216" i="1"/>
  <c r="AF216" i="1"/>
  <c r="AH216" i="1"/>
  <c r="AM216" i="1"/>
  <c r="AN216" i="1"/>
  <c r="K217" i="1"/>
  <c r="L217" i="1"/>
  <c r="M217" i="1"/>
  <c r="N217" i="1" s="1"/>
  <c r="V217" i="1"/>
  <c r="Y217" i="1"/>
  <c r="Z217" i="1"/>
  <c r="AB217" i="1"/>
  <c r="AC217" i="1"/>
  <c r="AD217" i="1"/>
  <c r="T217" i="1" s="1"/>
  <c r="AE217" i="1"/>
  <c r="AF217" i="1"/>
  <c r="AH217" i="1"/>
  <c r="AM217" i="1"/>
  <c r="AN217" i="1"/>
  <c r="K218" i="1"/>
  <c r="L218" i="1"/>
  <c r="M218" i="1"/>
  <c r="N218" i="1" s="1"/>
  <c r="V218" i="1"/>
  <c r="Y218" i="1"/>
  <c r="Z218" i="1"/>
  <c r="AB218" i="1"/>
  <c r="AC218" i="1"/>
  <c r="AD218" i="1"/>
  <c r="AG218" i="1" s="1"/>
  <c r="AE218" i="1"/>
  <c r="AF218" i="1"/>
  <c r="AH218" i="1"/>
  <c r="AM218" i="1"/>
  <c r="AN218" i="1"/>
  <c r="M18" i="3"/>
  <c r="R18" i="3"/>
  <c r="U18" i="3"/>
  <c r="T18" i="3" s="1"/>
  <c r="V18" i="3"/>
  <c r="W18" i="3"/>
  <c r="X18" i="3"/>
  <c r="AC18" i="3"/>
  <c r="M11" i="3"/>
  <c r="R11" i="3"/>
  <c r="S11" i="3"/>
  <c r="U11" i="3"/>
  <c r="AD11" i="3" s="1"/>
  <c r="V11" i="3"/>
  <c r="W11" i="3"/>
  <c r="X11" i="3"/>
  <c r="M14" i="3"/>
  <c r="U14" i="3"/>
  <c r="AC14" i="3" s="1"/>
  <c r="V14" i="3"/>
  <c r="W14" i="3"/>
  <c r="X14" i="3"/>
  <c r="M19" i="3"/>
  <c r="S19" i="3"/>
  <c r="U19" i="3"/>
  <c r="AC19" i="3" s="1"/>
  <c r="V19" i="3"/>
  <c r="W19" i="3"/>
  <c r="X19" i="3"/>
  <c r="M9" i="3"/>
  <c r="S9" i="3"/>
  <c r="U9" i="3"/>
  <c r="T9" i="3" s="1"/>
  <c r="V9" i="3"/>
  <c r="W9" i="3"/>
  <c r="X9" i="3"/>
  <c r="AC9" i="3"/>
  <c r="M15" i="3"/>
  <c r="R15" i="3"/>
  <c r="U15" i="3"/>
  <c r="AD15" i="3" s="1"/>
  <c r="V15" i="3"/>
  <c r="W15" i="3"/>
  <c r="X15" i="3"/>
  <c r="M8" i="3"/>
  <c r="S8" i="3"/>
  <c r="U8" i="3"/>
  <c r="AC8" i="3" s="1"/>
  <c r="V8" i="3"/>
  <c r="W8" i="3"/>
  <c r="X8" i="3"/>
  <c r="M12" i="3"/>
  <c r="S12" i="3"/>
  <c r="U12" i="3"/>
  <c r="AC12" i="3" s="1"/>
  <c r="V12" i="3"/>
  <c r="W12" i="3"/>
  <c r="X12" i="3"/>
  <c r="M29" i="3"/>
  <c r="U29" i="3"/>
  <c r="T29" i="3" s="1"/>
  <c r="V29" i="3"/>
  <c r="W29" i="3"/>
  <c r="X29" i="3"/>
  <c r="AC29" i="3"/>
  <c r="M10" i="3"/>
  <c r="R10" i="3"/>
  <c r="U10" i="3"/>
  <c r="V10" i="3"/>
  <c r="W10" i="3"/>
  <c r="X10" i="3"/>
  <c r="M26" i="3"/>
  <c r="R26" i="3"/>
  <c r="U26" i="3"/>
  <c r="AC26" i="3" s="1"/>
  <c r="V26" i="3"/>
  <c r="W26" i="3"/>
  <c r="X26" i="3"/>
  <c r="M20" i="3"/>
  <c r="R20" i="3"/>
  <c r="U20" i="3"/>
  <c r="T20" i="3" s="1"/>
  <c r="V20" i="3"/>
  <c r="W20" i="3"/>
  <c r="X20" i="3"/>
  <c r="AC20" i="3"/>
  <c r="M21" i="3"/>
  <c r="R21" i="3"/>
  <c r="U21" i="3"/>
  <c r="T21" i="3" s="1"/>
  <c r="V21" i="3"/>
  <c r="W21" i="3"/>
  <c r="X21" i="3"/>
  <c r="AC21" i="3"/>
  <c r="M24" i="3"/>
  <c r="R24" i="3"/>
  <c r="U24" i="3"/>
  <c r="AC24" i="3" s="1"/>
  <c r="V24" i="3"/>
  <c r="W24" i="3"/>
  <c r="X24" i="3"/>
  <c r="M22" i="3"/>
  <c r="R22" i="3"/>
  <c r="U22" i="3"/>
  <c r="AC22" i="3" s="1"/>
  <c r="V22" i="3"/>
  <c r="W22" i="3"/>
  <c r="X22" i="3"/>
  <c r="M23" i="3"/>
  <c r="U23" i="3"/>
  <c r="AD23" i="3" s="1"/>
  <c r="V23" i="3"/>
  <c r="W23" i="3"/>
  <c r="X23" i="3"/>
  <c r="AC23" i="3"/>
  <c r="M13" i="3"/>
  <c r="U13" i="3"/>
  <c r="T13" i="3" s="1"/>
  <c r="V13" i="3"/>
  <c r="W13" i="3"/>
  <c r="X13" i="3"/>
  <c r="AC13" i="3"/>
  <c r="M16" i="3"/>
  <c r="U16" i="3"/>
  <c r="V16" i="3"/>
  <c r="W16" i="3"/>
  <c r="X16" i="3"/>
  <c r="M25" i="3"/>
  <c r="R25" i="3"/>
  <c r="U25" i="3"/>
  <c r="AC25" i="3" s="1"/>
  <c r="V25" i="3"/>
  <c r="W25" i="3"/>
  <c r="X25" i="3"/>
  <c r="M7" i="3"/>
  <c r="U7" i="3"/>
  <c r="V7" i="3"/>
  <c r="W7" i="3"/>
  <c r="X7" i="3"/>
  <c r="AC7" i="3"/>
  <c r="M17" i="3"/>
  <c r="U17" i="3"/>
  <c r="T17" i="3" s="1"/>
  <c r="V17" i="3"/>
  <c r="W17" i="3"/>
  <c r="X17" i="3"/>
  <c r="AC17" i="3"/>
  <c r="M27" i="3"/>
  <c r="U27" i="3"/>
  <c r="V27" i="3"/>
  <c r="W27" i="3"/>
  <c r="X27" i="3"/>
  <c r="Y25" i="3" l="1"/>
  <c r="Y14" i="3"/>
  <c r="T93" i="1"/>
  <c r="U93" i="1" s="1"/>
  <c r="S93" i="1" s="1"/>
  <c r="X26" i="1"/>
  <c r="AI19" i="1"/>
  <c r="X155" i="1"/>
  <c r="AA179" i="1"/>
  <c r="X88" i="1"/>
  <c r="X86" i="1"/>
  <c r="X58" i="1"/>
  <c r="X158" i="1"/>
  <c r="AA192" i="1"/>
  <c r="AA69" i="1"/>
  <c r="AA39" i="1"/>
  <c r="X160" i="1"/>
  <c r="X157" i="1"/>
  <c r="X156" i="1"/>
  <c r="AA218" i="1"/>
  <c r="W218" i="1" s="1"/>
  <c r="AA108" i="1"/>
  <c r="W108" i="1" s="1"/>
  <c r="AA104" i="1"/>
  <c r="AA166" i="1"/>
  <c r="AA162" i="1"/>
  <c r="X153" i="1"/>
  <c r="X154" i="1"/>
  <c r="X152" i="1"/>
  <c r="Y11" i="3"/>
  <c r="AA209" i="1"/>
  <c r="X194" i="1"/>
  <c r="AA145" i="1"/>
  <c r="AA135" i="1"/>
  <c r="AG70" i="1"/>
  <c r="AI70" i="1" s="1"/>
  <c r="X70" i="1"/>
  <c r="T69" i="1"/>
  <c r="AA68" i="1"/>
  <c r="W68" i="1" s="1"/>
  <c r="X25" i="1"/>
  <c r="AA217" i="1"/>
  <c r="AA213" i="1"/>
  <c r="AA136" i="1"/>
  <c r="W136" i="1" s="1"/>
  <c r="T108" i="1"/>
  <c r="U108" i="1" s="1"/>
  <c r="S108" i="1" s="1"/>
  <c r="AA107" i="1"/>
  <c r="AA180" i="1"/>
  <c r="AA173" i="1"/>
  <c r="AA59" i="1"/>
  <c r="AA16" i="1"/>
  <c r="T16" i="1"/>
  <c r="AA15" i="1"/>
  <c r="X31" i="1"/>
  <c r="X147" i="1"/>
  <c r="X97" i="1"/>
  <c r="AG96" i="1"/>
  <c r="AI96" i="1" s="1"/>
  <c r="AI32" i="1"/>
  <c r="X16" i="1"/>
  <c r="X146" i="1"/>
  <c r="Y24" i="3"/>
  <c r="AA196" i="1"/>
  <c r="AA194" i="1"/>
  <c r="W194" i="1" s="1"/>
  <c r="T194" i="1"/>
  <c r="AA98" i="1"/>
  <c r="T40" i="1"/>
  <c r="U40" i="1" s="1"/>
  <c r="S40" i="1" s="1"/>
  <c r="AA26" i="1"/>
  <c r="T26" i="1"/>
  <c r="AA25" i="1"/>
  <c r="AG23" i="1"/>
  <c r="AI23" i="1" s="1"/>
  <c r="AA20" i="1"/>
  <c r="W20" i="1" s="1"/>
  <c r="AA81" i="1"/>
  <c r="W81" i="1" s="1"/>
  <c r="AA71" i="1"/>
  <c r="W69" i="1"/>
  <c r="AA65" i="1"/>
  <c r="W65" i="1" s="1"/>
  <c r="AA63" i="1"/>
  <c r="AA44" i="1"/>
  <c r="X28" i="1"/>
  <c r="X151" i="1"/>
  <c r="AA150" i="1"/>
  <c r="AG98" i="1"/>
  <c r="U98" i="1" s="1"/>
  <c r="S98" i="1" s="1"/>
  <c r="X98" i="1"/>
  <c r="AI177" i="1"/>
  <c r="AG171" i="1"/>
  <c r="AI171" i="1" s="1"/>
  <c r="AA207" i="1"/>
  <c r="Y27" i="3"/>
  <c r="Y22" i="3"/>
  <c r="X210" i="1"/>
  <c r="AG152" i="1"/>
  <c r="U152" i="1" s="1"/>
  <c r="S152" i="1" s="1"/>
  <c r="AG150" i="1"/>
  <c r="U150" i="1" s="1"/>
  <c r="S150" i="1" s="1"/>
  <c r="AG74" i="1"/>
  <c r="AI74" i="1" s="1"/>
  <c r="X74" i="1"/>
  <c r="AG71" i="1"/>
  <c r="U71" i="1" s="1"/>
  <c r="S71" i="1" s="1"/>
  <c r="X30" i="1"/>
  <c r="AG154" i="1"/>
  <c r="AG137" i="1"/>
  <c r="AI137" i="1" s="1"/>
  <c r="Y26" i="3"/>
  <c r="AA193" i="1"/>
  <c r="AA151" i="1"/>
  <c r="W151" i="1" s="1"/>
  <c r="T151" i="1"/>
  <c r="U151" i="1" s="1"/>
  <c r="S151" i="1" s="1"/>
  <c r="AA149" i="1"/>
  <c r="AA139" i="1"/>
  <c r="AA127" i="1"/>
  <c r="AA112" i="1"/>
  <c r="W112" i="1" s="1"/>
  <c r="AA106" i="1"/>
  <c r="AA96" i="1"/>
  <c r="W96" i="1" s="1"/>
  <c r="AA189" i="1"/>
  <c r="AA169" i="1"/>
  <c r="T86" i="1"/>
  <c r="AI85" i="1"/>
  <c r="AA78" i="1"/>
  <c r="AA76" i="1"/>
  <c r="W76" i="1" s="1"/>
  <c r="AA73" i="1"/>
  <c r="W73" i="1" s="1"/>
  <c r="X62" i="1"/>
  <c r="X29" i="1"/>
  <c r="X125" i="1"/>
  <c r="AG215" i="1"/>
  <c r="AG197" i="1"/>
  <c r="U197" i="1" s="1"/>
  <c r="S197" i="1" s="1"/>
  <c r="AG193" i="1"/>
  <c r="U193" i="1" s="1"/>
  <c r="S193" i="1" s="1"/>
  <c r="T218" i="1"/>
  <c r="X215" i="1"/>
  <c r="T198" i="1"/>
  <c r="X208" i="1"/>
  <c r="AG205" i="1"/>
  <c r="AA146" i="1"/>
  <c r="AG167" i="1"/>
  <c r="AI167" i="1" s="1"/>
  <c r="AA88" i="1"/>
  <c r="AG82" i="1"/>
  <c r="AI82" i="1" s="1"/>
  <c r="X82" i="1"/>
  <c r="AG75" i="1"/>
  <c r="U75" i="1" s="1"/>
  <c r="S75" i="1" s="1"/>
  <c r="AD29" i="3"/>
  <c r="Y17" i="3"/>
  <c r="AD20" i="3"/>
  <c r="AA210" i="1"/>
  <c r="AG201" i="1"/>
  <c r="U201" i="1" s="1"/>
  <c r="S201" i="1" s="1"/>
  <c r="AA198" i="1"/>
  <c r="W198" i="1" s="1"/>
  <c r="T129" i="1"/>
  <c r="AA128" i="1"/>
  <c r="AA110" i="1"/>
  <c r="AA100" i="1"/>
  <c r="AA186" i="1"/>
  <c r="X185" i="1"/>
  <c r="AG184" i="1"/>
  <c r="W184" i="1" s="1"/>
  <c r="AG175" i="1"/>
  <c r="AI175" i="1" s="1"/>
  <c r="X175" i="1"/>
  <c r="AG62" i="1"/>
  <c r="AI62" i="1" s="1"/>
  <c r="AG38" i="1"/>
  <c r="X33" i="1"/>
  <c r="AA21" i="1"/>
  <c r="AA19" i="1"/>
  <c r="W19" i="1" s="1"/>
  <c r="X18" i="1"/>
  <c r="AD9" i="3"/>
  <c r="AA156" i="1"/>
  <c r="AG125" i="1"/>
  <c r="U125" i="1" s="1"/>
  <c r="S125" i="1" s="1"/>
  <c r="AG94" i="1"/>
  <c r="AA92" i="1"/>
  <c r="AA61" i="1"/>
  <c r="W61" i="1" s="1"/>
  <c r="Y10" i="3"/>
  <c r="Y15" i="3"/>
  <c r="Y9" i="3"/>
  <c r="Y19" i="3"/>
  <c r="Y18" i="3"/>
  <c r="T136" i="1"/>
  <c r="AA131" i="1"/>
  <c r="W131" i="1" s="1"/>
  <c r="T118" i="1"/>
  <c r="T112" i="1"/>
  <c r="U112" i="1" s="1"/>
  <c r="S112" i="1" s="1"/>
  <c r="AA111" i="1"/>
  <c r="T104" i="1"/>
  <c r="U104" i="1" s="1"/>
  <c r="S104" i="1" s="1"/>
  <c r="AG186" i="1"/>
  <c r="X186" i="1"/>
  <c r="X182" i="1"/>
  <c r="X178" i="1"/>
  <c r="AA178" i="1"/>
  <c r="AG86" i="1"/>
  <c r="U86" i="1" s="1"/>
  <c r="S86" i="1" s="1"/>
  <c r="T81" i="1"/>
  <c r="X66" i="1"/>
  <c r="AG63" i="1"/>
  <c r="W63" i="1" s="1"/>
  <c r="T61" i="1"/>
  <c r="U61" i="1" s="1"/>
  <c r="S61" i="1" s="1"/>
  <c r="AA60" i="1"/>
  <c r="W60" i="1" s="1"/>
  <c r="X57" i="1"/>
  <c r="AG50" i="1"/>
  <c r="AI50" i="1" s="1"/>
  <c r="X50" i="1"/>
  <c r="AA48" i="1"/>
  <c r="X45" i="1"/>
  <c r="AA40" i="1"/>
  <c r="AG36" i="1"/>
  <c r="AI36" i="1" s="1"/>
  <c r="AA34" i="1"/>
  <c r="AA32" i="1"/>
  <c r="W32" i="1" s="1"/>
  <c r="AA22" i="1"/>
  <c r="W22" i="1" s="1"/>
  <c r="X21" i="1"/>
  <c r="T20" i="1"/>
  <c r="U20" i="1" s="1"/>
  <c r="S20" i="1" s="1"/>
  <c r="AA14" i="1"/>
  <c r="W139" i="1"/>
  <c r="AA211" i="1"/>
  <c r="U205" i="1"/>
  <c r="S205" i="1" s="1"/>
  <c r="AA204" i="1"/>
  <c r="W204" i="1" s="1"/>
  <c r="T204" i="1"/>
  <c r="U204" i="1" s="1"/>
  <c r="S204" i="1" s="1"/>
  <c r="T203" i="1"/>
  <c r="U203" i="1" s="1"/>
  <c r="S203" i="1" s="1"/>
  <c r="AA202" i="1"/>
  <c r="U154" i="1"/>
  <c r="S154" i="1" s="1"/>
  <c r="AA153" i="1"/>
  <c r="W153" i="1" s="1"/>
  <c r="T153" i="1"/>
  <c r="AA144" i="1"/>
  <c r="W144" i="1" s="1"/>
  <c r="AA143" i="1"/>
  <c r="T139" i="1"/>
  <c r="AA138" i="1"/>
  <c r="AI132" i="1"/>
  <c r="T131" i="1"/>
  <c r="AA130" i="1"/>
  <c r="T128" i="1"/>
  <c r="U128" i="1" s="1"/>
  <c r="S128" i="1" s="1"/>
  <c r="T124" i="1"/>
  <c r="U124" i="1" s="1"/>
  <c r="S124" i="1" s="1"/>
  <c r="AA123" i="1"/>
  <c r="AA121" i="1"/>
  <c r="W121" i="1" s="1"/>
  <c r="T121" i="1"/>
  <c r="U121" i="1" s="1"/>
  <c r="S121" i="1" s="1"/>
  <c r="AA120" i="1"/>
  <c r="W120" i="1" s="1"/>
  <c r="X114" i="1"/>
  <c r="AA114" i="1"/>
  <c r="X110" i="1"/>
  <c r="X106" i="1"/>
  <c r="X199" i="1"/>
  <c r="T103" i="1"/>
  <c r="T181" i="1"/>
  <c r="AA174" i="1"/>
  <c r="W174" i="1" s="1"/>
  <c r="T174" i="1"/>
  <c r="U174" i="1" s="1"/>
  <c r="S174" i="1" s="1"/>
  <c r="X171" i="1"/>
  <c r="AA163" i="1"/>
  <c r="W163" i="1" s="1"/>
  <c r="AA161" i="1"/>
  <c r="AA159" i="1"/>
  <c r="W159" i="1" s="1"/>
  <c r="X93" i="1"/>
  <c r="AA90" i="1"/>
  <c r="X78" i="1"/>
  <c r="AA58" i="1"/>
  <c r="AA57" i="1"/>
  <c r="W57" i="1" s="1"/>
  <c r="W40" i="1"/>
  <c r="U38" i="1"/>
  <c r="AA36" i="1"/>
  <c r="W116" i="1"/>
  <c r="W104" i="1"/>
  <c r="AA200" i="1"/>
  <c r="AA103" i="1"/>
  <c r="W103" i="1" s="1"/>
  <c r="AA187" i="1"/>
  <c r="T182" i="1"/>
  <c r="AA181" i="1"/>
  <c r="W181" i="1" s="1"/>
  <c r="AA77" i="1"/>
  <c r="AA67" i="1"/>
  <c r="T66" i="1"/>
  <c r="T65" i="1"/>
  <c r="U65" i="1" s="1"/>
  <c r="S65" i="1" s="1"/>
  <c r="AA64" i="1"/>
  <c r="W64" i="1" s="1"/>
  <c r="T32" i="1"/>
  <c r="AA31" i="1"/>
  <c r="W31" i="1" s="1"/>
  <c r="AA27" i="1"/>
  <c r="AA17" i="1"/>
  <c r="W17" i="1" s="1"/>
  <c r="AG207" i="1"/>
  <c r="U207" i="1" s="1"/>
  <c r="S207" i="1" s="1"/>
  <c r="X204" i="1"/>
  <c r="AA203" i="1"/>
  <c r="W203" i="1" s="1"/>
  <c r="AG195" i="1"/>
  <c r="U195" i="1" s="1"/>
  <c r="AG156" i="1"/>
  <c r="U156" i="1" s="1"/>
  <c r="S156" i="1" s="1"/>
  <c r="AG146" i="1"/>
  <c r="W146" i="1" s="1"/>
  <c r="AA141" i="1"/>
  <c r="AG133" i="1"/>
  <c r="U133" i="1" s="1"/>
  <c r="AA124" i="1"/>
  <c r="W124" i="1" s="1"/>
  <c r="X121" i="1"/>
  <c r="X174" i="1"/>
  <c r="AG90" i="1"/>
  <c r="X90" i="1"/>
  <c r="AA53" i="1"/>
  <c r="AG51" i="1"/>
  <c r="AA46" i="1"/>
  <c r="AA216" i="1"/>
  <c r="W216" i="1" s="1"/>
  <c r="AG213" i="1"/>
  <c r="AI213" i="1" s="1"/>
  <c r="AA208" i="1"/>
  <c r="W208" i="1" s="1"/>
  <c r="T208" i="1"/>
  <c r="AA206" i="1"/>
  <c r="X198" i="1"/>
  <c r="AA197" i="1"/>
  <c r="AG191" i="1"/>
  <c r="U191" i="1" s="1"/>
  <c r="S191" i="1" s="1"/>
  <c r="AA155" i="1"/>
  <c r="AA152" i="1"/>
  <c r="W152" i="1" s="1"/>
  <c r="AG148" i="1"/>
  <c r="AI148" i="1" s="1"/>
  <c r="AA147" i="1"/>
  <c r="W147" i="1" s="1"/>
  <c r="T147" i="1"/>
  <c r="T144" i="1"/>
  <c r="U144" i="1" s="1"/>
  <c r="S144" i="1" s="1"/>
  <c r="X136" i="1"/>
  <c r="AA129" i="1"/>
  <c r="W129" i="1" s="1"/>
  <c r="AA122" i="1"/>
  <c r="AA99" i="1"/>
  <c r="AG187" i="1"/>
  <c r="AI187" i="1" s="1"/>
  <c r="AG182" i="1"/>
  <c r="AA94" i="1"/>
  <c r="W94" i="1" s="1"/>
  <c r="AG173" i="1"/>
  <c r="U173" i="1" s="1"/>
  <c r="S173" i="1" s="1"/>
  <c r="AA172" i="1"/>
  <c r="AA171" i="1"/>
  <c r="X170" i="1"/>
  <c r="AG169" i="1"/>
  <c r="W169" i="1" s="1"/>
  <c r="AA93" i="1"/>
  <c r="W93" i="1" s="1"/>
  <c r="X164" i="1"/>
  <c r="AA164" i="1"/>
  <c r="AA160" i="1"/>
  <c r="AA158" i="1"/>
  <c r="W158" i="1" s="1"/>
  <c r="AA85" i="1"/>
  <c r="AG83" i="1"/>
  <c r="U83" i="1" s="1"/>
  <c r="S83" i="1" s="1"/>
  <c r="X83" i="1"/>
  <c r="AA75" i="1"/>
  <c r="T73" i="1"/>
  <c r="AA72" i="1"/>
  <c r="W72" i="1" s="1"/>
  <c r="AG67" i="1"/>
  <c r="U67" i="1" s="1"/>
  <c r="S67" i="1" s="1"/>
  <c r="AG66" i="1"/>
  <c r="AI66" i="1" s="1"/>
  <c r="T58" i="1"/>
  <c r="X54" i="1"/>
  <c r="AG53" i="1"/>
  <c r="U53" i="1" s="1"/>
  <c r="S53" i="1" s="1"/>
  <c r="X53" i="1"/>
  <c r="AA45" i="1"/>
  <c r="T45" i="1"/>
  <c r="U45" i="1" s="1"/>
  <c r="S45" i="1" s="1"/>
  <c r="T44" i="1"/>
  <c r="U44" i="1" s="1"/>
  <c r="S44" i="1" s="1"/>
  <c r="AA43" i="1"/>
  <c r="W43" i="1" s="1"/>
  <c r="AA33" i="1"/>
  <c r="T33" i="1"/>
  <c r="AG30" i="1"/>
  <c r="U30" i="1" s="1"/>
  <c r="S30" i="1" s="1"/>
  <c r="AA23" i="1"/>
  <c r="T22" i="1"/>
  <c r="X17" i="1"/>
  <c r="AI120" i="1"/>
  <c r="W135" i="1"/>
  <c r="AI135" i="1"/>
  <c r="U129" i="1"/>
  <c r="S129" i="1" s="1"/>
  <c r="AI129" i="1"/>
  <c r="X143" i="1"/>
  <c r="AG217" i="1"/>
  <c r="AI217" i="1" s="1"/>
  <c r="AA214" i="1"/>
  <c r="T214" i="1"/>
  <c r="AG211" i="1"/>
  <c r="U211" i="1" s="1"/>
  <c r="S211" i="1" s="1"/>
  <c r="AG143" i="1"/>
  <c r="AG141" i="1"/>
  <c r="AA140" i="1"/>
  <c r="T140" i="1"/>
  <c r="U140" i="1" s="1"/>
  <c r="S140" i="1" s="1"/>
  <c r="X139" i="1"/>
  <c r="AA137" i="1"/>
  <c r="W137" i="1" s="1"/>
  <c r="T135" i="1"/>
  <c r="U135" i="1" s="1"/>
  <c r="S135" i="1" s="1"/>
  <c r="AA134" i="1"/>
  <c r="AA132" i="1"/>
  <c r="T132" i="1"/>
  <c r="U132" i="1" s="1"/>
  <c r="S132" i="1" s="1"/>
  <c r="X131" i="1"/>
  <c r="AG127" i="1"/>
  <c r="U127" i="1" s="1"/>
  <c r="S127" i="1" s="1"/>
  <c r="AA125" i="1"/>
  <c r="AG122" i="1"/>
  <c r="W122" i="1" s="1"/>
  <c r="AI152" i="1"/>
  <c r="T120" i="1"/>
  <c r="U120" i="1" s="1"/>
  <c r="S120" i="1" s="1"/>
  <c r="AA119" i="1"/>
  <c r="AA117" i="1"/>
  <c r="W117" i="1" s="1"/>
  <c r="T117" i="1"/>
  <c r="U117" i="1" s="1"/>
  <c r="S117" i="1" s="1"/>
  <c r="X116" i="1"/>
  <c r="T114" i="1"/>
  <c r="AA113" i="1"/>
  <c r="W113" i="1" s="1"/>
  <c r="T113" i="1"/>
  <c r="U113" i="1" s="1"/>
  <c r="S113" i="1" s="1"/>
  <c r="X112" i="1"/>
  <c r="T110" i="1"/>
  <c r="AA109" i="1"/>
  <c r="W109" i="1" s="1"/>
  <c r="T109" i="1"/>
  <c r="U109" i="1" s="1"/>
  <c r="S109" i="1" s="1"/>
  <c r="X108" i="1"/>
  <c r="T106" i="1"/>
  <c r="AA105" i="1"/>
  <c r="W105" i="1" s="1"/>
  <c r="T105" i="1"/>
  <c r="U105" i="1" s="1"/>
  <c r="S105" i="1" s="1"/>
  <c r="X104" i="1"/>
  <c r="T199" i="1"/>
  <c r="AG102" i="1"/>
  <c r="T99" i="1"/>
  <c r="X99" i="1"/>
  <c r="AG99" i="1"/>
  <c r="AG188" i="1"/>
  <c r="AI188" i="1" s="1"/>
  <c r="X188" i="1"/>
  <c r="T188" i="1"/>
  <c r="AI44" i="1"/>
  <c r="X218" i="1"/>
  <c r="AI203" i="1"/>
  <c r="X144" i="1"/>
  <c r="U139" i="1"/>
  <c r="S139" i="1" s="1"/>
  <c r="U137" i="1"/>
  <c r="X135" i="1"/>
  <c r="U131" i="1"/>
  <c r="S131" i="1" s="1"/>
  <c r="X128" i="1"/>
  <c r="X120" i="1"/>
  <c r="U116" i="1"/>
  <c r="S116" i="1" s="1"/>
  <c r="AI116" i="1"/>
  <c r="AI112" i="1"/>
  <c r="AI108" i="1"/>
  <c r="AI104" i="1"/>
  <c r="X102" i="1"/>
  <c r="AI133" i="1"/>
  <c r="T100" i="1"/>
  <c r="AG100" i="1"/>
  <c r="AI100" i="1" s="1"/>
  <c r="W48" i="1"/>
  <c r="AA215" i="1"/>
  <c r="W215" i="1" s="1"/>
  <c r="X214" i="1"/>
  <c r="AA212" i="1"/>
  <c r="X211" i="1"/>
  <c r="AG209" i="1"/>
  <c r="X207" i="1"/>
  <c r="AA205" i="1"/>
  <c r="W205" i="1" s="1"/>
  <c r="X203" i="1"/>
  <c r="AA201" i="1"/>
  <c r="X197" i="1"/>
  <c r="AA195" i="1"/>
  <c r="X193" i="1"/>
  <c r="AA191" i="1"/>
  <c r="AA154" i="1"/>
  <c r="W154" i="1" s="1"/>
  <c r="X150" i="1"/>
  <c r="AA148" i="1"/>
  <c r="W148" i="1" s="1"/>
  <c r="AG145" i="1"/>
  <c r="AA142" i="1"/>
  <c r="X140" i="1"/>
  <c r="AA133" i="1"/>
  <c r="W133" i="1" s="1"/>
  <c r="X132" i="1"/>
  <c r="AA126" i="1"/>
  <c r="X124" i="1"/>
  <c r="AI154" i="1"/>
  <c r="AA118" i="1"/>
  <c r="W118" i="1" s="1"/>
  <c r="X117" i="1"/>
  <c r="AG114" i="1"/>
  <c r="W114" i="1" s="1"/>
  <c r="X113" i="1"/>
  <c r="AG110" i="1"/>
  <c r="X109" i="1"/>
  <c r="AG106" i="1"/>
  <c r="W106" i="1" s="1"/>
  <c r="X105" i="1"/>
  <c r="AG199" i="1"/>
  <c r="X103" i="1"/>
  <c r="AA102" i="1"/>
  <c r="X189" i="1"/>
  <c r="AG189" i="1"/>
  <c r="W189" i="1" s="1"/>
  <c r="T189" i="1"/>
  <c r="U189" i="1" s="1"/>
  <c r="S189" i="1" s="1"/>
  <c r="AI48" i="1"/>
  <c r="AI17" i="1"/>
  <c r="U146" i="1"/>
  <c r="S146" i="1" s="1"/>
  <c r="X127" i="1"/>
  <c r="U118" i="1"/>
  <c r="S118" i="1" s="1"/>
  <c r="AI118" i="1"/>
  <c r="AI146" i="1"/>
  <c r="AI139" i="1"/>
  <c r="AI131" i="1"/>
  <c r="AI25" i="1"/>
  <c r="AA190" i="1"/>
  <c r="AA188" i="1"/>
  <c r="AA183" i="1"/>
  <c r="T178" i="1"/>
  <c r="AA177" i="1"/>
  <c r="W177" i="1" s="1"/>
  <c r="T177" i="1"/>
  <c r="U177" i="1" s="1"/>
  <c r="S177" i="1" s="1"/>
  <c r="AA175" i="1"/>
  <c r="W175" i="1" s="1"/>
  <c r="AA168" i="1"/>
  <c r="T164" i="1"/>
  <c r="AG160" i="1"/>
  <c r="U160" i="1" s="1"/>
  <c r="S160" i="1" s="1"/>
  <c r="T92" i="1"/>
  <c r="AA91" i="1"/>
  <c r="W91" i="1" s="1"/>
  <c r="T91" i="1"/>
  <c r="U91" i="1" s="1"/>
  <c r="S91" i="1" s="1"/>
  <c r="U90" i="1"/>
  <c r="S90" i="1" s="1"/>
  <c r="T88" i="1"/>
  <c r="AA87" i="1"/>
  <c r="AG79" i="1"/>
  <c r="U79" i="1" s="1"/>
  <c r="S79" i="1" s="1"/>
  <c r="X79" i="1"/>
  <c r="T78" i="1"/>
  <c r="T77" i="1"/>
  <c r="U77" i="1" s="1"/>
  <c r="S77" i="1" s="1"/>
  <c r="T57" i="1"/>
  <c r="U57" i="1" s="1"/>
  <c r="S57" i="1" s="1"/>
  <c r="AA56" i="1"/>
  <c r="W56" i="1" s="1"/>
  <c r="AA55" i="1"/>
  <c r="AA54" i="1"/>
  <c r="T54" i="1"/>
  <c r="T48" i="1"/>
  <c r="U48" i="1" s="1"/>
  <c r="S48" i="1" s="1"/>
  <c r="AA47" i="1"/>
  <c r="AA37" i="1"/>
  <c r="W37" i="1" s="1"/>
  <c r="T37" i="1"/>
  <c r="U37" i="1" s="1"/>
  <c r="S37" i="1" s="1"/>
  <c r="AA29" i="1"/>
  <c r="W29" i="1" s="1"/>
  <c r="T29" i="1"/>
  <c r="W14" i="1"/>
  <c r="T14" i="1"/>
  <c r="U14" i="1" s="1"/>
  <c r="S14" i="1" s="1"/>
  <c r="T163" i="1"/>
  <c r="W44" i="1"/>
  <c r="X41" i="1"/>
  <c r="W25" i="1"/>
  <c r="T21" i="1"/>
  <c r="AA199" i="1"/>
  <c r="AA97" i="1"/>
  <c r="W97" i="1" s="1"/>
  <c r="T97" i="1"/>
  <c r="AA95" i="1"/>
  <c r="AA185" i="1"/>
  <c r="W185" i="1" s="1"/>
  <c r="T185" i="1"/>
  <c r="AA182" i="1"/>
  <c r="AG180" i="1"/>
  <c r="W180" i="1" s="1"/>
  <c r="AG178" i="1"/>
  <c r="AI178" i="1" s="1"/>
  <c r="X177" i="1"/>
  <c r="AA176" i="1"/>
  <c r="AA170" i="1"/>
  <c r="W170" i="1" s="1"/>
  <c r="T170" i="1"/>
  <c r="U170" i="1" s="1"/>
  <c r="S170" i="1" s="1"/>
  <c r="AA167" i="1"/>
  <c r="AG166" i="1"/>
  <c r="W166" i="1" s="1"/>
  <c r="AG164" i="1"/>
  <c r="AG92" i="1"/>
  <c r="AI92" i="1" s="1"/>
  <c r="X92" i="1"/>
  <c r="X91" i="1"/>
  <c r="AI90" i="1"/>
  <c r="AG88" i="1"/>
  <c r="AI88" i="1" s="1"/>
  <c r="X87" i="1"/>
  <c r="AA86" i="1"/>
  <c r="T85" i="1"/>
  <c r="U85" i="1" s="1"/>
  <c r="S85" i="1" s="1"/>
  <c r="AA82" i="1"/>
  <c r="W82" i="1" s="1"/>
  <c r="AA80" i="1"/>
  <c r="AA79" i="1"/>
  <c r="AG78" i="1"/>
  <c r="AI78" i="1" s="1"/>
  <c r="AA74" i="1"/>
  <c r="W74" i="1" s="1"/>
  <c r="AA70" i="1"/>
  <c r="AA66" i="1"/>
  <c r="AA62" i="1"/>
  <c r="AG55" i="1"/>
  <c r="U55" i="1" s="1"/>
  <c r="S55" i="1" s="1"/>
  <c r="AG54" i="1"/>
  <c r="AI54" i="1" s="1"/>
  <c r="AG46" i="1"/>
  <c r="W46" i="1" s="1"/>
  <c r="AA42" i="1"/>
  <c r="AI40" i="1"/>
  <c r="X37" i="1"/>
  <c r="AG34" i="1"/>
  <c r="AI34" i="1" s="1"/>
  <c r="AI30" i="1"/>
  <c r="AG27" i="1"/>
  <c r="T25" i="1"/>
  <c r="U25" i="1" s="1"/>
  <c r="S25" i="1" s="1"/>
  <c r="AA24" i="1"/>
  <c r="AG21" i="1"/>
  <c r="W21" i="1" s="1"/>
  <c r="T17" i="1"/>
  <c r="U17" i="1" s="1"/>
  <c r="S17" i="1" s="1"/>
  <c r="AA101" i="1"/>
  <c r="W186" i="1"/>
  <c r="X181" i="1"/>
  <c r="W171" i="1"/>
  <c r="X167" i="1"/>
  <c r="AA165" i="1"/>
  <c r="X163" i="1"/>
  <c r="T159" i="1"/>
  <c r="U159" i="1" s="1"/>
  <c r="S159" i="1" s="1"/>
  <c r="AA157" i="1"/>
  <c r="AA89" i="1"/>
  <c r="AA84" i="1"/>
  <c r="AA83" i="1"/>
  <c r="W83" i="1" s="1"/>
  <c r="U63" i="1"/>
  <c r="S63" i="1" s="1"/>
  <c r="AG59" i="1"/>
  <c r="U59" i="1" s="1"/>
  <c r="AG58" i="1"/>
  <c r="AI58" i="1" s="1"/>
  <c r="AI57" i="1"/>
  <c r="AA52" i="1"/>
  <c r="W52" i="1" s="1"/>
  <c r="AA51" i="1"/>
  <c r="W51" i="1" s="1"/>
  <c r="AA50" i="1"/>
  <c r="W50" i="1" s="1"/>
  <c r="AA49" i="1"/>
  <c r="AG42" i="1"/>
  <c r="U42" i="1" s="1"/>
  <c r="AA41" i="1"/>
  <c r="T41" i="1"/>
  <c r="U41" i="1" s="1"/>
  <c r="S41" i="1" s="1"/>
  <c r="AA38" i="1"/>
  <c r="W38" i="1" s="1"/>
  <c r="AA35" i="1"/>
  <c r="U32" i="1"/>
  <c r="S32" i="1" s="1"/>
  <c r="AA30" i="1"/>
  <c r="AA28" i="1"/>
  <c r="X22" i="1"/>
  <c r="X20" i="1"/>
  <c r="AA18" i="1"/>
  <c r="T18" i="1"/>
  <c r="U18" i="1" s="1"/>
  <c r="S18" i="1" s="1"/>
  <c r="AG15" i="1"/>
  <c r="AI15" i="1" s="1"/>
  <c r="U208" i="1"/>
  <c r="S208" i="1" s="1"/>
  <c r="AI208" i="1"/>
  <c r="AI204" i="1"/>
  <c r="U198" i="1"/>
  <c r="S198" i="1" s="1"/>
  <c r="U194" i="1"/>
  <c r="S194" i="1" s="1"/>
  <c r="U153" i="1"/>
  <c r="S153" i="1" s="1"/>
  <c r="U147" i="1"/>
  <c r="S147" i="1" s="1"/>
  <c r="AI180" i="1"/>
  <c r="AI218" i="1"/>
  <c r="U218" i="1"/>
  <c r="S218" i="1" s="1"/>
  <c r="U217" i="1"/>
  <c r="S217" i="1" s="1"/>
  <c r="U213" i="1"/>
  <c r="S213" i="1" s="1"/>
  <c r="AI216" i="1"/>
  <c r="X216" i="1"/>
  <c r="T216" i="1"/>
  <c r="U216" i="1" s="1"/>
  <c r="S216" i="1" s="1"/>
  <c r="AI215" i="1"/>
  <c r="X217" i="1"/>
  <c r="AG214" i="1"/>
  <c r="X213" i="1"/>
  <c r="AG210" i="1"/>
  <c r="X209" i="1"/>
  <c r="AG206" i="1"/>
  <c r="X205" i="1"/>
  <c r="AG202" i="1"/>
  <c r="X201" i="1"/>
  <c r="AG196" i="1"/>
  <c r="AI196" i="1" s="1"/>
  <c r="X195" i="1"/>
  <c r="AG192" i="1"/>
  <c r="W192" i="1" s="1"/>
  <c r="X191" i="1"/>
  <c r="AG155" i="1"/>
  <c r="W155" i="1" s="1"/>
  <c r="AG149" i="1"/>
  <c r="X148" i="1"/>
  <c r="W128" i="1"/>
  <c r="U215" i="1"/>
  <c r="S215" i="1" s="1"/>
  <c r="X206" i="1"/>
  <c r="T206" i="1"/>
  <c r="AI205" i="1"/>
  <c r="X202" i="1"/>
  <c r="T202" i="1"/>
  <c r="X196" i="1"/>
  <c r="T196" i="1"/>
  <c r="S195" i="1"/>
  <c r="X192" i="1"/>
  <c r="T192" i="1"/>
  <c r="T155" i="1"/>
  <c r="AI189" i="1"/>
  <c r="AI185" i="1"/>
  <c r="X149" i="1"/>
  <c r="T149" i="1"/>
  <c r="AI181" i="1"/>
  <c r="W140" i="1"/>
  <c r="W132" i="1"/>
  <c r="AG212" i="1"/>
  <c r="AI151" i="1"/>
  <c r="AI147" i="1"/>
  <c r="AI144" i="1"/>
  <c r="AI140" i="1"/>
  <c r="U103" i="1"/>
  <c r="S103" i="1" s="1"/>
  <c r="AI136" i="1"/>
  <c r="X212" i="1"/>
  <c r="AI211" i="1"/>
  <c r="U136" i="1"/>
  <c r="S136" i="1" s="1"/>
  <c r="AI153" i="1"/>
  <c r="X145" i="1"/>
  <c r="AG142" i="1"/>
  <c r="X141" i="1"/>
  <c r="AG138" i="1"/>
  <c r="X137" i="1"/>
  <c r="AG134" i="1"/>
  <c r="X133" i="1"/>
  <c r="AG130" i="1"/>
  <c r="AI130" i="1" s="1"/>
  <c r="X129" i="1"/>
  <c r="AG126" i="1"/>
  <c r="AG123" i="1"/>
  <c r="AI123" i="1" s="1"/>
  <c r="X122" i="1"/>
  <c r="AG119" i="1"/>
  <c r="AI119" i="1" s="1"/>
  <c r="X118" i="1"/>
  <c r="AG115" i="1"/>
  <c r="W115" i="1" s="1"/>
  <c r="AG111" i="1"/>
  <c r="W111" i="1" s="1"/>
  <c r="AG107" i="1"/>
  <c r="W107" i="1" s="1"/>
  <c r="AG200" i="1"/>
  <c r="AI200" i="1" s="1"/>
  <c r="AG101" i="1"/>
  <c r="X100" i="1"/>
  <c r="X142" i="1"/>
  <c r="T142" i="1"/>
  <c r="AI173" i="1"/>
  <c r="X138" i="1"/>
  <c r="T138" i="1"/>
  <c r="S137" i="1"/>
  <c r="X134" i="1"/>
  <c r="T134" i="1"/>
  <c r="S133" i="1"/>
  <c r="X130" i="1"/>
  <c r="T130" i="1"/>
  <c r="X126" i="1"/>
  <c r="T126" i="1"/>
  <c r="X123" i="1"/>
  <c r="T123" i="1"/>
  <c r="X119" i="1"/>
  <c r="T119" i="1"/>
  <c r="X115" i="1"/>
  <c r="T115" i="1"/>
  <c r="X111" i="1"/>
  <c r="T111" i="1"/>
  <c r="X107" i="1"/>
  <c r="T107" i="1"/>
  <c r="X200" i="1"/>
  <c r="T200" i="1"/>
  <c r="X101" i="1"/>
  <c r="T101" i="1"/>
  <c r="U97" i="1"/>
  <c r="S97" i="1" s="1"/>
  <c r="U96" i="1"/>
  <c r="S96" i="1" s="1"/>
  <c r="U188" i="1"/>
  <c r="S188" i="1" s="1"/>
  <c r="U187" i="1"/>
  <c r="S187" i="1" s="1"/>
  <c r="U94" i="1"/>
  <c r="S94" i="1" s="1"/>
  <c r="AI99" i="1"/>
  <c r="U163" i="1"/>
  <c r="S163" i="1" s="1"/>
  <c r="AI94" i="1"/>
  <c r="AI91" i="1"/>
  <c r="U181" i="1"/>
  <c r="S181" i="1" s="1"/>
  <c r="AI103" i="1"/>
  <c r="U166" i="1"/>
  <c r="S166" i="1" s="1"/>
  <c r="W162" i="1"/>
  <c r="U185" i="1"/>
  <c r="S185" i="1" s="1"/>
  <c r="X96" i="1"/>
  <c r="X187" i="1"/>
  <c r="X184" i="1"/>
  <c r="X180" i="1"/>
  <c r="X94" i="1"/>
  <c r="X173" i="1"/>
  <c r="X169" i="1"/>
  <c r="X166" i="1"/>
  <c r="X162" i="1"/>
  <c r="T162" i="1"/>
  <c r="U162" i="1" s="1"/>
  <c r="S162" i="1" s="1"/>
  <c r="T158" i="1"/>
  <c r="U158" i="1" s="1"/>
  <c r="S158" i="1" s="1"/>
  <c r="AG87" i="1"/>
  <c r="AG84" i="1"/>
  <c r="W84" i="1" s="1"/>
  <c r="X85" i="1"/>
  <c r="T84" i="1"/>
  <c r="X84" i="1"/>
  <c r="W77" i="1"/>
  <c r="AI52" i="1"/>
  <c r="U186" i="1"/>
  <c r="S186" i="1" s="1"/>
  <c r="U175" i="1"/>
  <c r="S175" i="1" s="1"/>
  <c r="U171" i="1"/>
  <c r="S171" i="1" s="1"/>
  <c r="AI77" i="1"/>
  <c r="AI56" i="1"/>
  <c r="U51" i="1"/>
  <c r="S51" i="1" s="1"/>
  <c r="AG190" i="1"/>
  <c r="AG95" i="1"/>
  <c r="AI95" i="1" s="1"/>
  <c r="AG183" i="1"/>
  <c r="AI183" i="1" s="1"/>
  <c r="AG179" i="1"/>
  <c r="AI179" i="1" s="1"/>
  <c r="AG176" i="1"/>
  <c r="AI176" i="1" s="1"/>
  <c r="AG172" i="1"/>
  <c r="W172" i="1" s="1"/>
  <c r="AG168" i="1"/>
  <c r="AI168" i="1" s="1"/>
  <c r="AG165" i="1"/>
  <c r="AI165" i="1" s="1"/>
  <c r="AG161" i="1"/>
  <c r="AI161" i="1" s="1"/>
  <c r="AG157" i="1"/>
  <c r="AG89" i="1"/>
  <c r="AI81" i="1"/>
  <c r="U81" i="1"/>
  <c r="S81" i="1" s="1"/>
  <c r="W80" i="1"/>
  <c r="AI76" i="1"/>
  <c r="AI73" i="1"/>
  <c r="U73" i="1"/>
  <c r="S73" i="1" s="1"/>
  <c r="AI72" i="1"/>
  <c r="AI69" i="1"/>
  <c r="U69" i="1"/>
  <c r="S69" i="1" s="1"/>
  <c r="AI68" i="1"/>
  <c r="AI65" i="1"/>
  <c r="AI64" i="1"/>
  <c r="AI61" i="1"/>
  <c r="AI60" i="1"/>
  <c r="X190" i="1"/>
  <c r="AI127" i="1"/>
  <c r="X95" i="1"/>
  <c r="AI124" i="1"/>
  <c r="X183" i="1"/>
  <c r="X179" i="1"/>
  <c r="X176" i="1"/>
  <c r="X172" i="1"/>
  <c r="X168" i="1"/>
  <c r="X165" i="1"/>
  <c r="X89" i="1"/>
  <c r="AI86" i="1"/>
  <c r="W85" i="1"/>
  <c r="AI80" i="1"/>
  <c r="X80" i="1"/>
  <c r="T80" i="1"/>
  <c r="U80" i="1" s="1"/>
  <c r="S80" i="1" s="1"/>
  <c r="X76" i="1"/>
  <c r="T76" i="1"/>
  <c r="U76" i="1" s="1"/>
  <c r="S76" i="1" s="1"/>
  <c r="X72" i="1"/>
  <c r="T72" i="1"/>
  <c r="U72" i="1" s="1"/>
  <c r="S72" i="1" s="1"/>
  <c r="AI71" i="1"/>
  <c r="X68" i="1"/>
  <c r="T68" i="1"/>
  <c r="U68" i="1" s="1"/>
  <c r="S68" i="1" s="1"/>
  <c r="AI67" i="1"/>
  <c r="X64" i="1"/>
  <c r="T64" i="1"/>
  <c r="U64" i="1" s="1"/>
  <c r="S64" i="1" s="1"/>
  <c r="AI63" i="1"/>
  <c r="X60" i="1"/>
  <c r="T60" i="1"/>
  <c r="U60" i="1" s="1"/>
  <c r="S60" i="1" s="1"/>
  <c r="AI59" i="1"/>
  <c r="S59" i="1"/>
  <c r="X56" i="1"/>
  <c r="T56" i="1"/>
  <c r="U56" i="1" s="1"/>
  <c r="S56" i="1" s="1"/>
  <c r="X52" i="1"/>
  <c r="T52" i="1"/>
  <c r="U52" i="1" s="1"/>
  <c r="S52" i="1" s="1"/>
  <c r="AI51" i="1"/>
  <c r="AI49" i="1"/>
  <c r="AI41" i="1"/>
  <c r="AI35" i="1"/>
  <c r="AI28" i="1"/>
  <c r="AI18" i="1"/>
  <c r="U82" i="1"/>
  <c r="S82" i="1" s="1"/>
  <c r="X81" i="1"/>
  <c r="X77" i="1"/>
  <c r="U74" i="1"/>
  <c r="S74" i="1" s="1"/>
  <c r="X73" i="1"/>
  <c r="X69" i="1"/>
  <c r="X65" i="1"/>
  <c r="X61" i="1"/>
  <c r="U50" i="1"/>
  <c r="S50" i="1" s="1"/>
  <c r="X49" i="1"/>
  <c r="AG47" i="1"/>
  <c r="X48" i="1"/>
  <c r="T47" i="1"/>
  <c r="X47" i="1"/>
  <c r="AI37" i="1"/>
  <c r="AI29" i="1"/>
  <c r="U29" i="1"/>
  <c r="S29" i="1" s="1"/>
  <c r="U23" i="1"/>
  <c r="S23" i="1" s="1"/>
  <c r="AI14" i="1"/>
  <c r="U46" i="1"/>
  <c r="S46" i="1" s="1"/>
  <c r="W45" i="1"/>
  <c r="AI43" i="1"/>
  <c r="W39" i="1"/>
  <c r="U34" i="1"/>
  <c r="S34" i="1" s="1"/>
  <c r="W33" i="1"/>
  <c r="AI31" i="1"/>
  <c r="W26" i="1"/>
  <c r="W24" i="1"/>
  <c r="AI22" i="1"/>
  <c r="U22" i="1"/>
  <c r="S22" i="1" s="1"/>
  <c r="AI20" i="1"/>
  <c r="U19" i="1"/>
  <c r="S19" i="1" s="1"/>
  <c r="W16" i="1"/>
  <c r="X75" i="1"/>
  <c r="X71" i="1"/>
  <c r="X67" i="1"/>
  <c r="X63" i="1"/>
  <c r="X59" i="1"/>
  <c r="X55" i="1"/>
  <c r="X51" i="1"/>
  <c r="W49" i="1"/>
  <c r="T49" i="1"/>
  <c r="U49" i="1" s="1"/>
  <c r="S49" i="1" s="1"/>
  <c r="AI45" i="1"/>
  <c r="W41" i="1"/>
  <c r="AI39" i="1"/>
  <c r="W35" i="1"/>
  <c r="AI33" i="1"/>
  <c r="U33" i="1"/>
  <c r="S33" i="1" s="1"/>
  <c r="W28" i="1"/>
  <c r="AI26" i="1"/>
  <c r="U26" i="1"/>
  <c r="S26" i="1" s="1"/>
  <c r="AI24" i="1"/>
  <c r="W18" i="1"/>
  <c r="U16" i="1"/>
  <c r="S16" i="1" s="1"/>
  <c r="AI16" i="1"/>
  <c r="U15" i="1"/>
  <c r="S15" i="1" s="1"/>
  <c r="AI46" i="1"/>
  <c r="X43" i="1"/>
  <c r="T43" i="1"/>
  <c r="U43" i="1" s="1"/>
  <c r="S43" i="1" s="1"/>
  <c r="S42" i="1"/>
  <c r="X39" i="1"/>
  <c r="T39" i="1"/>
  <c r="U39" i="1" s="1"/>
  <c r="S39" i="1" s="1"/>
  <c r="AI38" i="1"/>
  <c r="S38" i="1"/>
  <c r="X35" i="1"/>
  <c r="T35" i="1"/>
  <c r="U35" i="1" s="1"/>
  <c r="S35" i="1" s="1"/>
  <c r="T31" i="1"/>
  <c r="U31" i="1" s="1"/>
  <c r="S31" i="1" s="1"/>
  <c r="T28" i="1"/>
  <c r="U28" i="1" s="1"/>
  <c r="S28" i="1" s="1"/>
  <c r="X24" i="1"/>
  <c r="T24" i="1"/>
  <c r="U24" i="1" s="1"/>
  <c r="S24" i="1" s="1"/>
  <c r="X44" i="1"/>
  <c r="X40" i="1"/>
  <c r="X36" i="1"/>
  <c r="X32" i="1"/>
  <c r="X46" i="1"/>
  <c r="X42" i="1"/>
  <c r="X38" i="1"/>
  <c r="X34" i="1"/>
  <c r="X27" i="1"/>
  <c r="X23" i="1"/>
  <c r="X19" i="1"/>
  <c r="X15" i="1"/>
  <c r="AD25" i="3"/>
  <c r="T23" i="3"/>
  <c r="Y29" i="3"/>
  <c r="AD13" i="3"/>
  <c r="Y7" i="3"/>
  <c r="Y23" i="3"/>
  <c r="AC27" i="3"/>
  <c r="AE27" i="3"/>
  <c r="Y16" i="3"/>
  <c r="AE23" i="3"/>
  <c r="AD21" i="3"/>
  <c r="Y21" i="3"/>
  <c r="AD17" i="3"/>
  <c r="Y8" i="3"/>
  <c r="AD8" i="3"/>
  <c r="AD27" i="3"/>
  <c r="AE19" i="3"/>
  <c r="T7" i="3"/>
  <c r="AD24" i="3"/>
  <c r="AD19" i="3"/>
  <c r="AC10" i="3"/>
  <c r="AE15" i="3"/>
  <c r="AC15" i="3"/>
  <c r="AE11" i="3"/>
  <c r="AC11" i="3"/>
  <c r="AC16" i="3"/>
  <c r="AD16" i="3"/>
  <c r="T12" i="3"/>
  <c r="AD12" i="3"/>
  <c r="T19" i="3"/>
  <c r="Y13" i="3"/>
  <c r="Y20" i="3"/>
  <c r="Y12" i="3"/>
  <c r="AE22" i="3"/>
  <c r="T22" i="3"/>
  <c r="AE14" i="3"/>
  <c r="T8" i="3"/>
  <c r="AE10" i="3"/>
  <c r="T14" i="3"/>
  <c r="AD22" i="3"/>
  <c r="AE21" i="3"/>
  <c r="T24" i="3"/>
  <c r="AD18" i="3"/>
  <c r="AE17" i="3"/>
  <c r="T10" i="3"/>
  <c r="AD14" i="3"/>
  <c r="AE13" i="3"/>
  <c r="T15" i="3"/>
  <c r="AD10" i="3"/>
  <c r="AE9" i="3"/>
  <c r="T11" i="3"/>
  <c r="AE26" i="3"/>
  <c r="T25" i="3"/>
  <c r="AE18" i="3"/>
  <c r="T26" i="3"/>
  <c r="AE29" i="3"/>
  <c r="T27" i="3"/>
  <c r="AD26" i="3"/>
  <c r="AE25" i="3"/>
  <c r="T16" i="3"/>
  <c r="AE24" i="3"/>
  <c r="AE20" i="3"/>
  <c r="AE16" i="3"/>
  <c r="AE12" i="3"/>
  <c r="AE8" i="3"/>
  <c r="B55" i="9"/>
  <c r="C55" i="9" s="1"/>
  <c r="B56" i="9"/>
  <c r="B57" i="9"/>
  <c r="C57" i="9" s="1"/>
  <c r="B58" i="9"/>
  <c r="B59" i="9"/>
  <c r="C59" i="9" s="1"/>
  <c r="B60" i="9"/>
  <c r="B61" i="9"/>
  <c r="C61" i="9" s="1"/>
  <c r="B62" i="9"/>
  <c r="B63" i="9"/>
  <c r="C63" i="9" s="1"/>
  <c r="B64" i="9"/>
  <c r="B65" i="9"/>
  <c r="C65" i="9" s="1"/>
  <c r="B66" i="9"/>
  <c r="B67" i="9"/>
  <c r="C67" i="9" s="1"/>
  <c r="B68" i="9"/>
  <c r="B69" i="9"/>
  <c r="C69" i="9" s="1"/>
  <c r="B70" i="9"/>
  <c r="B71" i="9"/>
  <c r="C71" i="9" s="1"/>
  <c r="B72" i="9"/>
  <c r="B73" i="9"/>
  <c r="C73" i="9" s="1"/>
  <c r="B74" i="9"/>
  <c r="W28" i="3"/>
  <c r="AI55" i="1" l="1"/>
  <c r="AI75" i="1"/>
  <c r="AI197" i="1"/>
  <c r="W70" i="1"/>
  <c r="W167" i="1"/>
  <c r="U36" i="1"/>
  <c r="S36" i="1" s="1"/>
  <c r="AI156" i="1"/>
  <c r="AI207" i="1"/>
  <c r="U70" i="1"/>
  <c r="S70" i="1" s="1"/>
  <c r="AI83" i="1"/>
  <c r="W126" i="1"/>
  <c r="W142" i="1"/>
  <c r="W164" i="1"/>
  <c r="AI150" i="1"/>
  <c r="W150" i="1"/>
  <c r="AI79" i="1"/>
  <c r="U167" i="1"/>
  <c r="S167" i="1" s="1"/>
  <c r="W210" i="1"/>
  <c r="W86" i="1"/>
  <c r="W23" i="1"/>
  <c r="W75" i="1"/>
  <c r="W197" i="1"/>
  <c r="W141" i="1"/>
  <c r="U54" i="1"/>
  <c r="S54" i="1" s="1"/>
  <c r="W99" i="1"/>
  <c r="W207" i="1"/>
  <c r="W71" i="1"/>
  <c r="W66" i="1"/>
  <c r="U58" i="1"/>
  <c r="S58" i="1" s="1"/>
  <c r="U88" i="1"/>
  <c r="S88" i="1" s="1"/>
  <c r="W195" i="1"/>
  <c r="AI195" i="1"/>
  <c r="U66" i="1"/>
  <c r="S66" i="1" s="1"/>
  <c r="U182" i="1"/>
  <c r="S182" i="1" s="1"/>
  <c r="U180" i="1"/>
  <c r="S180" i="1" s="1"/>
  <c r="AI160" i="1"/>
  <c r="W160" i="1"/>
  <c r="U184" i="1"/>
  <c r="S184" i="1" s="1"/>
  <c r="W199" i="1"/>
  <c r="W98" i="1"/>
  <c r="U78" i="1"/>
  <c r="S78" i="1" s="1"/>
  <c r="W89" i="1"/>
  <c r="AI98" i="1"/>
  <c r="U100" i="1"/>
  <c r="S100" i="1" s="1"/>
  <c r="AI164" i="1"/>
  <c r="W182" i="1"/>
  <c r="U164" i="1"/>
  <c r="S164" i="1" s="1"/>
  <c r="W191" i="1"/>
  <c r="AI125" i="1"/>
  <c r="AI191" i="1"/>
  <c r="AI42" i="1"/>
  <c r="U92" i="1"/>
  <c r="S92" i="1" s="1"/>
  <c r="W87" i="1"/>
  <c r="U169" i="1"/>
  <c r="S169" i="1" s="1"/>
  <c r="AI169" i="1"/>
  <c r="W138" i="1"/>
  <c r="W206" i="1"/>
  <c r="W30" i="1"/>
  <c r="W62" i="1"/>
  <c r="W193" i="1"/>
  <c r="U62" i="1"/>
  <c r="S62" i="1" s="1"/>
  <c r="AI184" i="1"/>
  <c r="U148" i="1"/>
  <c r="S148" i="1" s="1"/>
  <c r="AI53" i="1"/>
  <c r="W79" i="1"/>
  <c r="W201" i="1"/>
  <c r="W125" i="1"/>
  <c r="U178" i="1"/>
  <c r="S178" i="1" s="1"/>
  <c r="W212" i="1"/>
  <c r="AI193" i="1"/>
  <c r="AI201" i="1"/>
  <c r="W110" i="1"/>
  <c r="W211" i="1"/>
  <c r="W188" i="1"/>
  <c r="AI115" i="1"/>
  <c r="W36" i="1"/>
  <c r="W88" i="1"/>
  <c r="W187" i="1"/>
  <c r="W156" i="1"/>
  <c r="W183" i="1"/>
  <c r="W102" i="1"/>
  <c r="U99" i="1"/>
  <c r="S99" i="1" s="1"/>
  <c r="W213" i="1"/>
  <c r="W173" i="1"/>
  <c r="W90" i="1"/>
  <c r="W58" i="1"/>
  <c r="W178" i="1"/>
  <c r="W100" i="1"/>
  <c r="W53" i="1"/>
  <c r="W67" i="1"/>
  <c r="W157" i="1"/>
  <c r="AI157" i="1"/>
  <c r="AI111" i="1"/>
  <c r="AI172" i="1"/>
  <c r="W34" i="1"/>
  <c r="W78" i="1"/>
  <c r="U209" i="1"/>
  <c r="S209" i="1" s="1"/>
  <c r="AI209" i="1"/>
  <c r="W15" i="1"/>
  <c r="U141" i="1"/>
  <c r="S141" i="1" s="1"/>
  <c r="AI141" i="1"/>
  <c r="W127" i="1"/>
  <c r="U27" i="1"/>
  <c r="S27" i="1" s="1"/>
  <c r="AI27" i="1"/>
  <c r="U106" i="1"/>
  <c r="S106" i="1" s="1"/>
  <c r="AI106" i="1"/>
  <c r="U114" i="1"/>
  <c r="S114" i="1" s="1"/>
  <c r="AI114" i="1"/>
  <c r="U145" i="1"/>
  <c r="S145" i="1" s="1"/>
  <c r="AI145" i="1"/>
  <c r="U143" i="1"/>
  <c r="S143" i="1" s="1"/>
  <c r="AI143" i="1"/>
  <c r="W145" i="1"/>
  <c r="W209" i="1"/>
  <c r="W165" i="1"/>
  <c r="AI107" i="1"/>
  <c r="AI126" i="1"/>
  <c r="U21" i="1"/>
  <c r="S21" i="1" s="1"/>
  <c r="AI21" i="1"/>
  <c r="W27" i="1"/>
  <c r="W54" i="1"/>
  <c r="W217" i="1"/>
  <c r="AI192" i="1"/>
  <c r="W42" i="1"/>
  <c r="W59" i="1"/>
  <c r="W92" i="1"/>
  <c r="W55" i="1"/>
  <c r="U199" i="1"/>
  <c r="S199" i="1" s="1"/>
  <c r="AI199" i="1"/>
  <c r="U110" i="1"/>
  <c r="S110" i="1" s="1"/>
  <c r="AI110" i="1"/>
  <c r="U102" i="1"/>
  <c r="S102" i="1" s="1"/>
  <c r="AI102" i="1"/>
  <c r="U122" i="1"/>
  <c r="S122" i="1" s="1"/>
  <c r="AI122" i="1"/>
  <c r="W143" i="1"/>
  <c r="U47" i="1"/>
  <c r="S47" i="1" s="1"/>
  <c r="AI47" i="1"/>
  <c r="W47" i="1"/>
  <c r="U161" i="1"/>
  <c r="S161" i="1" s="1"/>
  <c r="AI97" i="1"/>
  <c r="U176" i="1"/>
  <c r="S176" i="1" s="1"/>
  <c r="AI113" i="1"/>
  <c r="U190" i="1"/>
  <c r="S190" i="1" s="1"/>
  <c r="AI128" i="1"/>
  <c r="U84" i="1"/>
  <c r="S84" i="1" s="1"/>
  <c r="AI84" i="1"/>
  <c r="W161" i="1"/>
  <c r="AI138" i="1"/>
  <c r="U200" i="1"/>
  <c r="S200" i="1" s="1"/>
  <c r="U165" i="1"/>
  <c r="S165" i="1" s="1"/>
  <c r="AI101" i="1"/>
  <c r="U179" i="1"/>
  <c r="S179" i="1" s="1"/>
  <c r="AI117" i="1"/>
  <c r="U87" i="1"/>
  <c r="S87" i="1" s="1"/>
  <c r="AI87" i="1"/>
  <c r="W176" i="1"/>
  <c r="W190" i="1"/>
  <c r="AI142" i="1"/>
  <c r="U107" i="1"/>
  <c r="S107" i="1" s="1"/>
  <c r="U119" i="1"/>
  <c r="S119" i="1" s="1"/>
  <c r="AI158" i="1"/>
  <c r="U126" i="1"/>
  <c r="S126" i="1" s="1"/>
  <c r="AI166" i="1"/>
  <c r="U134" i="1"/>
  <c r="S134" i="1" s="1"/>
  <c r="AI174" i="1"/>
  <c r="U142" i="1"/>
  <c r="S142" i="1" s="1"/>
  <c r="W119" i="1"/>
  <c r="AI182" i="1"/>
  <c r="U149" i="1"/>
  <c r="S149" i="1" s="1"/>
  <c r="AI190" i="1"/>
  <c r="U155" i="1"/>
  <c r="S155" i="1" s="1"/>
  <c r="AI198" i="1"/>
  <c r="U196" i="1"/>
  <c r="S196" i="1" s="1"/>
  <c r="AI206" i="1"/>
  <c r="U206" i="1"/>
  <c r="S206" i="1" s="1"/>
  <c r="AI214" i="1"/>
  <c r="U214" i="1"/>
  <c r="S214" i="1" s="1"/>
  <c r="W214" i="1"/>
  <c r="U89" i="1"/>
  <c r="S89" i="1" s="1"/>
  <c r="AI89" i="1"/>
  <c r="U168" i="1"/>
  <c r="S168" i="1" s="1"/>
  <c r="AI105" i="1"/>
  <c r="U183" i="1"/>
  <c r="S183" i="1" s="1"/>
  <c r="AI121" i="1"/>
  <c r="W179" i="1"/>
  <c r="W168" i="1"/>
  <c r="U111" i="1"/>
  <c r="S111" i="1" s="1"/>
  <c r="W134" i="1"/>
  <c r="W149" i="1"/>
  <c r="W196" i="1"/>
  <c r="U157" i="1"/>
  <c r="S157" i="1" s="1"/>
  <c r="AI93" i="1"/>
  <c r="U172" i="1"/>
  <c r="S172" i="1" s="1"/>
  <c r="AI109" i="1"/>
  <c r="U95" i="1"/>
  <c r="S95" i="1" s="1"/>
  <c r="W95" i="1"/>
  <c r="AI134" i="1"/>
  <c r="U101" i="1"/>
  <c r="S101" i="1" s="1"/>
  <c r="AI149" i="1"/>
  <c r="U115" i="1"/>
  <c r="S115" i="1" s="1"/>
  <c r="AI155" i="1"/>
  <c r="U123" i="1"/>
  <c r="S123" i="1" s="1"/>
  <c r="AI162" i="1"/>
  <c r="U130" i="1"/>
  <c r="S130" i="1" s="1"/>
  <c r="AI170" i="1"/>
  <c r="U138" i="1"/>
  <c r="S138" i="1" s="1"/>
  <c r="W101" i="1"/>
  <c r="W123" i="1"/>
  <c r="U212" i="1"/>
  <c r="S212" i="1" s="1"/>
  <c r="AI212" i="1"/>
  <c r="W200" i="1"/>
  <c r="W130" i="1"/>
  <c r="AI186" i="1"/>
  <c r="AI194" i="1"/>
  <c r="U192" i="1"/>
  <c r="S192" i="1" s="1"/>
  <c r="AI202" i="1"/>
  <c r="U202" i="1"/>
  <c r="S202" i="1" s="1"/>
  <c r="AI210" i="1"/>
  <c r="U210" i="1"/>
  <c r="S210" i="1" s="1"/>
  <c r="W202" i="1"/>
  <c r="C74" i="9"/>
  <c r="C72" i="9"/>
  <c r="C70" i="9"/>
  <c r="C68" i="9"/>
  <c r="C66" i="9"/>
  <c r="C64" i="9"/>
  <c r="C62" i="9"/>
  <c r="C60" i="9"/>
  <c r="C58" i="9"/>
  <c r="C56" i="9"/>
  <c r="R28" i="3"/>
  <c r="M28" i="3"/>
  <c r="S28" i="3"/>
  <c r="U28" i="3"/>
  <c r="V28" i="3"/>
  <c r="X28" i="3"/>
  <c r="T28" i="3" l="1"/>
  <c r="AD28" i="3"/>
  <c r="AE28" i="3"/>
  <c r="AC28" i="3"/>
  <c r="AD7" i="3"/>
  <c r="AE7" i="3"/>
  <c r="Y28" i="3"/>
  <c r="B50" i="9" l="1"/>
  <c r="B51" i="9"/>
  <c r="B52" i="9"/>
  <c r="C52" i="9" s="1"/>
  <c r="B53" i="9"/>
  <c r="B54" i="9"/>
  <c r="C54" i="9" s="1"/>
  <c r="C53" i="9" l="1"/>
  <c r="C51" i="9"/>
  <c r="Y13" i="1"/>
  <c r="K13" i="1"/>
  <c r="L13" i="1"/>
  <c r="M13" i="1"/>
  <c r="N13" i="1" s="1"/>
  <c r="V13" i="1"/>
  <c r="Z13" i="1"/>
  <c r="AB13" i="1"/>
  <c r="AC13" i="1"/>
  <c r="AD13" i="1"/>
  <c r="X14" i="1" s="1"/>
  <c r="AE13" i="1"/>
  <c r="AF13" i="1"/>
  <c r="AM13" i="1"/>
  <c r="AN13" i="1"/>
  <c r="T13" i="1" l="1"/>
  <c r="X13" i="1"/>
  <c r="AA13" i="1"/>
  <c r="AG13" i="1"/>
  <c r="W13" i="1" l="1"/>
  <c r="U13" i="1"/>
  <c r="S13" i="1" s="1"/>
  <c r="AI13" i="1"/>
  <c r="M28" i="5" l="1"/>
  <c r="B33" i="9" l="1"/>
  <c r="B34" i="9"/>
  <c r="B35" i="9"/>
  <c r="B36" i="9"/>
  <c r="B37" i="9"/>
  <c r="B38" i="9"/>
  <c r="B39" i="9"/>
  <c r="B40" i="9"/>
  <c r="B41" i="9"/>
  <c r="B42" i="9"/>
  <c r="B43" i="9"/>
  <c r="B44" i="9"/>
  <c r="B45" i="9"/>
  <c r="B46" i="9"/>
  <c r="B47" i="9"/>
  <c r="B48" i="9"/>
  <c r="B49" i="9"/>
  <c r="C50" i="9" s="1"/>
  <c r="C46" i="9" l="1"/>
  <c r="C38" i="9"/>
  <c r="C45" i="9"/>
  <c r="C35" i="9"/>
  <c r="C36" i="9"/>
  <c r="C43" i="9"/>
  <c r="C37" i="9"/>
  <c r="C48" i="9"/>
  <c r="C44" i="9"/>
  <c r="C40" i="9"/>
  <c r="C47" i="9"/>
  <c r="C39" i="9"/>
  <c r="C49" i="9"/>
  <c r="C42" i="9"/>
  <c r="C41" i="9"/>
  <c r="C34" i="9"/>
  <c r="M23" i="5" l="1"/>
  <c r="B31" i="9" l="1"/>
  <c r="B32" i="9"/>
  <c r="C33" i="9" s="1"/>
  <c r="C32" i="9" l="1"/>
  <c r="B3" i="6" l="1"/>
  <c r="I3" i="6" s="1"/>
  <c r="G3" i="4"/>
  <c r="G4" i="4"/>
  <c r="G5" i="4"/>
  <c r="G6" i="4"/>
  <c r="G7" i="4"/>
  <c r="G8" i="4"/>
  <c r="G9" i="4"/>
  <c r="G10" i="4"/>
  <c r="G11" i="4"/>
  <c r="G12" i="4"/>
  <c r="G13" i="4"/>
  <c r="G14" i="4"/>
  <c r="G15" i="4"/>
  <c r="G16" i="4"/>
  <c r="G17" i="4"/>
  <c r="G18" i="4"/>
  <c r="G19" i="4"/>
  <c r="G20" i="4"/>
  <c r="G21" i="4"/>
  <c r="G22" i="4"/>
  <c r="G23" i="4"/>
  <c r="G24" i="4"/>
  <c r="G25" i="4"/>
  <c r="G26" i="4"/>
  <c r="G27" i="4"/>
  <c r="G28" i="4"/>
  <c r="G29" i="4"/>
  <c r="N18" i="3" s="1"/>
  <c r="G30" i="4"/>
  <c r="G31" i="4"/>
  <c r="G32" i="4"/>
  <c r="G33" i="4"/>
  <c r="G34" i="4"/>
  <c r="G35" i="4"/>
  <c r="G36" i="4"/>
  <c r="G37" i="4"/>
  <c r="G38" i="4"/>
  <c r="G39" i="4"/>
  <c r="G40" i="4"/>
  <c r="G41" i="4"/>
  <c r="N11" i="3" s="1"/>
  <c r="G42" i="4"/>
  <c r="N14" i="3" s="1"/>
  <c r="G43" i="4"/>
  <c r="G44" i="4"/>
  <c r="G45" i="4"/>
  <c r="G46" i="4"/>
  <c r="G47" i="4"/>
  <c r="G48" i="4"/>
  <c r="G49" i="4"/>
  <c r="G50" i="4"/>
  <c r="N19" i="3" s="1"/>
  <c r="G51" i="4"/>
  <c r="G52" i="4"/>
  <c r="G53" i="4"/>
  <c r="G54" i="4"/>
  <c r="G55" i="4"/>
  <c r="G56" i="4"/>
  <c r="G57" i="4"/>
  <c r="G58" i="4"/>
  <c r="G59" i="4"/>
  <c r="N15" i="3" s="1"/>
  <c r="G60" i="4"/>
  <c r="G61" i="4"/>
  <c r="G62" i="4"/>
  <c r="G63" i="4"/>
  <c r="G64" i="4"/>
  <c r="N9" i="3" s="1"/>
  <c r="G65" i="4"/>
  <c r="G66" i="4"/>
  <c r="N28" i="3" s="1"/>
  <c r="G67" i="4"/>
  <c r="G68" i="4"/>
  <c r="G69" i="4"/>
  <c r="G70" i="4"/>
  <c r="G71" i="4"/>
  <c r="G72" i="4"/>
  <c r="G73" i="4"/>
  <c r="G74" i="4"/>
  <c r="G75" i="4"/>
  <c r="G76" i="4"/>
  <c r="G77" i="4"/>
  <c r="G78" i="4"/>
  <c r="N8" i="3" s="1"/>
  <c r="G79" i="4"/>
  <c r="G80" i="4"/>
  <c r="N12" i="3" s="1"/>
  <c r="G81" i="4"/>
  <c r="G82" i="4"/>
  <c r="G83" i="4"/>
  <c r="G84" i="4"/>
  <c r="G85" i="4"/>
  <c r="G86" i="4"/>
  <c r="G87" i="4"/>
  <c r="G88" i="4"/>
  <c r="G89" i="4"/>
  <c r="G90" i="4"/>
  <c r="G91" i="4"/>
  <c r="G92" i="4"/>
  <c r="N29" i="3" s="1"/>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N10" i="3" s="1"/>
  <c r="G124" i="4"/>
  <c r="G125" i="4"/>
  <c r="G126" i="4"/>
  <c r="G127" i="4"/>
  <c r="G128" i="4"/>
  <c r="G129" i="4"/>
  <c r="G130" i="4"/>
  <c r="N26" i="3" s="1"/>
  <c r="G131" i="4"/>
  <c r="G132" i="4"/>
  <c r="N20" i="3" s="1"/>
  <c r="G133" i="4"/>
  <c r="N21" i="3" s="1"/>
  <c r="G134" i="4"/>
  <c r="G135" i="4"/>
  <c r="G136" i="4"/>
  <c r="G137" i="4"/>
  <c r="G138" i="4"/>
  <c r="G139" i="4"/>
  <c r="G140" i="4"/>
  <c r="G141" i="4"/>
  <c r="G142" i="4"/>
  <c r="G143" i="4"/>
  <c r="G144" i="4"/>
  <c r="G145" i="4"/>
  <c r="N22" i="3" s="1"/>
  <c r="G146" i="4"/>
  <c r="G147" i="4"/>
  <c r="N24" i="3" s="1"/>
  <c r="G148" i="4"/>
  <c r="G149" i="4"/>
  <c r="N23" i="3" s="1"/>
  <c r="G150" i="4"/>
  <c r="G151" i="4"/>
  <c r="G152" i="4"/>
  <c r="G153" i="4"/>
  <c r="G154" i="4"/>
  <c r="G155" i="4"/>
  <c r="G156" i="4"/>
  <c r="G157" i="4"/>
  <c r="G158" i="4"/>
  <c r="G159" i="4"/>
  <c r="G160" i="4"/>
  <c r="N16" i="3" s="1"/>
  <c r="G161" i="4"/>
  <c r="G162" i="4"/>
  <c r="G163" i="4"/>
  <c r="G164" i="4"/>
  <c r="G165" i="4"/>
  <c r="N13" i="3" s="1"/>
  <c r="G166" i="4"/>
  <c r="G167" i="4"/>
  <c r="G168" i="4"/>
  <c r="G169" i="4"/>
  <c r="G170" i="4"/>
  <c r="G171" i="4"/>
  <c r="N25" i="3" s="1"/>
  <c r="G172" i="4"/>
  <c r="G173" i="4"/>
  <c r="G174" i="4"/>
  <c r="G175" i="4"/>
  <c r="G176" i="4"/>
  <c r="G177" i="4"/>
  <c r="G178" i="4"/>
  <c r="G179" i="4"/>
  <c r="N7" i="3" s="1"/>
  <c r="G180" i="4"/>
  <c r="G181" i="4"/>
  <c r="G182" i="4"/>
  <c r="G183" i="4"/>
  <c r="G184" i="4"/>
  <c r="G185" i="4"/>
  <c r="G186" i="4"/>
  <c r="G187" i="4"/>
  <c r="G188" i="4"/>
  <c r="G189" i="4"/>
  <c r="G190" i="4"/>
  <c r="G191" i="4"/>
  <c r="G192" i="4"/>
  <c r="G193" i="4"/>
  <c r="G194" i="4"/>
  <c r="G195" i="4"/>
  <c r="G196" i="4"/>
  <c r="G197" i="4"/>
  <c r="G198" i="4"/>
  <c r="G199" i="4"/>
  <c r="G200" i="4"/>
  <c r="G201" i="4"/>
  <c r="N27" i="3" s="1"/>
  <c r="G202" i="4"/>
  <c r="G203" i="4"/>
  <c r="G204" i="4"/>
  <c r="G205" i="4"/>
  <c r="G206" i="4"/>
  <c r="G207" i="4"/>
  <c r="G208" i="4"/>
  <c r="G209" i="4"/>
  <c r="G210" i="4"/>
  <c r="G211" i="4"/>
  <c r="G212" i="4"/>
  <c r="G213" i="4"/>
  <c r="G214" i="4"/>
  <c r="N17" i="3" s="1"/>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 i="4"/>
  <c r="G3" i="6" l="1"/>
  <c r="F3" i="6"/>
  <c r="J3" i="6"/>
  <c r="H3" i="6"/>
  <c r="B2" i="9" l="1"/>
  <c r="B3" i="9"/>
  <c r="B4" i="9"/>
  <c r="B5" i="9"/>
  <c r="B6" i="9"/>
  <c r="B7" i="9"/>
  <c r="B8" i="9"/>
  <c r="B9" i="9"/>
  <c r="B10" i="9"/>
  <c r="B11" i="9"/>
  <c r="B12" i="9"/>
  <c r="B13" i="9"/>
  <c r="B14" i="9"/>
  <c r="B15" i="9"/>
  <c r="B16" i="9"/>
  <c r="B17" i="9"/>
  <c r="B18" i="9"/>
  <c r="B19" i="9"/>
  <c r="B20" i="9"/>
  <c r="B21" i="9"/>
  <c r="B22" i="9"/>
  <c r="B23" i="9"/>
  <c r="B24" i="9"/>
  <c r="B25" i="9"/>
  <c r="B26" i="9"/>
  <c r="B27" i="9"/>
  <c r="B28" i="9"/>
  <c r="B29" i="9"/>
  <c r="B30" i="9"/>
  <c r="C31" i="9" s="1"/>
  <c r="C26" i="9" l="1"/>
  <c r="B1" i="9"/>
  <c r="C1" i="9" s="1"/>
  <c r="C4" i="9"/>
  <c r="C7" i="9"/>
  <c r="C24" i="9"/>
  <c r="C10" i="9"/>
  <c r="C15" i="9"/>
  <c r="C30" i="9"/>
  <c r="C16" i="9"/>
  <c r="C29" i="9"/>
  <c r="C12" i="9"/>
  <c r="C13" i="9"/>
  <c r="C25" i="9" l="1"/>
  <c r="C19" i="9"/>
  <c r="C22" i="9"/>
  <c r="C17" i="9"/>
  <c r="C18" i="9"/>
  <c r="C20" i="9"/>
  <c r="C8" i="9"/>
  <c r="C9" i="9"/>
  <c r="C5" i="9"/>
  <c r="C6" i="9"/>
  <c r="C27" i="9"/>
  <c r="C14" i="9"/>
  <c r="C28" i="9"/>
  <c r="C11" i="9"/>
  <c r="C2" i="9"/>
  <c r="C3" i="9"/>
  <c r="C21" i="9"/>
  <c r="C23" i="9"/>
  <c r="M30" i="5" l="1"/>
  <c r="M29" i="5"/>
  <c r="M27" i="5"/>
  <c r="M26" i="5" l="1"/>
  <c r="AH13" i="1" l="1"/>
  <c r="J7" i="1"/>
  <c r="X6" i="1" l="1"/>
  <c r="W6" i="1"/>
  <c r="V6" i="1"/>
  <c r="S6" i="1"/>
  <c r="R2" i="1"/>
  <c r="I2" i="1"/>
  <c r="O6" i="1"/>
  <c r="N6" i="1"/>
  <c r="M6" i="1"/>
  <c r="J6" i="1"/>
  <c r="P3" i="5" l="1"/>
  <c r="M18" i="5" l="1"/>
  <c r="B4" i="6" l="1"/>
  <c r="I4" i="6" s="1"/>
  <c r="F282" i="4"/>
  <c r="G282" i="4" s="1"/>
  <c r="F283" i="4"/>
  <c r="G283" i="4" s="1"/>
  <c r="F284" i="4"/>
  <c r="G284" i="4" s="1"/>
  <c r="F285" i="4"/>
  <c r="G285" i="4" s="1"/>
  <c r="F286" i="4"/>
  <c r="G286" i="4" s="1"/>
  <c r="F287" i="4"/>
  <c r="G287" i="4" s="1"/>
  <c r="F288" i="4"/>
  <c r="G288" i="4" s="1"/>
  <c r="F289" i="4"/>
  <c r="G289" i="4" s="1"/>
  <c r="F290" i="4"/>
  <c r="G290" i="4" s="1"/>
  <c r="F291" i="4"/>
  <c r="G291" i="4" s="1"/>
  <c r="F292" i="4"/>
  <c r="G292" i="4" s="1"/>
  <c r="F293" i="4"/>
  <c r="G293" i="4" s="1"/>
  <c r="F294" i="4"/>
  <c r="G294" i="4" s="1"/>
  <c r="F295" i="4"/>
  <c r="G295" i="4" s="1"/>
  <c r="F296" i="4"/>
  <c r="G296" i="4" s="1"/>
  <c r="F297" i="4"/>
  <c r="G297" i="4" s="1"/>
  <c r="F298" i="4"/>
  <c r="G298" i="4" s="1"/>
  <c r="F299" i="4"/>
  <c r="G299" i="4" s="1"/>
  <c r="F300" i="4"/>
  <c r="G300" i="4" s="1"/>
  <c r="F301" i="4"/>
  <c r="G301" i="4" s="1"/>
  <c r="F302" i="4"/>
  <c r="G302" i="4" s="1"/>
  <c r="F303" i="4"/>
  <c r="G303" i="4" s="1"/>
  <c r="F304" i="4"/>
  <c r="G304" i="4" s="1"/>
  <c r="F305" i="4"/>
  <c r="G305" i="4" s="1"/>
  <c r="F306" i="4"/>
  <c r="G306" i="4" s="1"/>
  <c r="F307" i="4"/>
  <c r="G307" i="4" s="1"/>
  <c r="F308" i="4"/>
  <c r="G308" i="4" s="1"/>
  <c r="F309" i="4"/>
  <c r="G309" i="4" s="1"/>
  <c r="F310" i="4"/>
  <c r="G310" i="4" s="1"/>
  <c r="F311" i="4"/>
  <c r="G311" i="4" s="1"/>
  <c r="F312" i="4"/>
  <c r="G312" i="4" s="1"/>
  <c r="F313" i="4"/>
  <c r="G313" i="4" s="1"/>
  <c r="F314" i="4"/>
  <c r="G314" i="4" s="1"/>
  <c r="F315" i="4"/>
  <c r="G315" i="4" s="1"/>
  <c r="F316" i="4"/>
  <c r="G316" i="4" s="1"/>
  <c r="F317" i="4"/>
  <c r="G317" i="4" s="1"/>
  <c r="F318" i="4"/>
  <c r="G318" i="4" s="1"/>
  <c r="F319" i="4"/>
  <c r="G319" i="4" s="1"/>
  <c r="F320" i="4"/>
  <c r="G320" i="4" s="1"/>
  <c r="F321" i="4"/>
  <c r="G321" i="4" s="1"/>
  <c r="F322" i="4"/>
  <c r="G322" i="4" s="1"/>
  <c r="F323" i="4"/>
  <c r="G323" i="4" s="1"/>
  <c r="F324" i="4"/>
  <c r="G324" i="4" s="1"/>
  <c r="F325" i="4"/>
  <c r="G325" i="4" s="1"/>
  <c r="F326" i="4"/>
  <c r="G326" i="4" s="1"/>
  <c r="F327" i="4"/>
  <c r="G327" i="4" s="1"/>
  <c r="F328" i="4"/>
  <c r="G328" i="4" s="1"/>
  <c r="F329" i="4"/>
  <c r="G329" i="4" s="1"/>
  <c r="F330" i="4"/>
  <c r="G330" i="4" s="1"/>
  <c r="F331" i="4"/>
  <c r="G331" i="4" s="1"/>
  <c r="F332" i="4"/>
  <c r="G332" i="4" s="1"/>
  <c r="F333" i="4"/>
  <c r="G333" i="4" s="1"/>
  <c r="F334" i="4"/>
  <c r="G334" i="4" s="1"/>
  <c r="F335" i="4"/>
  <c r="G335" i="4" s="1"/>
  <c r="F336" i="4"/>
  <c r="G336" i="4" s="1"/>
  <c r="F337" i="4"/>
  <c r="G337" i="4" s="1"/>
  <c r="F338" i="4"/>
  <c r="G338" i="4" s="1"/>
  <c r="F339" i="4"/>
  <c r="G339" i="4" s="1"/>
  <c r="F340" i="4"/>
  <c r="G340" i="4" s="1"/>
  <c r="F341" i="4"/>
  <c r="G341" i="4" s="1"/>
  <c r="F342" i="4"/>
  <c r="G342" i="4" s="1"/>
  <c r="F343" i="4"/>
  <c r="G343" i="4" s="1"/>
  <c r="F344" i="4"/>
  <c r="G344" i="4" s="1"/>
  <c r="F345" i="4"/>
  <c r="G345" i="4" s="1"/>
  <c r="F346" i="4"/>
  <c r="G346" i="4" s="1"/>
  <c r="F347" i="4"/>
  <c r="G347" i="4" s="1"/>
  <c r="F348" i="4"/>
  <c r="G348" i="4" s="1"/>
  <c r="F349" i="4"/>
  <c r="G349" i="4" s="1"/>
  <c r="F350" i="4"/>
  <c r="G350" i="4" s="1"/>
  <c r="F351" i="4"/>
  <c r="G351" i="4" s="1"/>
  <c r="F352" i="4"/>
  <c r="G352" i="4" s="1"/>
  <c r="F353" i="4"/>
  <c r="G353" i="4" s="1"/>
  <c r="F354" i="4"/>
  <c r="G354" i="4" s="1"/>
  <c r="F355" i="4"/>
  <c r="G355" i="4" s="1"/>
  <c r="F356" i="4"/>
  <c r="G356" i="4" s="1"/>
  <c r="F357" i="4"/>
  <c r="G357" i="4" s="1"/>
  <c r="F358" i="4"/>
  <c r="G358" i="4" s="1"/>
  <c r="F359" i="4"/>
  <c r="G359" i="4" s="1"/>
  <c r="F360" i="4"/>
  <c r="G360" i="4" s="1"/>
  <c r="F361" i="4"/>
  <c r="G361" i="4" s="1"/>
  <c r="F362" i="4"/>
  <c r="G362" i="4" s="1"/>
  <c r="F363" i="4"/>
  <c r="G363" i="4" s="1"/>
  <c r="F364" i="4"/>
  <c r="G364" i="4" s="1"/>
  <c r="F365" i="4"/>
  <c r="G365" i="4" s="1"/>
  <c r="F366" i="4"/>
  <c r="G366" i="4" s="1"/>
  <c r="F367" i="4"/>
  <c r="G367" i="4" s="1"/>
  <c r="F368" i="4"/>
  <c r="G368" i="4" s="1"/>
  <c r="F369" i="4"/>
  <c r="G369" i="4" s="1"/>
  <c r="F370" i="4"/>
  <c r="G370" i="4" s="1"/>
  <c r="F371" i="4"/>
  <c r="G371" i="4" s="1"/>
  <c r="F372" i="4"/>
  <c r="G372" i="4" s="1"/>
  <c r="F373" i="4"/>
  <c r="G373" i="4" s="1"/>
  <c r="F374" i="4"/>
  <c r="G374" i="4" s="1"/>
  <c r="F375" i="4"/>
  <c r="G375" i="4" s="1"/>
  <c r="F376" i="4"/>
  <c r="G376" i="4" s="1"/>
  <c r="F377" i="4"/>
  <c r="G377" i="4" s="1"/>
  <c r="F378" i="4"/>
  <c r="G378" i="4" s="1"/>
  <c r="F379" i="4"/>
  <c r="G379" i="4" s="1"/>
  <c r="F380" i="4"/>
  <c r="G380" i="4" s="1"/>
  <c r="F381" i="4"/>
  <c r="G381" i="4" s="1"/>
  <c r="F382" i="4"/>
  <c r="G382" i="4" s="1"/>
  <c r="F383" i="4"/>
  <c r="G383" i="4" s="1"/>
  <c r="F384" i="4"/>
  <c r="G384" i="4" s="1"/>
  <c r="F385" i="4"/>
  <c r="G385" i="4" s="1"/>
  <c r="F386" i="4"/>
  <c r="G386" i="4" s="1"/>
  <c r="F387" i="4"/>
  <c r="G387" i="4" s="1"/>
  <c r="F388" i="4"/>
  <c r="G388" i="4" s="1"/>
  <c r="F389" i="4"/>
  <c r="G389" i="4" s="1"/>
  <c r="F390" i="4"/>
  <c r="G390" i="4" s="1"/>
  <c r="F391" i="4"/>
  <c r="G391" i="4" s="1"/>
  <c r="F392" i="4"/>
  <c r="G392" i="4" s="1"/>
  <c r="F393" i="4"/>
  <c r="G393" i="4" s="1"/>
  <c r="F394" i="4"/>
  <c r="G394" i="4" s="1"/>
  <c r="F395" i="4"/>
  <c r="G395" i="4" s="1"/>
  <c r="F396" i="4"/>
  <c r="G396" i="4" s="1"/>
  <c r="F397" i="4"/>
  <c r="G397" i="4" s="1"/>
  <c r="F398" i="4"/>
  <c r="G398" i="4" s="1"/>
  <c r="F399" i="4"/>
  <c r="G399" i="4" s="1"/>
  <c r="F400" i="4"/>
  <c r="G400" i="4" s="1"/>
  <c r="F401" i="4"/>
  <c r="G401" i="4" s="1"/>
  <c r="F402" i="4"/>
  <c r="G402" i="4" s="1"/>
  <c r="F403" i="4"/>
  <c r="G403" i="4" s="1"/>
  <c r="F404" i="4"/>
  <c r="G404" i="4" s="1"/>
  <c r="F405" i="4"/>
  <c r="G405" i="4" s="1"/>
  <c r="F406" i="4"/>
  <c r="G406" i="4" s="1"/>
  <c r="F407" i="4"/>
  <c r="G407" i="4" s="1"/>
  <c r="F408" i="4"/>
  <c r="G408" i="4" s="1"/>
  <c r="F409" i="4"/>
  <c r="G409" i="4" s="1"/>
  <c r="F410" i="4"/>
  <c r="G410" i="4" s="1"/>
  <c r="F411" i="4"/>
  <c r="G411" i="4" s="1"/>
  <c r="F412" i="4"/>
  <c r="G412" i="4" s="1"/>
  <c r="F413" i="4"/>
  <c r="G413" i="4" s="1"/>
  <c r="F414" i="4"/>
  <c r="G414" i="4" s="1"/>
  <c r="F415" i="4"/>
  <c r="G415" i="4" s="1"/>
  <c r="F416" i="4"/>
  <c r="G416" i="4" s="1"/>
  <c r="F417" i="4"/>
  <c r="G417" i="4" s="1"/>
  <c r="F418" i="4"/>
  <c r="G418" i="4" s="1"/>
  <c r="F419" i="4"/>
  <c r="G419" i="4" s="1"/>
  <c r="F420" i="4"/>
  <c r="G420" i="4" s="1"/>
  <c r="F421" i="4"/>
  <c r="G421" i="4" s="1"/>
  <c r="F422" i="4"/>
  <c r="G422" i="4" s="1"/>
  <c r="F423" i="4"/>
  <c r="G423" i="4" s="1"/>
  <c r="F424" i="4"/>
  <c r="G424" i="4" s="1"/>
  <c r="F425" i="4"/>
  <c r="G425" i="4" s="1"/>
  <c r="F426" i="4"/>
  <c r="G426" i="4" s="1"/>
  <c r="F427" i="4"/>
  <c r="G427" i="4" s="1"/>
  <c r="F428" i="4"/>
  <c r="G428" i="4" s="1"/>
  <c r="F429" i="4"/>
  <c r="G429" i="4" s="1"/>
  <c r="F430" i="4"/>
  <c r="G430" i="4" s="1"/>
  <c r="F431" i="4"/>
  <c r="G431" i="4" s="1"/>
  <c r="F432" i="4"/>
  <c r="G432" i="4" s="1"/>
  <c r="F433" i="4"/>
  <c r="G433" i="4" s="1"/>
  <c r="F434" i="4"/>
  <c r="G434" i="4" s="1"/>
  <c r="F435" i="4"/>
  <c r="G435" i="4" s="1"/>
  <c r="F436" i="4"/>
  <c r="G436" i="4" s="1"/>
  <c r="F437" i="4"/>
  <c r="G437" i="4" s="1"/>
  <c r="F438" i="4"/>
  <c r="G438" i="4" s="1"/>
  <c r="F439" i="4"/>
  <c r="G439" i="4" s="1"/>
  <c r="F440" i="4"/>
  <c r="G440" i="4" s="1"/>
  <c r="F441" i="4"/>
  <c r="G441" i="4" s="1"/>
  <c r="F442" i="4"/>
  <c r="G442" i="4" s="1"/>
  <c r="F443" i="4"/>
  <c r="G443" i="4" s="1"/>
  <c r="F444" i="4"/>
  <c r="G444" i="4" s="1"/>
  <c r="F445" i="4"/>
  <c r="G445" i="4" s="1"/>
  <c r="F446" i="4"/>
  <c r="G446" i="4" s="1"/>
  <c r="F447" i="4"/>
  <c r="G447" i="4" s="1"/>
  <c r="F448" i="4"/>
  <c r="G448" i="4" s="1"/>
  <c r="F449" i="4"/>
  <c r="G449" i="4" s="1"/>
  <c r="F450" i="4"/>
  <c r="G450" i="4" s="1"/>
  <c r="F451" i="4"/>
  <c r="G451" i="4" s="1"/>
  <c r="F452" i="4"/>
  <c r="G452" i="4" s="1"/>
  <c r="F453" i="4"/>
  <c r="G453" i="4" s="1"/>
  <c r="F454" i="4"/>
  <c r="G454" i="4" s="1"/>
  <c r="F455" i="4"/>
  <c r="G455" i="4" s="1"/>
  <c r="F456" i="4"/>
  <c r="G456" i="4" s="1"/>
  <c r="F457" i="4"/>
  <c r="G457" i="4" s="1"/>
  <c r="F458" i="4"/>
  <c r="G458" i="4" s="1"/>
  <c r="F459" i="4"/>
  <c r="G459" i="4" s="1"/>
  <c r="F460" i="4"/>
  <c r="G460" i="4" s="1"/>
  <c r="F461" i="4"/>
  <c r="G461" i="4" s="1"/>
  <c r="F462" i="4"/>
  <c r="G462" i="4" s="1"/>
  <c r="F463" i="4"/>
  <c r="G463" i="4" s="1"/>
  <c r="F464" i="4"/>
  <c r="G464" i="4" s="1"/>
  <c r="F465" i="4"/>
  <c r="G465" i="4" s="1"/>
  <c r="F466" i="4"/>
  <c r="G466" i="4" s="1"/>
  <c r="F467" i="4"/>
  <c r="G467" i="4" s="1"/>
  <c r="F468" i="4"/>
  <c r="G468" i="4" s="1"/>
  <c r="F469" i="4"/>
  <c r="G469" i="4" s="1"/>
  <c r="F470" i="4"/>
  <c r="G470" i="4" s="1"/>
  <c r="F471" i="4"/>
  <c r="G471" i="4" s="1"/>
  <c r="F472" i="4"/>
  <c r="G472" i="4" s="1"/>
  <c r="F473" i="4"/>
  <c r="G473" i="4" s="1"/>
  <c r="F474" i="4"/>
  <c r="G474" i="4" s="1"/>
  <c r="F475" i="4"/>
  <c r="G475" i="4" s="1"/>
  <c r="F476" i="4"/>
  <c r="G476" i="4" s="1"/>
  <c r="F477" i="4"/>
  <c r="G477" i="4" s="1"/>
  <c r="F478" i="4"/>
  <c r="G478" i="4" s="1"/>
  <c r="F479" i="4"/>
  <c r="G479" i="4" s="1"/>
  <c r="F480" i="4"/>
  <c r="G480" i="4" s="1"/>
  <c r="F481" i="4"/>
  <c r="G481" i="4" s="1"/>
  <c r="F482" i="4"/>
  <c r="G482" i="4" s="1"/>
  <c r="F483" i="4"/>
  <c r="G483" i="4" s="1"/>
  <c r="F484" i="4"/>
  <c r="G484" i="4" s="1"/>
  <c r="F485" i="4"/>
  <c r="G485" i="4" s="1"/>
  <c r="F486" i="4"/>
  <c r="G486" i="4" s="1"/>
  <c r="F487" i="4"/>
  <c r="G487" i="4" s="1"/>
  <c r="F488" i="4"/>
  <c r="G488" i="4" s="1"/>
  <c r="F489" i="4"/>
  <c r="G489" i="4" s="1"/>
  <c r="F490" i="4"/>
  <c r="G490" i="4" s="1"/>
  <c r="F491" i="4"/>
  <c r="G491" i="4" s="1"/>
  <c r="F492" i="4"/>
  <c r="G492" i="4" s="1"/>
  <c r="F493" i="4"/>
  <c r="G493" i="4" s="1"/>
  <c r="F494" i="4"/>
  <c r="G494" i="4" s="1"/>
  <c r="F495" i="4"/>
  <c r="G495" i="4" s="1"/>
  <c r="F496" i="4"/>
  <c r="G496" i="4" s="1"/>
  <c r="F497" i="4"/>
  <c r="G497" i="4" s="1"/>
  <c r="F498" i="4"/>
  <c r="G498" i="4" s="1"/>
  <c r="F499" i="4"/>
  <c r="G499" i="4" s="1"/>
  <c r="F500" i="4"/>
  <c r="G500" i="4" s="1"/>
  <c r="F501" i="4"/>
  <c r="G501" i="4" s="1"/>
  <c r="F502" i="4"/>
  <c r="G502" i="4" s="1"/>
  <c r="F503" i="4"/>
  <c r="G503" i="4" s="1"/>
  <c r="F504" i="4"/>
  <c r="G504" i="4" s="1"/>
  <c r="F505" i="4"/>
  <c r="G505" i="4" s="1"/>
  <c r="F506" i="4"/>
  <c r="G506" i="4" s="1"/>
  <c r="F507" i="4"/>
  <c r="G507" i="4" s="1"/>
  <c r="F508" i="4"/>
  <c r="G508" i="4" s="1"/>
  <c r="F509" i="4"/>
  <c r="G509" i="4" s="1"/>
  <c r="F510" i="4"/>
  <c r="G510" i="4" s="1"/>
  <c r="F511" i="4"/>
  <c r="G511" i="4" s="1"/>
  <c r="F512" i="4"/>
  <c r="G512" i="4" s="1"/>
  <c r="F513" i="4"/>
  <c r="G513" i="4" s="1"/>
  <c r="F514" i="4"/>
  <c r="G514" i="4" s="1"/>
  <c r="F515" i="4"/>
  <c r="G515" i="4" s="1"/>
  <c r="F516" i="4"/>
  <c r="G516" i="4" s="1"/>
  <c r="F517" i="4"/>
  <c r="G517" i="4" s="1"/>
  <c r="F518" i="4"/>
  <c r="G518" i="4" s="1"/>
  <c r="F519" i="4"/>
  <c r="G519" i="4" s="1"/>
  <c r="F520" i="4"/>
  <c r="G520" i="4" s="1"/>
  <c r="F521" i="4"/>
  <c r="G521" i="4" s="1"/>
  <c r="F522" i="4"/>
  <c r="G522" i="4" s="1"/>
  <c r="F523" i="4"/>
  <c r="G523" i="4" s="1"/>
  <c r="F524" i="4"/>
  <c r="G524" i="4" s="1"/>
  <c r="F525" i="4"/>
  <c r="G525" i="4" s="1"/>
  <c r="F526" i="4"/>
  <c r="G526" i="4" s="1"/>
  <c r="F527" i="4"/>
  <c r="G527" i="4" s="1"/>
  <c r="F528" i="4"/>
  <c r="G528" i="4" s="1"/>
  <c r="F529" i="4"/>
  <c r="G529" i="4" s="1"/>
  <c r="F530" i="4"/>
  <c r="G530" i="4" s="1"/>
  <c r="F531" i="4"/>
  <c r="G531" i="4" s="1"/>
  <c r="F532" i="4"/>
  <c r="G532" i="4" s="1"/>
  <c r="F533" i="4"/>
  <c r="G533" i="4" s="1"/>
  <c r="F534" i="4"/>
  <c r="G534" i="4" s="1"/>
  <c r="F535" i="4"/>
  <c r="G535" i="4" s="1"/>
  <c r="F536" i="4"/>
  <c r="G536" i="4" s="1"/>
  <c r="F537" i="4"/>
  <c r="G537" i="4" s="1"/>
  <c r="F538" i="4"/>
  <c r="G538" i="4" s="1"/>
  <c r="F539" i="4"/>
  <c r="G539" i="4" s="1"/>
  <c r="F540" i="4"/>
  <c r="G540" i="4" s="1"/>
  <c r="F541" i="4"/>
  <c r="G541" i="4" s="1"/>
  <c r="F542" i="4"/>
  <c r="G542" i="4" s="1"/>
  <c r="F543" i="4"/>
  <c r="G543" i="4" s="1"/>
  <c r="B5" i="6" l="1"/>
  <c r="I5" i="6" s="1"/>
  <c r="G4" i="6"/>
  <c r="F4" i="6"/>
  <c r="J4" i="6"/>
  <c r="H4" i="6"/>
  <c r="V5" i="1"/>
  <c r="V8" i="1" s="1"/>
  <c r="G266" i="4"/>
  <c r="G267" i="4"/>
  <c r="G268" i="4"/>
  <c r="G269" i="4"/>
  <c r="G270" i="4"/>
  <c r="G271" i="4"/>
  <c r="G272" i="4"/>
  <c r="G273" i="4"/>
  <c r="F274" i="4"/>
  <c r="G274" i="4" s="1"/>
  <c r="F275" i="4"/>
  <c r="G275" i="4" s="1"/>
  <c r="F276" i="4"/>
  <c r="G276" i="4" s="1"/>
  <c r="F277" i="4"/>
  <c r="G277" i="4" s="1"/>
  <c r="F278" i="4"/>
  <c r="G278" i="4" s="1"/>
  <c r="F279" i="4"/>
  <c r="G279" i="4" s="1"/>
  <c r="F280" i="4"/>
  <c r="G280" i="4" s="1"/>
  <c r="F281" i="4"/>
  <c r="G281" i="4" s="1"/>
  <c r="B6" i="6" l="1"/>
  <c r="I6" i="6" s="1"/>
  <c r="F5" i="6"/>
  <c r="J5" i="6"/>
  <c r="G5" i="6"/>
  <c r="H5" i="6"/>
  <c r="G259" i="4"/>
  <c r="G260" i="4"/>
  <c r="G261" i="4"/>
  <c r="G262" i="4"/>
  <c r="G263" i="4"/>
  <c r="G264" i="4"/>
  <c r="G265" i="4"/>
  <c r="F6" i="6" l="1"/>
  <c r="J6" i="6"/>
  <c r="G6" i="6"/>
  <c r="H6" i="6"/>
  <c r="B7" i="6"/>
  <c r="I7" i="6" s="1"/>
  <c r="M14" i="5"/>
  <c r="M13" i="5"/>
  <c r="M12" i="5"/>
  <c r="M11" i="5"/>
  <c r="M10" i="5"/>
  <c r="M9" i="5"/>
  <c r="M8" i="5"/>
  <c r="M7" i="5"/>
  <c r="M6" i="5"/>
  <c r="M5" i="5"/>
  <c r="M4" i="5"/>
  <c r="M3" i="5"/>
  <c r="F7" i="6" l="1"/>
  <c r="H7" i="6"/>
  <c r="J7" i="6"/>
  <c r="G7" i="6"/>
  <c r="B8" i="6"/>
  <c r="I8" i="6" s="1"/>
  <c r="O2" i="3"/>
  <c r="O3" i="3" s="1"/>
  <c r="F8" i="6" l="1"/>
  <c r="J8" i="6"/>
  <c r="G8" i="6"/>
  <c r="H8" i="6"/>
  <c r="B9" i="6"/>
  <c r="I9" i="6" s="1"/>
  <c r="S7" i="1"/>
  <c r="S5" i="1"/>
  <c r="J5" i="1"/>
  <c r="M5" i="1"/>
  <c r="M8" i="1" s="1"/>
  <c r="W5" i="1" a="1"/>
  <c r="W5" i="1" s="1"/>
  <c r="W8" i="1" s="1"/>
  <c r="N5" i="1" a="1"/>
  <c r="N5" i="1" s="1"/>
  <c r="N8" i="1" s="1"/>
  <c r="X5" i="1" a="1"/>
  <c r="X5" i="1" s="1"/>
  <c r="X8" i="1" s="1"/>
  <c r="O5" i="1" a="1"/>
  <c r="O5" i="1" s="1"/>
  <c r="O8" i="1" s="1"/>
  <c r="J9" i="6" l="1"/>
  <c r="F9" i="6"/>
  <c r="G9" i="6"/>
  <c r="H9" i="6"/>
  <c r="B10" i="6"/>
  <c r="I10" i="6" s="1"/>
  <c r="J8" i="1"/>
  <c r="J4" i="1"/>
  <c r="S8" i="1"/>
  <c r="S4" i="1"/>
  <c r="F10" i="6" l="1"/>
  <c r="J10" i="6"/>
  <c r="H10" i="6"/>
  <c r="G10" i="6"/>
  <c r="B11" i="6"/>
  <c r="I11" i="6" s="1"/>
  <c r="S9" i="1"/>
  <c r="J9" i="1"/>
  <c r="B12" i="6" l="1"/>
  <c r="I12" i="6" s="1"/>
  <c r="F11" i="6"/>
  <c r="G11" i="6"/>
  <c r="J11" i="6"/>
  <c r="H11" i="6"/>
  <c r="S11" i="1"/>
  <c r="A11" i="1"/>
  <c r="B13" i="6" l="1"/>
  <c r="I13" i="6" s="1"/>
  <c r="G12" i="6"/>
  <c r="H12" i="6"/>
  <c r="J12" i="6"/>
  <c r="F12" i="6"/>
  <c r="B1" i="6"/>
  <c r="A5" i="3"/>
  <c r="G13" i="6" l="1"/>
  <c r="F13" i="6"/>
  <c r="J13" i="6"/>
  <c r="H13" i="6"/>
  <c r="B14" i="6"/>
  <c r="I14" i="6" s="1"/>
  <c r="F14" i="6" l="1"/>
  <c r="J14" i="6"/>
  <c r="G14" i="6"/>
  <c r="H14" i="6"/>
  <c r="B15" i="6"/>
  <c r="I15" i="6" s="1"/>
  <c r="B16" i="6" l="1"/>
  <c r="I16" i="6" s="1"/>
  <c r="J15" i="6"/>
  <c r="G15" i="6"/>
  <c r="F15" i="6"/>
  <c r="H15" i="6"/>
  <c r="F16" i="6" l="1"/>
  <c r="G16" i="6"/>
  <c r="H16" i="6"/>
  <c r="J16" i="6"/>
  <c r="B17" i="6"/>
  <c r="I17" i="6" s="1"/>
  <c r="J17" i="6" l="1"/>
  <c r="H17" i="6"/>
  <c r="F17" i="6"/>
  <c r="G17" i="6"/>
  <c r="B18" i="6"/>
  <c r="I18" i="6" s="1"/>
  <c r="B19" i="6" l="1"/>
  <c r="I19" i="6" s="1"/>
  <c r="J18" i="6"/>
  <c r="F18" i="6"/>
  <c r="H18" i="6"/>
  <c r="G18" i="6"/>
  <c r="F19" i="6" l="1"/>
  <c r="G19" i="6"/>
  <c r="H19" i="6"/>
  <c r="J19" i="6"/>
  <c r="B20" i="6"/>
  <c r="I20" i="6" s="1"/>
  <c r="G20" i="6" l="1"/>
  <c r="H20" i="6"/>
  <c r="J20" i="6"/>
  <c r="F20" i="6"/>
  <c r="B21" i="6"/>
  <c r="I21" i="6" s="1"/>
  <c r="F21" i="6" l="1"/>
  <c r="H21" i="6"/>
  <c r="J21" i="6"/>
  <c r="G21" i="6"/>
  <c r="B22" i="6"/>
  <c r="I22" i="6" s="1"/>
  <c r="F22" i="6" l="1"/>
  <c r="J22" i="6"/>
  <c r="G22" i="6"/>
  <c r="H22" i="6"/>
  <c r="B23" i="6"/>
  <c r="I23" i="6" s="1"/>
  <c r="B24" i="6" l="1"/>
  <c r="I24" i="6" s="1"/>
  <c r="F23" i="6"/>
  <c r="H23" i="6"/>
  <c r="J23" i="6"/>
  <c r="G23" i="6"/>
  <c r="F24" i="6" l="1"/>
  <c r="H24" i="6"/>
  <c r="J24" i="6"/>
  <c r="G24" i="6"/>
  <c r="B25" i="6"/>
  <c r="I25" i="6" s="1"/>
  <c r="J25" i="6" l="1"/>
  <c r="H25" i="6"/>
  <c r="F25" i="6"/>
  <c r="G25" i="6"/>
  <c r="B26" i="6"/>
  <c r="I26" i="6" s="1"/>
  <c r="B27" i="6" l="1"/>
  <c r="I27" i="6" s="1"/>
  <c r="F26" i="6"/>
  <c r="G26" i="6"/>
  <c r="H26" i="6"/>
  <c r="J26" i="6"/>
  <c r="B28" i="6" l="1"/>
  <c r="I28" i="6" s="1"/>
  <c r="H27" i="6"/>
  <c r="F27" i="6"/>
  <c r="J27" i="6"/>
  <c r="G27" i="6"/>
  <c r="B29" i="6" l="1"/>
  <c r="I29" i="6" s="1"/>
  <c r="F28" i="6"/>
  <c r="H28" i="6"/>
  <c r="J28" i="6"/>
  <c r="G28" i="6"/>
  <c r="F29" i="6" l="1"/>
  <c r="G29" i="6"/>
  <c r="J29" i="6"/>
  <c r="H29" i="6"/>
  <c r="B30" i="6"/>
  <c r="I30" i="6" s="1"/>
  <c r="F30" i="6" l="1"/>
  <c r="J30" i="6"/>
  <c r="H30" i="6"/>
  <c r="G30" i="6"/>
  <c r="B31" i="6"/>
  <c r="I31" i="6" s="1"/>
  <c r="F31" i="6" l="1"/>
  <c r="H31" i="6"/>
  <c r="G31" i="6"/>
  <c r="J31" i="6"/>
  <c r="B32" i="6"/>
  <c r="I32" i="6" s="1"/>
  <c r="B33" i="6" l="1"/>
  <c r="I33" i="6" s="1"/>
  <c r="G32" i="6"/>
  <c r="F32" i="6"/>
  <c r="H32" i="6"/>
  <c r="J32" i="6"/>
  <c r="J33" i="6" l="1"/>
  <c r="H33" i="6"/>
  <c r="F33" i="6"/>
  <c r="G33" i="6"/>
  <c r="B34" i="6"/>
  <c r="I34" i="6" s="1"/>
  <c r="H34" i="6" l="1"/>
  <c r="J34" i="6"/>
  <c r="F34" i="6"/>
  <c r="G34" i="6"/>
  <c r="B35" i="6"/>
  <c r="I35" i="6" s="1"/>
  <c r="H35" i="6" l="1"/>
  <c r="J35" i="6"/>
  <c r="F35" i="6"/>
  <c r="G35" i="6"/>
  <c r="B36" i="6"/>
  <c r="I36" i="6" s="1"/>
  <c r="H36" i="6" l="1"/>
  <c r="J36" i="6"/>
  <c r="F36" i="6"/>
  <c r="G36" i="6"/>
  <c r="B37" i="6"/>
  <c r="I37" i="6" s="1"/>
  <c r="G37" i="6" l="1"/>
  <c r="F37" i="6"/>
  <c r="H37" i="6"/>
  <c r="J37" i="6"/>
  <c r="B38" i="6"/>
  <c r="I38" i="6" s="1"/>
  <c r="B39" i="6" l="1"/>
  <c r="I39" i="6" s="1"/>
  <c r="J38" i="6"/>
  <c r="G38" i="6"/>
  <c r="F38" i="6"/>
  <c r="H38" i="6"/>
  <c r="B40" i="6" l="1"/>
  <c r="I40" i="6" s="1"/>
  <c r="J39" i="6"/>
  <c r="G39" i="6"/>
  <c r="F39" i="6"/>
  <c r="H39" i="6"/>
  <c r="F40" i="6" l="1"/>
  <c r="H40" i="6"/>
  <c r="J40" i="6"/>
  <c r="G40" i="6"/>
  <c r="B41" i="6"/>
  <c r="I41" i="6" s="1"/>
  <c r="B42" i="6" l="1"/>
  <c r="I42" i="6" s="1"/>
  <c r="F41" i="6"/>
  <c r="G41" i="6"/>
  <c r="J41" i="6"/>
  <c r="H41" i="6"/>
  <c r="G42" i="6" l="1"/>
  <c r="F42" i="6"/>
  <c r="H42" i="6"/>
  <c r="J42" i="6"/>
  <c r="B43" i="6"/>
  <c r="I43" i="6" s="1"/>
  <c r="F43" i="6" l="1"/>
  <c r="J43" i="6"/>
  <c r="G43" i="6"/>
  <c r="H43" i="6"/>
  <c r="B44" i="6"/>
  <c r="I44" i="6" s="1"/>
  <c r="G44" i="6" l="1"/>
  <c r="H44" i="6"/>
  <c r="J44" i="6"/>
  <c r="F44" i="6"/>
  <c r="B45" i="6"/>
  <c r="I45" i="6" s="1"/>
  <c r="B46" i="6" l="1"/>
  <c r="I46" i="6" s="1"/>
  <c r="J45" i="6"/>
  <c r="H45" i="6"/>
  <c r="F45" i="6"/>
  <c r="G45" i="6"/>
  <c r="J46" i="6" l="1"/>
  <c r="G46" i="6"/>
  <c r="F46" i="6"/>
  <c r="H46" i="6"/>
  <c r="B47" i="6"/>
  <c r="I47" i="6" s="1"/>
  <c r="B48" i="6" l="1"/>
  <c r="I48" i="6" s="1"/>
  <c r="G47" i="6"/>
  <c r="J47" i="6"/>
  <c r="F47" i="6"/>
  <c r="H47" i="6"/>
  <c r="F48" i="6" l="1"/>
  <c r="G48" i="6"/>
  <c r="J48" i="6"/>
  <c r="H48" i="6"/>
  <c r="B49" i="6"/>
  <c r="I49" i="6" s="1"/>
  <c r="B50" i="6" l="1"/>
  <c r="I50" i="6" s="1"/>
  <c r="F49" i="6"/>
  <c r="G49" i="6"/>
  <c r="J49" i="6"/>
  <c r="H49" i="6"/>
  <c r="G50" i="6" l="1"/>
  <c r="H50" i="6"/>
  <c r="J50" i="6"/>
  <c r="F50" i="6"/>
  <c r="B51" i="6"/>
  <c r="I51" i="6" s="1"/>
  <c r="B52" i="6" l="1"/>
  <c r="I52" i="6" s="1"/>
  <c r="G51" i="6"/>
  <c r="H51" i="6"/>
  <c r="J51" i="6"/>
  <c r="F51" i="6"/>
  <c r="F52" i="6" l="1"/>
  <c r="G52" i="6"/>
  <c r="H52" i="6"/>
  <c r="J52" i="6"/>
  <c r="B53" i="6"/>
  <c r="I53" i="6" s="1"/>
  <c r="G53" i="6" l="1"/>
  <c r="F53" i="6"/>
  <c r="H53" i="6"/>
  <c r="J53" i="6"/>
  <c r="B54" i="6"/>
  <c r="I54" i="6" s="1"/>
  <c r="B55" i="6" l="1"/>
  <c r="I55" i="6" s="1"/>
  <c r="J54" i="6"/>
  <c r="G54" i="6"/>
  <c r="F54" i="6"/>
  <c r="H54" i="6"/>
  <c r="B56" i="6" l="1"/>
  <c r="I56" i="6" s="1"/>
  <c r="J55" i="6"/>
  <c r="G55" i="6"/>
  <c r="F55" i="6"/>
  <c r="H55" i="6"/>
  <c r="H56" i="6" l="1"/>
  <c r="F56" i="6"/>
  <c r="G56" i="6"/>
  <c r="J56" i="6"/>
  <c r="B57" i="6"/>
  <c r="I57" i="6" s="1"/>
  <c r="B58" i="6" l="1"/>
  <c r="I58" i="6" s="1"/>
  <c r="F57" i="6"/>
  <c r="G57" i="6"/>
  <c r="J57" i="6"/>
  <c r="H57" i="6"/>
  <c r="B59" i="6" l="1"/>
  <c r="I59" i="6" s="1"/>
  <c r="J58" i="6"/>
  <c r="F58" i="6"/>
  <c r="G58" i="6"/>
  <c r="H58" i="6"/>
  <c r="F59" i="6" l="1"/>
  <c r="J59" i="6"/>
  <c r="G59" i="6"/>
  <c r="H59" i="6"/>
  <c r="B60" i="6"/>
  <c r="I60" i="6" s="1"/>
  <c r="H60" i="6" l="1"/>
  <c r="J60" i="6"/>
  <c r="G60" i="6"/>
  <c r="F60" i="6"/>
  <c r="B61" i="6"/>
  <c r="I61" i="6" s="1"/>
  <c r="B62" i="6" l="1"/>
  <c r="I62" i="6" s="1"/>
  <c r="J61" i="6"/>
  <c r="H61" i="6"/>
  <c r="F61" i="6"/>
  <c r="G61" i="6"/>
  <c r="J62" i="6" l="1"/>
  <c r="G62" i="6"/>
  <c r="F62" i="6"/>
  <c r="H62" i="6"/>
  <c r="B63" i="6"/>
  <c r="I63" i="6" s="1"/>
  <c r="G63" i="6" l="1"/>
  <c r="H63" i="6"/>
  <c r="J63" i="6"/>
  <c r="F63" i="6"/>
  <c r="B64" i="6"/>
  <c r="I64" i="6" s="1"/>
  <c r="G64" i="6" l="1"/>
  <c r="F64" i="6"/>
  <c r="H64" i="6"/>
  <c r="J64" i="6"/>
  <c r="B65" i="6"/>
  <c r="I65" i="6" s="1"/>
  <c r="B66" i="6" l="1"/>
  <c r="I66" i="6" s="1"/>
  <c r="J65" i="6"/>
  <c r="F65" i="6"/>
  <c r="H65" i="6"/>
  <c r="G65" i="6"/>
  <c r="B67" i="6" l="1"/>
  <c r="I67" i="6" s="1"/>
  <c r="J66" i="6"/>
  <c r="F66" i="6"/>
  <c r="G66" i="6"/>
  <c r="H66" i="6"/>
  <c r="H67" i="6" l="1"/>
  <c r="G67" i="6"/>
  <c r="F67" i="6"/>
  <c r="J67" i="6"/>
  <c r="B68" i="6"/>
  <c r="I68" i="6" s="1"/>
  <c r="G68" i="6" l="1"/>
  <c r="H68" i="6"/>
  <c r="J68" i="6"/>
  <c r="F68" i="6"/>
  <c r="B69" i="6"/>
  <c r="I69" i="6" s="1"/>
  <c r="B70" i="6" l="1"/>
  <c r="I70" i="6" s="1"/>
  <c r="J69" i="6"/>
  <c r="F69" i="6"/>
  <c r="H69" i="6"/>
  <c r="G69" i="6"/>
  <c r="B71" i="6" l="1"/>
  <c r="I71" i="6" s="1"/>
  <c r="J70" i="6"/>
  <c r="F70" i="6"/>
  <c r="G70" i="6"/>
  <c r="H70" i="6"/>
  <c r="B72" i="6" l="1"/>
  <c r="I72" i="6" s="1"/>
  <c r="J71" i="6"/>
  <c r="F71" i="6"/>
  <c r="G71" i="6"/>
  <c r="H71" i="6"/>
  <c r="J72" i="6" l="1"/>
  <c r="F72" i="6"/>
  <c r="H72" i="6"/>
  <c r="G72" i="6"/>
  <c r="B73" i="6"/>
  <c r="I73" i="6" s="1"/>
  <c r="F73" i="6" l="1"/>
  <c r="J73" i="6"/>
  <c r="H73" i="6"/>
  <c r="G73" i="6"/>
  <c r="B74" i="6"/>
  <c r="I74" i="6" s="1"/>
  <c r="J74" i="6" l="1"/>
  <c r="G74" i="6"/>
  <c r="F74" i="6"/>
  <c r="H74" i="6"/>
  <c r="B75" i="6"/>
  <c r="I75" i="6" s="1"/>
  <c r="B76" i="6" l="1"/>
  <c r="I76" i="6" s="1"/>
  <c r="F75" i="6"/>
  <c r="G75" i="6"/>
  <c r="H75" i="6"/>
  <c r="J75" i="6"/>
  <c r="F76" i="6" l="1"/>
  <c r="G76" i="6"/>
  <c r="H76" i="6"/>
  <c r="J76" i="6"/>
  <c r="B77" i="6"/>
  <c r="I77" i="6" s="1"/>
  <c r="B78" i="6" l="1"/>
  <c r="I78" i="6" s="1"/>
  <c r="J77" i="6"/>
  <c r="F77" i="6"/>
  <c r="G77" i="6"/>
  <c r="H77" i="6"/>
  <c r="F78" i="6" l="1"/>
  <c r="H78" i="6"/>
  <c r="G78" i="6"/>
  <c r="J78" i="6"/>
  <c r="B79" i="6"/>
  <c r="I79" i="6" s="1"/>
  <c r="B80" i="6" l="1"/>
  <c r="I80" i="6" s="1"/>
  <c r="H79" i="6"/>
  <c r="G79" i="6"/>
  <c r="F79" i="6"/>
  <c r="J79" i="6"/>
  <c r="B81" i="6" l="1"/>
  <c r="I81" i="6" s="1"/>
  <c r="J80" i="6"/>
  <c r="H80" i="6"/>
  <c r="F80" i="6"/>
  <c r="G80" i="6"/>
  <c r="J81" i="6" l="1"/>
  <c r="H81" i="6"/>
  <c r="F81" i="6"/>
  <c r="G81" i="6"/>
  <c r="B82" i="6"/>
  <c r="I82" i="6" s="1"/>
  <c r="J82" i="6" l="1"/>
  <c r="F82" i="6"/>
  <c r="H82" i="6"/>
  <c r="G82" i="6"/>
  <c r="B83" i="6"/>
  <c r="I83" i="6" s="1"/>
  <c r="B84" i="6" l="1"/>
  <c r="I84" i="6" s="1"/>
  <c r="F83" i="6"/>
  <c r="J83" i="6"/>
  <c r="G83" i="6"/>
  <c r="H83" i="6"/>
  <c r="B85" i="6" l="1"/>
  <c r="I85" i="6" s="1"/>
  <c r="F84" i="6"/>
  <c r="G84" i="6"/>
  <c r="H84" i="6"/>
  <c r="J84" i="6"/>
  <c r="B86" i="6" l="1"/>
  <c r="I86" i="6" s="1"/>
  <c r="J85" i="6"/>
  <c r="H85" i="6"/>
  <c r="G85" i="6"/>
  <c r="F85" i="6"/>
  <c r="B87" i="6" l="1"/>
  <c r="I87" i="6" s="1"/>
  <c r="H86" i="6"/>
  <c r="J86" i="6"/>
  <c r="F86" i="6"/>
  <c r="G86" i="6"/>
  <c r="G87" i="6" l="1"/>
  <c r="H87" i="6"/>
  <c r="J87" i="6"/>
  <c r="F87" i="6"/>
  <c r="B88" i="6"/>
  <c r="I88" i="6" s="1"/>
  <c r="B89" i="6" l="1"/>
  <c r="I89" i="6" s="1"/>
  <c r="G88" i="6"/>
  <c r="J88" i="6"/>
  <c r="H88" i="6"/>
  <c r="F88" i="6"/>
  <c r="F89" i="6" l="1"/>
  <c r="H89" i="6"/>
  <c r="J89" i="6"/>
  <c r="G89" i="6"/>
  <c r="B90" i="6"/>
  <c r="I90" i="6" s="1"/>
  <c r="H90" i="6" l="1"/>
  <c r="F90" i="6"/>
  <c r="G90" i="6"/>
  <c r="J90" i="6"/>
  <c r="B91" i="6"/>
  <c r="I91" i="6" s="1"/>
  <c r="H91" i="6" l="1"/>
  <c r="G91" i="6"/>
  <c r="F91" i="6"/>
  <c r="J91" i="6"/>
  <c r="B92" i="6"/>
  <c r="I92" i="6" s="1"/>
  <c r="H92" i="6" l="1"/>
  <c r="J92" i="6"/>
  <c r="G92" i="6"/>
  <c r="F92" i="6"/>
  <c r="B93" i="6"/>
  <c r="I93" i="6" s="1"/>
  <c r="J93" i="6" l="1"/>
  <c r="G93" i="6"/>
  <c r="F93" i="6"/>
  <c r="H93" i="6"/>
  <c r="B94" i="6"/>
  <c r="I94" i="6" s="1"/>
  <c r="J94" i="6" l="1"/>
  <c r="F94" i="6"/>
  <c r="H94" i="6"/>
  <c r="G94" i="6"/>
  <c r="B95" i="6"/>
  <c r="I95" i="6" s="1"/>
  <c r="G95" i="6" l="1"/>
  <c r="H95" i="6"/>
  <c r="F95" i="6"/>
  <c r="J95" i="6"/>
  <c r="B96" i="6"/>
  <c r="I96" i="6" s="1"/>
  <c r="B97" i="6" l="1"/>
  <c r="I97" i="6" s="1"/>
  <c r="J96" i="6"/>
  <c r="G96" i="6"/>
  <c r="H96" i="6"/>
  <c r="F96" i="6"/>
  <c r="J97" i="6" l="1"/>
  <c r="F97" i="6"/>
  <c r="H97" i="6"/>
  <c r="G97" i="6"/>
  <c r="B98" i="6"/>
  <c r="I98" i="6" s="1"/>
  <c r="B99" i="6" l="1"/>
  <c r="I99" i="6" s="1"/>
  <c r="J98" i="6"/>
  <c r="G98" i="6"/>
  <c r="H98" i="6"/>
  <c r="F98" i="6"/>
  <c r="B100" i="6" l="1"/>
  <c r="I100" i="6" s="1"/>
  <c r="F99" i="6"/>
  <c r="H99" i="6"/>
  <c r="G99" i="6"/>
  <c r="J99" i="6"/>
  <c r="B101" i="6" l="1"/>
  <c r="I101" i="6" s="1"/>
  <c r="J100" i="6"/>
  <c r="F100" i="6"/>
  <c r="G100" i="6"/>
  <c r="H100" i="6"/>
  <c r="B102" i="6" l="1"/>
  <c r="I102" i="6" s="1"/>
  <c r="J101" i="6"/>
  <c r="H101" i="6"/>
  <c r="G101" i="6"/>
  <c r="F101" i="6"/>
  <c r="G102" i="6" l="1"/>
  <c r="H102" i="6"/>
  <c r="J102" i="6"/>
  <c r="F102" i="6"/>
  <c r="B103" i="6"/>
  <c r="I103" i="6" s="1"/>
  <c r="B104" i="6" l="1"/>
  <c r="I104" i="6" s="1"/>
  <c r="J103" i="6"/>
  <c r="F103" i="6"/>
  <c r="G103" i="6"/>
  <c r="H103" i="6"/>
  <c r="F104" i="6" l="1"/>
  <c r="G104" i="6"/>
  <c r="H104" i="6"/>
  <c r="J104" i="6"/>
  <c r="B105" i="6"/>
  <c r="I105" i="6" s="1"/>
  <c r="F105" i="6" l="1"/>
  <c r="H105" i="6"/>
  <c r="G105" i="6"/>
  <c r="J105" i="6"/>
  <c r="B106" i="6"/>
  <c r="I106" i="6" s="1"/>
  <c r="J106" i="6" l="1"/>
  <c r="H106" i="6"/>
  <c r="F106" i="6"/>
  <c r="G106" i="6"/>
  <c r="B107" i="6"/>
  <c r="I107" i="6" s="1"/>
  <c r="F107" i="6" l="1"/>
  <c r="H107" i="6"/>
  <c r="G107" i="6"/>
  <c r="J107" i="6"/>
  <c r="B108" i="6"/>
  <c r="I108" i="6" s="1"/>
  <c r="F108" i="6" l="1"/>
  <c r="H108" i="6"/>
  <c r="G108" i="6"/>
  <c r="J108" i="6"/>
  <c r="B109" i="6"/>
  <c r="I109" i="6" s="1"/>
  <c r="J109" i="6" l="1"/>
  <c r="F109" i="6"/>
  <c r="G109" i="6"/>
  <c r="H109" i="6"/>
  <c r="B110" i="6"/>
  <c r="I110" i="6" s="1"/>
  <c r="G110" i="6" l="1"/>
  <c r="H110" i="6"/>
  <c r="J110" i="6"/>
  <c r="F110" i="6"/>
  <c r="B111" i="6"/>
  <c r="I111" i="6" s="1"/>
  <c r="B112" i="6" l="1"/>
  <c r="I112" i="6" s="1"/>
  <c r="H111" i="6"/>
  <c r="G111" i="6"/>
  <c r="J111" i="6"/>
  <c r="F111" i="6"/>
  <c r="B113" i="6" l="1"/>
  <c r="I113" i="6" s="1"/>
  <c r="J112" i="6"/>
  <c r="G112" i="6"/>
  <c r="H112" i="6"/>
  <c r="F112" i="6"/>
  <c r="H113" i="6" l="1"/>
  <c r="F113" i="6"/>
  <c r="G113" i="6"/>
  <c r="J113" i="6"/>
  <c r="B114" i="6"/>
  <c r="I114" i="6" s="1"/>
  <c r="F114" i="6" l="1"/>
  <c r="H114" i="6"/>
  <c r="J114" i="6"/>
  <c r="G114" i="6"/>
  <c r="B115" i="6"/>
  <c r="I115" i="6" s="1"/>
  <c r="F115" i="6" l="1"/>
  <c r="G115" i="6"/>
  <c r="J115" i="6"/>
  <c r="H115" i="6"/>
  <c r="B116" i="6"/>
  <c r="I116" i="6" s="1"/>
  <c r="B117" i="6" l="1"/>
  <c r="I117" i="6" s="1"/>
  <c r="H116" i="6"/>
  <c r="J116" i="6"/>
  <c r="F116" i="6"/>
  <c r="G116" i="6"/>
  <c r="B118" i="6" l="1"/>
  <c r="I118" i="6" s="1"/>
  <c r="J117" i="6"/>
  <c r="H117" i="6"/>
  <c r="G117" i="6"/>
  <c r="F117" i="6"/>
  <c r="B120" i="6" l="1"/>
  <c r="I120" i="6" s="1"/>
  <c r="B119" i="6"/>
  <c r="I119" i="6" s="1"/>
  <c r="F118" i="6"/>
  <c r="G118" i="6"/>
  <c r="H118" i="6"/>
  <c r="J118" i="6"/>
  <c r="G119" i="6" l="1"/>
  <c r="H119" i="6"/>
  <c r="J119" i="6"/>
  <c r="F119" i="6"/>
  <c r="J120" i="6"/>
  <c r="F120" i="6"/>
  <c r="G120" i="6"/>
  <c r="H120" i="6"/>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<sst xmlns="http://schemas.openxmlformats.org/spreadsheetml/2006/main" count="2474" uniqueCount="914">
  <si>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</si>
  <si>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</si>
  <si>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</si>
  <si>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</si>
  <si>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</si>
  <si>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</si>
  <si>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</si>
  <si>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</si>
  <si>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</si>
  <si>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</si>
  <si>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</si>
  <si>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</si>
  <si>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</si>
  <si>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</si>
  <si>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</si>
  <si>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</si>
  <si>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</si>
  <si>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</si>
  <si>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</si>
  <si>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</si>
  <si>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</si>
  <si>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</si>
  <si>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</si>
  <si>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</si>
  <si>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</si>
  <si>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</si>
  <si>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</si>
  <si>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</si>
  <si>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</si>
  <si>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</si>
  <si>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</si>
  <si>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</si>
  <si>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</si>
  <si>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</si>
  <si>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</si>
  <si>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</si>
  <si>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</si>
  <si>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</si>
  <si>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</si>
  <si>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</si>
  <si>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</si>
  <si>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</si>
  <si>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</si>
  <si>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</si>
  <si>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</si>
  <si>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</si>
  <si>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</si>
  <si>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</si>
  <si>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</si>
  <si>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</si>
  <si>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Increasing Mileposts (1)</t>
  </si>
  <si>
    <t>Decreasing Mileposts (2)</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</si>
  <si>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</si>
  <si>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</si>
  <si>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</si>
  <si>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</si>
  <si>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</si>
  <si>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</si>
  <si>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</si>
  <si>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</si>
  <si>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</si>
  <si>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</si>
  <si>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</si>
  <si>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</si>
  <si>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</si>
  <si>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</si>
  <si>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</si>
  <si>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</si>
  <si>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</si>
  <si>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</si>
  <si>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</si>
  <si>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</si>
  <si>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</si>
  <si>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</si>
  <si>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</si>
  <si>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</si>
  <si>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</si>
  <si>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</si>
  <si>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</si>
  <si>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</si>
  <si>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Possible System Enforcement</t>
  </si>
  <si>
    <t>Training enforcement</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</si>
  <si>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</si>
  <si>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</si>
  <si>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</si>
  <si>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</si>
  <si>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</si>
  <si>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</si>
  <si>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</si>
  <si>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</si>
  <si>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</si>
  <si>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</si>
  <si>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</si>
  <si>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</si>
  <si>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</si>
  <si>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</si>
  <si>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EC or NWGL</t>
  </si>
  <si>
    <t>Omit due to TWC &lt; 1</t>
  </si>
  <si>
    <t>Reactive Enforcement (3)</t>
  </si>
  <si>
    <t>EC Threshold for Pink Highlight (Slow Run) (mins)</t>
  </si>
  <si>
    <t>NWGL Threshold for Pink Highlight (Slow run) (mins)</t>
  </si>
  <si>
    <t>EC Crossings</t>
  </si>
  <si>
    <t>NW Crossings</t>
  </si>
  <si>
    <t>BNSF FUEL YARD</t>
  </si>
  <si>
    <t>Kibana link</t>
  </si>
  <si>
    <t>EC</t>
  </si>
  <si>
    <t>NW</t>
  </si>
  <si>
    <t>EC/NW/GL</t>
  </si>
  <si>
    <t>RefineRTDCRunTimes</t>
  </si>
  <si>
    <t>RefineTime</t>
  </si>
  <si>
    <t>"%USERPROFILE%\Documents\GitHub\eaglep3\Utilities\RefineRTDCRunTimes.py"</t>
  </si>
  <si>
    <t>%USERPROFILE%\Documents\GitHub\mrs-test-scripts\Headless Mode &amp; Sideloading\WalkAndUnGZ.bat</t>
  </si>
  <si>
    <t>"%USERPROFILE%\AppData\Local\Temp\OnboardLogs"</t>
  </si>
  <si>
    <t xml:space="preserve">baselines for EC: </t>
  </si>
  <si>
    <t>baselines for NWES:</t>
  </si>
  <si>
    <t>M - F = 47 trips</t>
  </si>
  <si>
    <t>Sat - Sun = 33 Trips</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</si>
  <si>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</si>
  <si>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</si>
  <si>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</si>
  <si>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</si>
  <si>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</si>
  <si>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</si>
  <si>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</si>
  <si>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</si>
  <si>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</si>
  <si>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</si>
  <si>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</si>
  <si>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</si>
  <si>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</si>
  <si>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</si>
  <si>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</si>
  <si>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</si>
  <si>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</si>
  <si>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</si>
  <si>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</si>
  <si>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</si>
  <si>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</si>
  <si>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</si>
  <si>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Subdiv</t>
  </si>
  <si>
    <t>RTDC Issue</t>
  </si>
  <si>
    <t>TBD</t>
  </si>
  <si>
    <t>Training</t>
  </si>
  <si>
    <t>Redmine Status</t>
  </si>
  <si>
    <t>Redmine Priority</t>
  </si>
  <si>
    <t>Redmine Assignee</t>
  </si>
  <si>
    <t>Redmine Operational Impact</t>
  </si>
  <si>
    <t>Redmine cURL</t>
  </si>
  <si>
    <t>Redmine add'l desc</t>
  </si>
  <si>
    <t>Seg't</t>
  </si>
  <si>
    <t>Output Refined Run Times to File?</t>
  </si>
  <si>
    <t>RefinedRTDCRunTimesOutputFile</t>
  </si>
  <si>
    <t>Trip Number</t>
  </si>
  <si>
    <t>Data.Current Information Milepost</t>
  </si>
  <si>
    <t>Stopped Distance Short of Target (ft)</t>
  </si>
  <si>
    <t>ozone</t>
  </si>
  <si>
    <t>temperature</t>
  </si>
  <si>
    <t>icon</t>
  </si>
  <si>
    <t>dewPoint</t>
  </si>
  <si>
    <t>humidity</t>
  </si>
  <si>
    <t>visibility</t>
  </si>
  <si>
    <t>summary</t>
  </si>
  <si>
    <t>apparentTemperature</t>
  </si>
  <si>
    <t>pressure</t>
  </si>
  <si>
    <t>windSpeed</t>
  </si>
  <si>
    <t>cloudCover</t>
  </si>
  <si>
    <t>time</t>
  </si>
  <si>
    <t>windBearing</t>
  </si>
  <si>
    <t>precipIntensity</t>
  </si>
  <si>
    <t>precipProbability</t>
  </si>
  <si>
    <t>human_readable_time</t>
  </si>
  <si>
    <t>Loco - PTC</t>
  </si>
  <si>
    <t>Power</t>
  </si>
  <si>
    <t>CLI Grep</t>
  </si>
  <si>
    <t>Time (US/Mountain)</t>
  </si>
  <si>
    <t>Source</t>
  </si>
  <si>
    <t>Employee Identifier</t>
  </si>
  <si>
    <t>Employee Last Name</t>
  </si>
  <si>
    <t>s3://rtdc.mdm.uploadarchive.raw</t>
  </si>
  <si>
    <t>Powered by darksky [darksky.net]</t>
  </si>
  <si>
    <t>Enforcements Text</t>
  </si>
  <si>
    <t>Runs-Refined Text</t>
  </si>
  <si>
    <t>Trips Text</t>
  </si>
  <si>
    <t>Weather Text</t>
  </si>
  <si>
    <t>204:149</t>
  </si>
  <si>
    <t>N</t>
  </si>
  <si>
    <t>SIGNAL</t>
  </si>
  <si>
    <t>Signal based authority (5)</t>
  </si>
  <si>
    <t>TRACK WARRANT AUTHORITY</t>
  </si>
  <si>
    <t>Form based authority (4)</t>
  </si>
  <si>
    <t>Summary for DUS 2016-10-12: Partly cloudy until night.</t>
  </si>
  <si>
    <t>AWS CP Commands</t>
  </si>
  <si>
    <t>rtdc.l.rtdc.4011:itc</t>
  </si>
  <si>
    <t>DE.1.0.8.0</t>
  </si>
  <si>
    <t>Human Factors</t>
  </si>
  <si>
    <t>rtdc.l.rtdc.4012:itc</t>
  </si>
  <si>
    <t>204:150</t>
  </si>
  <si>
    <t>rtdc.l.rtdc.4022:itc</t>
  </si>
  <si>
    <t>rtdc.l.rtdc.4038:itc</t>
  </si>
  <si>
    <t>CLI Grep2 (for slice disagreement)</t>
  </si>
  <si>
    <t>204:145</t>
  </si>
  <si>
    <t>GRADE CROSSING</t>
  </si>
  <si>
    <t>Bulletin (2)</t>
  </si>
  <si>
    <t>JAMES</t>
  </si>
  <si>
    <t>Last + First</t>
  </si>
  <si>
    <t>Employee First Name</t>
  </si>
  <si>
    <t>204:147</t>
  </si>
  <si>
    <t>MICHAEL</t>
  </si>
  <si>
    <t>204:160</t>
  </si>
  <si>
    <t>204:462</t>
  </si>
  <si>
    <t>NEWELL</t>
  </si>
  <si>
    <t>204:449</t>
  </si>
  <si>
    <t>204:152</t>
  </si>
  <si>
    <t>204:158</t>
  </si>
  <si>
    <t>rtdc.l.rtdc.4030:itc</t>
  </si>
  <si>
    <t>AWS CP Parallel</t>
  </si>
  <si>
    <t>DownloadS3Logs</t>
  </si>
  <si>
    <t>%USERPROFILE%\Documents\GitHub\eaglep3\Utilities\DownloadLogsFromS3.py</t>
  </si>
  <si>
    <t>:.+((SYSTEM_STATE.+slice.+state.+changed )|(ment ac)|(multiple cpu faults)|(system.+state.+changed )|(\[timeout)|(PRM\|1\|D)|(kpr)|(kdp)|(\|lc)|(penalty))</t>
  </si>
  <si>
    <t>PERMANENT SPEED RESTRICTION</t>
  </si>
  <si>
    <t>Speed (6)</t>
  </si>
  <si>
    <t>Y</t>
  </si>
  <si>
    <t>204:469</t>
  </si>
  <si>
    <t>204:233299</t>
  </si>
  <si>
    <t>rtdc.l.rtdc.4026:itc</t>
  </si>
  <si>
    <t>204:154</t>
  </si>
  <si>
    <t>204:458</t>
  </si>
  <si>
    <t>HILLS</t>
  </si>
  <si>
    <t>DUSTIN</t>
  </si>
  <si>
    <t>rtdc.l.rtdc.4046:itc</t>
  </si>
  <si>
    <t>rtdc.l.rtdc.4045:itc</t>
  </si>
  <si>
    <t>rtdc.l.rtdc.4021:itc</t>
  </si>
  <si>
    <t>Uncaught Wi-MAX GREP</t>
  </si>
  <si>
    <t>rtdc.l.rtdc.4028:itc</t>
  </si>
  <si>
    <t>rtdc.l.rtdc.4027:itc</t>
  </si>
  <si>
    <t>MCREYNOLDS</t>
  </si>
  <si>
    <t>KYLE</t>
  </si>
  <si>
    <t>204:143</t>
  </si>
  <si>
    <t>rtdc.l.rtdc.4015:itc</t>
  </si>
  <si>
    <t>rtdc.l.rtdc.4029:itc</t>
  </si>
  <si>
    <t>204:451</t>
  </si>
  <si>
    <t>204:457</t>
  </si>
  <si>
    <t>STORY</t>
  </si>
  <si>
    <t>SAMANTHA</t>
  </si>
  <si>
    <t>204:460</t>
  </si>
  <si>
    <t>rtdc.l.rtdc.4007:itc</t>
  </si>
  <si>
    <t>BROWN</t>
  </si>
  <si>
    <t>JACOB</t>
  </si>
  <si>
    <t>rtdc.l.rtdc.4025:itc</t>
  </si>
  <si>
    <t>78-18</t>
  </si>
  <si>
    <t>NELSON</t>
  </si>
  <si>
    <t>ARIANE</t>
  </si>
  <si>
    <t>80-18</t>
  </si>
  <si>
    <t>81-18</t>
  </si>
  <si>
    <t>77-18</t>
  </si>
  <si>
    <t>rtdc.l.rtdc.4054:itc</t>
  </si>
  <si>
    <t>85-18</t>
  </si>
  <si>
    <t>COMELLA</t>
  </si>
  <si>
    <t>JUSTIN</t>
  </si>
  <si>
    <t>86-18</t>
  </si>
  <si>
    <t>rtdc.l.rtdc.4053:itc</t>
  </si>
  <si>
    <t>244-18</t>
  </si>
  <si>
    <t>313-18</t>
  </si>
  <si>
    <t>315-18</t>
  </si>
  <si>
    <t>rtdc.l.rtdc.4043:itc</t>
  </si>
  <si>
    <t>STAMBAUGH</t>
  </si>
  <si>
    <t>244-20</t>
  </si>
  <si>
    <t>311-20</t>
  </si>
  <si>
    <t>313-20</t>
  </si>
  <si>
    <t>302-21</t>
  </si>
  <si>
    <t>SANTIZO</t>
  </si>
  <si>
    <t>D. EDY</t>
  </si>
  <si>
    <t>partly-cloudy-night</t>
  </si>
  <si>
    <t>partly-cloudy-day</t>
  </si>
  <si>
    <t>Partly Cloudy</t>
  </si>
  <si>
    <t>204:453</t>
  </si>
  <si>
    <t>204:471</t>
  </si>
  <si>
    <t>rtdc.l.rtdc.4003:itc</t>
  </si>
  <si>
    <t>rtdc.l.rtdc.4004:itc</t>
  </si>
  <si>
    <t>CHANDLER</t>
  </si>
  <si>
    <t>KELVIN</t>
  </si>
  <si>
    <t>rtdc.l.rtdc.4041:itc</t>
  </si>
  <si>
    <t>rtdc.l.rtdc.4042:itc</t>
  </si>
  <si>
    <t>204:232982</t>
  </si>
  <si>
    <t>204:233301</t>
  </si>
  <si>
    <t>204:232994</t>
  </si>
  <si>
    <t>204:467</t>
  </si>
  <si>
    <t>rtdc.l.rtdc.4002:itc</t>
  </si>
  <si>
    <t>204:233307</t>
  </si>
  <si>
    <t>204:156</t>
  </si>
  <si>
    <t>204:446</t>
  </si>
  <si>
    <t>204:455</t>
  </si>
  <si>
    <t>rtdc.l.rtdc.4051:itc</t>
  </si>
  <si>
    <t>rtdc.l.rtdc.4052:itc</t>
  </si>
  <si>
    <t>241-26</t>
  </si>
  <si>
    <t>242-26</t>
  </si>
  <si>
    <t>239-26</t>
  </si>
  <si>
    <t>238-26</t>
  </si>
  <si>
    <t>243-26</t>
  </si>
  <si>
    <t>240-26</t>
  </si>
  <si>
    <t>309-26</t>
  </si>
  <si>
    <t>311-26</t>
  </si>
  <si>
    <t>244-26</t>
  </si>
  <si>
    <t>313-26</t>
  </si>
  <si>
    <t>315-26</t>
  </si>
  <si>
    <t>204:233311</t>
  </si>
  <si>
    <t>204:233308</t>
  </si>
  <si>
    <t>204:139</t>
  </si>
  <si>
    <t>204:232998</t>
  </si>
  <si>
    <t>204:232979</t>
  </si>
  <si>
    <t>204:233323</t>
  </si>
  <si>
    <t>204:232992</t>
  </si>
  <si>
    <t>204:437</t>
  </si>
  <si>
    <t>204:233278</t>
  </si>
  <si>
    <t>204:233304</t>
  </si>
  <si>
    <t>204:232976</t>
  </si>
  <si>
    <t>rtdc.l.rtdc.4016:itc</t>
  </si>
  <si>
    <t>Mostly Cloudy</t>
  </si>
  <si>
    <t>204:447</t>
  </si>
  <si>
    <t>204:232993</t>
  </si>
  <si>
    <t>204:233317</t>
  </si>
  <si>
    <t>204:233291</t>
  </si>
  <si>
    <t>rtdc.l.rtdc.4010:itc</t>
  </si>
  <si>
    <t>rtdc.l.rtdc.4009:itc</t>
  </si>
  <si>
    <t>204:232977</t>
  </si>
  <si>
    <t>204:138</t>
  </si>
  <si>
    <t>204:232986</t>
  </si>
  <si>
    <t>204:232981</t>
  </si>
  <si>
    <t>204:167</t>
  </si>
  <si>
    <t>204:233309</t>
  </si>
  <si>
    <t>204:233303</t>
  </si>
  <si>
    <t>204:233306</t>
  </si>
  <si>
    <t>204:232985</t>
  </si>
  <si>
    <t>204:174</t>
  </si>
  <si>
    <t>300:23346</t>
  </si>
  <si>
    <t>300:58944</t>
  </si>
  <si>
    <t>300:58624</t>
  </si>
  <si>
    <t>rtdc.l.rtdc.4055:itc</t>
  </si>
  <si>
    <t>GEBRETEKLE</t>
  </si>
  <si>
    <t>DAGNEW</t>
  </si>
  <si>
    <t>YORK</t>
  </si>
  <si>
    <t>EDGAR</t>
  </si>
  <si>
    <t>BADERTSCHER</t>
  </si>
  <si>
    <t>DIANE</t>
  </si>
  <si>
    <t>HELVIE</t>
  </si>
  <si>
    <t>ADAM</t>
  </si>
  <si>
    <t>WHITED</t>
  </si>
  <si>
    <t>rtdc.l.rtdc.4057:itc</t>
  </si>
  <si>
    <t>311-01</t>
  </si>
  <si>
    <t>313-01</t>
  </si>
  <si>
    <t>315-01</t>
  </si>
  <si>
    <t>204:129</t>
  </si>
  <si>
    <t>204:750</t>
  </si>
  <si>
    <t>204:232963</t>
  </si>
  <si>
    <t>204:232978</t>
  </si>
  <si>
    <t>204:233302</t>
  </si>
  <si>
    <t>204:232991</t>
  </si>
  <si>
    <t>204:233015</t>
  </si>
  <si>
    <t>204:438</t>
  </si>
  <si>
    <t>204:233293</t>
  </si>
  <si>
    <t>204:442</t>
  </si>
  <si>
    <t>204:232959</t>
  </si>
  <si>
    <t>204:233270</t>
  </si>
  <si>
    <t>204:233004</t>
  </si>
  <si>
    <t>204:475</t>
  </si>
  <si>
    <t>204:233289</t>
  </si>
  <si>
    <t>204:232996</t>
  </si>
  <si>
    <t>204:233027</t>
  </si>
  <si>
    <t>204:233288</t>
  </si>
  <si>
    <t>204:748</t>
  </si>
  <si>
    <t>204:1032</t>
  </si>
  <si>
    <t>300:58623</t>
  </si>
  <si>
    <t>rtdc.l.rtdc.4019:itc</t>
  </si>
  <si>
    <t>SOUTH57-02</t>
  </si>
  <si>
    <t>SHOOK</t>
  </si>
  <si>
    <t>JOHN</t>
  </si>
  <si>
    <t>rtdc.l.rtdc.4001:itc</t>
  </si>
  <si>
    <t>SMITH</t>
  </si>
  <si>
    <t>rtdc.l.rtdc.4018:itc</t>
  </si>
  <si>
    <t>MACDONALD</t>
  </si>
  <si>
    <t>THOMAS</t>
  </si>
  <si>
    <t>YANG</t>
  </si>
  <si>
    <t>JAN</t>
  </si>
  <si>
    <t>SIMMONS</t>
  </si>
  <si>
    <t>SHYHESHA</t>
  </si>
  <si>
    <t>GRASTON</t>
  </si>
  <si>
    <t>MATHEU</t>
  </si>
  <si>
    <t>NORTH55-02</t>
  </si>
  <si>
    <t>309-02</t>
  </si>
  <si>
    <t>242-02</t>
  </si>
  <si>
    <t>311-02</t>
  </si>
  <si>
    <t>244-02</t>
  </si>
  <si>
    <t>313-02</t>
  </si>
  <si>
    <t>315-02</t>
  </si>
  <si>
    <t>204:233334</t>
  </si>
  <si>
    <t>204:233006</t>
  </si>
  <si>
    <t>204:233282</t>
  </si>
  <si>
    <t>204:424</t>
  </si>
  <si>
    <t>204:233310</t>
  </si>
  <si>
    <t>204:464</t>
  </si>
  <si>
    <t>204:232965</t>
  </si>
  <si>
    <t>204:233312</t>
  </si>
  <si>
    <t>204:233315</t>
  </si>
  <si>
    <t>204:165</t>
  </si>
  <si>
    <t>204:431</t>
  </si>
  <si>
    <t>204:169</t>
  </si>
  <si>
    <t>204:466</t>
  </si>
  <si>
    <t>204:233366</t>
  </si>
  <si>
    <t>204:233285</t>
  </si>
  <si>
    <t>204:233300</t>
  </si>
  <si>
    <t>204:435</t>
  </si>
  <si>
    <t>204:478</t>
  </si>
  <si>
    <t>204:232971</t>
  </si>
  <si>
    <t>204:172</t>
  </si>
  <si>
    <t>204:233094</t>
  </si>
  <si>
    <t>204:488</t>
  </si>
  <si>
    <t>204:233314</t>
  </si>
  <si>
    <t>204:119</t>
  </si>
  <si>
    <t>204:233339</t>
  </si>
  <si>
    <t>300:23312</t>
  </si>
  <si>
    <t>204:1014</t>
  </si>
  <si>
    <t>204:712</t>
  </si>
  <si>
    <t>204:1027</t>
  </si>
  <si>
    <t>204:727</t>
  </si>
  <si>
    <t>SYS :2017/02/02 13:23:38.347:ENFORCEMENT:Predictive Enforcement Action:  Target Number: 00001005  Target Speed:   0.0  Current Speed:   7.1</t>
  </si>
  <si>
    <t>SYS :2017/02/02 13:23:38.509:ENFORCEMENT:Predictive Enforcement Action:  Target Number: 00001005  Target Speed:   0.0  Current Speed:   7.1</t>
  </si>
  <si>
    <t>SYS :2017/02/02 14:04:28.693:ENFORCEMENT:Predictive Enforcement Action:  Target Number: 00001003  Target Speed:   0.0  Current Speed:   9.0</t>
  </si>
  <si>
    <t>SYS :2017/02/02 14:04:28.994:ENFORCEMENT:Predictive Enforcement Action:  Target Number: 00001003  Target Speed:   0.0  Current Speed:   9.0</t>
  </si>
  <si>
    <t>SYS :2017/02/02 14:04:29.154:ENFORCEMENT:Predictive Enforcement Action:  Target Number: 00001003  Target Speed:   0.0  Current Speed:   9.0</t>
  </si>
  <si>
    <t>SYS :2017/02/02 14:21:42.185:ENFORCEMENT:Predictive Enforcement Action:  Target Number: 00010055  Target Speed:  20.0  Current Speed:  45.8</t>
  </si>
  <si>
    <t>SYS :2017/02/02 14:21:42.222:ENFORCEMENT:Predictive Enforcement Action:  Target Number: 00010009  Target Speed:  20.0  Current Speed:  45.8</t>
  </si>
  <si>
    <t>SYS :2017/02/02 14:21:42.756:ENFORCEMENT:Predictive Enforcement Action:  Target Number: 00010055  Target Speed:  20.0  Current Speed:  45.8</t>
  </si>
  <si>
    <t>SYS :2017/02/02 14:48:20.986:ENFORCEMENT:Predictive Enforcement Action:  Target Number: 00010016  Target Speed:  55.0  Current Speed:  79.5</t>
  </si>
  <si>
    <t>SYS :2017/02/02 14:48:21.182:ENFORCEMENT:Predictive Enforcement Action:  Target Number: 00010069  Target Speed:  55.0  Current Speed:  79.5</t>
  </si>
  <si>
    <t>SYS :2017/02/02 14:48:21.752:ENFORCEMENT:Predictive Enforcement Action:  Target Number: 00010068  Target Speed:  55.0  Current Speed:  79.5</t>
  </si>
  <si>
    <t>SYS :2017/02/02 15:26:15.951:ENFORCEMENT:Predictive Enforcement Action:  Target Number: 00010088  Target Speed:  30.0  Current Speed:  39.5</t>
  </si>
  <si>
    <t>SYS :2017/02/02 15:26:15.964:ENFORCEMENT:Predictive Enforcement Action:  Target Number: 00010088  Target Speed:  30.0  Current Speed:  39.9</t>
  </si>
  <si>
    <t>SYS :2017/02/02 15:26:16.086:ENFORCEMENT:Predictive Enforcement Action:  Target Number: 00010080  Target Speed:  30.0  Current Speed:  39.9</t>
  </si>
  <si>
    <t>SYS :2017/02/02 15:36:15.778:ENFORCEMENT:Predictive Enforcement Action:  Target Number: 00017038  Target Speed:   0.0  Current Speed:  23.6</t>
  </si>
  <si>
    <t>SYS :2017/02/02 15:36:16.920:ENFORCEMENT:Predictive Enforcement Action:  Target Number: 00017044  Target Speed:   0.0  Current Speed:  22.4</t>
  </si>
  <si>
    <t>SYS :2017/02/02 15:36:17.400:ENFORCEMENT:Predictive Enforcement Action:  Target Number: 00017044  Target Speed:   0.0  Current Speed:  22.4</t>
  </si>
  <si>
    <t>SYS :2017/02/02 16:51:30.559:ENFORCEMENT:Predictive Enforcement Action:  Target Number: 0000102B  Target Speed:   0.0  Current Speed:   9.7</t>
  </si>
  <si>
    <t>SYS :2017/02/02 16:51:30.912:ENFORCEMENT:Predictive Enforcement Action:  Target Number: 0000102B  Target Speed:   0.0  Current Speed:   9.7</t>
  </si>
  <si>
    <t>SYS :2017/02/02 16:51:31.380:ENFORCEMENT:Predictive Enforcement Action:  Target Number: 0000102B  Target Speed:   0.0  Current Speed:   9.7</t>
  </si>
  <si>
    <t>SYS :2017/02/02 16:52:05.919:ENFORCEMENT:Predictive Enforcement Action:  Target Number: 0000102B  Target Speed:   0.0  Current Speed:   4.2</t>
  </si>
  <si>
    <t>SYS :2017/02/02 16:52:06.371:ENFORCEMENT:Predictive Enforcement Action:  Target Number: 0000102B  Target Speed:   0.0  Current Speed:   4.2</t>
  </si>
  <si>
    <t>SYS :2017/02/02 16:52:08.554:ENFORCEMENT:Predictive Enforcement Action:  Target Number: 0000102B  Target Speed:   0.0  Current Speed:   4.1</t>
  </si>
  <si>
    <t>SYS :2017/02/02 16:55:07.476:ENFORCEMENT:Predictive Enforcement Action:  Target Number: 00017045  Target Speed:  24.0  Current Speed:  35.5</t>
  </si>
  <si>
    <t>SYS :2017/02/02 16:55:07.641:ENFORCEMENT:Predictive Enforcement Action:  Target Number: 00017045  Target Speed:  24.0  Current Speed:  35.6</t>
  </si>
  <si>
    <t>SYS :2017/02/02 17:23:18.412:ENFORCEMENT:Reactive Enforcement Action:  Target Number: 00017057  Target Speed:  15.0  Current Speed:  20.2</t>
  </si>
  <si>
    <t>SYS :2017/02/02 17:47:02.206:ENFORCEMENT:Predictive Enforcement Action:  Target Number: 00006116  Target Speed:   0.0  Current Speed:   6.4</t>
  </si>
  <si>
    <t>SYS :2017/02/02 17:51:41.353:ENFORCEMENT:Predictive Enforcement Action:  Target Number: 00010009  Target Speed:  20.0  Current Speed:  25.8</t>
  </si>
  <si>
    <t>SYS :2017/02/02 17:52:57.736:ENFORCEMENT:Predictive Enforcement Action:  Target Number: 00017062  Target Speed:   0.0  Current Speed:  18.0</t>
  </si>
  <si>
    <t>SYS :2017/02/02 17:52:57.779:ENFORCEMENT:Predictive Enforcement Action:  Target Number: 0001703E  Target Speed:   0.0  Current Speed:  17.0</t>
  </si>
  <si>
    <t>SYS :2017/02/02 18:17:02.566:ENFORCEMENT:Reactive Enforcement Action:  Target Number: 000063AD  Target Speed:   0.0  Current Speed:  47.8</t>
  </si>
  <si>
    <t>SYS :2017/02/02 18:17:03.367:ENFORCEMENT:Reactive Enforcement Action:  Target Number: 00006369  Target Speed:   0.0  Current Speed:  47.8</t>
  </si>
  <si>
    <t>SYS :2017/02/02 18:36:23.340:ENFORCEMENT:Predictive Enforcement Action:  Target Number: 0000100C  Target Speed:   0.0  Current Speed:   4.3</t>
  </si>
  <si>
    <t>SYS :2017/02/02 18:36:23.507:ENFORCEMENT:Predictive Enforcement Action:  Target Number: 0000100C  Target Speed:   0.0  Current Speed:   4.3</t>
  </si>
  <si>
    <t>SYS :2017/02/02 18:36:23.897:ENFORCEMENT:Predictive Enforcement Action:  Target Number: 0000100C  Target Speed:   0.0  Current Speed:   4.3</t>
  </si>
  <si>
    <t>SYS :2017/02/02 19:53:50.567:ENFORCEMENT:Predictive Enforcement Action:  Target Number: 000063F6  Target Speed:   0.0  Current Speed:  37.5</t>
  </si>
  <si>
    <t>SYS :2017/02/02 19:53:51.381:ENFORCEMENT:Predictive Enforcement Action:  Target Number: 000063B2  Target Speed:   0.0  Current Speed:  36.5</t>
  </si>
  <si>
    <t>SYS :2017/02/02 19:54:47.379:ENFORCEMENT:Reactive Enforcement Action:  Target Number: 000063B2  Target Speed:   0.0  Current Speed:   0.6</t>
  </si>
  <si>
    <t>SYS :2017/02/02 20:35:40.453:ENFORCEMENT:Predictive Enforcement Action:  Target Number: 0000100D  Target Speed:   0.0  Current Speed:   4.0</t>
  </si>
  <si>
    <t>SYS :2017/02/02 22:43:32.781:ENFORCEMENT:Predictive Enforcement Action:  Target Number: 00017095  Target Speed:   0.0  Current Speed:  49.1</t>
  </si>
  <si>
    <t>SYS :2017/02/02 22:43:34.398:ENFORCEMENT:Predictive Enforcement Action:  Target Number: 000170A1  Target Speed:   0.0  Current Speed:  45.8</t>
  </si>
  <si>
    <t>SYS :2017/02/03 00:27:13.281:ENFORCEMENT:Predictive Enforcement Action:  Target Number: 00001012  Target Speed:   0.0  Current Speed:   4.4</t>
  </si>
  <si>
    <t>SYS :2017/02/03 00:27:13.461:ENFORCEMENT:Predictive Enforcement Action:  Target Number: 0000100E  Target Speed:   0.0  Current Speed:   4.4</t>
  </si>
  <si>
    <t>SYS :2017/02/03 00:27:14.083:ENFORCEMENT:Predictive Enforcement Action:  Target Number: 00001012  Target Speed:   0.0  Current Speed:   4.4</t>
  </si>
  <si>
    <t>SYS :2017/02/03 01:27:26.085:ENFORCEMENT:Predictive Enforcement Action:  Target Number: 00001017  Target Speed:   0.0  Current Speed:   5.9</t>
  </si>
  <si>
    <t>SYS :2017/02/03 01:27:26.460:ENFORCEMENT:Predictive Enforcement Action:  Target Number: 00001013  Target Speed:   0.0  Current Speed:   5.9</t>
  </si>
  <si>
    <t>SYS :2017/02/03 01:27:27.274:ENFORCEMENT:Predictive Enforcement Action:  Target Number: 00001017  Target Speed:   0.0  Current Speed:   5.9</t>
  </si>
  <si>
    <t>SYS :2017/02/03 01:36:14.411:ENFORCEMENT:Predictive Enforcement Action:  Target Number: 00017173  Target Speed:   0.0  Current Speed:  20.3</t>
  </si>
  <si>
    <t>SYS :2017/02/03 01:36:14.993:ENFORCEMENT:Predictive Enforcement Action:  Target Number: 00017173  Target Speed:   0.0  Current Speed:  20.3</t>
  </si>
  <si>
    <t>SYS :2017/02/03 01:36:15.019:ENFORCEMENT:Predictive Enforcement Action:  Target Number: 0001716C  Target Speed:   0.0  Current Speed:  20.3</t>
  </si>
  <si>
    <t>SYS :2017/02/03 02:28:20.686:ENFORCEMENT:Reactive Enforcement Action:  Target Number: 000101D4  Target Speed:  35.0  Current Speed:  40.1</t>
  </si>
  <si>
    <t>SYS :2017/02/03 02:28:21.331:ENFORCEMENT:Reactive Enforcement Action:  Target Number: 00010366  Target Speed:  35.0  Current Speed:  40.1</t>
  </si>
  <si>
    <t>SYS :2017/02/03 02:28:21.373:ENFORCEMENT:Reactive Enforcement Action:  Target Number: 000100F6  Target Speed:  35.0  Current Speed:  40.1</t>
  </si>
  <si>
    <t>SYS :2017/02/03 02:35:37.922:ENFORCEMENT:Predictive Enforcement Action:  Target Number: 00001029  Target Speed:   0.0  Current Speed:   5.1</t>
  </si>
  <si>
    <t>SYS :2017/02/03 02:35:37.943:ENFORCEMENT:Predictive Enforcement Action:  Target Number: 00001029  Target Speed:   0.0  Current Speed:   5.1</t>
  </si>
  <si>
    <t>SYS :2017/02/03 03:08:06.796:ENFORCEMENT:Predictive Enforcement Action:  Target Number: 000170D5  Target Speed:   0.0  Current Speed:  16.8</t>
  </si>
  <si>
    <t>SYS :2017/02/03 03:08:06.975:ENFORCEMENT:Predictive Enforcement Action:  Target Number: 000170D5  Target Speed:   0.0  Current Speed:  16.8</t>
  </si>
  <si>
    <t>SYS :2017/02/03 03:08:07.140:ENFORCEMENT:Predictive Enforcement Action:  Target Number: 000170D5  Target Speed:   0.0  Current Speed:  16.8</t>
  </si>
  <si>
    <t>SYS :2017/02/03 03:36:46.408:ENFORCEMENT:Reactive Enforcement Action:  Target Number: 000103EF  Target Speed:  20.0  Current Speed:  25.6</t>
  </si>
  <si>
    <t>SYS :2017/02/03 03:36:46.999:ENFORCEMENT:Reactive Enforcement Action:  Target Number: 0001040A  Target Speed:  20.0  Current Speed:  25.6</t>
  </si>
  <si>
    <t>SYS :2017/02/03 03:36:47.034:ENFORCEMENT:Reactive Enforcement Action:  Target Number: 00010400  Target Speed:  20.0  Current Speed:  25.6</t>
  </si>
  <si>
    <t>SYS :2017/02/03 04:55:49.662:ENFORCEMENT:Predictive Enforcement Action:  Target Number: 0000103C  Target Speed:   0.0  Current Speed:   3.8</t>
  </si>
  <si>
    <t>SYS :2017/02/03 04:55:50.376:ENFORCEMENT:Predictive Enforcement Action:  Target Number: 0000103C  Target Speed:   0.0  Current Speed:   3.8</t>
  </si>
  <si>
    <t>SYS :2017/02/03 05:03:14.671:ENFORCEMENT:Predictive Enforcement Action:  Target Number: 0000101F  Target Speed:   0.0  Current Speed:   7.0</t>
  </si>
  <si>
    <t>SYS :2017/02/03 05:03:16.315:ENFORCEMENT:Predictive Enforcement Action:  Target Number: 0000103F  Target Speed:   0.0  Current Speed:   6.9</t>
  </si>
  <si>
    <t>SYS :2017/02/03 05:03:16.362:ENFORCEMENT:Predictive Enforcement Action:  Target Number: 00001010  Target Speed:   0.0  Current Speed:   6.9</t>
  </si>
  <si>
    <t>SYS :2017/02/03 06:51:53.709:ENFORCEMENT:Predictive Enforcement Action:  Target Number: 00017156  Target Speed:  53.0  Current Speed:  61.9</t>
  </si>
  <si>
    <t>SYS :2017/02/03 07:03:32.365:ENFORCEMENT:Predictive Enforcement Action:  Target Number: 00001012  Target Speed:   0.0  Current Speed:   4.6</t>
  </si>
  <si>
    <t>SYS :2017/02/03 07:03:32.827:ENFORCEMENT:Predictive Enforcement Action:  Target Number: 00001001  Target Speed:   0.0  Current Speed:   4.6</t>
  </si>
  <si>
    <t>SYS :2017/02/03 08:03:54.498:ENFORCEMENT:Predictive Enforcement Action:  Target Number: 00001021  Target Speed:   0.0  Current Speed:   3.0</t>
  </si>
  <si>
    <t>SYS :2017/02/03 08:03:54.854:ENFORCEMENT:Predictive Enforcement Action:  Target Number: 00001020  Target Speed:   0.0  Current Speed:   3.0</t>
  </si>
  <si>
    <t>SYS :2017/02/03 08:04:07.975:ENFORCEMENT:Predictive Enforcement Action:  Target Number: 00001045  Target Speed:   0.0  Current Speed:   6.4</t>
  </si>
  <si>
    <t>SYS :2017/02/03 08:04:08.013:ENFORCEMENT:Predictive Enforcement Action:  Target Number: 00001044  Target Speed:   0.0  Current Speed:   6.4</t>
  </si>
  <si>
    <t>SYS :2017/02/03 08:04:08.394:ENFORCEMENT:Predictive Enforcement Action:  Target Number: 00001044  Target Speed:   0.0  Current Speed:   6.4</t>
  </si>
  <si>
    <t>315-04</t>
  </si>
  <si>
    <t>109-05</t>
  </si>
  <si>
    <t>119-05</t>
  </si>
  <si>
    <t>114-05</t>
  </si>
  <si>
    <t>127-05</t>
  </si>
  <si>
    <t>132-05</t>
  </si>
  <si>
    <t>128-05</t>
  </si>
  <si>
    <t>149-05</t>
  </si>
  <si>
    <t>151-05</t>
  </si>
  <si>
    <t>50-05</t>
  </si>
  <si>
    <t>185-05</t>
  </si>
  <si>
    <t>1818-05</t>
  </si>
  <si>
    <t>189-05</t>
  </si>
  <si>
    <t>191-05</t>
  </si>
  <si>
    <t>1821-05</t>
  </si>
  <si>
    <t>201-05</t>
  </si>
  <si>
    <t>203-05</t>
  </si>
  <si>
    <t>213-05</t>
  </si>
  <si>
    <t>204-05</t>
  </si>
  <si>
    <t>1825-05</t>
  </si>
  <si>
    <t>rtdc.l.rtdc.4031:itc</t>
  </si>
  <si>
    <t>221-05</t>
  </si>
  <si>
    <t>234-05</t>
  </si>
  <si>
    <t>rtdc.l.rtdc.4056:itc</t>
  </si>
  <si>
    <t>80-05</t>
  </si>
  <si>
    <t>245-04</t>
  </si>
  <si>
    <t>242-04</t>
  </si>
  <si>
    <t>SAFIEF</t>
  </si>
  <si>
    <t>AEIMEN</t>
  </si>
  <si>
    <t>81-04</t>
  </si>
  <si>
    <t>244-04</t>
  </si>
  <si>
    <t>311-04</t>
  </si>
  <si>
    <t>rtdc.l.rtdc.4008:itc</t>
  </si>
  <si>
    <t>246-04</t>
  </si>
  <si>
    <t>80-04</t>
  </si>
  <si>
    <t>101-05</t>
  </si>
  <si>
    <t>OUN</t>
  </si>
  <si>
    <t>ZACK</t>
  </si>
  <si>
    <t>rtdc.l.rtdc.4040:itc</t>
  </si>
  <si>
    <t>103-05</t>
  </si>
  <si>
    <t>MAELZER</t>
  </si>
  <si>
    <t>KURT</t>
  </si>
  <si>
    <t>rtdc.l.rtdc.4037:itc</t>
  </si>
  <si>
    <t>306-05</t>
  </si>
  <si>
    <t>102-05</t>
  </si>
  <si>
    <t>NEPTUNE-05</t>
  </si>
  <si>
    <t>308-05</t>
  </si>
  <si>
    <t>DAVIS</t>
  </si>
  <si>
    <t>WENDY</t>
  </si>
  <si>
    <t>105-05</t>
  </si>
  <si>
    <t>310-05</t>
  </si>
  <si>
    <t>BERLING</t>
  </si>
  <si>
    <t>GARY</t>
  </si>
  <si>
    <t>107-05</t>
  </si>
  <si>
    <t>104-05</t>
  </si>
  <si>
    <t>106-05</t>
  </si>
  <si>
    <t>111-05</t>
  </si>
  <si>
    <t>113-05</t>
  </si>
  <si>
    <t>108-05</t>
  </si>
  <si>
    <t>1901-05</t>
  </si>
  <si>
    <t>115-05</t>
  </si>
  <si>
    <t>117-05</t>
  </si>
  <si>
    <t>110-05</t>
  </si>
  <si>
    <t>1800-05</t>
  </si>
  <si>
    <t>rtdc.l.rtdc.4032:itc</t>
  </si>
  <si>
    <t>112-05</t>
  </si>
  <si>
    <t>1801-05</t>
  </si>
  <si>
    <t>121-05</t>
  </si>
  <si>
    <t>rtdc.l.rtdc.4039:itc</t>
  </si>
  <si>
    <t>116-05</t>
  </si>
  <si>
    <t>123-05</t>
  </si>
  <si>
    <t>118-05</t>
  </si>
  <si>
    <t>1802-05</t>
  </si>
  <si>
    <t>125-05</t>
  </si>
  <si>
    <t>120-05</t>
  </si>
  <si>
    <t>1803-05</t>
  </si>
  <si>
    <t>122-05</t>
  </si>
  <si>
    <t>129-05</t>
  </si>
  <si>
    <t>124-05</t>
  </si>
  <si>
    <t>131-05</t>
  </si>
  <si>
    <t>126-05</t>
  </si>
  <si>
    <t>1804-05</t>
  </si>
  <si>
    <t>133-05</t>
  </si>
  <si>
    <t>135-05</t>
  </si>
  <si>
    <t>130-05</t>
  </si>
  <si>
    <t>1805-05</t>
  </si>
  <si>
    <t>137-05</t>
  </si>
  <si>
    <t>139-05</t>
  </si>
  <si>
    <t>134-05</t>
  </si>
  <si>
    <t>1806-05</t>
  </si>
  <si>
    <t>141-05</t>
  </si>
  <si>
    <t>136-05</t>
  </si>
  <si>
    <t>143-05</t>
  </si>
  <si>
    <t>1807-05</t>
  </si>
  <si>
    <t>138-05</t>
  </si>
  <si>
    <t>145-05</t>
  </si>
  <si>
    <t>140-05</t>
  </si>
  <si>
    <t>147-05</t>
  </si>
  <si>
    <t>142-05</t>
  </si>
  <si>
    <t>1808-05</t>
  </si>
  <si>
    <t>144-05</t>
  </si>
  <si>
    <t>1809-05</t>
  </si>
  <si>
    <t>146-05</t>
  </si>
  <si>
    <t>153-05</t>
  </si>
  <si>
    <t>148-05</t>
  </si>
  <si>
    <t>155-05</t>
  </si>
  <si>
    <t>ROMERO</t>
  </si>
  <si>
    <t>CHAD</t>
  </si>
  <si>
    <t>1810-05</t>
  </si>
  <si>
    <t>150-05</t>
  </si>
  <si>
    <t>157-05</t>
  </si>
  <si>
    <t>152-05</t>
  </si>
  <si>
    <t>159-05</t>
  </si>
  <si>
    <t>STEWART</t>
  </si>
  <si>
    <t>1811-05</t>
  </si>
  <si>
    <t>154-05</t>
  </si>
  <si>
    <t>156-05</t>
  </si>
  <si>
    <t>161-05</t>
  </si>
  <si>
    <t>163-05</t>
  </si>
  <si>
    <t>LEVIN</t>
  </si>
  <si>
    <t>SCOTT</t>
  </si>
  <si>
    <t>158-05</t>
  </si>
  <si>
    <t>51-05</t>
  </si>
  <si>
    <t>1812-05</t>
  </si>
  <si>
    <t>165-05</t>
  </si>
  <si>
    <t>160-05</t>
  </si>
  <si>
    <t>167-05</t>
  </si>
  <si>
    <t>CRAYTON</t>
  </si>
  <si>
    <t>QUNTRELL</t>
  </si>
  <si>
    <t>1813-05</t>
  </si>
  <si>
    <t>169-05</t>
  </si>
  <si>
    <t>162-05</t>
  </si>
  <si>
    <t>171-05</t>
  </si>
  <si>
    <t>KILLION</t>
  </si>
  <si>
    <t>DAVID</t>
  </si>
  <si>
    <t>164-05</t>
  </si>
  <si>
    <t>166-05</t>
  </si>
  <si>
    <t>1814-05</t>
  </si>
  <si>
    <t>173-05</t>
  </si>
  <si>
    <t>LALONDE</t>
  </si>
  <si>
    <t>GREGORY</t>
  </si>
  <si>
    <t>168-05</t>
  </si>
  <si>
    <t>175-05</t>
  </si>
  <si>
    <t>1815-05</t>
  </si>
  <si>
    <t>170-05</t>
  </si>
  <si>
    <t>177-05</t>
  </si>
  <si>
    <t>172-05</t>
  </si>
  <si>
    <t>179-05</t>
  </si>
  <si>
    <t>174-05</t>
  </si>
  <si>
    <t>1816-05</t>
  </si>
  <si>
    <t>181-05</t>
  </si>
  <si>
    <t>176-05</t>
  </si>
  <si>
    <t>183-05</t>
  </si>
  <si>
    <t>LOPES</t>
  </si>
  <si>
    <t>KIMBERLY</t>
  </si>
  <si>
    <t>178-05</t>
  </si>
  <si>
    <t>1817-05</t>
  </si>
  <si>
    <t>180-05</t>
  </si>
  <si>
    <t>187-05</t>
  </si>
  <si>
    <t>182-05</t>
  </si>
  <si>
    <t>184-05</t>
  </si>
  <si>
    <t>186-05</t>
  </si>
  <si>
    <t>193-05</t>
  </si>
  <si>
    <t>1819-05</t>
  </si>
  <si>
    <t>188-05</t>
  </si>
  <si>
    <t>195-05</t>
  </si>
  <si>
    <t>1820-05</t>
  </si>
  <si>
    <t>190-05</t>
  </si>
  <si>
    <t>197-05</t>
  </si>
  <si>
    <t>192-05</t>
  </si>
  <si>
    <t>199-05</t>
  </si>
  <si>
    <t>194-05</t>
  </si>
  <si>
    <t>196-05</t>
  </si>
  <si>
    <t>198-05</t>
  </si>
  <si>
    <t>1822-05</t>
  </si>
  <si>
    <t>205-05</t>
  </si>
  <si>
    <t>200-05</t>
  </si>
  <si>
    <t>53-05</t>
  </si>
  <si>
    <t>HOLCOMB</t>
  </si>
  <si>
    <t>KAMDEN</t>
  </si>
  <si>
    <t>207-05</t>
  </si>
  <si>
    <t>202-05</t>
  </si>
  <si>
    <t>209-05</t>
  </si>
  <si>
    <t>MAGEE</t>
  </si>
  <si>
    <t>KENYA</t>
  </si>
  <si>
    <t>1823-05</t>
  </si>
  <si>
    <t>211-05</t>
  </si>
  <si>
    <t>75-05</t>
  </si>
  <si>
    <t>206-05</t>
  </si>
  <si>
    <t>1824-05</t>
  </si>
  <si>
    <t>52-05</t>
  </si>
  <si>
    <t>208-05</t>
  </si>
  <si>
    <t>215-05</t>
  </si>
  <si>
    <t>54-05</t>
  </si>
  <si>
    <t>210-05</t>
  </si>
  <si>
    <t>217-05</t>
  </si>
  <si>
    <t>212-05</t>
  </si>
  <si>
    <t>55-05</t>
  </si>
  <si>
    <t>219-05</t>
  </si>
  <si>
    <t>214-05</t>
  </si>
  <si>
    <t>1826-05</t>
  </si>
  <si>
    <t>303-05</t>
  </si>
  <si>
    <t>216-05</t>
  </si>
  <si>
    <t>218-05</t>
  </si>
  <si>
    <t>305-05</t>
  </si>
  <si>
    <t>220-05</t>
  </si>
  <si>
    <t>1827-05</t>
  </si>
  <si>
    <t>58-05</t>
  </si>
  <si>
    <t>223-05</t>
  </si>
  <si>
    <t>1828-05</t>
  </si>
  <si>
    <t>307-05</t>
  </si>
  <si>
    <t>81-05</t>
  </si>
  <si>
    <t>222-05</t>
  </si>
  <si>
    <t>225-05</t>
  </si>
  <si>
    <t>1829-05</t>
  </si>
  <si>
    <t>224-05</t>
  </si>
  <si>
    <t>227-05</t>
  </si>
  <si>
    <t>1830-05</t>
  </si>
  <si>
    <t>226-05</t>
  </si>
  <si>
    <t>229-05</t>
  </si>
  <si>
    <t>231-05</t>
  </si>
  <si>
    <t>1831-05</t>
  </si>
  <si>
    <t>228-05</t>
  </si>
  <si>
    <t>1832-05</t>
  </si>
  <si>
    <t>230-05</t>
  </si>
  <si>
    <t>233-05</t>
  </si>
  <si>
    <t>232-05</t>
  </si>
  <si>
    <t>1833-05</t>
  </si>
  <si>
    <t>235-05</t>
  </si>
  <si>
    <t>1902-05</t>
  </si>
  <si>
    <t>237-05</t>
  </si>
  <si>
    <t>236-05</t>
  </si>
  <si>
    <t>239-05</t>
  </si>
  <si>
    <t>241-05</t>
  </si>
  <si>
    <t>238-05</t>
  </si>
  <si>
    <t>243-05</t>
  </si>
  <si>
    <t>242-05</t>
  </si>
  <si>
    <t>315-05</t>
  </si>
  <si>
    <t>311-05</t>
  </si>
  <si>
    <t>244-05</t>
  </si>
  <si>
    <t>313-05</t>
  </si>
  <si>
    <t>clear-day</t>
  </si>
  <si>
    <t>Clear</t>
  </si>
  <si>
    <t>clear-night</t>
  </si>
  <si>
    <t>204:233363</t>
  </si>
  <si>
    <t>204:232717</t>
  </si>
  <si>
    <t>204:766</t>
  </si>
  <si>
    <t>204:233325</t>
  </si>
  <si>
    <t>204:232694</t>
  </si>
  <si>
    <t>204:717</t>
  </si>
  <si>
    <t>204:233297</t>
  </si>
  <si>
    <t>204:232655</t>
  </si>
  <si>
    <t>204:232968</t>
  </si>
  <si>
    <t>204:744</t>
  </si>
  <si>
    <t>204:232961</t>
  </si>
  <si>
    <t>204:233353</t>
  </si>
  <si>
    <t>204:233034</t>
  </si>
  <si>
    <t>204:743</t>
  </si>
  <si>
    <t>204:233326</t>
  </si>
  <si>
    <t>204:231083</t>
  </si>
  <si>
    <t>204:161</t>
  </si>
  <si>
    <t>204:233011</t>
  </si>
  <si>
    <t>204:440</t>
  </si>
  <si>
    <t>204:233259</t>
  </si>
  <si>
    <t>204:233013</t>
  </si>
  <si>
    <t>204:96</t>
  </si>
  <si>
    <t>204:233349</t>
  </si>
  <si>
    <t>204:233343</t>
  </si>
  <si>
    <t>204:233026</t>
  </si>
  <si>
    <t>204:233036</t>
  </si>
  <si>
    <t>204:233000</t>
  </si>
  <si>
    <t>204:180</t>
  </si>
  <si>
    <t>204:233023</t>
  </si>
  <si>
    <t>204:233320</t>
  </si>
  <si>
    <t>204:134</t>
  </si>
  <si>
    <t>204:233330</t>
  </si>
  <si>
    <t>204:429</t>
  </si>
  <si>
    <t>204:233001</t>
  </si>
  <si>
    <t>204:163</t>
  </si>
  <si>
    <t>204:233342</t>
  </si>
  <si>
    <t>204:493</t>
  </si>
  <si>
    <t>204:233336</t>
  </si>
  <si>
    <t>204:132</t>
  </si>
  <si>
    <t>204:18770</t>
  </si>
  <si>
    <t>204:233383</t>
  </si>
  <si>
    <t>204:233068</t>
  </si>
  <si>
    <t>204:233347</t>
  </si>
  <si>
    <t>300:58626</t>
  </si>
  <si>
    <t>300:58928</t>
  </si>
  <si>
    <t>300:58621</t>
  </si>
  <si>
    <t>204:734</t>
  </si>
  <si>
    <t>204:1009</t>
  </si>
  <si>
    <t>300:58918</t>
  </si>
  <si>
    <t>300:58613</t>
  </si>
  <si>
    <t>204:1025</t>
  </si>
  <si>
    <t>300:58615</t>
  </si>
  <si>
    <t>204:740</t>
  </si>
  <si>
    <t>204:1016</t>
  </si>
  <si>
    <t>300:58929</t>
  </si>
  <si>
    <t>300:58617</t>
  </si>
  <si>
    <t>204:736</t>
  </si>
  <si>
    <t>204:427</t>
  </si>
  <si>
    <t>204:745</t>
  </si>
  <si>
    <t>204:1018</t>
  </si>
  <si>
    <t>300:58609</t>
  </si>
  <si>
    <t>204:755</t>
  </si>
  <si>
    <t>204:1023</t>
  </si>
  <si>
    <t>204:792</t>
  </si>
  <si>
    <t>204:1083</t>
  </si>
  <si>
    <t>300:58941</t>
  </si>
  <si>
    <t>300:58634</t>
  </si>
  <si>
    <t>204:1049</t>
  </si>
  <si>
    <t>204:183</t>
  </si>
  <si>
    <t>204:722</t>
  </si>
  <si>
    <t>204:726</t>
  </si>
  <si>
    <t>204:1004</t>
  </si>
  <si>
    <t>300:58943</t>
  </si>
  <si>
    <t>204:764</t>
  </si>
  <si>
    <t>300:58937</t>
  </si>
  <si>
    <t>204:762</t>
  </si>
  <si>
    <t>204:1041</t>
  </si>
  <si>
    <t>300:58638</t>
  </si>
  <si>
    <t>204:233393</t>
  </si>
  <si>
    <t>300:58939</t>
  </si>
  <si>
    <t>204:759</t>
  </si>
  <si>
    <t>204:1051</t>
  </si>
  <si>
    <t>204:1488</t>
  </si>
  <si>
    <t>204:1684</t>
  </si>
  <si>
    <t>204:19130</t>
  </si>
  <si>
    <t>204:233319</t>
  </si>
  <si>
    <t>204:232984</t>
  </si>
  <si>
    <t>204:233387</t>
  </si>
  <si>
    <t>204:233076</t>
  </si>
  <si>
    <t>300:30250</t>
  </si>
  <si>
    <t>300:58630</t>
  </si>
  <si>
    <t>300:21759</t>
  </si>
  <si>
    <t>204:506</t>
  </si>
  <si>
    <t>204:962</t>
  </si>
  <si>
    <t>204:491</t>
  </si>
  <si>
    <t>204:233295</t>
  </si>
  <si>
    <t>204:233025</t>
  </si>
  <si>
    <t>204:407</t>
  </si>
  <si>
    <t>204:233337</t>
  </si>
  <si>
    <t>204:233021</t>
  </si>
  <si>
    <t>204:233003</t>
  </si>
  <si>
    <t>204:233341</t>
  </si>
  <si>
    <t>204:232962</t>
  </si>
  <si>
    <t>204:232989</t>
  </si>
  <si>
    <t>204:233276</t>
  </si>
  <si>
    <t>204:925</t>
  </si>
  <si>
    <t>204:232969</t>
  </si>
  <si>
    <t>204:233305</t>
  </si>
  <si>
    <t>204:125111</t>
  </si>
  <si>
    <t>204:233338</t>
  </si>
  <si>
    <t>204:233028</t>
  </si>
  <si>
    <t>204:233017</t>
  </si>
  <si>
    <t>204:128266</t>
  </si>
  <si>
    <t>204:313</t>
  </si>
  <si>
    <t>204:127858</t>
  </si>
  <si>
    <t>300:23306</t>
  </si>
  <si>
    <t>300:23063</t>
  </si>
  <si>
    <t>300:23481</t>
  </si>
  <si>
    <t>300:23292</t>
  </si>
  <si>
    <t>300:23308</t>
  </si>
  <si>
    <t>204:1182</t>
  </si>
  <si>
    <t>300:31856</t>
  </si>
  <si>
    <t>300:21818</t>
  </si>
  <si>
    <t>300:23463</t>
  </si>
  <si>
    <t>204:81</t>
  </si>
  <si>
    <t>204:1266</t>
  </si>
  <si>
    <t>300:23295</t>
  </si>
  <si>
    <t>300:23161</t>
  </si>
  <si>
    <t>204:2004</t>
  </si>
  <si>
    <t>204:385</t>
  </si>
  <si>
    <t>300:23108</t>
  </si>
  <si>
    <t>204:232646</t>
  </si>
  <si>
    <t>204:64</t>
  </si>
  <si>
    <t>204:6616</t>
  </si>
  <si>
    <t>204:2246</t>
  </si>
  <si>
    <t>300:31632</t>
  </si>
  <si>
    <t>204:352</t>
  </si>
  <si>
    <t>204:6933</t>
  </si>
  <si>
    <t>204:1323</t>
  </si>
  <si>
    <t>300:23304</t>
  </si>
  <si>
    <t>300:22195</t>
  </si>
  <si>
    <t>start /low /b %USERPROFILE%\Documents\GitHub\eaglep3\Utilities\DownloadLogsFromS3.py --loco 4039 --day 2017-02-05</t>
  </si>
  <si>
    <t>start /low /b %USERPROFILE%\Documents\GitHub\eaglep3\Utilities\DownloadLogsFromS3.py --loco 4038 --day 2017-02-05</t>
  </si>
  <si>
    <t>start /low /b %USERPROFILE%\Documents\GitHub\eaglep3\Utilities\DownloadLogsFromS3.py --loco 4016 --day 2017-02-05</t>
  </si>
  <si>
    <t>start /low /b %USERPROFILE%\Documents\GitHub\eaglep3\Utilities\DownloadLogsFromS3.py --loco 4021 --day 2017-02-05</t>
  </si>
  <si>
    <t>start /low /b %USERPROFILE%\Documents\GitHub\eaglep3\Utilities\DownloadLogsFromS3.py --loco 4032 --day 2017-02-05</t>
  </si>
  <si>
    <t>start /low /b %USERPROFILE%\Documents\GitHub\eaglep3\Utilities\DownloadLogsFromS3.py --loco 4032 --day 2017-02-06</t>
  </si>
  <si>
    <t>start /low /b %USERPROFILE%\Documents\GitHub\eaglep3\Utilities\DownloadLogsFromS3.py --loco 4045 --day 1969-12-31</t>
  </si>
  <si>
    <t>start /low /b %USERPROFILE%\Documents\GitHub\eaglep3\Utilities\DownloadLogsFromS3.py --loco 4031 --day 2017-02-06</t>
  </si>
  <si>
    <t>start /low /b %USERPROFILE%\Documents\GitHub\eaglep3\Utilities\DownloadLogsFromS3.py --loco 4022 --day 2017-02-05</t>
  </si>
  <si>
    <t>start /low /b %USERPROFILE%\Documents\GitHub\eaglep3\Utilities\DownloadLogsFromS3.py --loco 4026 --day 2017-02-05</t>
  </si>
  <si>
    <t>start /low /b %USERPROFILE%\Documents\GitHub\eaglep3\Utilities\DownloadLogsFromS3.py --loco 4002 --day 2017-02-05</t>
  </si>
  <si>
    <t>start /low /b %USERPROFILE%\Documents\GitHub\eaglep3\Utilities\DownloadLogsFromS3.py --loco 4038 --day 2017-02-06</t>
  </si>
  <si>
    <t>start /low /b %USERPROFILE%\Documents\GitHub\eaglep3\Utilities\DownloadLogsFromS3.py --loco 4010 --day 2017-02-05</t>
  </si>
  <si>
    <t>start /low /b %USERPROFILE%\Documents\GitHub\eaglep3\Utilities\DownloadLogsFromS3.py --loco 4015 --day 2017-02-06</t>
  </si>
  <si>
    <t>start /low /b %USERPROFILE%\Documents\GitHub\eaglep3\Utilities\DownloadLogsFromS3.py --loco 4009 --day 2017-02-05</t>
  </si>
  <si>
    <t>start /low /b %USERPROFILE%\Documents\GitHub\eaglep3\Utilities\DownloadLogsFromS3.py --loco 4025 --day 2017-02-05</t>
  </si>
  <si>
    <t>start /low /b %USERPROFILE%\Documents\GitHub\eaglep3\Utilities\DownloadLogsFromS3.py --loco 4016 --day 2017-02-06</t>
  </si>
  <si>
    <t>start /low /b %USERPROFILE%\Documents\GitHub\eaglep3\Utilities\DownloadLogsFromS3.py --loco 4003 --day 2017-02-05</t>
  </si>
  <si>
    <t>start /low /b %USERPROFILE%\Documents\GitHub\eaglep3\Utilities\DownloadLogsFromS3.py --loco 4003 --day 2017-02-06</t>
  </si>
  <si>
    <t>start /low /b %USERPROFILE%\Documents\GitHub\eaglep3\Utilities\DownloadLogsFromS3.py --loco 4004 --day 2017-02-05</t>
  </si>
  <si>
    <t>Onboard in-route failure</t>
  </si>
  <si>
    <t>Main 3 departure</t>
  </si>
  <si>
    <t>Onboard in-route failure delayed departure</t>
  </si>
  <si>
    <t>Delayed due to selecting wrong track</t>
  </si>
  <si>
    <t>Improper execution of bulletin (stopped &gt;800 ft short of Chambers Form C)</t>
  </si>
  <si>
    <t>Form C violation by operator</t>
  </si>
  <si>
    <t>Cancelled due to Form C violation on previous run</t>
  </si>
  <si>
    <t>Starting at 01:42:37.376, 40th 4S dropped to STOP and stayed that way for at least the next hour. Looks like this was undesired. Was there anything odd coming from adjacent locations that caused the drop to STOP?</t>
  </si>
  <si>
    <t>Premature downgrade at EC0816RH 75-1T 1N</t>
  </si>
  <si>
    <t>Restricting aspect</t>
  </si>
  <si>
    <t>40th 4S stuck at STOP - no request sent from dispatch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</si>
</sst>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h:mm:ss;@"/>
    <numFmt numFmtId="165" formatCode="0.0%"/>
    <numFmt numFmtId="166" formatCode="yyyy\-mm\-dd"/>
    <numFmt numFmtId="167" formatCode="yyyy\-mm\-dd\ hh:mm:ss"/>
    <numFmt numFmtId="168" formatCode="m/d/yy\ h:mm;@"/>
    <numFmt numFmtId="169" formatCode="[$-F400]h:mm:ss\ AM/PM"/>
    <numFmt numFmtId="170" formatCode="0.000"/>
    <numFmt numFmtId="171" formatCode="0.0000"/>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
      <sz val="11"/>
      <color rgb="FF00B050"/>
      <name val="Calibri"/>
      <family val="2"/>
      <scheme val="minor"/>
    </font>
    <font>
      <sz val="11"/>
      <color rgb="FFFF0000"/>
      <name val="Calibri"/>
      <family val="2"/>
      <scheme val="minor"/>
    </font>
    <font>
      <sz val="9"/>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169" fontId="10" fillId="0" borderId="0"/>
  </cellStyleXfs>
  <cellXfs count="197">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0" xfId="0"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9" fontId="0" fillId="0" borderId="5" xfId="0" applyNumberFormat="1" applyFill="1"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xf numFmtId="169" fontId="0" fillId="0" borderId="5" xfId="0" applyBorder="1" applyAlignment="1">
      <alignment horizontal="center" vertical="center" wrapText="1"/>
    </xf>
    <xf numFmtId="1" fontId="0" fillId="0" borderId="4" xfId="0" applyNumberFormat="1" applyBorder="1" applyAlignment="1">
      <alignment horizontal="left" vertical="center"/>
    </xf>
    <xf numFmtId="170" fontId="5" fillId="0" borderId="0" xfId="0" applyNumberFormat="1" applyFont="1" applyAlignment="1">
      <alignment horizontal="left"/>
    </xf>
    <xf numFmtId="170" fontId="0" fillId="0" borderId="0" xfId="0" applyNumberFormat="1"/>
    <xf numFmtId="170" fontId="9" fillId="0" borderId="0" xfId="0" applyNumberFormat="1" applyFont="1" applyBorder="1" applyAlignment="1">
      <alignment horizontal="center" vertical="center" wrapText="1"/>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70" fontId="9" fillId="0" borderId="0" xfId="0" applyNumberFormat="1" applyFont="1" applyFill="1"/>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71" fontId="5" fillId="0" borderId="0" xfId="0" applyNumberFormat="1" applyFont="1"/>
    <xf numFmtId="171" fontId="9" fillId="0" borderId="0" xfId="0" applyNumberFormat="1" applyFont="1" applyBorder="1" applyAlignment="1">
      <alignment horizontal="center" vertical="center" wrapText="1"/>
    </xf>
    <xf numFmtId="171" fontId="9" fillId="0" borderId="0" xfId="0" applyNumberFormat="1" applyFont="1" applyFill="1" applyBorder="1"/>
    <xf numFmtId="169" fontId="0" fillId="0" borderId="0" xfId="0" applyNumberFormat="1"/>
    <xf numFmtId="2" fontId="0" fillId="0" borderId="0" xfId="0" applyNumberFormat="1"/>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169" fontId="0" fillId="0" borderId="0" xfId="0" applyNumberFormat="1"/>
    <xf numFmtId="169" fontId="1" fillId="0" borderId="0" xfId="0" applyNumberFormat="1" applyFont="1" applyBorder="1" applyAlignment="1">
      <alignment horizontal="center" wrapText="1"/>
    </xf>
    <xf numFmtId="169" fontId="0" fillId="0" borderId="0" xfId="0" applyNumberFormat="1" applyAlignment="1">
      <alignment horizontal="center"/>
    </xf>
    <xf numFmtId="169" fontId="0" fillId="0" borderId="17" xfId="0" applyFill="1" applyBorder="1" applyAlignment="1">
      <alignment horizontal="left"/>
    </xf>
    <xf numFmtId="1" fontId="1" fillId="0" borderId="0" xfId="0" applyNumberFormat="1" applyFont="1" applyBorder="1"/>
    <xf numFmtId="169" fontId="0" fillId="9" borderId="0" xfId="0" applyFill="1"/>
    <xf numFmtId="169" fontId="1" fillId="0" borderId="0" xfId="3" applyFont="1"/>
    <xf numFmtId="169" fontId="10" fillId="0" borderId="0" xfId="3"/>
    <xf numFmtId="169" fontId="12" fillId="0" borderId="0" xfId="0" applyNumberFormat="1" applyFont="1"/>
    <xf numFmtId="169" fontId="10" fillId="0" borderId="0" xfId="3" applyNumberFormat="1"/>
    <xf numFmtId="169" fontId="0" fillId="0" borderId="0" xfId="3" applyFont="1"/>
    <xf numFmtId="169" fontId="0" fillId="0" borderId="0" xfId="3" applyNumberFormat="1"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1" fontId="0" fillId="2" borderId="12" xfId="0" applyNumberFormat="1" applyFill="1" applyBorder="1" applyAlignment="1">
      <alignment vertical="center"/>
    </xf>
    <xf numFmtId="1" fontId="0" fillId="0" borderId="15" xfId="0" applyNumberFormat="1" applyBorder="1" applyAlignment="1">
      <alignment vertical="center"/>
    </xf>
    <xf numFmtId="169" fontId="0" fillId="0" borderId="0" xfId="0" applyNumberFormat="1" applyAlignment="1"/>
    <xf numFmtId="169" fontId="1" fillId="0" borderId="0" xfId="0" applyNumberFormat="1" applyFont="1" applyAlignment="1"/>
    <xf numFmtId="169" fontId="0" fillId="0" borderId="0" xfId="0" applyNumberFormat="1" applyAlignment="1">
      <alignment horizontal="left"/>
    </xf>
    <xf numFmtId="169" fontId="0" fillId="0" borderId="0" xfId="0" applyNumberFormat="1"/>
    <xf numFmtId="169" fontId="13" fillId="0" borderId="5" xfId="0" applyNumberFormat="1" applyFont="1" applyFill="1" applyBorder="1" applyAlignment="1">
      <alignment horizontal="center" vertical="center" wrapText="1"/>
    </xf>
    <xf numFmtId="169" fontId="17" fillId="6" borderId="0" xfId="0" applyFont="1" applyFill="1"/>
    <xf numFmtId="169" fontId="18" fillId="0" borderId="0" xfId="0" applyFont="1" applyFill="1"/>
    <xf numFmtId="169" fontId="18" fillId="0" borderId="0" xfId="0" applyFont="1" applyFill="1" applyAlignment="1">
      <alignment horizontal="center" vertical="center"/>
    </xf>
    <xf numFmtId="169" fontId="19" fillId="0" borderId="0" xfId="0" applyFont="1" applyFill="1"/>
    <xf numFmtId="2" fontId="1" fillId="0" borderId="5" xfId="0" applyNumberFormat="1" applyFont="1" applyFill="1" applyBorder="1" applyAlignment="1">
      <alignment horizontal="center" wrapText="1"/>
    </xf>
    <xf numFmtId="2" fontId="1" fillId="0" borderId="5" xfId="0" applyNumberFormat="1" applyFont="1" applyBorder="1" applyAlignment="1">
      <alignment horizontal="center" vertical="center" wrapText="1"/>
    </xf>
    <xf numFmtId="2" fontId="1" fillId="0" borderId="5" xfId="0" applyNumberFormat="1" applyFont="1" applyFill="1" applyBorder="1" applyAlignment="1">
      <alignment horizontal="center" vertical="center"/>
    </xf>
    <xf numFmtId="2" fontId="1" fillId="0" borderId="5" xfId="0" applyNumberFormat="1" applyFont="1" applyBorder="1"/>
    <xf numFmtId="9" fontId="0" fillId="0" borderId="0" xfId="2" applyNumberFormat="1" applyFont="1" applyAlignment="1">
      <alignment horizontal="left"/>
    </xf>
    <xf numFmtId="169" fontId="0" fillId="2" borderId="11" xfId="0" applyNumberFormat="1" applyFill="1" applyBorder="1" applyAlignment="1">
      <alignment vertical="center"/>
    </xf>
    <xf numFmtId="169" fontId="0" fillId="2" borderId="12" xfId="0" applyNumberFormat="1" applyFill="1" applyBorder="1" applyAlignment="1">
      <alignment horizontal="left" vertical="center"/>
    </xf>
    <xf numFmtId="169" fontId="0" fillId="0" borderId="14" xfId="0" applyNumberFormat="1" applyBorder="1" applyAlignment="1">
      <alignment vertical="center"/>
    </xf>
    <xf numFmtId="169" fontId="0" fillId="0" borderId="15" xfId="0" applyNumberFormat="1" applyBorder="1" applyAlignment="1">
      <alignment horizontal="left" vertical="center"/>
    </xf>
    <xf numFmtId="169" fontId="0" fillId="0" borderId="0" xfId="0" applyNumberFormat="1" applyAlignment="1">
      <alignment horizontal="center" vertical="center"/>
    </xf>
    <xf numFmtId="169" fontId="13" fillId="0" borderId="5" xfId="0" applyNumberFormat="1" applyFont="1" applyFill="1" applyBorder="1" applyAlignment="1">
      <alignment horizontal="left" vertical="center" wrapText="1"/>
    </xf>
    <xf numFmtId="167" fontId="0" fillId="0" borderId="0" xfId="0" applyNumberFormat="1" applyAlignment="1"/>
    <xf numFmtId="2" fontId="0" fillId="0" borderId="5" xfId="0" applyNumberFormat="1" applyBorder="1"/>
    <xf numFmtId="1" fontId="0" fillId="0" borderId="17" xfId="0" applyNumberFormat="1" applyBorder="1"/>
    <xf numFmtId="169" fontId="0" fillId="0" borderId="17" xfId="0" applyFill="1" applyBorder="1" applyAlignment="1">
      <alignment horizontal="left" vertical="center"/>
    </xf>
    <xf numFmtId="169" fontId="0" fillId="0" borderId="5" xfId="0" applyFill="1" applyBorder="1" applyAlignment="1">
      <alignment vertical="center"/>
    </xf>
    <xf numFmtId="169" fontId="0" fillId="0" borderId="5" xfId="0" applyNumberFormat="1" applyBorder="1" applyAlignment="1">
      <alignment horizontal="center"/>
    </xf>
    <xf numFmtId="167" fontId="1" fillId="0" borderId="0" xfId="0" applyNumberFormat="1" applyFont="1"/>
    <xf numFmtId="2" fontId="1" fillId="0" borderId="0" xfId="0" applyNumberFormat="1" applyFont="1"/>
    <xf numFmtId="169" fontId="0" fillId="0" borderId="0" xfId="0" applyNumberFormat="1"/>
    <xf numFmtId="169" fontId="0" fillId="0" borderId="0" xfId="0" applyNumberFormat="1" applyAlignment="1">
      <alignment horizontal="left"/>
    </xf>
    <xf numFmtId="169" fontId="0" fillId="0" borderId="0" xfId="0" applyNumberFormat="1"/>
    <xf numFmtId="169" fontId="0" fillId="0" borderId="0" xfId="0" applyNumberFormat="1" applyAlignment="1"/>
    <xf numFmtId="169" fontId="0" fillId="2" borderId="13" xfId="0" applyNumberFormat="1" applyFill="1" applyBorder="1" applyAlignment="1"/>
    <xf numFmtId="169" fontId="0" fillId="0" borderId="16" xfId="0" applyNumberFormat="1" applyBorder="1" applyAlignment="1"/>
    <xf numFmtId="169" fontId="13" fillId="0" borderId="5" xfId="0" applyNumberFormat="1" applyFont="1" applyFill="1" applyBorder="1" applyAlignment="1">
      <alignment horizontal="center" vertical="center" wrapText="1"/>
    </xf>
    <xf numFmtId="169" fontId="0" fillId="0" borderId="5" xfId="0" applyNumberFormat="1" applyFill="1" applyBorder="1" applyAlignment="1"/>
    <xf numFmtId="169" fontId="6" fillId="0" borderId="0" xfId="0" applyFont="1"/>
    <xf numFmtId="169" fontId="6" fillId="0" borderId="0" xfId="0" applyFont="1" applyBorder="1" applyAlignment="1">
      <alignment horizontal="center" vertical="center" wrapText="1"/>
    </xf>
    <xf numFmtId="169" fontId="6" fillId="0" borderId="0" xfId="0" applyFont="1" applyAlignment="1">
      <alignment horizontal="center" vertical="center"/>
    </xf>
    <xf numFmtId="169" fontId="6" fillId="0" borderId="0" xfId="0" applyFont="1" applyFill="1"/>
    <xf numFmtId="169" fontId="8" fillId="4" borderId="9" xfId="1" applyNumberFormat="1" applyFont="1" applyFill="1" applyBorder="1" applyAlignment="1">
      <alignment horizontal="center"/>
    </xf>
    <xf numFmtId="169" fontId="8" fillId="4" borderId="0" xfId="1" applyNumberFormat="1" applyFont="1" applyFill="1" applyBorder="1" applyAlignment="1">
      <alignment horizontal="center"/>
    </xf>
    <xf numFmtId="169" fontId="8" fillId="0" borderId="10" xfId="1" applyNumberFormat="1" applyFont="1" applyFill="1" applyBorder="1" applyAlignment="1">
      <alignment wrapText="1"/>
    </xf>
    <xf numFmtId="169" fontId="8" fillId="0" borderId="10" xfId="1" applyNumberFormat="1" applyFont="1" applyFill="1" applyBorder="1" applyAlignment="1">
      <alignment horizontal="right" wrapText="1"/>
    </xf>
    <xf numFmtId="169" fontId="0" fillId="0" borderId="0" xfId="0" applyNumberFormat="1" applyFill="1" applyBorder="1"/>
    <xf numFmtId="169" fontId="9" fillId="0" borderId="0" xfId="0" applyFont="1"/>
    <xf numFmtId="169" fontId="1" fillId="0" borderId="0" xfId="0" applyNumberFormat="1" applyFont="1" applyBorder="1" applyAlignment="1">
      <alignment horizontal="left" wrapText="1"/>
    </xf>
    <xf numFmtId="169" fontId="0" fillId="0" borderId="5" xfId="0" applyNumberFormat="1" applyBorder="1" applyAlignment="1">
      <alignment horizontal="left"/>
    </xf>
    <xf numFmtId="0" fontId="1" fillId="0" borderId="0" xfId="0" applyNumberFormat="1" applyFont="1"/>
    <xf numFmtId="0" fontId="0" fillId="0" borderId="0" xfId="0" applyNumberFormat="1"/>
    <xf numFmtId="0" fontId="0" fillId="0" borderId="0" xfId="0" applyNumberFormat="1" applyAlignment="1">
      <alignment horizontal="left"/>
    </xf>
    <xf numFmtId="0" fontId="0" fillId="0" borderId="0" xfId="0" applyNumberFormat="1" applyFill="1" applyAlignment="1">
      <alignment horizontal="left" wrapText="1"/>
    </xf>
    <xf numFmtId="0" fontId="0" fillId="0" borderId="4" xfId="0" applyNumberFormat="1" applyBorder="1" applyAlignment="1">
      <alignment horizontal="left"/>
    </xf>
    <xf numFmtId="0" fontId="1" fillId="0" borderId="1" xfId="0" applyNumberFormat="1" applyFont="1" applyFill="1" applyBorder="1" applyAlignment="1"/>
    <xf numFmtId="0" fontId="1" fillId="0" borderId="4" xfId="0" applyNumberFormat="1" applyFont="1" applyBorder="1" applyAlignment="1"/>
    <xf numFmtId="0" fontId="1" fillId="0" borderId="2" xfId="0" applyNumberFormat="1" applyFont="1" applyBorder="1" applyAlignment="1"/>
    <xf numFmtId="0" fontId="0" fillId="0" borderId="2" xfId="0" applyNumberFormat="1" applyBorder="1" applyAlignment="1">
      <alignment horizontal="left" vertical="center"/>
    </xf>
    <xf numFmtId="0" fontId="0" fillId="0" borderId="3" xfId="0" applyNumberFormat="1" applyFill="1" applyBorder="1" applyAlignment="1">
      <alignment horizontal="left" vertical="center"/>
    </xf>
    <xf numFmtId="0" fontId="0" fillId="0" borderId="3" xfId="0" applyNumberFormat="1" applyBorder="1" applyAlignment="1">
      <alignment horizontal="left" vertical="center"/>
    </xf>
    <xf numFmtId="0" fontId="0" fillId="0" borderId="2" xfId="0" applyNumberFormat="1" applyBorder="1" applyAlignment="1">
      <alignment horizontal="center" vertical="center"/>
    </xf>
    <xf numFmtId="0" fontId="0" fillId="0" borderId="4" xfId="0" applyNumberFormat="1" applyBorder="1" applyAlignment="1">
      <alignment horizontal="left" vertical="center"/>
    </xf>
    <xf numFmtId="0" fontId="0" fillId="0" borderId="0" xfId="0" applyNumberFormat="1" applyFill="1" applyAlignment="1">
      <alignment horizontal="left"/>
    </xf>
    <xf numFmtId="0" fontId="0" fillId="0" borderId="0" xfId="0" applyNumberFormat="1" applyAlignment="1"/>
    <xf numFmtId="0" fontId="5" fillId="0" borderId="0" xfId="0" applyNumberFormat="1" applyFont="1" applyFill="1"/>
    <xf numFmtId="0" fontId="5" fillId="0" borderId="0" xfId="0" applyNumberFormat="1" applyFont="1"/>
    <xf numFmtId="0" fontId="0" fillId="0" borderId="5" xfId="0" applyNumberFormat="1" applyBorder="1" applyAlignment="1">
      <alignment horizontal="center" vertical="center" wrapText="1"/>
    </xf>
    <xf numFmtId="0" fontId="9" fillId="8" borderId="0" xfId="0" applyNumberFormat="1" applyFont="1" applyFill="1" applyBorder="1" applyAlignment="1">
      <alignment horizontal="center" vertical="center" wrapText="1"/>
    </xf>
    <xf numFmtId="0" fontId="9" fillId="0" borderId="0" xfId="0" applyNumberFormat="1" applyFont="1" applyBorder="1" applyAlignment="1">
      <alignment horizontal="center" vertical="center" wrapText="1"/>
    </xf>
    <xf numFmtId="0" fontId="0" fillId="0" borderId="5" xfId="0" applyNumberFormat="1" applyFill="1" applyBorder="1"/>
    <xf numFmtId="0" fontId="9" fillId="8" borderId="0" xfId="0" applyNumberFormat="1" applyFont="1" applyFill="1" applyBorder="1"/>
    <xf numFmtId="0" fontId="9" fillId="0" borderId="0" xfId="0" applyNumberFormat="1" applyFont="1" applyFill="1" applyBorder="1"/>
    <xf numFmtId="0" fontId="5" fillId="8" borderId="0" xfId="0" applyNumberFormat="1" applyFont="1" applyFill="1"/>
    <xf numFmtId="0" fontId="0" fillId="0" borderId="0" xfId="0" applyNumberFormat="1" applyBorder="1"/>
    <xf numFmtId="169" fontId="2" fillId="0" borderId="0" xfId="0" applyFont="1" applyBorder="1" applyAlignment="1">
      <alignment horizontal="center" vertical="center"/>
    </xf>
    <xf numFmtId="169" fontId="1" fillId="0" borderId="0" xfId="0" applyFont="1" applyBorder="1" applyAlignment="1">
      <alignment horizontal="center"/>
    </xf>
  </cellXfs>
  <cellStyles count="4">
    <cellStyle name="Normal" xfId="0" builtinId="0"/>
    <cellStyle name="Normal 2" xfId="3"/>
    <cellStyle name="Normal_XINGS" xfId="1"/>
    <cellStyle name="Percent" xfId="2" builtinId="5"/>
  </cellStyles>
  <dxfs count="11">
    <dxf>
      <font>
        <color rgb="FF9C0006"/>
      </font>
      <fill>
        <patternFill>
          <bgColor rgb="FFFFC7CE"/>
        </patternFill>
      </fill>
    </dxf>
    <dxf>
      <fill>
        <patternFill>
          <bgColor rgb="FFFFFF00"/>
        </patternFill>
      </fill>
    </dxf>
    <dxf>
      <font>
        <color rgb="FF9C6500"/>
      </font>
      <fill>
        <patternFill>
          <bgColor rgb="FFFFEB9C"/>
        </patternFill>
      </fill>
    </dxf>
    <dxf>
      <font>
        <color rgb="FF9C6500"/>
      </font>
      <fill>
        <patternFill>
          <bgColor rgb="FFFFEB9C"/>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352425</xdr:colOff>
          <xdr:row>1</xdr:row>
          <xdr:rowOff>28575</xdr:rowOff>
        </xdr:from>
        <xdr:to>
          <xdr:col>15</xdr:col>
          <xdr:colOff>1152525</xdr:colOff>
          <xdr:row>3</xdr:row>
          <xdr:rowOff>66675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5</xdr:row>
          <xdr:rowOff>47625</xdr:rowOff>
        </xdr:from>
        <xdr:to>
          <xdr:col>0</xdr:col>
          <xdr:colOff>1628775</xdr:colOff>
          <xdr:row>8</xdr:row>
          <xdr:rowOff>66675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9</xdr:row>
          <xdr:rowOff>85725</xdr:rowOff>
        </xdr:from>
        <xdr:to>
          <xdr:col>0</xdr:col>
          <xdr:colOff>1552575</xdr:colOff>
          <xdr:row>12</xdr:row>
          <xdr:rowOff>38100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12</xdr:row>
          <xdr:rowOff>142875</xdr:rowOff>
        </xdr:from>
        <xdr:to>
          <xdr:col>0</xdr:col>
          <xdr:colOff>1543050</xdr:colOff>
          <xdr:row>15</xdr:row>
          <xdr:rowOff>95250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 name="ImportRawText"/>
      <definedName name="Mail_workbook_Outlook"/>
      <definedName name="SetTodaysDate"/>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CM256"/>
  <sheetViews>
    <sheetView tabSelected="1" zoomScaleNormal="100" workbookViewId="0"/>
  </sheetViews>
  <sheetFormatPr defaultRowHeight="15" x14ac:dyDescent="0.25"/>
  <cols>
    <col min="1" max="1" width="8" style="35" customWidth="1"/>
    <col min="2" max="2" width="6.140625" style="37" customWidth="1"/>
    <col min="3" max="3" width="13.5703125" style="27" hidden="1" customWidth="1"/>
    <col min="4" max="4" width="16.140625" style="27" hidden="1" customWidth="1"/>
    <col min="5" max="5" width="19.5703125" style="34" hidden="1" customWidth="1"/>
    <col min="6" max="6" width="18.28515625" style="34" customWidth="1"/>
    <col min="7" max="7" width="4.85546875" style="37" hidden="1" customWidth="1"/>
    <col min="8" max="8" width="22.140625" style="34" hidden="1" customWidth="1"/>
    <col min="9" max="9" width="18.5703125" style="34" customWidth="1"/>
    <col min="10" max="10" width="7.28515625" style="37" customWidth="1"/>
    <col min="11" max="11" width="10.42578125" style="27" customWidth="1"/>
    <col min="12" max="12" width="12" style="27" customWidth="1"/>
    <col min="13" max="13" width="7.42578125" style="36" customWidth="1"/>
    <col min="14" max="14" width="3.85546875" style="37" customWidth="1"/>
    <col min="15" max="15" width="3.7109375" style="2" customWidth="1"/>
    <col min="16" max="16" width="3.42578125" style="2" customWidth="1"/>
    <col min="17" max="17" width="3.7109375" hidden="1" customWidth="1"/>
    <col min="18" max="18" width="30.5703125" customWidth="1"/>
    <col min="19" max="19" width="6" style="20" customWidth="1"/>
    <col min="20" max="20" width="3.85546875" customWidth="1"/>
    <col min="21" max="21" width="5" style="171" customWidth="1"/>
    <col min="22" max="22" width="5.7109375" style="193" customWidth="1"/>
    <col min="23" max="23" width="3.85546875" style="186" customWidth="1"/>
    <col min="24" max="24" width="6.5703125" style="186" customWidth="1"/>
    <col min="25" max="25" width="11.5703125" style="60" bestFit="1" customWidth="1"/>
    <col min="26" max="26" width="7.28515625" style="60" customWidth="1"/>
    <col min="27" max="27" width="9.140625" style="60"/>
    <col min="28" max="28" width="10.7109375" style="57" hidden="1" customWidth="1"/>
    <col min="29" max="29" width="9.42578125" style="51" hidden="1" customWidth="1"/>
    <col min="30" max="30" width="7.85546875" style="52" customWidth="1"/>
    <col min="31" max="31" width="4.5703125" style="83" customWidth="1"/>
    <col min="32" max="32" width="6.28515625" style="80" customWidth="1"/>
    <col min="33" max="33" width="5.42578125" customWidth="1"/>
    <col min="34" max="34" width="5" style="86" customWidth="1"/>
    <col min="35" max="35" width="5.7109375" style="100" customWidth="1"/>
    <col min="36" max="36" width="9.85546875" customWidth="1"/>
    <col min="37" max="37" width="7.7109375" customWidth="1"/>
    <col min="38" max="38" width="7.85546875" customWidth="1"/>
    <col min="39" max="39" width="9.140625" style="158"/>
  </cols>
  <sheetData>
    <row r="1" spans="1:91" s="20" customFormat="1" ht="15.75" thickBot="1" x14ac:dyDescent="0.3">
      <c r="A1" s="35"/>
      <c r="B1" s="37"/>
      <c r="C1" s="27"/>
      <c r="D1" s="27"/>
      <c r="E1" s="34"/>
      <c r="F1" s="34"/>
      <c r="G1" s="37"/>
      <c r="H1" s="34"/>
      <c r="I1" s="34" t="s">
        <v>105</v>
      </c>
      <c r="J1" s="37"/>
      <c r="K1" s="27"/>
      <c r="L1" s="27"/>
      <c r="M1" s="36"/>
      <c r="N1" s="37"/>
      <c r="O1" s="2"/>
      <c r="P1" s="2"/>
      <c r="R1" s="34" t="s">
        <v>106</v>
      </c>
      <c r="S1" s="37"/>
      <c r="T1" s="27"/>
      <c r="U1" s="172"/>
      <c r="V1" s="173"/>
      <c r="W1" s="172"/>
      <c r="X1" s="171"/>
      <c r="Y1" s="60"/>
      <c r="Z1" s="60"/>
      <c r="AA1" s="60"/>
      <c r="AB1" s="57"/>
      <c r="AC1" s="51"/>
      <c r="AD1" s="52"/>
      <c r="AE1" s="1"/>
      <c r="AF1" s="1"/>
      <c r="AG1" s="1"/>
      <c r="AH1" s="48"/>
      <c r="AI1" s="1"/>
      <c r="AM1" s="158"/>
    </row>
    <row r="2" spans="1:91" s="20" customFormat="1" ht="15.75" thickBot="1" x14ac:dyDescent="0.3">
      <c r="A2" s="35"/>
      <c r="B2" s="37"/>
      <c r="C2" s="27"/>
      <c r="D2" s="27"/>
      <c r="E2" s="34"/>
      <c r="F2" s="34"/>
      <c r="G2" s="37"/>
      <c r="H2" s="34"/>
      <c r="I2" s="65">
        <f>Variables!$A$2</f>
        <v>42771</v>
      </c>
      <c r="J2" s="66"/>
      <c r="K2" s="67"/>
      <c r="L2" s="67"/>
      <c r="M2" s="68" t="s">
        <v>8</v>
      </c>
      <c r="N2" s="69"/>
      <c r="O2" s="70"/>
      <c r="P2" s="2"/>
      <c r="R2" s="65">
        <f>Variables!$A$2</f>
        <v>42771</v>
      </c>
      <c r="S2" s="66"/>
      <c r="T2" s="67"/>
      <c r="U2" s="174"/>
      <c r="V2" s="175" t="s">
        <v>8</v>
      </c>
      <c r="W2" s="176"/>
      <c r="X2" s="177"/>
      <c r="Y2" s="60"/>
      <c r="Z2" s="60"/>
      <c r="AA2" s="60"/>
      <c r="AB2" s="57"/>
      <c r="AC2" s="51"/>
      <c r="AD2" s="52"/>
      <c r="AE2" s="1"/>
      <c r="AF2" s="1"/>
      <c r="AG2" s="1"/>
      <c r="AH2" s="48"/>
      <c r="AI2" s="1"/>
      <c r="AM2" s="158"/>
    </row>
    <row r="3" spans="1:91" s="20" customFormat="1" ht="15.75" thickBot="1" x14ac:dyDescent="0.3">
      <c r="A3" s="35"/>
      <c r="B3" s="37"/>
      <c r="C3" s="27"/>
      <c r="D3" s="27"/>
      <c r="E3" s="34"/>
      <c r="F3" s="34"/>
      <c r="G3" s="37"/>
      <c r="H3" s="34"/>
      <c r="I3" s="71" t="s">
        <v>10</v>
      </c>
      <c r="J3" s="72"/>
      <c r="K3" s="73"/>
      <c r="L3" s="73"/>
      <c r="M3" s="38" t="s">
        <v>11</v>
      </c>
      <c r="N3" s="39" t="s">
        <v>12</v>
      </c>
      <c r="O3" s="3" t="s">
        <v>13</v>
      </c>
      <c r="P3" s="2"/>
      <c r="R3" s="71" t="s">
        <v>10</v>
      </c>
      <c r="S3" s="72"/>
      <c r="T3" s="73"/>
      <c r="U3" s="178"/>
      <c r="V3" s="179" t="s">
        <v>11</v>
      </c>
      <c r="W3" s="180" t="s">
        <v>12</v>
      </c>
      <c r="X3" s="181" t="s">
        <v>13</v>
      </c>
      <c r="Y3" s="60"/>
      <c r="Z3" s="60"/>
      <c r="AA3" s="60"/>
      <c r="AB3" s="57"/>
      <c r="AC3" s="51"/>
      <c r="AD3" s="52"/>
      <c r="AE3" s="1"/>
      <c r="AF3" s="1"/>
      <c r="AG3" s="1"/>
      <c r="AH3" s="48"/>
      <c r="AI3" s="1"/>
      <c r="AM3" s="158"/>
    </row>
    <row r="4" spans="1:91" s="20" customFormat="1" ht="15.75" thickBot="1" x14ac:dyDescent="0.3">
      <c r="A4" s="35"/>
      <c r="B4" s="37"/>
      <c r="C4" s="27"/>
      <c r="D4" s="27"/>
      <c r="E4" s="34"/>
      <c r="F4" s="34"/>
      <c r="G4" s="37"/>
      <c r="H4" s="34"/>
      <c r="I4" s="74" t="s">
        <v>14</v>
      </c>
      <c r="J4" s="50">
        <f>SUM(J5:J7)</f>
        <v>143</v>
      </c>
      <c r="K4" s="40"/>
      <c r="L4" s="40"/>
      <c r="M4" s="41" t="s">
        <v>15</v>
      </c>
      <c r="N4" s="39" t="s">
        <v>15</v>
      </c>
      <c r="O4" s="3" t="s">
        <v>15</v>
      </c>
      <c r="P4" s="2"/>
      <c r="R4" s="74" t="s">
        <v>14</v>
      </c>
      <c r="S4" s="50">
        <f>SUM(S5:S7)</f>
        <v>34</v>
      </c>
      <c r="T4" s="40"/>
      <c r="U4" s="182"/>
      <c r="V4" s="179" t="s">
        <v>15</v>
      </c>
      <c r="W4" s="180" t="s">
        <v>15</v>
      </c>
      <c r="X4" s="181" t="s">
        <v>15</v>
      </c>
      <c r="Y4" s="60"/>
      <c r="Z4" s="60"/>
      <c r="AA4" s="60"/>
      <c r="AB4" s="57"/>
      <c r="AC4" s="51"/>
      <c r="AD4" s="52"/>
      <c r="AE4" s="1"/>
      <c r="AF4" s="1"/>
      <c r="AG4" s="1"/>
      <c r="AH4" s="48"/>
      <c r="AI4" s="1"/>
      <c r="AM4" s="158"/>
    </row>
    <row r="5" spans="1:91" s="20" customFormat="1" ht="15.75" thickBot="1" x14ac:dyDescent="0.3">
      <c r="A5" s="35"/>
      <c r="B5" s="37"/>
      <c r="C5" s="27"/>
      <c r="D5" s="27"/>
      <c r="E5" s="34"/>
      <c r="F5" s="34"/>
      <c r="G5" s="37"/>
      <c r="H5" s="34"/>
      <c r="I5" s="74" t="s">
        <v>17</v>
      </c>
      <c r="J5" s="50">
        <f>COUNTIFS($N$13:$N$9350,"&gt;0",$AG$13:$AG$9350,I1)</f>
        <v>137</v>
      </c>
      <c r="K5" s="40"/>
      <c r="L5" s="40"/>
      <c r="M5" s="41">
        <f>AVERAGEIFS($N$13:$N$9350,$AG$13:$AG$9350,I1)</f>
        <v>38.660827251032238</v>
      </c>
      <c r="N5" s="39">
        <f t="array" ref="N5">MIN(IF($AG$13:$AG$9350=I1,IF(ISNUMBER($N$13:$N$9350),IF($N$13:$N$9350&gt;0,$N$13:$N$9350))))</f>
        <v>34.950000008102506</v>
      </c>
      <c r="O5" s="3">
        <f t="array" ref="O5">MAX(IF($AG$13:$AG$9350=I1,IF(ISNUMBER($N$13:$N$9350),IF($N$13:$N$9350&gt;0,$N$13:$N$9350))))</f>
        <v>49.783333330415189</v>
      </c>
      <c r="P5" s="2"/>
      <c r="R5" s="74" t="s">
        <v>17</v>
      </c>
      <c r="S5" s="50">
        <f>COUNTIFS($N$13:$N$9350,"&gt;0",$AG$13:$AG$9350,R1)</f>
        <v>34</v>
      </c>
      <c r="T5" s="40"/>
      <c r="U5" s="182"/>
      <c r="V5" s="179">
        <f>AVERAGEIFS($N$13:$N$9350,$AG$13:$AG$9350,R1)</f>
        <v>14.128921568592299</v>
      </c>
      <c r="W5" s="180">
        <f t="array" ref="W5">MIN(IF($AG$13:$AG$9350=R1,IF(ISNUMBER($N$13:$N$9350),IF($N$13:$N$9350&gt;0,$N$13:$N$9350))))</f>
        <v>11.833333333488554</v>
      </c>
      <c r="X5" s="181">
        <f t="array" ref="X5">MAX(IF($AG$13:$AG$9350=R1,IF(ISNUMBER($N$13:$N$9350),IF($N$13:$N$9350&gt;0,$N$13:$N$9350))))</f>
        <v>18.200000000651926</v>
      </c>
      <c r="Y5" s="60"/>
      <c r="Z5" s="60"/>
      <c r="AA5" s="60"/>
      <c r="AB5" s="57"/>
      <c r="AC5" s="51"/>
      <c r="AD5" s="52"/>
      <c r="AE5" s="1"/>
      <c r="AF5" s="1"/>
      <c r="AG5" s="1"/>
      <c r="AH5" s="48"/>
      <c r="AI5" s="1"/>
      <c r="AM5" s="158"/>
    </row>
    <row r="6" spans="1:91" s="20" customFormat="1" ht="15.75" thickBot="1" x14ac:dyDescent="0.3">
      <c r="A6" s="35"/>
      <c r="B6" s="37"/>
      <c r="C6" s="27"/>
      <c r="D6" s="27"/>
      <c r="E6" s="34"/>
      <c r="F6" s="34"/>
      <c r="G6" s="37"/>
      <c r="H6" s="34"/>
      <c r="I6" s="75" t="s">
        <v>43</v>
      </c>
      <c r="J6" s="50">
        <f>COUNT($O$13:$O$113)</f>
        <v>0</v>
      </c>
      <c r="K6" s="40"/>
      <c r="L6" s="40"/>
      <c r="M6" s="41">
        <f>IFERROR(AVERAGE($O$13:$O$113),0)</f>
        <v>0</v>
      </c>
      <c r="N6" s="39">
        <f>MIN($O$13:$O$113)</f>
        <v>0</v>
      </c>
      <c r="O6" s="3">
        <f>MAX($O$13:$O$113)</f>
        <v>0</v>
      </c>
      <c r="P6" s="2"/>
      <c r="R6" s="75" t="s">
        <v>43</v>
      </c>
      <c r="S6" s="50">
        <f>COUNT($O$13:$O$113)</f>
        <v>0</v>
      </c>
      <c r="T6" s="40"/>
      <c r="U6" s="182"/>
      <c r="V6" s="179">
        <f>IFERROR(AVERAGE($O$13:$O$113),0)</f>
        <v>0</v>
      </c>
      <c r="W6" s="180">
        <f>MIN($O$13:$O$113)</f>
        <v>0</v>
      </c>
      <c r="X6" s="181">
        <f>MAX($O$13:$O$113)</f>
        <v>0</v>
      </c>
      <c r="Y6" s="60"/>
      <c r="Z6" s="60"/>
      <c r="AA6" s="60"/>
      <c r="AB6" s="57"/>
      <c r="AC6" s="51"/>
      <c r="AD6" s="52"/>
      <c r="AE6" s="1"/>
      <c r="AF6" s="1"/>
      <c r="AG6" s="1"/>
      <c r="AH6" s="48"/>
      <c r="AI6" s="1"/>
      <c r="AM6" s="158"/>
    </row>
    <row r="7" spans="1:91" s="20" customFormat="1" ht="15.75" thickBot="1" x14ac:dyDescent="0.3">
      <c r="A7" s="35"/>
      <c r="B7" s="37"/>
      <c r="C7" s="27"/>
      <c r="D7" s="27"/>
      <c r="E7" s="34"/>
      <c r="F7" s="34"/>
      <c r="G7" s="37"/>
      <c r="H7" s="34"/>
      <c r="I7" s="76" t="s">
        <v>9</v>
      </c>
      <c r="J7" s="50">
        <f>COUNTIFS($P$13:$P$9350,"&gt;0",$AG$13:$AG$9350,I1)</f>
        <v>6</v>
      </c>
      <c r="K7" s="40"/>
      <c r="L7" s="40"/>
      <c r="M7" s="39" t="s">
        <v>15</v>
      </c>
      <c r="N7" s="39" t="s">
        <v>15</v>
      </c>
      <c r="O7" s="3" t="s">
        <v>15</v>
      </c>
      <c r="P7" s="2"/>
      <c r="R7" s="76" t="s">
        <v>9</v>
      </c>
      <c r="S7" s="50">
        <f>COUNTIFS($P$13:$P$9350,"&gt;0",$AG$13:$AG$9350,R1)</f>
        <v>0</v>
      </c>
      <c r="T7" s="40"/>
      <c r="U7" s="182"/>
      <c r="V7" s="179" t="s">
        <v>15</v>
      </c>
      <c r="W7" s="180" t="s">
        <v>15</v>
      </c>
      <c r="X7" s="181" t="s">
        <v>15</v>
      </c>
      <c r="Y7" s="60"/>
      <c r="Z7" s="60"/>
      <c r="AA7" s="60"/>
      <c r="AB7" s="57"/>
      <c r="AC7" s="51"/>
      <c r="AD7" s="52"/>
      <c r="AE7" s="1"/>
      <c r="AF7" s="1"/>
      <c r="AG7" s="1"/>
      <c r="AH7" s="48"/>
      <c r="AI7" s="1"/>
      <c r="AM7" s="158"/>
    </row>
    <row r="8" spans="1:91" s="20" customFormat="1" ht="15.75" thickBot="1" x14ac:dyDescent="0.3">
      <c r="A8" s="35"/>
      <c r="B8" s="37"/>
      <c r="C8" s="27"/>
      <c r="D8" s="27"/>
      <c r="E8" s="34"/>
      <c r="F8" s="34"/>
      <c r="G8" s="37"/>
      <c r="H8" s="34"/>
      <c r="I8" s="74" t="s">
        <v>16</v>
      </c>
      <c r="J8" s="50">
        <f>J5</f>
        <v>137</v>
      </c>
      <c r="K8" s="40"/>
      <c r="L8" s="40"/>
      <c r="M8" s="41">
        <f>M5</f>
        <v>38.660827251032238</v>
      </c>
      <c r="N8" s="39">
        <f>N5</f>
        <v>34.950000008102506</v>
      </c>
      <c r="O8" s="3">
        <f>O5</f>
        <v>49.783333330415189</v>
      </c>
      <c r="P8" s="2"/>
      <c r="R8" s="74" t="s">
        <v>16</v>
      </c>
      <c r="S8" s="50">
        <f>S5</f>
        <v>34</v>
      </c>
      <c r="T8" s="40"/>
      <c r="U8" s="182"/>
      <c r="V8" s="179">
        <f>V5</f>
        <v>14.128921568592299</v>
      </c>
      <c r="W8" s="180">
        <f>W5</f>
        <v>11.833333333488554</v>
      </c>
      <c r="X8" s="181">
        <f>X5</f>
        <v>18.200000000651926</v>
      </c>
      <c r="Y8" s="60"/>
      <c r="Z8" s="60"/>
      <c r="AA8" s="60"/>
      <c r="AB8" s="57"/>
      <c r="AC8" s="51"/>
      <c r="AD8" s="52"/>
      <c r="AE8" s="1"/>
      <c r="AF8" s="1"/>
      <c r="AG8" s="1"/>
      <c r="AH8" s="48"/>
      <c r="AI8" s="1"/>
      <c r="AM8" s="158"/>
    </row>
    <row r="9" spans="1:91" s="20" customFormat="1" ht="15.75" thickBot="1" x14ac:dyDescent="0.3">
      <c r="A9" s="35"/>
      <c r="B9" s="37"/>
      <c r="C9" s="27"/>
      <c r="D9" s="27"/>
      <c r="E9" s="34"/>
      <c r="F9" s="34"/>
      <c r="G9" s="37"/>
      <c r="H9" s="34"/>
      <c r="I9" s="74" t="s">
        <v>19</v>
      </c>
      <c r="J9" s="135">
        <f>J8/J4</f>
        <v>0.95804195804195802</v>
      </c>
      <c r="K9" s="42"/>
      <c r="L9" s="42"/>
      <c r="M9" s="77"/>
      <c r="N9" s="37"/>
      <c r="O9" s="78"/>
      <c r="P9" s="2"/>
      <c r="R9" s="74" t="s">
        <v>19</v>
      </c>
      <c r="S9" s="135">
        <f>S8/S4</f>
        <v>1</v>
      </c>
      <c r="T9" s="42"/>
      <c r="U9" s="172"/>
      <c r="V9" s="183"/>
      <c r="W9" s="172"/>
      <c r="X9" s="184"/>
      <c r="Y9" s="60"/>
      <c r="Z9" s="60"/>
      <c r="AA9" s="60"/>
      <c r="AB9" s="57"/>
      <c r="AC9" s="51"/>
      <c r="AD9" s="52"/>
      <c r="AE9" s="1"/>
      <c r="AF9" s="1"/>
      <c r="AG9" s="1"/>
      <c r="AH9" s="48"/>
      <c r="AI9" s="1"/>
      <c r="AM9" s="158"/>
    </row>
    <row r="10" spans="1:91" s="20" customFormat="1" x14ac:dyDescent="0.25">
      <c r="A10" s="35"/>
      <c r="B10" s="37"/>
      <c r="C10" s="27"/>
      <c r="D10" s="27"/>
      <c r="E10" s="34"/>
      <c r="F10" s="34"/>
      <c r="G10" s="37"/>
      <c r="H10" s="34"/>
      <c r="I10" s="34"/>
      <c r="J10" s="37"/>
      <c r="K10" s="27"/>
      <c r="L10" s="27"/>
      <c r="M10" s="36"/>
      <c r="N10" s="37"/>
      <c r="O10" s="2"/>
      <c r="P10" s="2"/>
      <c r="U10" s="171"/>
      <c r="V10" s="185"/>
      <c r="W10" s="186"/>
      <c r="X10" s="186"/>
      <c r="Y10" s="60"/>
      <c r="Z10" s="60"/>
      <c r="AA10" s="60"/>
      <c r="AB10" s="57"/>
      <c r="AC10" s="51"/>
      <c r="AD10" s="52"/>
      <c r="AE10" s="1"/>
      <c r="AF10" s="1"/>
      <c r="AG10" s="1"/>
      <c r="AH10" s="48"/>
      <c r="AI10" s="1"/>
      <c r="AM10" s="158"/>
    </row>
    <row r="11" spans="1:91" ht="16.5" thickBot="1" x14ac:dyDescent="0.3">
      <c r="A11" s="195" t="str">
        <f>"Eagle P3 System Performance - "&amp;TEXT(Variables!A2,"yyyy-mm-dd")</f>
        <v>Eagle P3 System Performance - 2017-02-05</v>
      </c>
      <c r="B11" s="195"/>
      <c r="C11" s="195"/>
      <c r="D11" s="195"/>
      <c r="E11" s="195"/>
      <c r="F11" s="195"/>
      <c r="G11" s="195"/>
      <c r="H11" s="195"/>
      <c r="I11" s="195"/>
      <c r="J11" s="195"/>
      <c r="K11" s="195"/>
      <c r="L11" s="195"/>
      <c r="M11" s="195"/>
      <c r="N11" s="195"/>
      <c r="O11" s="195"/>
      <c r="P11" s="195"/>
      <c r="S11" s="64">
        <f>AVERAGE(S13:S80)</f>
        <v>1</v>
      </c>
      <c r="V11" s="185"/>
      <c r="AE11" s="1"/>
      <c r="AF11" s="1"/>
      <c r="AG11" s="1"/>
      <c r="AH11" s="48"/>
      <c r="AI11" s="1"/>
    </row>
    <row r="12" spans="1:91" s="5" customFormat="1" ht="69" customHeight="1" thickBot="1" x14ac:dyDescent="0.3">
      <c r="A12" s="14" t="s">
        <v>0</v>
      </c>
      <c r="B12" s="18" t="s">
        <v>44</v>
      </c>
      <c r="C12" s="15" t="s">
        <v>26</v>
      </c>
      <c r="D12" s="15" t="s">
        <v>1</v>
      </c>
      <c r="E12" s="16" t="s">
        <v>2</v>
      </c>
      <c r="F12" s="16" t="s">
        <v>3</v>
      </c>
      <c r="G12" s="18" t="s">
        <v>4</v>
      </c>
      <c r="H12" s="16" t="s">
        <v>5</v>
      </c>
      <c r="I12" s="16" t="s">
        <v>6</v>
      </c>
      <c r="J12" s="18" t="s">
        <v>7</v>
      </c>
      <c r="K12" s="79" t="s">
        <v>54</v>
      </c>
      <c r="L12" s="15" t="s">
        <v>47</v>
      </c>
      <c r="M12" s="17" t="s">
        <v>8</v>
      </c>
      <c r="N12" s="15" t="s">
        <v>41</v>
      </c>
      <c r="O12" s="18" t="s">
        <v>42</v>
      </c>
      <c r="P12" s="18" t="s">
        <v>18</v>
      </c>
      <c r="Q12" s="19" t="s">
        <v>46</v>
      </c>
      <c r="R12" s="19" t="s">
        <v>24</v>
      </c>
      <c r="S12" s="19" t="s">
        <v>63</v>
      </c>
      <c r="T12" s="49" t="s">
        <v>64</v>
      </c>
      <c r="U12" s="187" t="s">
        <v>65</v>
      </c>
      <c r="V12" s="188" t="s">
        <v>45</v>
      </c>
      <c r="W12" s="189" t="s">
        <v>23</v>
      </c>
      <c r="X12" s="189" t="s">
        <v>48</v>
      </c>
      <c r="Y12" s="61" t="s">
        <v>20</v>
      </c>
      <c r="Z12" s="61" t="s">
        <v>21</v>
      </c>
      <c r="AA12" s="61" t="s">
        <v>22</v>
      </c>
      <c r="AB12" s="58" t="s">
        <v>39</v>
      </c>
      <c r="AC12" s="54" t="s">
        <v>40</v>
      </c>
      <c r="AD12" s="53" t="s">
        <v>82</v>
      </c>
      <c r="AE12" s="84" t="s">
        <v>89</v>
      </c>
      <c r="AF12" s="81" t="s">
        <v>94</v>
      </c>
      <c r="AG12" s="4" t="s">
        <v>107</v>
      </c>
      <c r="AH12" s="87" t="s">
        <v>109</v>
      </c>
      <c r="AI12" s="107" t="s">
        <v>147</v>
      </c>
      <c r="AJ12" s="47" t="s">
        <v>148</v>
      </c>
      <c r="AK12" s="47" t="s">
        <v>121</v>
      </c>
      <c r="AL12" s="47" t="s">
        <v>149</v>
      </c>
      <c r="AM12" s="159" t="s">
        <v>215</v>
      </c>
      <c r="AN12" s="47" t="s">
        <v>232</v>
      </c>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3" t="s">
        <v>533</v>
      </c>
      <c r="B13" s="7">
        <v>4031</v>
      </c>
      <c r="C13" s="21" t="s">
        <v>193</v>
      </c>
      <c r="D13" s="21" t="s">
        <v>369</v>
      </c>
      <c r="E13" s="13">
        <v>42771.128912037035</v>
      </c>
      <c r="F13" s="13">
        <v>42771.135717592595</v>
      </c>
      <c r="G13" s="7">
        <v>1</v>
      </c>
      <c r="H13" s="21" t="s">
        <v>742</v>
      </c>
      <c r="I13" s="13">
        <v>42771.161956018521</v>
      </c>
      <c r="J13" s="7">
        <v>0</v>
      </c>
      <c r="K13" s="98" t="str">
        <f t="shared" ref="K13:K76" si="0">IF(ISEVEN(B13),(B13-1)&amp;"/"&amp;B13,B13&amp;"/"&amp;(B13+1))</f>
        <v>4031/4032</v>
      </c>
      <c r="L13" s="21" t="str">
        <f>VLOOKUP(A13,'Trips&amp;Operators'!$C$1:$G$99999,5,FALSE)</f>
        <v>OUN ZACK</v>
      </c>
      <c r="M13" s="6">
        <f t="shared" ref="M13:M76" si="1">I13-F13</f>
        <v>2.6238425925839692E-2</v>
      </c>
      <c r="N13" s="7">
        <f t="shared" ref="N13:N44" si="2">24*60*SUM($M13:$M13)</f>
        <v>37.783333333209157</v>
      </c>
      <c r="O13" s="7"/>
      <c r="P13" s="7"/>
      <c r="Q13" s="22"/>
      <c r="R13" s="22"/>
      <c r="S13" s="31">
        <f t="shared" ref="S13:S76" si="3">SUM(U13:U13)/IF(AG13="EC",12,1)</f>
        <v>1</v>
      </c>
      <c r="T13" s="46" t="str">
        <f t="shared" ref="T13:T76" si="4">IF(ISEVEN(LEFT(AD13,4)),"Southbound","NorthBound")</f>
        <v>NorthBound</v>
      </c>
      <c r="U13" s="190">
        <f>IF(AG13="EC",COUNTIFS(Variables!$M$2:$M$19,IF(T13="NorthBound","&gt;=","&lt;=")&amp;Y13,Variables!$M$2:$M$19,IF(T13="NorthBound","&lt;=","&gt;=")&amp;Z13),COUNTIFS(Variables!$P$2:$P$19,IF(T13="NorthBound","&gt;=","&lt;=")&amp;Y13,Variables!$P$2:$P$19,IF(T13="NorthBound","&lt;=","&gt;=")&amp;Z13))</f>
        <v>12</v>
      </c>
      <c r="V13" s="191" t="str">
        <f t="shared" ref="V13:V76" si="5">"https://d0f6bd738d7f1b3e5a7ca70fe4ff75f0.us-east-1.aws.found.io/app/kibana#/discover/Steve-Slow-Train-Analysis-(2080s-and-2083s)?_g="&amp;"(refreshInterval:(display:Off,pause:!f,section:0,value:0),time:(from:'"&amp;TEXT(E13-1/24,"yyyy-MM-DDThh:mm:ss")&amp;utc_offset&amp;"00"&amp;"',mode:absolute,to:'"&amp;TEXT(I13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amp;"%22')),sort:!(Time.ISO8601,asc))"</f>
        <v>https://d0f6bd738d7f1b3e5a7ca70fe4ff75f0.us-east-1.aws.found.io/app/kibana#/discover/Steve-Slow-Train-Analysis-(2080s-and-2083s)?_g=(refreshInterval:(display:Off,pause:!f,section:0,value:0),time:(from:'2017-02-05T02:05:38-0700',mode:absolute,to:'2017-02-05T04:53:13-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3" s="192" t="str">
        <f t="shared" ref="W13:W76" si="6">IF(AA13&lt;IF(AG13="EC",23,5.65),"Y","N")</f>
        <v>N</v>
      </c>
      <c r="X13" s="192" t="e">
        <f t="shared" ref="X13:X27" si="7">VALUE(LEFT(AD13,4))-VALUE(LEFT(AD12,4))</f>
        <v>#VALUE!</v>
      </c>
      <c r="Y13" s="62">
        <f t="shared" ref="Y13:Y44" si="8">RIGHT(D13,LEN(D13)-4)/10000</f>
        <v>7.4800000000000005E-2</v>
      </c>
      <c r="Z13" s="62">
        <f t="shared" ref="Z13:Z44" si="9">RIGHT(H13,LEN(H13)-4)/10000</f>
        <v>23.336300000000001</v>
      </c>
      <c r="AA13" s="62">
        <f t="shared" ref="AA13:AA76" si="10">ABS(Z13-Y13)</f>
        <v>23.261500000000002</v>
      </c>
      <c r="AB13" s="59" t="e">
        <f>VLOOKUP(A13,Enforcements!$C$7:$K$16,8,0)</f>
        <v>#N/A</v>
      </c>
      <c r="AC13" s="55" t="e">
        <f>VLOOKUP(A13,Enforcements!$C$7:$E$16,3,0)</f>
        <v>#N/A</v>
      </c>
      <c r="AD13" s="56" t="str">
        <f t="shared" ref="AD13:AD76" si="11">IF(LEN(A13)=6,"0"&amp;A13,A13)</f>
        <v>0101-05</v>
      </c>
      <c r="AE13" s="85" t="str">
        <f t="shared" ref="AE13:AE76" si="12">"aws s3 cp "&amp;s3_bucket&amp;"/RTDC"&amp;B13&amp;"/ "&amp;search_path&amp;"\RTDC"&amp;B13&amp;"\"&amp;TEXT(F13,"YYYY-MM-DD")&amp;" --exclude ""*"" --recursive --include ""*"&amp;TEXT(F13,"YYYYMMDD")&amp;"*"" &amp; """&amp;walkandungz&amp;""" "&amp;search_path&amp;"\RTDC"&amp;B13&amp;"\"&amp;TEXT(F13,"YYYY-MM-DD")
&amp;" &amp; "&amp;"aws s3 cp "&amp;s3_bucket&amp;"/RTDC"&amp;B13&amp;"/ "&amp;search_path&amp;"\RTDC"&amp;B13&amp;"\"&amp;TEXT(F13+1,"YYYY-MM-DD")&amp;" --exclude ""*"" --recursive --include ""*"&amp;TEXT(F13+1,"YYYYMMDD")&amp;"*"" &amp; """&amp;walkandungz&amp;""" "&amp;search_path&amp;"\RTDC"&amp;B13&amp;"\"&amp;TEXT(F13+1,"YYYY-MM-DD")</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13" s="82" t="str">
        <f t="shared" ref="AF13:AF76" si="13">astrogrep_path&amp;" /spath="&amp;search_path&amp;" /stypes=""app*"&amp;B13&amp;"*"&amp;TEXT(I13-utc_offset/24,"YYYYMMDD")&amp;"*"" /stext="" "&amp;TEXT(I13-utc_offset/24,"HH")&amp;search_regexp&amp;""" /e /r /s"</f>
        <v>"C:\Program Files (x86)\AstroGrep\AstroGrep.exe" /spath="%USERPROFILE%\AppData\Local\Temp\OnboardLogs" /stypes="app*4031*20170205*" /stext=" 10:.+((SYSTEM_STATE.+slice.+state.+changed )|(ment ac)|(multiple cpu faults)|(system.+state.+changed )|(\[timeout)|(PRM\|1\|D)|(kpr)|(kdp)|(\|lc)|(penalty))" /e /r /s</v>
      </c>
      <c r="AG13" s="1" t="str">
        <f t="shared" ref="AG13:AG76" si="14">IFERROR(IF(VALUE(LEFT(AD13,2))&lt;=2,"EC",IF(OR(VALUE(LEFT(AD13,2))=8,VALUE(LEFT(AD13,2))=18),"NW","Other")),"Other")</f>
        <v>EC</v>
      </c>
      <c r="AH13" s="86" t="str">
        <f t="shared" ref="AH13" si="15">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101-05 --locoid 4031 --swversion DE.1.0.8.0 --startMP 204:748 --initTime 2017-02-05T03:05:38 --startdatetime 2017-02-05T03:15:26 --delay 1 --endMP 204:233363 --enddatetime 2017-02-05T03:53:13 --enforcementcount 0 &gt;&gt;C:\Users\stu\Documents\GitHub\eaglep3-reporting\EC\2017-02-05-refined-times.txt</v>
      </c>
      <c r="AI13" s="108" t="str">
        <f t="shared" ref="AI13" si="16">"echo {""issue"":{""subject"":"""&amp;R13&amp;""",""project_id"":79,""tracker_id"":40,""status_id"":"&amp;redmine_status&amp;",""priority_id"":"&amp;redmine_priority&amp;",""assigned_to_id"":"&amp;redmine_assignee&amp;",""start_date"":"""&amp;TEXT(I13,"YYYY-mm-dd")&amp;""",""description"":"""&amp;AJ13&amp;""",""custom_fields"":[{""id"":1,""name"":""Subdivision"",""value"":"""&amp;AG13&amp;"""},{""id"":4,""name"":""Milepost"",""value"":"""&amp;Z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{"issue":{"subject":"","project_id":79,"tracker_id":40,"status_id":1,"priority_id":2,"assigned_to_id":23,"start_date":"2017-02-05","description":"","custom_fields":[{"id":1,"name":"Subdivision","value":"EC"},{"id":4,"name":"Milepost","value":"23.3363"},{"id":17,"name":"Train ID","value":"101-05"},{"id":16,"name":"Locomotive ID","value":"4031"},{"id":130,"name":"Impact","value":""},{"id":150,"name":"Time of Event (Mountain Time)","value":"03:53:13"},{"id":151,"name":"Denver Issue ID","value":""},{"id":178,"name":"Operational Impact","value":"Yes"},{"id":179,"name":"Denver Segment Assigned","value":""}]}} | curl -X POST -H "Content-Type: application/json" -H "X-Redmine-API-Key: d6333d4a04012a730768444271f8ca06482dae87" https://secure.xorail.net/redmine/issues.json --data @-</v>
      </c>
      <c r="AJ13" s="48"/>
      <c r="AK13" s="48"/>
      <c r="AL13" s="48"/>
      <c r="AM13" s="158" t="str">
        <f t="shared" ref="AM13" si="17">"start /low /b "&amp;dls3logs&amp;" --loco "&amp;B13&amp;" --day "&amp;TEXT(F13,"YYYY-MM-DD")</f>
        <v>start /low /b %USERPROFILE%\Documents\GitHub\eaglep3\Utilities\DownloadLogsFromS3.py --loco 4031 --day 2017-02-05</v>
      </c>
      <c r="AN13" s="167" t="str">
        <f>"grep -SE -B400 ""CHR.+\|PRM\|1\|D.+(SWITCH|SIGNAL).+UNKNOWN"" "&amp;search_path&amp;"\RTDC"&amp;B13&amp;"\*"&amp;B13&amp;"*"&amp;TEXT(AVERAGE(F13,I13)-utc_offset/24,"YYYYMMDD")&amp;"*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spans="1:91" s="1" customFormat="1" x14ac:dyDescent="0.25">
      <c r="A14" s="33" t="s">
        <v>542</v>
      </c>
      <c r="B14" s="7">
        <v>4010</v>
      </c>
      <c r="C14" s="21" t="s">
        <v>193</v>
      </c>
      <c r="D14" s="21" t="s">
        <v>743</v>
      </c>
      <c r="E14" s="13">
        <v>42771.169409722221</v>
      </c>
      <c r="F14" s="13">
        <v>42771.174513888887</v>
      </c>
      <c r="G14" s="7">
        <v>1</v>
      </c>
      <c r="H14" s="21" t="s">
        <v>289</v>
      </c>
      <c r="I14" s="13">
        <v>42771.201018518521</v>
      </c>
      <c r="J14" s="7">
        <v>0</v>
      </c>
      <c r="K14" s="98" t="str">
        <f t="shared" si="0"/>
        <v>4009/4010</v>
      </c>
      <c r="L14" s="21" t="str">
        <f>VLOOKUP(A14,'Trips&amp;Operators'!$C$1:$G$99999,5,FALSE)</f>
        <v>OUN ZACK</v>
      </c>
      <c r="M14" s="6">
        <f t="shared" si="1"/>
        <v>2.6504629633564036E-2</v>
      </c>
      <c r="N14" s="7">
        <f t="shared" si="2"/>
        <v>38.166666672332212</v>
      </c>
      <c r="O14" s="7"/>
      <c r="P14" s="7"/>
      <c r="Q14" s="22"/>
      <c r="R14" s="22"/>
      <c r="S14" s="31">
        <f t="shared" si="3"/>
        <v>1</v>
      </c>
      <c r="T14" s="46" t="str">
        <f t="shared" si="4"/>
        <v>Southbound</v>
      </c>
      <c r="U14" s="190">
        <f>IF(AG14="EC",COUNTIFS(Variables!$M$2:$M$19,IF(T14="NorthBound","&gt;=","&lt;=")&amp;Y14,Variables!$M$2:$M$19,IF(T14="NorthBound","&lt;=","&gt;=")&amp;Z14),COUNTIFS(Variables!$P$2:$P$19,IF(T14="NorthBound","&gt;=","&lt;=")&amp;Y14,Variables!$P$2:$P$19,IF(T14="NorthBound","&lt;=","&gt;=")&amp;Z14))</f>
        <v>12</v>
      </c>
      <c r="V14" s="191" t="str">
        <f t="shared" si="5"/>
        <v>https://d0f6bd738d7f1b3e5a7ca70fe4ff75f0.us-east-1.aws.found.io/app/kibana#/discover/Steve-Slow-Train-Analysis-(2080s-and-2083s)?_g=(refreshInterval:(display:Off,pause:!f,section:0,value:0),time:(from:'2017-02-05T03:03:57-0700',mode:absolute,to:'2017-02-05T05:49:28-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4" s="192" t="str">
        <f t="shared" si="6"/>
        <v>N</v>
      </c>
      <c r="X14" s="192">
        <f t="shared" si="7"/>
        <v>1</v>
      </c>
      <c r="Y14" s="62">
        <f t="shared" si="8"/>
        <v>23.271699999999999</v>
      </c>
      <c r="Z14" s="62">
        <f t="shared" si="9"/>
        <v>1.5599999999999999E-2</v>
      </c>
      <c r="AA14" s="62">
        <f t="shared" si="10"/>
        <v>23.2561</v>
      </c>
      <c r="AB14" s="59" t="e">
        <f>VLOOKUP(A14,Enforcements!$C$7:$K$16,8,0)</f>
        <v>#N/A</v>
      </c>
      <c r="AC14" s="55" t="e">
        <f>VLOOKUP(A14,Enforcements!$C$7:$E$16,3,0)</f>
        <v>#N/A</v>
      </c>
      <c r="AD14" s="56" t="str">
        <f t="shared" si="11"/>
        <v>0102-05</v>
      </c>
      <c r="AE14" s="85" t="str">
        <f t="shared" si="12"/>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14" s="82" t="str">
        <f t="shared" si="13"/>
        <v>"C:\Program Files (x86)\AstroGrep\AstroGrep.exe" /spath="%USERPROFILE%\AppData\Local\Temp\OnboardLogs" /stypes="app*4010*20170205*" /stext=" 11:.+((SYSTEM_STATE.+slice.+state.+changed )|(ment ac)|(multiple cpu faults)|(system.+state.+changed )|(\[timeout)|(PRM\|1\|D)|(kpr)|(kdp)|(\|lc)|(penalty))" /e /r /s</v>
      </c>
      <c r="AG14" s="1" t="str">
        <f t="shared" si="14"/>
        <v>EC</v>
      </c>
      <c r="AH14" s="86" t="str">
        <f t="shared" ref="AH14:AH76" si="18">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102-05 --locoid 4010 --swversion DE.1.0.8.0 --startMP 204:232717 --initTime 2017-02-05T04:03:57 --startdatetime 2017-02-05T04:11:18 --delay 1 --endMP 204:156 --enddatetime 2017-02-05T04:49:28 --enforcementcount 0 &gt;&gt;C:\Users\stu\Documents\GitHub\eaglep3-reporting\EC\2017-02-05-refined-times.txt</v>
      </c>
      <c r="AI14" s="108" t="str">
        <f t="shared" ref="AI14:AI76" si="19">"echo {""issue"":{""subject"":"""&amp;R14&amp;""",""project_id"":79,""tracker_id"":40,""status_id"":"&amp;redmine_status&amp;",""priority_id"":"&amp;redmine_priority&amp;",""assigned_to_id"":"&amp;redmine_assignee&amp;",""start_date"":"""&amp;TEXT(I14,"YYYY-mm-dd")&amp;""",""description"":"""&amp;AJ14&amp;""",""custom_fields"":[{""id"":1,""name"":""Subdivision"",""value"":"""&amp;AG14&amp;"""},{""id"":4,""name"":""Milepost"",""value"":"""&amp;Z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{"issue":{"subject":"","project_id":79,"tracker_id":40,"status_id":1,"priority_id":2,"assigned_to_id":23,"start_date":"2017-02-05","description":"","custom_fields":[{"id":1,"name":"Subdivision","value":"EC"},{"id":4,"name":"Milepost","value":"0.0156"},{"id":17,"name":"Train ID","value":"102-05"},{"id":16,"name":"Locomotive ID","value":"4010"},{"id":130,"name":"Impact","value":""},{"id":150,"name":"Time of Event (Mountain Time)","value":"04:49:28"},{"id":151,"name":"Denver Issue ID","value":""},{"id":178,"name":"Operational Impact","value":"Yes"},{"id":179,"name":"Denver Segment Assigned","value":""}]}} | curl -X POST -H "Content-Type: application/json" -H "X-Redmine-API-Key: d6333d4a04012a730768444271f8ca06482dae87" https://secure.xorail.net/redmine/issues.json --data @-</v>
      </c>
      <c r="AJ14" s="48"/>
      <c r="AK14" s="48"/>
      <c r="AL14" s="48"/>
      <c r="AM14" s="158" t="str">
        <f t="shared" ref="AM14:AM76" si="20">"start /low /b "&amp;dls3logs&amp;" --loco "&amp;B14&amp;" --day "&amp;TEXT(F14,"YYYY-MM-DD")</f>
        <v>start /low /b %USERPROFILE%\Documents\GitHub\eaglep3\Utilities\DownloadLogsFromS3.py --loco 4010 --day 2017-02-05</v>
      </c>
      <c r="AN14" s="167" t="str">
        <f>"grep -SE -B400 ""CHR.+\|PRM\|1\|D.+(SWITCH|SIGNAL).+UNKNOWN"" "&amp;search_path&amp;"\RTDC"&amp;B14&amp;"\*"&amp;B14&amp;"*"&amp;TEXT(AVERAGE(F14,I14)-utc_offset/24,"YYYYMMDD")&amp;"*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 customFormat="1" x14ac:dyDescent="0.25">
      <c r="A15" s="33" t="s">
        <v>537</v>
      </c>
      <c r="B15" s="7">
        <v>4040</v>
      </c>
      <c r="C15" s="21" t="s">
        <v>193</v>
      </c>
      <c r="D15" s="21" t="s">
        <v>744</v>
      </c>
      <c r="E15" s="13">
        <v>42771.152673611112</v>
      </c>
      <c r="F15" s="13">
        <v>42771.1565625</v>
      </c>
      <c r="G15" s="7">
        <v>1</v>
      </c>
      <c r="H15" s="21" t="s">
        <v>745</v>
      </c>
      <c r="I15" s="13">
        <v>42771.182673611111</v>
      </c>
      <c r="J15" s="7">
        <v>0</v>
      </c>
      <c r="K15" s="98" t="str">
        <f t="shared" si="0"/>
        <v>4039/4040</v>
      </c>
      <c r="L15" s="21" t="str">
        <f>VLOOKUP(A15,'Trips&amp;Operators'!$C$1:$G$99999,5,FALSE)</f>
        <v>MAELZER KURT</v>
      </c>
      <c r="M15" s="6">
        <f t="shared" si="1"/>
        <v>2.6111111110367347E-2</v>
      </c>
      <c r="N15" s="7">
        <f t="shared" si="2"/>
        <v>37.599999998928979</v>
      </c>
      <c r="O15" s="7"/>
      <c r="P15" s="7"/>
      <c r="Q15" s="22"/>
      <c r="R15" s="22"/>
      <c r="S15" s="31">
        <f t="shared" si="3"/>
        <v>1</v>
      </c>
      <c r="T15" s="46" t="str">
        <f t="shared" si="4"/>
        <v>NorthBound</v>
      </c>
      <c r="U15" s="190">
        <f>IF(AG15="EC",COUNTIFS(Variables!$M$2:$M$19,IF(T15="NorthBound","&gt;=","&lt;=")&amp;Y15,Variables!$M$2:$M$19,IF(T15="NorthBound","&lt;=","&gt;=")&amp;Z15),COUNTIFS(Variables!$P$2:$P$19,IF(T15="NorthBound","&gt;=","&lt;=")&amp;Y15,Variables!$P$2:$P$19,IF(T15="NorthBound","&lt;=","&gt;=")&amp;Z15))</f>
        <v>12</v>
      </c>
      <c r="V15" s="191" t="str">
        <f t="shared" si="5"/>
        <v>https://d0f6bd738d7f1b3e5a7ca70fe4ff75f0.us-east-1.aws.found.io/app/kibana#/discover/Steve-Slow-Train-Analysis-(2080s-and-2083s)?_g=(refreshInterval:(display:Off,pause:!f,section:0,value:0),time:(from:'2017-02-05T02:39:51-0700',mode:absolute,to:'2017-02-05T05:23:03-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5" s="192" t="str">
        <f t="shared" si="6"/>
        <v>N</v>
      </c>
      <c r="X15" s="192">
        <f t="shared" si="7"/>
        <v>1</v>
      </c>
      <c r="Y15" s="62">
        <f t="shared" si="8"/>
        <v>7.6600000000000001E-2</v>
      </c>
      <c r="Z15" s="62">
        <f t="shared" si="9"/>
        <v>23.3325</v>
      </c>
      <c r="AA15" s="62">
        <f t="shared" si="10"/>
        <v>23.2559</v>
      </c>
      <c r="AB15" s="59" t="e">
        <f>VLOOKUP(A15,Enforcements!$C$7:$K$16,8,0)</f>
        <v>#N/A</v>
      </c>
      <c r="AC15" s="55" t="e">
        <f>VLOOKUP(A15,Enforcements!$C$7:$E$16,3,0)</f>
        <v>#N/A</v>
      </c>
      <c r="AD15" s="56" t="str">
        <f t="shared" si="11"/>
        <v>0103-05</v>
      </c>
      <c r="AE15" s="85" t="str">
        <f t="shared" si="12"/>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15" s="82" t="str">
        <f t="shared" si="13"/>
        <v>"C:\Program Files (x86)\AstroGrep\AstroGrep.exe" /spath="%USERPROFILE%\AppData\Local\Temp\OnboardLogs" /stypes="app*4040*20170205*" /stext=" 11:.+((SYSTEM_STATE.+slice.+state.+changed )|(ment ac)|(multiple cpu faults)|(system.+state.+changed )|(\[timeout)|(PRM\|1\|D)|(kpr)|(kdp)|(\|lc)|(penalty))" /e /r /s</v>
      </c>
      <c r="AG15" s="1" t="str">
        <f t="shared" si="14"/>
        <v>EC</v>
      </c>
      <c r="AH15" s="86" t="str">
        <f t="shared" si="18"/>
        <v>"%USERPROFILE%\Documents\GitHub\eaglep3\Utilities\RefineRTDCRunTimes.py" --tripid 103-05 --locoid 4040 --swversion DE.1.0.8.0 --startMP 204:766 --initTime 2017-02-05T03:39:51 --startdatetime 2017-02-05T03:45:27 --delay 1 --endMP 204:233325 --enddatetime 2017-02-05T04:23:03 --enforcementcount 0 &gt;&gt;C:\Users\stu\Documents\GitHub\eaglep3-reporting\EC\2017-02-05-refined-times.txt</v>
      </c>
      <c r="AI15" s="108" t="str">
        <f t="shared" si="19"/>
        <v>echo {"issue":{"subject":"","project_id":79,"tracker_id":40,"status_id":1,"priority_id":2,"assigned_to_id":23,"start_date":"2017-02-05","description":"","custom_fields":[{"id":1,"name":"Subdivision","value":"EC"},{"id":4,"name":"Milepost","value":"23.3325"},{"id":17,"name":"Train ID","value":"103-05"},{"id":16,"name":"Locomotive ID","value":"4040"},{"id":130,"name":"Impact","value":""},{"id":150,"name":"Time of Event (Mountain Time)","value":"04:23:03"},{"id":151,"name":"Denver Issue ID","value":""},{"id":178,"name":"Operational Impact","value":"Yes"},{"id":179,"name":"Denver Segment Assigned","value":""}]}} | curl -X POST -H "Content-Type: application/json" -H "X-Redmine-API-Key: d6333d4a04012a730768444271f8ca06482dae87" https://secure.xorail.net/redmine/issues.json --data @-</v>
      </c>
      <c r="AJ15" s="48"/>
      <c r="AK15" s="48"/>
      <c r="AL15" s="48"/>
      <c r="AM15" s="158" t="str">
        <f t="shared" si="20"/>
        <v>start /low /b %USERPROFILE%\Documents\GitHub\eaglep3\Utilities\DownloadLogsFromS3.py --loco 4040 --day 2017-02-05</v>
      </c>
      <c r="AN15" s="167" t="str">
        <f>"grep -SE -B400 ""CHR.+\|PRM\|1\|D.+(SWITCH|SIGNAL).+UNKNOWN"" "&amp;search_path&amp;"\RTDC"&amp;B15&amp;"\*"&amp;B15&amp;"*"&amp;TEXT(AVERAGE(F15,I15)-utc_offset/24,"YYYYMMDD")&amp;"* | grep -SE ""(Enforcement Action)|(\[TIMEOUT)|(CHR.+\|PRM\|1\|D.+(SWITCH|SIGNAL).+UNKNOWN)"" - &gt;&gt; "&amp;TEXT(Variables!$A$2,"YYYY-MM-DD")&amp;"-UncaughtWiMAX.txt"</f>
        <v>grep -SE -B400 "CHR.+\|PRM\|1\|D.+(SWITCH|SIGNAL).+UNKNOWN" "%USERPROFILE%\AppData\Local\Temp\OnboardLogs"\RTDC4040\*4040*20170205* | grep -SE "(Enforcement Action)|(\[TIMEOUT)|(CHR.+\|PRM\|1\|D.+(SWITCH|SIGNAL).+UNKNOWN)" - &gt;&gt; 2017-02-05-UncaughtWiMAX.txt</v>
      </c>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 customFormat="1" x14ac:dyDescent="0.25">
      <c r="A16" s="33" t="s">
        <v>552</v>
      </c>
      <c r="B16" s="7">
        <v>4026</v>
      </c>
      <c r="C16" s="21" t="s">
        <v>193</v>
      </c>
      <c r="D16" s="21" t="s">
        <v>746</v>
      </c>
      <c r="E16" s="13">
        <v>42771.189456018517</v>
      </c>
      <c r="F16" s="13">
        <v>42771.195462962962</v>
      </c>
      <c r="G16" s="7">
        <v>1</v>
      </c>
      <c r="H16" s="21" t="s">
        <v>351</v>
      </c>
      <c r="I16" s="13">
        <v>42771.224143518521</v>
      </c>
      <c r="J16" s="7">
        <v>0</v>
      </c>
      <c r="K16" s="98" t="str">
        <f t="shared" si="0"/>
        <v>4025/4026</v>
      </c>
      <c r="L16" s="21" t="str">
        <f>VLOOKUP(A16,'Trips&amp;Operators'!$C$1:$G$99999,5,FALSE)</f>
        <v>MAELZER KURT</v>
      </c>
      <c r="M16" s="6">
        <f t="shared" si="1"/>
        <v>2.8680555558821652E-2</v>
      </c>
      <c r="N16" s="7">
        <f t="shared" si="2"/>
        <v>41.300000004703179</v>
      </c>
      <c r="O16" s="7"/>
      <c r="P16" s="7"/>
      <c r="Q16" s="22"/>
      <c r="R16" s="22"/>
      <c r="S16" s="31">
        <f t="shared" si="3"/>
        <v>1</v>
      </c>
      <c r="T16" s="46" t="str">
        <f t="shared" si="4"/>
        <v>Southbound</v>
      </c>
      <c r="U16" s="190">
        <f>IF(AG16="EC",COUNTIFS(Variables!$M$2:$M$19,IF(T16="NorthBound","&gt;=","&lt;=")&amp;Y16,Variables!$M$2:$M$19,IF(T16="NorthBound","&lt;=","&gt;=")&amp;Z16),COUNTIFS(Variables!$P$2:$P$19,IF(T16="NorthBound","&gt;=","&lt;=")&amp;Y16,Variables!$P$2:$P$19,IF(T16="NorthBound","&lt;=","&gt;=")&amp;Z16))</f>
        <v>12</v>
      </c>
      <c r="V16" s="191" t="str">
        <f t="shared" si="5"/>
        <v>https://d0f6bd738d7f1b3e5a7ca70fe4ff75f0.us-east-1.aws.found.io/app/kibana#/discover/Steve-Slow-Train-Analysis-(2080s-and-2083s)?_g=(refreshInterval:(display:Off,pause:!f,section:0,value:0),time:(from:'2017-02-05T03:32:49-0700',mode:absolute,to:'2017-02-05T06:22:46-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16" s="192" t="str">
        <f t="shared" si="6"/>
        <v>N</v>
      </c>
      <c r="X16" s="192">
        <f t="shared" si="7"/>
        <v>1</v>
      </c>
      <c r="Y16" s="62">
        <f t="shared" si="8"/>
        <v>23.269400000000001</v>
      </c>
      <c r="Z16" s="62">
        <f t="shared" si="9"/>
        <v>1.29E-2</v>
      </c>
      <c r="AA16" s="62">
        <f t="shared" si="10"/>
        <v>23.256500000000003</v>
      </c>
      <c r="AB16" s="59" t="e">
        <f>VLOOKUP(A16,Enforcements!$C$7:$K$16,8,0)</f>
        <v>#N/A</v>
      </c>
      <c r="AC16" s="55" t="e">
        <f>VLOOKUP(A16,Enforcements!$C$7:$E$16,3,0)</f>
        <v>#N/A</v>
      </c>
      <c r="AD16" s="56" t="str">
        <f t="shared" si="11"/>
        <v>0104-05</v>
      </c>
      <c r="AE16" s="85" t="str">
        <f t="shared" si="12"/>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16" s="82" t="str">
        <f t="shared" si="13"/>
        <v>"C:\Program Files (x86)\AstroGrep\AstroGrep.exe" /spath="%USERPROFILE%\AppData\Local\Temp\OnboardLogs" /stypes="app*4026*20170205*" /stext=" 12:.+((SYSTEM_STATE.+slice.+state.+changed )|(ment ac)|(multiple cpu faults)|(system.+state.+changed )|(\[timeout)|(PRM\|1\|D)|(kpr)|(kdp)|(\|lc)|(penalty))" /e /r /s</v>
      </c>
      <c r="AG16" s="1" t="str">
        <f t="shared" si="14"/>
        <v>EC</v>
      </c>
      <c r="AH16" s="86" t="str">
        <f t="shared" si="18"/>
        <v>"%USERPROFILE%\Documents\GitHub\eaglep3\Utilities\RefineRTDCRunTimes.py" --tripid 104-05 --locoid 4026 --swversion DE.1.0.8.0 --startMP 204:232694 --initTime 2017-02-05T04:32:49 --startdatetime 2017-02-05T04:41:28 --delay 1 --endMP 204:129 --enddatetime 2017-02-05T05:22:46 --enforcementcount 0 &gt;&gt;C:\Users\stu\Documents\GitHub\eaglep3-reporting\EC\2017-02-05-refined-times.txt</v>
      </c>
      <c r="AI16" s="108" t="str">
        <f t="shared" si="19"/>
        <v>echo {"issue":{"subject":"","project_id":79,"tracker_id":40,"status_id":1,"priority_id":2,"assigned_to_id":23,"start_date":"2017-02-05","description":"","custom_fields":[{"id":1,"name":"Subdivision","value":"EC"},{"id":4,"name":"Milepost","value":"0.0129"},{"id":17,"name":"Train ID","value":"104-05"},{"id":16,"name":"Locomotive ID","value":"4026"},{"id":130,"name":"Impact","value":""},{"id":150,"name":"Time of Event (Mountain Time)","value":"05:22:46"},{"id":151,"name":"Denver Issue ID","value":""},{"id":178,"name":"Operational Impact","value":"Yes"},{"id":179,"name":"Denver Segment Assigned","value":""}]}} | curl -X POST -H "Content-Type: application/json" -H "X-Redmine-API-Key: d6333d4a04012a730768444271f8ca06482dae87" https://secure.xorail.net/redmine/issues.json --data @-</v>
      </c>
      <c r="AJ16" s="48"/>
      <c r="AK16" s="48"/>
      <c r="AL16" s="48"/>
      <c r="AM16" s="158" t="str">
        <f t="shared" si="20"/>
        <v>start /low /b %USERPROFILE%\Documents\GitHub\eaglep3\Utilities\DownloadLogsFromS3.py --loco 4026 --day 2017-02-05</v>
      </c>
      <c r="AN16" s="167" t="str">
        <f>"grep -SE -B400 ""CHR.+\|PRM\|1\|D.+(SWITCH|SIGNAL).+UNKNOWN"" "&amp;search_path&amp;"\RTDC"&amp;B16&amp;"\*"&amp;B16&amp;"*"&amp;TEXT(AVERAGE(F16,I16)-utc_offset/24,"YYYYMMDD")&amp;"*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 customFormat="1" x14ac:dyDescent="0.25">
      <c r="A17" s="33" t="s">
        <v>547</v>
      </c>
      <c r="B17" s="7">
        <v>4016</v>
      </c>
      <c r="C17" s="21" t="s">
        <v>193</v>
      </c>
      <c r="D17" s="21" t="s">
        <v>747</v>
      </c>
      <c r="E17" s="13">
        <v>42771.175694444442</v>
      </c>
      <c r="F17" s="13">
        <v>42771.177743055552</v>
      </c>
      <c r="G17" s="7">
        <v>1</v>
      </c>
      <c r="H17" s="21" t="s">
        <v>748</v>
      </c>
      <c r="I17" s="13">
        <v>42771.206458333334</v>
      </c>
      <c r="J17" s="7">
        <v>0</v>
      </c>
      <c r="K17" s="98" t="str">
        <f t="shared" si="0"/>
        <v>4015/4016</v>
      </c>
      <c r="L17" s="21" t="str">
        <f>VLOOKUP(A17,'Trips&amp;Operators'!$C$1:$G$99999,5,FALSE)</f>
        <v>BADERTSCHER DIANE</v>
      </c>
      <c r="M17" s="6">
        <f t="shared" si="1"/>
        <v>2.8715277781884652E-2</v>
      </c>
      <c r="N17" s="7">
        <f t="shared" si="2"/>
        <v>41.350000005913898</v>
      </c>
      <c r="O17" s="7"/>
      <c r="P17" s="7"/>
      <c r="Q17" s="22"/>
      <c r="R17" s="22"/>
      <c r="S17" s="31">
        <f t="shared" si="3"/>
        <v>1</v>
      </c>
      <c r="T17" s="46" t="str">
        <f t="shared" si="4"/>
        <v>NorthBound</v>
      </c>
      <c r="U17" s="190">
        <f>IF(AG17="EC",COUNTIFS(Variables!$M$2:$M$19,IF(T17="NorthBound","&gt;=","&lt;=")&amp;Y17,Variables!$M$2:$M$19,IF(T17="NorthBound","&lt;=","&gt;=")&amp;Z17),COUNTIFS(Variables!$P$2:$P$19,IF(T17="NorthBound","&gt;=","&lt;=")&amp;Y17,Variables!$P$2:$P$19,IF(T17="NorthBound","&lt;=","&gt;=")&amp;Z17))</f>
        <v>12</v>
      </c>
      <c r="V17" s="191" t="str">
        <f t="shared" si="5"/>
        <v>https://d0f6bd738d7f1b3e5a7ca70fe4ff75f0.us-east-1.aws.found.io/app/kibana#/discover/Steve-Slow-Train-Analysis-(2080s-and-2083s)?_g=(refreshInterval:(display:Off,pause:!f,section:0,value:0),time:(from:'2017-02-05T03:13:00-0700',mode:absolute,to:'2017-02-05T05:57:18-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7" s="192" t="str">
        <f t="shared" si="6"/>
        <v>N</v>
      </c>
      <c r="X17" s="192">
        <f t="shared" si="7"/>
        <v>1</v>
      </c>
      <c r="Y17" s="62">
        <f t="shared" si="8"/>
        <v>7.17E-2</v>
      </c>
      <c r="Z17" s="62">
        <f t="shared" si="9"/>
        <v>23.329699999999999</v>
      </c>
      <c r="AA17" s="62">
        <f t="shared" si="10"/>
        <v>23.257999999999999</v>
      </c>
      <c r="AB17" s="59" t="e">
        <f>VLOOKUP(A17,Enforcements!$C$7:$K$16,8,0)</f>
        <v>#N/A</v>
      </c>
      <c r="AC17" s="55" t="e">
        <f>VLOOKUP(A17,Enforcements!$C$7:$E$16,3,0)</f>
        <v>#N/A</v>
      </c>
      <c r="AD17" s="56" t="str">
        <f t="shared" si="11"/>
        <v>0105-05</v>
      </c>
      <c r="AE17" s="85" t="str">
        <f t="shared" si="12"/>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17" s="82" t="str">
        <f t="shared" si="13"/>
        <v>"C:\Program Files (x86)\AstroGrep\AstroGrep.exe" /spath="%USERPROFILE%\AppData\Local\Temp\OnboardLogs" /stypes="app*4016*20170205*" /stext=" 11:.+((SYSTEM_STATE.+slice.+state.+changed )|(ment ac)|(multiple cpu faults)|(system.+state.+changed )|(\[timeout)|(PRM\|1\|D)|(kpr)|(kdp)|(\|lc)|(penalty))" /e /r /s</v>
      </c>
      <c r="AG17" s="1" t="str">
        <f t="shared" si="14"/>
        <v>EC</v>
      </c>
      <c r="AH17" s="86" t="str">
        <f t="shared" si="18"/>
        <v>"%USERPROFILE%\Documents\GitHub\eaglep3\Utilities\RefineRTDCRunTimes.py" --tripid 105-05 --locoid 4016 --swversion DE.1.0.8.0 --startMP 204:717 --initTime 2017-02-05T04:13:00 --startdatetime 2017-02-05T04:15:57 --delay 1 --endMP 204:233297 --enddatetime 2017-02-05T04:57:18 --enforcementcount 0 &gt;&gt;C:\Users\stu\Documents\GitHub\eaglep3-reporting\EC\2017-02-05-refined-times.txt</v>
      </c>
      <c r="AI17" s="108" t="str">
        <f t="shared" si="19"/>
        <v>echo {"issue":{"subject":"","project_id":79,"tracker_id":40,"status_id":1,"priority_id":2,"assigned_to_id":23,"start_date":"2017-02-05","description":"","custom_fields":[{"id":1,"name":"Subdivision","value":"EC"},{"id":4,"name":"Milepost","value":"23.3297"},{"id":17,"name":"Train ID","value":"105-05"},{"id":16,"name":"Locomotive ID","value":"4016"},{"id":130,"name":"Impact","value":""},{"id":150,"name":"Time of Event (Mountain Time)","value":"04:57:18"},{"id":151,"name":"Denver Issue ID","value":""},{"id":178,"name":"Operational Impact","value":"Yes"},{"id":179,"name":"Denver Segment Assigned","value":""}]}} | curl -X POST -H "Content-Type: application/json" -H "X-Redmine-API-Key: d6333d4a04012a730768444271f8ca06482dae87" https://secure.xorail.net/redmine/issues.json --data @-</v>
      </c>
      <c r="AJ17" s="48"/>
      <c r="AK17" s="48"/>
      <c r="AL17" s="48"/>
      <c r="AM17" s="158" t="str">
        <f t="shared" si="20"/>
        <v>start /low /b %USERPROFILE%\Documents\GitHub\eaglep3\Utilities\DownloadLogsFromS3.py --loco 4016 --day 2017-02-05</v>
      </c>
      <c r="AN17" s="167" t="str">
        <f>"grep -SE -B400 ""CHR.+\|PRM\|1\|D.+(SWITCH|SIGNAL).+UNKNOWN"" "&amp;search_path&amp;"\RTDC"&amp;B17&amp;"\*"&amp;B17&amp;"*"&amp;TEXT(AVERAGE(F17,I17)-utc_offset/24,"YYYYMMDD")&amp;"*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s="1" customFormat="1" x14ac:dyDescent="0.25">
      <c r="A18" s="33" t="s">
        <v>553</v>
      </c>
      <c r="B18" s="7">
        <v>4037</v>
      </c>
      <c r="C18" s="21" t="s">
        <v>193</v>
      </c>
      <c r="D18" s="21" t="s">
        <v>749</v>
      </c>
      <c r="E18" s="13">
        <v>42771.208518518521</v>
      </c>
      <c r="F18" s="13">
        <v>42771.216203703705</v>
      </c>
      <c r="G18" s="7">
        <v>1</v>
      </c>
      <c r="H18" s="21" t="s">
        <v>325</v>
      </c>
      <c r="I18" s="13">
        <v>42771.245370370372</v>
      </c>
      <c r="J18" s="7">
        <v>0</v>
      </c>
      <c r="K18" s="98" t="str">
        <f t="shared" si="0"/>
        <v>4037/4038</v>
      </c>
      <c r="L18" s="21" t="str">
        <f>VLOOKUP(A18,'Trips&amp;Operators'!$C$1:$G$99999,5,FALSE)</f>
        <v>BADERTSCHER DIANE</v>
      </c>
      <c r="M18" s="6">
        <f t="shared" si="1"/>
        <v>2.9166666667151731E-2</v>
      </c>
      <c r="N18" s="7">
        <f t="shared" si="2"/>
        <v>42.000000000698492</v>
      </c>
      <c r="O18" s="7"/>
      <c r="P18" s="7"/>
      <c r="Q18" s="22"/>
      <c r="R18" s="22"/>
      <c r="S18" s="31">
        <f t="shared" si="3"/>
        <v>1</v>
      </c>
      <c r="T18" s="46" t="str">
        <f t="shared" si="4"/>
        <v>Southbound</v>
      </c>
      <c r="U18" s="190">
        <f>IF(AG18="EC",COUNTIFS(Variables!$M$2:$M$19,IF(T18="NorthBound","&gt;=","&lt;=")&amp;Y18,Variables!$M$2:$M$19,IF(T18="NorthBound","&lt;=","&gt;=")&amp;Z18),COUNTIFS(Variables!$P$2:$P$19,IF(T18="NorthBound","&gt;=","&lt;=")&amp;Y18,Variables!$P$2:$P$19,IF(T18="NorthBound","&lt;=","&gt;=")&amp;Z18))</f>
        <v>12</v>
      </c>
      <c r="V18" s="191" t="str">
        <f t="shared" si="5"/>
        <v>https://d0f6bd738d7f1b3e5a7ca70fe4ff75f0.us-east-1.aws.found.io/app/kibana#/discover/Steve-Slow-Train-Analysis-(2080s-and-2083s)?_g=(refreshInterval:(display:Off,pause:!f,section:0,value:0),time:(from:'2017-02-05T04:00:16-0700',mode:absolute,to:'2017-02-05T06:53:20-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18" s="192" t="str">
        <f t="shared" si="6"/>
        <v>N</v>
      </c>
      <c r="X18" s="192">
        <f t="shared" si="7"/>
        <v>1</v>
      </c>
      <c r="Y18" s="62">
        <f t="shared" si="8"/>
        <v>23.265499999999999</v>
      </c>
      <c r="Z18" s="62">
        <f t="shared" si="9"/>
        <v>1.38E-2</v>
      </c>
      <c r="AA18" s="62">
        <f t="shared" si="10"/>
        <v>23.2517</v>
      </c>
      <c r="AB18" s="59" t="e">
        <f>VLOOKUP(A18,Enforcements!$C$7:$K$16,8,0)</f>
        <v>#N/A</v>
      </c>
      <c r="AC18" s="55" t="e">
        <f>VLOOKUP(A18,Enforcements!$C$7:$E$16,3,0)</f>
        <v>#N/A</v>
      </c>
      <c r="AD18" s="56" t="str">
        <f t="shared" si="11"/>
        <v>0106-05</v>
      </c>
      <c r="AE18" s="85" t="str">
        <f t="shared" si="12"/>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18" s="82" t="str">
        <f t="shared" si="13"/>
        <v>"C:\Program Files (x86)\AstroGrep\AstroGrep.exe" /spath="%USERPROFILE%\AppData\Local\Temp\OnboardLogs" /stypes="app*4037*20170205*" /stext=" 12:.+((SYSTEM_STATE.+slice.+state.+changed )|(ment ac)|(multiple cpu faults)|(system.+state.+changed )|(\[timeout)|(PRM\|1\|D)|(kpr)|(kdp)|(\|lc)|(penalty))" /e /r /s</v>
      </c>
      <c r="AG18" s="1" t="str">
        <f t="shared" si="14"/>
        <v>EC</v>
      </c>
      <c r="AH18" s="86" t="str">
        <f t="shared" si="18"/>
        <v>"%USERPROFILE%\Documents\GitHub\eaglep3\Utilities\RefineRTDCRunTimes.py" --tripid 106-05 --locoid 4037 --swversion DE.1.0.8.0 --startMP 204:232655 --initTime 2017-02-05T05:00:16 --startdatetime 2017-02-05T05:11:20 --delay 1 --endMP 204:138 --enddatetime 2017-02-05T05:53:20 --enforcementcount 0 &gt;&gt;C:\Users\stu\Documents\GitHub\eaglep3-reporting\EC\2017-02-05-refined-times.txt</v>
      </c>
      <c r="AI18" s="108" t="str">
        <f t="shared" si="19"/>
        <v>echo {"issue":{"subject":"","project_id":79,"tracker_id":40,"status_id":1,"priority_id":2,"assigned_to_id":23,"start_date":"2017-02-05","description":"","custom_fields":[{"id":1,"name":"Subdivision","value":"EC"},{"id":4,"name":"Milepost","value":"0.0138"},{"id":17,"name":"Train ID","value":"106-05"},{"id":16,"name":"Locomotive ID","value":"4037"},{"id":130,"name":"Impact","value":""},{"id":150,"name":"Time of Event (Mountain Time)","value":"05:53:20"},{"id":151,"name":"Denver Issue ID","value":""},{"id":178,"name":"Operational Impact","value":"Yes"},{"id":179,"name":"Denver Segment Assigned","value":""}]}} | curl -X POST -H "Content-Type: application/json" -H "X-Redmine-API-Key: d6333d4a04012a730768444271f8ca06482dae87" https://secure.xorail.net/redmine/issues.json --data @-</v>
      </c>
      <c r="AJ18" s="48"/>
      <c r="AK18" s="48"/>
      <c r="AL18" s="48"/>
      <c r="AM18" s="158" t="str">
        <f t="shared" si="20"/>
        <v>start /low /b %USERPROFILE%\Documents\GitHub\eaglep3\Utilities\DownloadLogsFromS3.py --loco 4037 --day 2017-02-05</v>
      </c>
      <c r="AN18" s="167" t="str">
        <f>"grep -SE -B400 ""CHR.+\|PRM\|1\|D.+(SWITCH|SIGNAL).+UNKNOWN"" "&amp;search_path&amp;"\RTDC"&amp;B18&amp;"\*"&amp;B18&amp;"*"&amp;TEXT(AVERAGE(F18,I18)-utc_offset/24,"YYYYMMDD")&amp;"* | grep -SE ""(Enforcement Action)|(\[TIMEOUT)|(CHR.+\|PRM\|1\|D.+(SWITCH|SIGNAL).+UNKNOWN)"" - &gt;&gt; "&amp;TEXT(Variables!$A$2,"YYYY-MM-DD")&amp;"-UncaughtWiMAX.txt"</f>
        <v>grep -SE -B400 "CHR.+\|PRM\|1\|D.+(SWITCH|SIGNAL).+UNKNOWN" "%USERPROFILE%\AppData\Local\Temp\OnboardLogs"\RTDC4037\*4037*20170205* | grep -SE "(Enforcement Action)|(\[TIMEOUT)|(CHR.+\|PRM\|1\|D.+(SWITCH|SIGNAL).+UNKNOWN)" - &gt;&gt; 2017-02-05-UncaughtWiMAX.txt</v>
      </c>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 customFormat="1" x14ac:dyDescent="0.25">
      <c r="A19" s="33" t="s">
        <v>551</v>
      </c>
      <c r="B19" s="7">
        <v>4022</v>
      </c>
      <c r="C19" s="21" t="s">
        <v>193</v>
      </c>
      <c r="D19" s="21" t="s">
        <v>222</v>
      </c>
      <c r="E19" s="13">
        <v>42771.183888888889</v>
      </c>
      <c r="F19" s="13">
        <v>42771.187662037039</v>
      </c>
      <c r="G19" s="7">
        <v>1</v>
      </c>
      <c r="H19" s="21" t="s">
        <v>359</v>
      </c>
      <c r="I19" s="13">
        <v>42771.212951388887</v>
      </c>
      <c r="J19" s="7">
        <v>0</v>
      </c>
      <c r="K19" s="98" t="str">
        <f t="shared" si="0"/>
        <v>4021/4022</v>
      </c>
      <c r="L19" s="21" t="str">
        <f>VLOOKUP(A19,'Trips&amp;Operators'!$C$1:$G$99999,5,FALSE)</f>
        <v>DAVIS WENDY</v>
      </c>
      <c r="M19" s="6">
        <f t="shared" si="1"/>
        <v>2.5289351848186925E-2</v>
      </c>
      <c r="N19" s="7">
        <f t="shared" si="2"/>
        <v>36.416666661389172</v>
      </c>
      <c r="O19" s="7"/>
      <c r="P19" s="7"/>
      <c r="Q19" s="22"/>
      <c r="R19" s="22"/>
      <c r="S19" s="31">
        <f t="shared" si="3"/>
        <v>1</v>
      </c>
      <c r="T19" s="46" t="str">
        <f t="shared" si="4"/>
        <v>NorthBound</v>
      </c>
      <c r="U19" s="190">
        <f>IF(AG19="EC",COUNTIFS(Variables!$M$2:$M$19,IF(T19="NorthBound","&gt;=","&lt;=")&amp;Y19,Variables!$M$2:$M$19,IF(T19="NorthBound","&lt;=","&gt;=")&amp;Z19),COUNTIFS(Variables!$P$2:$P$19,IF(T19="NorthBound","&gt;=","&lt;=")&amp;Y19,Variables!$P$2:$P$19,IF(T19="NorthBound","&lt;=","&gt;=")&amp;Z19))</f>
        <v>12</v>
      </c>
      <c r="V19" s="191" t="str">
        <f t="shared" si="5"/>
        <v>https://d0f6bd738d7f1b3e5a7ca70fe4ff75f0.us-east-1.aws.found.io/app/kibana#/discover/Steve-Slow-Train-Analysis-(2080s-and-2083s)?_g=(refreshInterval:(display:Off,pause:!f,section:0,value:0),time:(from:'2017-02-05T03:24:48-0700',mode:absolute,to:'2017-02-05T06:06: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9" s="192" t="str">
        <f t="shared" si="6"/>
        <v>N</v>
      </c>
      <c r="X19" s="192">
        <f t="shared" si="7"/>
        <v>1</v>
      </c>
      <c r="Y19" s="62">
        <f t="shared" si="8"/>
        <v>4.6899999999999997E-2</v>
      </c>
      <c r="Z19" s="62">
        <f t="shared" si="9"/>
        <v>23.3293</v>
      </c>
      <c r="AA19" s="62">
        <f t="shared" si="10"/>
        <v>23.282399999999999</v>
      </c>
      <c r="AB19" s="59" t="e">
        <f>VLOOKUP(A19,Enforcements!$C$7:$K$16,8,0)</f>
        <v>#N/A</v>
      </c>
      <c r="AC19" s="55" t="e">
        <f>VLOOKUP(A19,Enforcements!$C$7:$E$16,3,0)</f>
        <v>#N/A</v>
      </c>
      <c r="AD19" s="56" t="str">
        <f t="shared" si="11"/>
        <v>0107-05</v>
      </c>
      <c r="AE19" s="85" t="str">
        <f t="shared" si="12"/>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19" s="82" t="str">
        <f t="shared" si="13"/>
        <v>"C:\Program Files (x86)\AstroGrep\AstroGrep.exe" /spath="%USERPROFILE%\AppData\Local\Temp\OnboardLogs" /stypes="app*4022*20170205*" /stext=" 12:.+((SYSTEM_STATE.+slice.+state.+changed )|(ment ac)|(multiple cpu faults)|(system.+state.+changed )|(\[timeout)|(PRM\|1\|D)|(kpr)|(kdp)|(\|lc)|(penalty))" /e /r /s</v>
      </c>
      <c r="AG19" s="1" t="str">
        <f t="shared" si="14"/>
        <v>EC</v>
      </c>
      <c r="AH19" s="86" t="str">
        <f t="shared" si="18"/>
        <v>"%USERPROFILE%\Documents\GitHub\eaglep3\Utilities\RefineRTDCRunTimes.py" --tripid 107-05 --locoid 4022 --swversion DE.1.0.8.0 --startMP 204:469 --initTime 2017-02-05T04:24:48 --startdatetime 2017-02-05T04:30:14 --delay 1 --endMP 204:233293 --enddatetime 2017-02-05T05:06:39 --enforcementcount 0 &gt;&gt;C:\Users\stu\Documents\GitHub\eaglep3-reporting\EC\2017-02-05-refined-times.txt</v>
      </c>
      <c r="AI19" s="108" t="str">
        <f t="shared" si="19"/>
        <v>echo {"issue":{"subject":"","project_id":79,"tracker_id":40,"status_id":1,"priority_id":2,"assigned_to_id":23,"start_date":"2017-02-05","description":"","custom_fields":[{"id":1,"name":"Subdivision","value":"EC"},{"id":4,"name":"Milepost","value":"23.3293"},{"id":17,"name":"Train ID","value":"107-05"},{"id":16,"name":"Locomotive ID","value":"4022"},{"id":130,"name":"Impact","value":""},{"id":150,"name":"Time of Event (Mountain Time)","value":"05:06:39"},{"id":151,"name":"Denver Issue ID","value":""},{"id":178,"name":"Operational Impact","value":"Yes"},{"id":179,"name":"Denver Segment Assigned","value":""}]}} | curl -X POST -H "Content-Type: application/json" -H "X-Redmine-API-Key: d6333d4a04012a730768444271f8ca06482dae87" https://secure.xorail.net/redmine/issues.json --data @-</v>
      </c>
      <c r="AJ19" s="48"/>
      <c r="AK19" s="48"/>
      <c r="AL19" s="48"/>
      <c r="AM19" s="158" t="str">
        <f t="shared" si="20"/>
        <v>start /low /b %USERPROFILE%\Documents\GitHub\eaglep3\Utilities\DownloadLogsFromS3.py --loco 4022 --day 2017-02-05</v>
      </c>
      <c r="AN19" s="167" t="str">
        <f>"grep -SE -B400 ""CHR.+\|PRM\|1\|D.+(SWITCH|SIGNAL).+UNKNOWN"" "&amp;search_path&amp;"\RTDC"&amp;B19&amp;"\*"&amp;B19&amp;"*"&amp;TEXT(AVERAGE(F19,I19)-utc_offset/24,"YYYYMMDD")&amp;"*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 customFormat="1" x14ac:dyDescent="0.25">
      <c r="A20" s="33" t="s">
        <v>556</v>
      </c>
      <c r="B20" s="7">
        <v>4021</v>
      </c>
      <c r="C20" s="21" t="s">
        <v>193</v>
      </c>
      <c r="D20" s="21" t="s">
        <v>308</v>
      </c>
      <c r="E20" s="13">
        <v>42771.22378472222</v>
      </c>
      <c r="F20" s="13">
        <v>42771.226550925923</v>
      </c>
      <c r="G20" s="7">
        <v>1</v>
      </c>
      <c r="H20" s="21" t="s">
        <v>196</v>
      </c>
      <c r="I20" s="13">
        <v>42771.254282407404</v>
      </c>
      <c r="J20" s="7">
        <v>0</v>
      </c>
      <c r="K20" s="98" t="str">
        <f t="shared" si="0"/>
        <v>4021/4022</v>
      </c>
      <c r="L20" s="21" t="str">
        <f>VLOOKUP(A20,'Trips&amp;Operators'!$C$1:$G$99999,5,FALSE)</f>
        <v>DAVIS WENDY</v>
      </c>
      <c r="M20" s="6">
        <f t="shared" si="1"/>
        <v>2.7731481481168885E-2</v>
      </c>
      <c r="N20" s="7">
        <f t="shared" si="2"/>
        <v>39.933333332883194</v>
      </c>
      <c r="O20" s="7"/>
      <c r="P20" s="7"/>
      <c r="Q20" s="22"/>
      <c r="R20" s="22"/>
      <c r="S20" s="31">
        <f t="shared" si="3"/>
        <v>1</v>
      </c>
      <c r="T20" s="46" t="str">
        <f t="shared" si="4"/>
        <v>Southbound</v>
      </c>
      <c r="U20" s="190">
        <f>IF(AG20="EC",COUNTIFS(Variables!$M$2:$M$19,IF(T20="NorthBound","&gt;=","&lt;=")&amp;Y20,Variables!$M$2:$M$19,IF(T20="NorthBound","&lt;=","&gt;=")&amp;Z20),COUNTIFS(Variables!$P$2:$P$19,IF(T20="NorthBound","&gt;=","&lt;=")&amp;Y20,Variables!$P$2:$P$19,IF(T20="NorthBound","&lt;=","&gt;=")&amp;Z20))</f>
        <v>12</v>
      </c>
      <c r="V20" s="191" t="str">
        <f t="shared" si="5"/>
        <v>https://d0f6bd738d7f1b3e5a7ca70fe4ff75f0.us-east-1.aws.found.io/app/kibana#/discover/Steve-Slow-Train-Analysis-(2080s-and-2083s)?_g=(refreshInterval:(display:Off,pause:!f,section:0,value:0),time:(from:'2017-02-05T04:22:15-0700',mode:absolute,to:'2017-02-05T07:06:10-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20" s="192" t="str">
        <f t="shared" si="6"/>
        <v>N</v>
      </c>
      <c r="X20" s="192">
        <f t="shared" si="7"/>
        <v>1</v>
      </c>
      <c r="Y20" s="62">
        <f t="shared" si="8"/>
        <v>23.299800000000001</v>
      </c>
      <c r="Z20" s="62">
        <f t="shared" si="9"/>
        <v>1.4999999999999999E-2</v>
      </c>
      <c r="AA20" s="62">
        <f t="shared" si="10"/>
        <v>23.284800000000001</v>
      </c>
      <c r="AB20" s="59" t="e">
        <f>VLOOKUP(A20,Enforcements!$C$7:$K$16,8,0)</f>
        <v>#N/A</v>
      </c>
      <c r="AC20" s="55" t="e">
        <f>VLOOKUP(A20,Enforcements!$C$7:$E$16,3,0)</f>
        <v>#N/A</v>
      </c>
      <c r="AD20" s="56" t="str">
        <f t="shared" si="11"/>
        <v>0108-05</v>
      </c>
      <c r="AE20" s="85" t="str">
        <f t="shared" si="12"/>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20" s="82" t="str">
        <f t="shared" si="13"/>
        <v>"C:\Program Files (x86)\AstroGrep\AstroGrep.exe" /spath="%USERPROFILE%\AppData\Local\Temp\OnboardLogs" /stypes="app*4021*20170205*" /stext=" 13:.+((SYSTEM_STATE.+slice.+state.+changed )|(ment ac)|(multiple cpu faults)|(system.+state.+changed )|(\[timeout)|(PRM\|1\|D)|(kpr)|(kdp)|(\|lc)|(penalty))" /e /r /s</v>
      </c>
      <c r="AG20" s="1" t="str">
        <f t="shared" si="14"/>
        <v>EC</v>
      </c>
      <c r="AH20" s="86" t="str">
        <f t="shared" si="18"/>
        <v>"%USERPROFILE%\Documents\GitHub\eaglep3\Utilities\RefineRTDCRunTimes.py" --tripid 108-05 --locoid 4021 --swversion DE.1.0.8.0 --startMP 204:232998 --initTime 2017-02-05T05:22:15 --startdatetime 2017-02-05T05:26:14 --delay 1 --endMP 204:150 --enddatetime 2017-02-05T06:06:10 --enforcementcount 0 &gt;&gt;C:\Users\stu\Documents\GitHub\eaglep3-reporting\EC\2017-02-05-refined-times.txt</v>
      </c>
      <c r="AI20" s="108" t="str">
        <f t="shared" si="19"/>
        <v>echo {"issue":{"subject":"","project_id":79,"tracker_id":40,"status_id":1,"priority_id":2,"assigned_to_id":23,"start_date":"2017-02-05","description":"","custom_fields":[{"id":1,"name":"Subdivision","value":"EC"},{"id":4,"name":"Milepost","value":"0.015"},{"id":17,"name":"Train ID","value":"108-05"},{"id":16,"name":"Locomotive ID","value":"4021"},{"id":130,"name":"Impact","value":""},{"id":150,"name":"Time of Event (Mountain Time)","value":"06:06:10"},{"id":151,"name":"Denver Issue ID","value":""},{"id":178,"name":"Operational Impact","value":"Yes"},{"id":179,"name":"Denver Segment Assigned","value":""}]}} | curl -X POST -H "Content-Type: application/json" -H "X-Redmine-API-Key: d6333d4a04012a730768444271f8ca06482dae87" https://secure.xorail.net/redmine/issues.json --data @-</v>
      </c>
      <c r="AJ20" s="48"/>
      <c r="AK20" s="48"/>
      <c r="AL20" s="48"/>
      <c r="AM20" s="158" t="str">
        <f t="shared" si="20"/>
        <v>start /low /b %USERPROFILE%\Documents\GitHub\eaglep3\Utilities\DownloadLogsFromS3.py --loco 4021 --day 2017-02-05</v>
      </c>
      <c r="AN20" s="167" t="str">
        <f>"grep -SE -B400 ""CHR.+\|PRM\|1\|D.+(SWITCH|SIGNAL).+UNKNOWN"" "&amp;search_path&amp;"\RTDC"&amp;B20&amp;"\*"&amp;B20&amp;"*"&amp;TEXT(AVERAGE(F20,I20)-utc_offset/24,"YYYYMMDD")&amp;"*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 customFormat="1" x14ac:dyDescent="0.25">
      <c r="A21" s="33" t="s">
        <v>499</v>
      </c>
      <c r="B21" s="7">
        <v>4002</v>
      </c>
      <c r="C21" s="21" t="s">
        <v>193</v>
      </c>
      <c r="D21" s="21" t="s">
        <v>226</v>
      </c>
      <c r="E21" s="13">
        <v>42771.19253472222</v>
      </c>
      <c r="F21" s="13">
        <v>42771.198206018518</v>
      </c>
      <c r="G21" s="7">
        <v>1</v>
      </c>
      <c r="H21" s="21" t="s">
        <v>359</v>
      </c>
      <c r="I21" s="13">
        <v>42771.224085648151</v>
      </c>
      <c r="J21" s="7">
        <v>0</v>
      </c>
      <c r="K21" s="98" t="str">
        <f t="shared" si="0"/>
        <v>4001/4002</v>
      </c>
      <c r="L21" s="21" t="str">
        <f>VLOOKUP(A21,'Trips&amp;Operators'!$C$1:$G$99999,5,FALSE)</f>
        <v>BERLING GARY</v>
      </c>
      <c r="M21" s="6">
        <f t="shared" si="1"/>
        <v>2.587962963298196E-2</v>
      </c>
      <c r="N21" s="7">
        <f t="shared" si="2"/>
        <v>37.266666671494022</v>
      </c>
      <c r="O21" s="7"/>
      <c r="P21" s="7"/>
      <c r="Q21" s="22"/>
      <c r="R21" s="22"/>
      <c r="S21" s="31">
        <f t="shared" si="3"/>
        <v>1</v>
      </c>
      <c r="T21" s="46" t="str">
        <f t="shared" si="4"/>
        <v>NorthBound</v>
      </c>
      <c r="U21" s="190">
        <f>IF(AG21="EC",COUNTIFS(Variables!$M$2:$M$19,IF(T21="NorthBound","&gt;=","&lt;=")&amp;Y21,Variables!$M$2:$M$19,IF(T21="NorthBound","&lt;=","&gt;=")&amp;Z21),COUNTIFS(Variables!$P$2:$P$19,IF(T21="NorthBound","&gt;=","&lt;=")&amp;Y21,Variables!$P$2:$P$19,IF(T21="NorthBound","&lt;=","&gt;=")&amp;Z21))</f>
        <v>12</v>
      </c>
      <c r="V21" s="191" t="str">
        <f t="shared" si="5"/>
        <v>https://d0f6bd738d7f1b3e5a7ca70fe4ff75f0.us-east-1.aws.found.io/app/kibana#/discover/Steve-Slow-Train-Analysis-(2080s-and-2083s)?_g=(refreshInterval:(display:Off,pause:!f,section:0,value:0),time:(from:'2017-02-05T03:37:15-0700',mode:absolute,to:'2017-02-05T06:22:41-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21" s="192" t="str">
        <f t="shared" si="6"/>
        <v>N</v>
      </c>
      <c r="X21" s="192">
        <f t="shared" si="7"/>
        <v>1</v>
      </c>
      <c r="Y21" s="62">
        <f t="shared" si="8"/>
        <v>4.58E-2</v>
      </c>
      <c r="Z21" s="62">
        <f t="shared" si="9"/>
        <v>23.3293</v>
      </c>
      <c r="AA21" s="62">
        <f t="shared" si="10"/>
        <v>23.2835</v>
      </c>
      <c r="AB21" s="59" t="e">
        <f>VLOOKUP(A21,Enforcements!$C$7:$K$16,8,0)</f>
        <v>#N/A</v>
      </c>
      <c r="AC21" s="55" t="e">
        <f>VLOOKUP(A21,Enforcements!$C$7:$E$16,3,0)</f>
        <v>#N/A</v>
      </c>
      <c r="AD21" s="56" t="str">
        <f t="shared" si="11"/>
        <v>0109-05</v>
      </c>
      <c r="AE21" s="85" t="str">
        <f t="shared" si="12"/>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21" s="82" t="str">
        <f t="shared" si="13"/>
        <v>"C:\Program Files (x86)\AstroGrep\AstroGrep.exe" /spath="%USERPROFILE%\AppData\Local\Temp\OnboardLogs" /stypes="app*4002*20170205*" /stext=" 12:.+((SYSTEM_STATE.+slice.+state.+changed )|(ment ac)|(multiple cpu faults)|(system.+state.+changed )|(\[timeout)|(PRM\|1\|D)|(kpr)|(kdp)|(\|lc)|(penalty))" /e /r /s</v>
      </c>
      <c r="AG21" s="1" t="str">
        <f t="shared" si="14"/>
        <v>EC</v>
      </c>
      <c r="AH21" s="86" t="str">
        <f t="shared" si="18"/>
        <v>"%USERPROFILE%\Documents\GitHub\eaglep3\Utilities\RefineRTDCRunTimes.py" --tripid 109-05 --locoid 4002 --swversion DE.1.0.8.0 --startMP 204:458 --initTime 2017-02-05T04:37:15 --startdatetime 2017-02-05T04:45:25 --delay 1 --endMP 204:233293 --enddatetime 2017-02-05T05:22:41 --enforcementcount 0 &gt;&gt;C:\Users\stu\Documents\GitHub\eaglep3-reporting\EC\2017-02-05-refined-times.txt</v>
      </c>
      <c r="AI21" s="108" t="str">
        <f t="shared" si="19"/>
        <v>echo {"issue":{"subject":"","project_id":79,"tracker_id":40,"status_id":1,"priority_id":2,"assigned_to_id":23,"start_date":"2017-02-05","description":"","custom_fields":[{"id":1,"name":"Subdivision","value":"EC"},{"id":4,"name":"Milepost","value":"23.3293"},{"id":17,"name":"Train ID","value":"109-05"},{"id":16,"name":"Locomotive ID","value":"4002"},{"id":130,"name":"Impact","value":""},{"id":150,"name":"Time of Event (Mountain Time)","value":"05:22:41"},{"id":151,"name":"Denver Issue ID","value":""},{"id":178,"name":"Operational Impact","value":"Yes"},{"id":179,"name":"Denver Segment Assigned","value":""}]}} | curl -X POST -H "Content-Type: application/json" -H "X-Redmine-API-Key: d6333d4a04012a730768444271f8ca06482dae87" https://secure.xorail.net/redmine/issues.json --data @-</v>
      </c>
      <c r="AJ21" s="48"/>
      <c r="AK21" s="48"/>
      <c r="AL21" s="48"/>
      <c r="AM21" s="158" t="str">
        <f t="shared" si="20"/>
        <v>start /low /b %USERPROFILE%\Documents\GitHub\eaglep3\Utilities\DownloadLogsFromS3.py --loco 4002 --day 2017-02-05</v>
      </c>
      <c r="AN21" s="167" t="str">
        <f>"grep -SE -B400 ""CHR.+\|PRM\|1\|D.+(SWITCH|SIGNAL).+UNKNOWN"" "&amp;search_path&amp;"\RTDC"&amp;B21&amp;"\*"&amp;B21&amp;"*"&amp;TEXT(AVERAGE(F21,I21)-utc_offset/24,"YYYYMMDD")&amp;"*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 customFormat="1" x14ac:dyDescent="0.25">
      <c r="A22" s="33" t="s">
        <v>560</v>
      </c>
      <c r="B22" s="7">
        <v>4001</v>
      </c>
      <c r="C22" s="21" t="s">
        <v>193</v>
      </c>
      <c r="D22" s="21" t="s">
        <v>750</v>
      </c>
      <c r="E22" s="13">
        <v>42771.229814814818</v>
      </c>
      <c r="F22" s="13">
        <v>42771.236979166664</v>
      </c>
      <c r="G22" s="7">
        <v>1</v>
      </c>
      <c r="H22" s="21" t="s">
        <v>307</v>
      </c>
      <c r="I22" s="13">
        <v>42771.264363425929</v>
      </c>
      <c r="J22" s="7">
        <v>0</v>
      </c>
      <c r="K22" s="98" t="str">
        <f t="shared" si="0"/>
        <v>4001/4002</v>
      </c>
      <c r="L22" s="21" t="str">
        <f>VLOOKUP(A22,'Trips&amp;Operators'!$C$1:$G$99999,5,FALSE)</f>
        <v>BERLING GARY</v>
      </c>
      <c r="M22" s="6">
        <f t="shared" si="1"/>
        <v>2.7384259265090805E-2</v>
      </c>
      <c r="N22" s="7">
        <f t="shared" si="2"/>
        <v>39.433333341730759</v>
      </c>
      <c r="O22" s="7"/>
      <c r="P22" s="7"/>
      <c r="Q22" s="22"/>
      <c r="R22" s="22"/>
      <c r="S22" s="31">
        <f t="shared" si="3"/>
        <v>1</v>
      </c>
      <c r="T22" s="46" t="str">
        <f t="shared" si="4"/>
        <v>Southbound</v>
      </c>
      <c r="U22" s="190">
        <f>IF(AG22="EC",COUNTIFS(Variables!$M$2:$M$19,IF(T22="NorthBound","&gt;=","&lt;=")&amp;Y22,Variables!$M$2:$M$19,IF(T22="NorthBound","&lt;=","&gt;=")&amp;Z22),COUNTIFS(Variables!$P$2:$P$19,IF(T22="NorthBound","&gt;=","&lt;=")&amp;Y22,Variables!$P$2:$P$19,IF(T22="NorthBound","&lt;=","&gt;=")&amp;Z22))</f>
        <v>12</v>
      </c>
      <c r="V22" s="191" t="str">
        <f t="shared" si="5"/>
        <v>https://d0f6bd738d7f1b3e5a7ca70fe4ff75f0.us-east-1.aws.found.io/app/kibana#/discover/Steve-Slow-Train-Analysis-(2080s-and-2083s)?_g=(refreshInterval:(display:Off,pause:!f,section:0,value:0),time:(from:'2017-02-05T04:30:56-0700',mode:absolute,to:'2017-02-05T07:20:41-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22" s="192" t="str">
        <f t="shared" si="6"/>
        <v>N</v>
      </c>
      <c r="X22" s="192">
        <f t="shared" si="7"/>
        <v>1</v>
      </c>
      <c r="Y22" s="62">
        <f t="shared" si="8"/>
        <v>23.296800000000001</v>
      </c>
      <c r="Z22" s="62">
        <f t="shared" si="9"/>
        <v>1.3899999999999999E-2</v>
      </c>
      <c r="AA22" s="62">
        <f t="shared" si="10"/>
        <v>23.282900000000001</v>
      </c>
      <c r="AB22" s="59" t="e">
        <f>VLOOKUP(A22,Enforcements!$C$7:$K$16,8,0)</f>
        <v>#N/A</v>
      </c>
      <c r="AC22" s="55" t="e">
        <f>VLOOKUP(A22,Enforcements!$C$7:$E$16,3,0)</f>
        <v>#N/A</v>
      </c>
      <c r="AD22" s="56" t="str">
        <f t="shared" si="11"/>
        <v>0110-05</v>
      </c>
      <c r="AE22" s="85" t="str">
        <f t="shared" si="12"/>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22" s="82" t="str">
        <f t="shared" si="13"/>
        <v>"C:\Program Files (x86)\AstroGrep\AstroGrep.exe" /spath="%USERPROFILE%\AppData\Local\Temp\OnboardLogs" /stypes="app*4001*20170205*" /stext=" 13:.+((SYSTEM_STATE.+slice.+state.+changed )|(ment ac)|(multiple cpu faults)|(system.+state.+changed )|(\[timeout)|(PRM\|1\|D)|(kpr)|(kdp)|(\|lc)|(penalty))" /e /r /s</v>
      </c>
      <c r="AG22" s="1" t="str">
        <f t="shared" si="14"/>
        <v>EC</v>
      </c>
      <c r="AH22" s="86" t="str">
        <f t="shared" si="18"/>
        <v>"%USERPROFILE%\Documents\GitHub\eaglep3\Utilities\RefineRTDCRunTimes.py" --tripid 110-05 --locoid 4001 --swversion DE.1.0.8.0 --startMP 204:232968 --initTime 2017-02-05T05:30:56 --startdatetime 2017-02-05T05:41:15 --delay 1 --endMP 204:139 --enddatetime 2017-02-05T06:20:41 --enforcementcount 0 &gt;&gt;C:\Users\stu\Documents\GitHub\eaglep3-reporting\EC\2017-02-05-refined-times.txt</v>
      </c>
      <c r="AI22" s="108" t="str">
        <f t="shared" si="19"/>
        <v>echo {"issue":{"subject":"","project_id":79,"tracker_id":40,"status_id":1,"priority_id":2,"assigned_to_id":23,"start_date":"2017-02-05","description":"","custom_fields":[{"id":1,"name":"Subdivision","value":"EC"},{"id":4,"name":"Milepost","value":"0.0139"},{"id":17,"name":"Train ID","value":"110-05"},{"id":16,"name":"Locomotive ID","value":"4001"},{"id":130,"name":"Impact","value":""},{"id":150,"name":"Time of Event (Mountain Time)","value":"06:20:41"},{"id":151,"name":"Denver Issue ID","value":""},{"id":178,"name":"Operational Impact","value":"Yes"},{"id":179,"name":"Denver Segment Assigned","value":""}]}} | curl -X POST -H "Content-Type: application/json" -H "X-Redmine-API-Key: d6333d4a04012a730768444271f8ca06482dae87" https://secure.xorail.net/redmine/issues.json --data @-</v>
      </c>
      <c r="AJ22" s="48"/>
      <c r="AK22" s="48"/>
      <c r="AL22" s="48"/>
      <c r="AM22" s="158" t="str">
        <f t="shared" si="20"/>
        <v>start /low /b %USERPROFILE%\Documents\GitHub\eaglep3\Utilities\DownloadLogsFromS3.py --loco 4001 --day 2017-02-05</v>
      </c>
      <c r="AN22" s="167" t="str">
        <f>"grep -SE -B400 ""CHR.+\|PRM\|1\|D.+(SWITCH|SIGNAL).+UNKNOWN"" "&amp;search_path&amp;"\RTDC"&amp;B22&amp;"\*"&amp;B22&amp;"*"&amp;TEXT(AVERAGE(F22,I22)-utc_offset/24,"YYYYMMDD")&amp;"*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 customFormat="1" x14ac:dyDescent="0.25">
      <c r="A23" s="33" t="s">
        <v>554</v>
      </c>
      <c r="B23" s="7">
        <v>4031</v>
      </c>
      <c r="C23" s="21" t="s">
        <v>193</v>
      </c>
      <c r="D23" s="21" t="s">
        <v>751</v>
      </c>
      <c r="E23" s="13">
        <v>42771.213634259257</v>
      </c>
      <c r="F23" s="13">
        <v>42771.215474537035</v>
      </c>
      <c r="G23" s="7">
        <v>1</v>
      </c>
      <c r="H23" s="21" t="s">
        <v>368</v>
      </c>
      <c r="I23" s="13">
        <v>42771.241782407407</v>
      </c>
      <c r="J23" s="7">
        <v>0</v>
      </c>
      <c r="K23" s="98" t="str">
        <f t="shared" si="0"/>
        <v>4031/4032</v>
      </c>
      <c r="L23" s="21" t="str">
        <f>VLOOKUP(A23,'Trips&amp;Operators'!$C$1:$G$99999,5,FALSE)</f>
        <v>GEBRETEKLE DAGNEW</v>
      </c>
      <c r="M23" s="6">
        <f t="shared" si="1"/>
        <v>2.6307870371965691E-2</v>
      </c>
      <c r="N23" s="7">
        <f t="shared" si="2"/>
        <v>37.883333335630596</v>
      </c>
      <c r="O23" s="7"/>
      <c r="P23" s="7"/>
      <c r="Q23" s="22"/>
      <c r="R23" s="22"/>
      <c r="S23" s="31">
        <f t="shared" si="3"/>
        <v>1</v>
      </c>
      <c r="T23" s="46" t="str">
        <f t="shared" si="4"/>
        <v>NorthBound</v>
      </c>
      <c r="U23" s="190">
        <f>IF(AG23="EC",COUNTIFS(Variables!$M$2:$M$19,IF(T23="NorthBound","&gt;=","&lt;=")&amp;Y23,Variables!$M$2:$M$19,IF(T23="NorthBound","&lt;=","&gt;=")&amp;Z23),COUNTIFS(Variables!$P$2:$P$19,IF(T23="NorthBound","&gt;=","&lt;=")&amp;Y23,Variables!$P$2:$P$19,IF(T23="NorthBound","&lt;=","&gt;=")&amp;Z23))</f>
        <v>12</v>
      </c>
      <c r="V23" s="191" t="str">
        <f t="shared" si="5"/>
        <v>https://d0f6bd738d7f1b3e5a7ca70fe4ff75f0.us-east-1.aws.found.io/app/kibana#/discover/Steve-Slow-Train-Analysis-(2080s-and-2083s)?_g=(refreshInterval:(display:Off,pause:!f,section:0,value:0),time:(from:'2017-02-05T04:07:38-0700',mode:absolute,to:'2017-02-05T06:48:10-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23" s="192" t="str">
        <f t="shared" si="6"/>
        <v>N</v>
      </c>
      <c r="X23" s="192">
        <f t="shared" si="7"/>
        <v>1</v>
      </c>
      <c r="Y23" s="62">
        <f t="shared" si="8"/>
        <v>7.4399999999999994E-2</v>
      </c>
      <c r="Z23" s="62">
        <f t="shared" si="9"/>
        <v>23.328800000000001</v>
      </c>
      <c r="AA23" s="62">
        <f t="shared" si="10"/>
        <v>23.2544</v>
      </c>
      <c r="AB23" s="59" t="e">
        <f>VLOOKUP(A23,Enforcements!$C$7:$K$16,8,0)</f>
        <v>#N/A</v>
      </c>
      <c r="AC23" s="55" t="e">
        <f>VLOOKUP(A23,Enforcements!$C$7:$E$16,3,0)</f>
        <v>#N/A</v>
      </c>
      <c r="AD23" s="56" t="str">
        <f t="shared" si="11"/>
        <v>0111-05</v>
      </c>
      <c r="AE23" s="85" t="str">
        <f t="shared" si="12"/>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23" s="82" t="str">
        <f t="shared" si="13"/>
        <v>"C:\Program Files (x86)\AstroGrep\AstroGrep.exe" /spath="%USERPROFILE%\AppData\Local\Temp\OnboardLogs" /stypes="app*4031*20170205*" /stext=" 12:.+((SYSTEM_STATE.+slice.+state.+changed )|(ment ac)|(multiple cpu faults)|(system.+state.+changed )|(\[timeout)|(PRM\|1\|D)|(kpr)|(kdp)|(\|lc)|(penalty))" /e /r /s</v>
      </c>
      <c r="AG23" s="1" t="str">
        <f t="shared" si="14"/>
        <v>EC</v>
      </c>
      <c r="AH23" s="86" t="str">
        <f t="shared" si="18"/>
        <v>"%USERPROFILE%\Documents\GitHub\eaglep3\Utilities\RefineRTDCRunTimes.py" --tripid 111-05 --locoid 4031 --swversion DE.1.0.8.0 --startMP 204:744 --initTime 2017-02-05T05:07:38 --startdatetime 2017-02-05T05:10:17 --delay 1 --endMP 204:233288 --enddatetime 2017-02-05T05:48:10 --enforcementcount 0 &gt;&gt;C:\Users\stu\Documents\GitHub\eaglep3-reporting\EC\2017-02-05-refined-times.txt</v>
      </c>
      <c r="AI23" s="108" t="str">
        <f t="shared" si="19"/>
        <v>echo {"issue":{"subject":"","project_id":79,"tracker_id":40,"status_id":1,"priority_id":2,"assigned_to_id":23,"start_date":"2017-02-05","description":"","custom_fields":[{"id":1,"name":"Subdivision","value":"EC"},{"id":4,"name":"Milepost","value":"23.3288"},{"id":17,"name":"Train ID","value":"111-05"},{"id":16,"name":"Locomotive ID","value":"4031"},{"id":130,"name":"Impact","value":""},{"id":150,"name":"Time of Event (Mountain Time)","value":"05:48:10"},{"id":151,"name":"Denver Issue ID","value":""},{"id":178,"name":"Operational Impact","value":"Yes"},{"id":179,"name":"Denver Segment Assigned","value":""}]}} | curl -X POST -H "Content-Type: application/json" -H "X-Redmine-API-Key: d6333d4a04012a730768444271f8ca06482dae87" https://secure.xorail.net/redmine/issues.json --data @-</v>
      </c>
      <c r="AJ23" s="48"/>
      <c r="AK23" s="48"/>
      <c r="AL23" s="48"/>
      <c r="AM23" s="158" t="str">
        <f t="shared" si="20"/>
        <v>start /low /b %USERPROFILE%\Documents\GitHub\eaglep3\Utilities\DownloadLogsFromS3.py --loco 4031 --day 2017-02-05</v>
      </c>
      <c r="AN23" s="167" t="str">
        <f>"grep -SE -B400 ""CHR.+\|PRM\|1\|D.+(SWITCH|SIGNAL).+UNKNOWN"" "&amp;search_path&amp;"\RTDC"&amp;B23&amp;"\*"&amp;B23&amp;"*"&amp;TEXT(AVERAGE(F23,I23)-utc_offset/24,"YYYYMMDD")&amp;"*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 customFormat="1" x14ac:dyDescent="0.25">
      <c r="A24" s="33" t="s">
        <v>563</v>
      </c>
      <c r="B24" s="7">
        <v>4032</v>
      </c>
      <c r="C24" s="21" t="s">
        <v>193</v>
      </c>
      <c r="D24" s="21" t="s">
        <v>752</v>
      </c>
      <c r="E24" s="13">
        <v>42771.243576388886</v>
      </c>
      <c r="F24" s="13">
        <v>42771.247407407405</v>
      </c>
      <c r="G24" s="7">
        <v>1</v>
      </c>
      <c r="H24" s="21" t="s">
        <v>196</v>
      </c>
      <c r="I24" s="13">
        <v>42771.273506944446</v>
      </c>
      <c r="J24" s="7">
        <v>0</v>
      </c>
      <c r="K24" s="98" t="str">
        <f t="shared" si="0"/>
        <v>4031/4032</v>
      </c>
      <c r="L24" s="21" t="str">
        <f>VLOOKUP(A24,'Trips&amp;Operators'!$C$1:$G$99999,5,FALSE)</f>
        <v>GEBRETEKLE DAGNEW</v>
      </c>
      <c r="M24" s="6">
        <f t="shared" si="1"/>
        <v>2.6099537040863652E-2</v>
      </c>
      <c r="N24" s="7">
        <f t="shared" si="2"/>
        <v>37.583333338843659</v>
      </c>
      <c r="O24" s="7"/>
      <c r="P24" s="7"/>
      <c r="Q24" s="22"/>
      <c r="R24" s="22"/>
      <c r="S24" s="31">
        <f t="shared" si="3"/>
        <v>1</v>
      </c>
      <c r="T24" s="46" t="str">
        <f t="shared" si="4"/>
        <v>Southbound</v>
      </c>
      <c r="U24" s="190">
        <f>IF(AG24="EC",COUNTIFS(Variables!$M$2:$M$19,IF(T24="NorthBound","&gt;=","&lt;=")&amp;Y24,Variables!$M$2:$M$19,IF(T24="NorthBound","&lt;=","&gt;=")&amp;Z24),COUNTIFS(Variables!$P$2:$P$19,IF(T24="NorthBound","&gt;=","&lt;=")&amp;Y24,Variables!$P$2:$P$19,IF(T24="NorthBound","&lt;=","&gt;=")&amp;Z24))</f>
        <v>12</v>
      </c>
      <c r="V24" s="191" t="str">
        <f t="shared" si="5"/>
        <v>https://d0f6bd738d7f1b3e5a7ca70fe4ff75f0.us-east-1.aws.found.io/app/kibana#/discover/Steve-Slow-Train-Analysis-(2080s-and-2083s)?_g=(refreshInterval:(display:Off,pause:!f,section:0,value:0),time:(from:'2017-02-05T04:50:45-0700',mode:absolute,to:'2017-02-05T07:33:51-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24" s="192" t="str">
        <f t="shared" si="6"/>
        <v>N</v>
      </c>
      <c r="X24" s="192">
        <f t="shared" si="7"/>
        <v>1</v>
      </c>
      <c r="Y24" s="62">
        <f t="shared" si="8"/>
        <v>23.296099999999999</v>
      </c>
      <c r="Z24" s="62">
        <f t="shared" si="9"/>
        <v>1.4999999999999999E-2</v>
      </c>
      <c r="AA24" s="62">
        <f t="shared" si="10"/>
        <v>23.281099999999999</v>
      </c>
      <c r="AB24" s="59" t="e">
        <f>VLOOKUP(A24,Enforcements!$C$7:$K$16,8,0)</f>
        <v>#N/A</v>
      </c>
      <c r="AC24" s="55" t="e">
        <f>VLOOKUP(A24,Enforcements!$C$7:$E$16,3,0)</f>
        <v>#N/A</v>
      </c>
      <c r="AD24" s="56" t="str">
        <f t="shared" si="11"/>
        <v>0112-05</v>
      </c>
      <c r="AE24" s="85" t="str">
        <f t="shared" si="12"/>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24" s="82" t="str">
        <f t="shared" si="13"/>
        <v>"C:\Program Files (x86)\AstroGrep\AstroGrep.exe" /spath="%USERPROFILE%\AppData\Local\Temp\OnboardLogs" /stypes="app*4032*20170205*" /stext=" 13:.+((SYSTEM_STATE.+slice.+state.+changed )|(ment ac)|(multiple cpu faults)|(system.+state.+changed )|(\[timeout)|(PRM\|1\|D)|(kpr)|(kdp)|(\|lc)|(penalty))" /e /r /s</v>
      </c>
      <c r="AG24" s="1" t="str">
        <f t="shared" si="14"/>
        <v>EC</v>
      </c>
      <c r="AH24" s="86" t="str">
        <f t="shared" si="18"/>
        <v>"%USERPROFILE%\Documents\GitHub\eaglep3\Utilities\RefineRTDCRunTimes.py" --tripid 112-05 --locoid 4032 --swversion DE.1.0.8.0 --startMP 204:232961 --initTime 2017-02-05T05:50:45 --startdatetime 2017-02-05T05:56:16 --delay 1 --endMP 204:150 --enddatetime 2017-02-05T06:33:51 --enforcementcount 0 &gt;&gt;C:\Users\stu\Documents\GitHub\eaglep3-reporting\EC\2017-02-05-refined-times.txt</v>
      </c>
      <c r="AI24" s="108" t="str">
        <f t="shared" si="19"/>
        <v>echo {"issue":{"subject":"","project_id":79,"tracker_id":40,"status_id":1,"priority_id":2,"assigned_to_id":23,"start_date":"2017-02-05","description":"","custom_fields":[{"id":1,"name":"Subdivision","value":"EC"},{"id":4,"name":"Milepost","value":"0.015"},{"id":17,"name":"Train ID","value":"112-05"},{"id":16,"name":"Locomotive ID","value":"4032"},{"id":130,"name":"Impact","value":""},{"id":150,"name":"Time of Event (Mountain Time)","value":"06:33:51"},{"id":151,"name":"Denver Issue ID","value":""},{"id":178,"name":"Operational Impact","value":"Yes"},{"id":179,"name":"Denver Segment Assigned","value":""}]}} | curl -X POST -H "Content-Type: application/json" -H "X-Redmine-API-Key: d6333d4a04012a730768444271f8ca06482dae87" https://secure.xorail.net/redmine/issues.json --data @-</v>
      </c>
      <c r="AJ24" s="48"/>
      <c r="AK24" s="48"/>
      <c r="AL24" s="48"/>
      <c r="AM24" s="158" t="str">
        <f t="shared" si="20"/>
        <v>start /low /b %USERPROFILE%\Documents\GitHub\eaglep3\Utilities\DownloadLogsFromS3.py --loco 4032 --day 2017-02-05</v>
      </c>
      <c r="AN24" s="167" t="str">
        <f>"grep -SE -B400 ""CHR.+\|PRM\|1\|D.+(SWITCH|SIGNAL).+UNKNOWN"" "&amp;search_path&amp;"\RTDC"&amp;B24&amp;"\*"&amp;B24&amp;"*"&amp;TEXT(AVERAGE(F24,I24)-utc_offset/24,"YYYYMMDD")&amp;"*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 customFormat="1" x14ac:dyDescent="0.25">
      <c r="A25" s="33" t="s">
        <v>555</v>
      </c>
      <c r="B25" s="7">
        <v>4009</v>
      </c>
      <c r="C25" s="21" t="s">
        <v>193</v>
      </c>
      <c r="D25" s="21" t="s">
        <v>406</v>
      </c>
      <c r="E25" s="13">
        <v>42771.215011574073</v>
      </c>
      <c r="F25" s="13">
        <v>42771.219085648147</v>
      </c>
      <c r="G25" s="7">
        <v>2</v>
      </c>
      <c r="H25" s="21" t="s">
        <v>753</v>
      </c>
      <c r="I25" s="13">
        <v>42771.246134259258</v>
      </c>
      <c r="J25" s="7">
        <v>0</v>
      </c>
      <c r="K25" s="98" t="str">
        <f t="shared" si="0"/>
        <v>4009/4010</v>
      </c>
      <c r="L25" s="21" t="str">
        <f>VLOOKUP(A25,'Trips&amp;Operators'!$C$1:$G$99999,5,FALSE)</f>
        <v>OUN ZACK</v>
      </c>
      <c r="M25" s="6">
        <f t="shared" si="1"/>
        <v>2.7048611111240461E-2</v>
      </c>
      <c r="N25" s="7">
        <f t="shared" si="2"/>
        <v>38.950000000186265</v>
      </c>
      <c r="O25" s="7"/>
      <c r="P25" s="7"/>
      <c r="Q25" s="22"/>
      <c r="R25" s="22"/>
      <c r="S25" s="31">
        <f t="shared" si="3"/>
        <v>1</v>
      </c>
      <c r="T25" s="46" t="str">
        <f t="shared" si="4"/>
        <v>NorthBound</v>
      </c>
      <c r="U25" s="190">
        <f>IF(AG25="EC",COUNTIFS(Variables!$M$2:$M$19,IF(T25="NorthBound","&gt;=","&lt;=")&amp;Y25,Variables!$M$2:$M$19,IF(T25="NorthBound","&lt;=","&gt;=")&amp;Z25),COUNTIFS(Variables!$P$2:$P$19,IF(T25="NorthBound","&gt;=","&lt;=")&amp;Y25,Variables!$P$2:$P$19,IF(T25="NorthBound","&lt;=","&gt;=")&amp;Z25))</f>
        <v>12</v>
      </c>
      <c r="V25" s="191" t="str">
        <f t="shared" si="5"/>
        <v>https://d0f6bd738d7f1b3e5a7ca70fe4ff75f0.us-east-1.aws.found.io/app/kibana#/discover/Steve-Slow-Train-Analysis-(2080s-and-2083s)?_g=(refreshInterval:(display:Off,pause:!f,section:0,value:0),time:(from:'2017-02-05T04:09:37-0700',mode:absolute,to:'2017-02-05T06:54:26-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25" s="192" t="str">
        <f t="shared" si="6"/>
        <v>N</v>
      </c>
      <c r="X25" s="192">
        <f t="shared" si="7"/>
        <v>1</v>
      </c>
      <c r="Y25" s="62">
        <f t="shared" si="8"/>
        <v>4.6600000000000003E-2</v>
      </c>
      <c r="Z25" s="62">
        <f t="shared" si="9"/>
        <v>23.3353</v>
      </c>
      <c r="AA25" s="62">
        <f t="shared" si="10"/>
        <v>23.288699999999999</v>
      </c>
      <c r="AB25" s="59" t="e">
        <f>VLOOKUP(A25,Enforcements!$C$7:$K$16,8,0)</f>
        <v>#N/A</v>
      </c>
      <c r="AC25" s="55" t="e">
        <f>VLOOKUP(A25,Enforcements!$C$7:$E$16,3,0)</f>
        <v>#N/A</v>
      </c>
      <c r="AD25" s="56" t="str">
        <f t="shared" si="11"/>
        <v>0113-05</v>
      </c>
      <c r="AE25" s="85" t="str">
        <f t="shared" si="12"/>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25" s="82" t="str">
        <f t="shared" si="13"/>
        <v>"C:\Program Files (x86)\AstroGrep\AstroGrep.exe" /spath="%USERPROFILE%\AppData\Local\Temp\OnboardLogs" /stypes="app*4009*20170205*" /stext=" 12:.+((SYSTEM_STATE.+slice.+state.+changed )|(ment ac)|(multiple cpu faults)|(system.+state.+changed )|(\[timeout)|(PRM\|1\|D)|(kpr)|(kdp)|(\|lc)|(penalty))" /e /r /s</v>
      </c>
      <c r="AG25" s="1" t="str">
        <f t="shared" si="14"/>
        <v>EC</v>
      </c>
      <c r="AH25" s="86" t="str">
        <f t="shared" si="18"/>
        <v>"%USERPROFILE%\Documents\GitHub\eaglep3\Utilities\RefineRTDCRunTimes.py" --tripid 113-05 --locoid 4009 --swversion DE.1.0.8.0 --startMP 204:466 --initTime 2017-02-05T05:09:37 --startdatetime 2017-02-05T05:15:29 --delay 2 --endMP 204:233353 --enddatetime 2017-02-05T05:54:26 --enforcementcount 0 &gt;&gt;C:\Users\stu\Documents\GitHub\eaglep3-reporting\EC\2017-02-05-refined-times.txt</v>
      </c>
      <c r="AI25" s="108" t="str">
        <f t="shared" si="19"/>
        <v>echo {"issue":{"subject":"","project_id":79,"tracker_id":40,"status_id":1,"priority_id":2,"assigned_to_id":23,"start_date":"2017-02-05","description":"","custom_fields":[{"id":1,"name":"Subdivision","value":"EC"},{"id":4,"name":"Milepost","value":"23.3353"},{"id":17,"name":"Train ID","value":"113-05"},{"id":16,"name":"Locomotive ID","value":"4009"},{"id":130,"name":"Impact","value":""},{"id":150,"name":"Time of Event (Mountain Time)","value":"05:54:26"},{"id":151,"name":"Denver Issue ID","value":""},{"id":178,"name":"Operational Impact","value":"Yes"},{"id":179,"name":"Denver Segment Assigned","value":""}]}} | curl -X POST -H "Content-Type: application/json" -H "X-Redmine-API-Key: d6333d4a04012a730768444271f8ca06482dae87" https://secure.xorail.net/redmine/issues.json --data @-</v>
      </c>
      <c r="AJ25" s="48"/>
      <c r="AK25" s="48"/>
      <c r="AL25" s="48"/>
      <c r="AM25" s="158" t="str">
        <f t="shared" si="20"/>
        <v>start /low /b %USERPROFILE%\Documents\GitHub\eaglep3\Utilities\DownloadLogsFromS3.py --loco 4009 --day 2017-02-05</v>
      </c>
      <c r="AN25" s="167" t="str">
        <f>"grep -SE -B400 ""CHR.+\|PRM\|1\|D.+(SWITCH|SIGNAL).+UNKNOWN"" "&amp;search_path&amp;"\RTDC"&amp;B25&amp;"\*"&amp;B25&amp;"*"&amp;TEXT(AVERAGE(F25,I25)-utc_offset/24,"YYYYMMDD")&amp;"*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 customFormat="1" x14ac:dyDescent="0.25">
      <c r="A26" s="33" t="s">
        <v>501</v>
      </c>
      <c r="B26" s="7">
        <v>4010</v>
      </c>
      <c r="C26" s="21" t="s">
        <v>193</v>
      </c>
      <c r="D26" s="21" t="s">
        <v>754</v>
      </c>
      <c r="E26" s="13">
        <v>42771.254618055558</v>
      </c>
      <c r="F26" s="13">
        <v>42771.257824074077</v>
      </c>
      <c r="G26" s="7">
        <v>1</v>
      </c>
      <c r="H26" s="21" t="s">
        <v>213</v>
      </c>
      <c r="I26" s="13">
        <v>42771.28665509259</v>
      </c>
      <c r="J26" s="7">
        <v>0</v>
      </c>
      <c r="K26" s="98" t="str">
        <f t="shared" si="0"/>
        <v>4009/4010</v>
      </c>
      <c r="L26" s="21" t="str">
        <f>VLOOKUP(A26,'Trips&amp;Operators'!$C$1:$G$99999,5,FALSE)</f>
        <v>OUN ZACK</v>
      </c>
      <c r="M26" s="6">
        <f t="shared" si="1"/>
        <v>2.8831018513301387E-2</v>
      </c>
      <c r="N26" s="7">
        <f t="shared" si="2"/>
        <v>41.516666659153998</v>
      </c>
      <c r="O26" s="7"/>
      <c r="P26" s="7"/>
      <c r="Q26" s="22"/>
      <c r="R26" s="22"/>
      <c r="S26" s="31">
        <f t="shared" si="3"/>
        <v>1</v>
      </c>
      <c r="T26" s="46" t="str">
        <f t="shared" si="4"/>
        <v>Southbound</v>
      </c>
      <c r="U26" s="190">
        <f>IF(AG26="EC",COUNTIFS(Variables!$M$2:$M$19,IF(T26="NorthBound","&gt;=","&lt;=")&amp;Y26,Variables!$M$2:$M$19,IF(T26="NorthBound","&lt;=","&gt;=")&amp;Z26),COUNTIFS(Variables!$P$2:$P$19,IF(T26="NorthBound","&gt;=","&lt;=")&amp;Y26,Variables!$P$2:$P$19,IF(T26="NorthBound","&lt;=","&gt;=")&amp;Z26))</f>
        <v>12</v>
      </c>
      <c r="V26" s="191" t="str">
        <f t="shared" si="5"/>
        <v>https://d0f6bd738d7f1b3e5a7ca70fe4ff75f0.us-east-1.aws.found.io/app/kibana#/discover/Steve-Slow-Train-Analysis-(2080s-and-2083s)?_g=(refreshInterval:(display:Off,pause:!f,section:0,value:0),time:(from:'2017-02-05T05:06:39-0700',mode:absolute,to:'2017-02-05T07:52:47-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26" s="192" t="str">
        <f t="shared" si="6"/>
        <v>N</v>
      </c>
      <c r="X26" s="192">
        <f t="shared" si="7"/>
        <v>1</v>
      </c>
      <c r="Y26" s="62">
        <f t="shared" si="8"/>
        <v>23.3034</v>
      </c>
      <c r="Z26" s="62">
        <f t="shared" si="9"/>
        <v>1.5800000000000002E-2</v>
      </c>
      <c r="AA26" s="62">
        <f t="shared" si="10"/>
        <v>23.287600000000001</v>
      </c>
      <c r="AB26" s="59" t="str">
        <f>VLOOKUP(A26,Enforcements!$C$7:$K$16,8,0)</f>
        <v>Form based authority (4)</v>
      </c>
      <c r="AC26" s="55" t="str">
        <f>VLOOKUP(A26,Enforcements!$C$7:$E$16,3,0)</f>
        <v>TRACK WARRANT AUTHORITY</v>
      </c>
      <c r="AD26" s="56" t="str">
        <f t="shared" si="11"/>
        <v>0114-05</v>
      </c>
      <c r="AE26" s="85" t="str">
        <f t="shared" si="12"/>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26" s="82" t="str">
        <f t="shared" si="13"/>
        <v>"C:\Program Files (x86)\AstroGrep\AstroGrep.exe" /spath="%USERPROFILE%\AppData\Local\Temp\OnboardLogs" /stypes="app*4010*20170205*" /stext=" 13:.+((SYSTEM_STATE.+slice.+state.+changed )|(ment ac)|(multiple cpu faults)|(system.+state.+changed )|(\[timeout)|(PRM\|1\|D)|(kpr)|(kdp)|(\|lc)|(penalty))" /e /r /s</v>
      </c>
      <c r="AG26" s="1" t="str">
        <f t="shared" si="14"/>
        <v>EC</v>
      </c>
      <c r="AH26" s="86" t="str">
        <f t="shared" si="18"/>
        <v>"%USERPROFILE%\Documents\GitHub\eaglep3\Utilities\RefineRTDCRunTimes.py" --tripid 114-05 --locoid 4010 --swversion DE.1.0.8.0 --startMP 204:233034 --initTime 2017-02-05T06:06:39 --startdatetime 2017-02-05T06:11:16 --delay 1 --endMP 204:158 --enddatetime 2017-02-05T06:52:47 --enforcementcount 0 &gt;&gt;C:\Users\stu\Documents\GitHub\eaglep3-reporting\EC\2017-02-05-refined-times.txt</v>
      </c>
      <c r="AI26" s="108" t="str">
        <f t="shared" si="19"/>
        <v>echo {"issue":{"subject":"","project_id":79,"tracker_id":40,"status_id":1,"priority_id":2,"assigned_to_id":23,"start_date":"2017-02-05","description":"","custom_fields":[{"id":1,"name":"Subdivision","value":"EC"},{"id":4,"name":"Milepost","value":"0.0158"},{"id":17,"name":"Train ID","value":"114-05"},{"id":16,"name":"Locomotive ID","value":"4010"},{"id":130,"name":"Impact","value":""},{"id":150,"name":"Time of Event (Mountain Time)","value":"06:52:47"},{"id":151,"name":"Denver Issue ID","value":""},{"id":178,"name":"Operational Impact","value":"Yes"},{"id":179,"name":"Denver Segment Assigned","value":""}]}} | curl -X POST -H "Content-Type: application/json" -H "X-Redmine-API-Key: d6333d4a04012a730768444271f8ca06482dae87" https://secure.xorail.net/redmine/issues.json --data @-</v>
      </c>
      <c r="AJ26" s="48"/>
      <c r="AK26" s="48"/>
      <c r="AL26" s="48"/>
      <c r="AM26" s="158" t="str">
        <f t="shared" si="20"/>
        <v>start /low /b %USERPROFILE%\Documents\GitHub\eaglep3\Utilities\DownloadLogsFromS3.py --loco 4010 --day 2017-02-05</v>
      </c>
      <c r="AN26" s="167" t="str">
        <f>"grep -SE -B400 ""CHR.+\|PRM\|1\|D.+(SWITCH|SIGNAL).+UNKNOWN"" "&amp;search_path&amp;"\RTDC"&amp;B26&amp;"\*"&amp;B26&amp;"*"&amp;TEXT(AVERAGE(F26,I26)-utc_offset/24,"YYYYMMDD")&amp;"*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 customFormat="1" x14ac:dyDescent="0.25">
      <c r="A27" s="33" t="s">
        <v>558</v>
      </c>
      <c r="B27" s="7">
        <v>4040</v>
      </c>
      <c r="C27" s="21" t="s">
        <v>193</v>
      </c>
      <c r="D27" s="21" t="s">
        <v>755</v>
      </c>
      <c r="E27" s="13">
        <v>42771.226759259262</v>
      </c>
      <c r="F27" s="13">
        <v>42771.229351851849</v>
      </c>
      <c r="G27" s="7">
        <v>1</v>
      </c>
      <c r="H27" s="21" t="s">
        <v>756</v>
      </c>
      <c r="I27" s="13">
        <v>42771.255624999998</v>
      </c>
      <c r="J27" s="7">
        <v>0</v>
      </c>
      <c r="K27" s="98" t="str">
        <f t="shared" si="0"/>
        <v>4039/4040</v>
      </c>
      <c r="L27" s="21" t="str">
        <f>VLOOKUP(A27,'Trips&amp;Operators'!$C$1:$G$99999,5,FALSE)</f>
        <v>SHOOK JOHN</v>
      </c>
      <c r="M27" s="6">
        <f t="shared" si="1"/>
        <v>2.6273148148902692E-2</v>
      </c>
      <c r="N27" s="7">
        <f t="shared" si="2"/>
        <v>37.833333334419876</v>
      </c>
      <c r="O27" s="7"/>
      <c r="P27" s="7"/>
      <c r="Q27" s="22"/>
      <c r="R27" s="22"/>
      <c r="S27" s="31">
        <f t="shared" si="3"/>
        <v>1</v>
      </c>
      <c r="T27" s="46" t="str">
        <f t="shared" si="4"/>
        <v>NorthBound</v>
      </c>
      <c r="U27" s="190">
        <f>IF(AG27="EC",COUNTIFS(Variables!$M$2:$M$19,IF(T27="NorthBound","&gt;=","&lt;=")&amp;Y27,Variables!$M$2:$M$19,IF(T27="NorthBound","&lt;=","&gt;=")&amp;Z27),COUNTIFS(Variables!$P$2:$P$19,IF(T27="NorthBound","&gt;=","&lt;=")&amp;Y27,Variables!$P$2:$P$19,IF(T27="NorthBound","&lt;=","&gt;=")&amp;Z27))</f>
        <v>12</v>
      </c>
      <c r="V27" s="191" t="str">
        <f t="shared" si="5"/>
        <v>https://d0f6bd738d7f1b3e5a7ca70fe4ff75f0.us-east-1.aws.found.io/app/kibana#/discover/Steve-Slow-Train-Analysis-(2080s-and-2083s)?_g=(refreshInterval:(display:Off,pause:!f,section:0,value:0),time:(from:'2017-02-05T04:26:32-0700',mode:absolute,to:'2017-02-05T07:08:06-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27" s="192" t="str">
        <f t="shared" si="6"/>
        <v>N</v>
      </c>
      <c r="X27" s="192">
        <f t="shared" si="7"/>
        <v>1</v>
      </c>
      <c r="Y27" s="62">
        <f t="shared" si="8"/>
        <v>7.4300000000000005E-2</v>
      </c>
      <c r="Z27" s="62">
        <f t="shared" si="9"/>
        <v>23.332599999999999</v>
      </c>
      <c r="AA27" s="62">
        <f t="shared" si="10"/>
        <v>23.258299999999998</v>
      </c>
      <c r="AB27" s="59" t="e">
        <f>VLOOKUP(A27,Enforcements!$C$7:$K$16,8,0)</f>
        <v>#N/A</v>
      </c>
      <c r="AC27" s="55" t="e">
        <f>VLOOKUP(A27,Enforcements!$C$7:$E$16,3,0)</f>
        <v>#N/A</v>
      </c>
      <c r="AD27" s="56" t="str">
        <f t="shared" si="11"/>
        <v>0115-05</v>
      </c>
      <c r="AE27" s="85" t="str">
        <f t="shared" si="12"/>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27" s="82" t="str">
        <f t="shared" si="13"/>
        <v>"C:\Program Files (x86)\AstroGrep\AstroGrep.exe" /spath="%USERPROFILE%\AppData\Local\Temp\OnboardLogs" /stypes="app*4040*20170205*" /stext=" 13:.+((SYSTEM_STATE.+slice.+state.+changed )|(ment ac)|(multiple cpu faults)|(system.+state.+changed )|(\[timeout)|(PRM\|1\|D)|(kpr)|(kdp)|(\|lc)|(penalty))" /e /r /s</v>
      </c>
      <c r="AG27" s="1" t="str">
        <f t="shared" si="14"/>
        <v>EC</v>
      </c>
      <c r="AH27" s="86" t="str">
        <f t="shared" si="18"/>
        <v>"%USERPROFILE%\Documents\GitHub\eaglep3\Utilities\RefineRTDCRunTimes.py" --tripid 115-05 --locoid 4040 --swversion DE.1.0.8.0 --startMP 204:743 --initTime 2017-02-05T05:26:32 --startdatetime 2017-02-05T05:30:16 --delay 1 --endMP 204:233326 --enddatetime 2017-02-05T06:08:06 --enforcementcount 0 &gt;&gt;C:\Users\stu\Documents\GitHub\eaglep3-reporting\EC\2017-02-05-refined-times.txt</v>
      </c>
      <c r="AI27" s="108" t="str">
        <f t="shared" si="19"/>
        <v>echo {"issue":{"subject":"","project_id":79,"tracker_id":40,"status_id":1,"priority_id":2,"assigned_to_id":23,"start_date":"2017-02-05","description":"","custom_fields":[{"id":1,"name":"Subdivision","value":"EC"},{"id":4,"name":"Milepost","value":"23.3326"},{"id":17,"name":"Train ID","value":"115-05"},{"id":16,"name":"Locomotive ID","value":"4040"},{"id":130,"name":"Impact","value":""},{"id":150,"name":"Time of Event (Mountain Time)","value":"06:08:06"},{"id":151,"name":"Denver Issue ID","value":""},{"id":178,"name":"Operational Impact","value":"Yes"},{"id":179,"name":"Denver Segment Assigned","value":""}]}} | curl -X POST -H "Content-Type: application/json" -H "X-Redmine-API-Key: d6333d4a04012a730768444271f8ca06482dae87" https://secure.xorail.net/redmine/issues.json --data @-</v>
      </c>
      <c r="AJ27" s="48"/>
      <c r="AK27" s="48"/>
      <c r="AL27" s="48"/>
      <c r="AM27" s="158" t="str">
        <f t="shared" si="20"/>
        <v>start /low /b %USERPROFILE%\Documents\GitHub\eaglep3\Utilities\DownloadLogsFromS3.py --loco 4040 --day 2017-02-05</v>
      </c>
      <c r="AN27" s="167" t="str">
        <f>"grep -SE -B400 ""CHR.+\|PRM\|1\|D.+(SWITCH|SIGNAL).+UNKNOWN"" "&amp;search_path&amp;"\RTDC"&amp;B27&amp;"\*"&amp;B27&amp;"*"&amp;TEXT(AVERAGE(F27,I27)-utc_offset/24,"YYYYMMDD")&amp;"* | grep -SE ""(Enforcement Action)|(\[TIMEOUT)|(CHR.+\|PRM\|1\|D.+(SWITCH|SIGNAL).+UNKNOWN)"" - &gt;&gt; "&amp;TEXT(Variables!$A$2,"YYYY-MM-DD")&amp;"-UncaughtWiMAX.txt"</f>
        <v>grep -SE -B400 "CHR.+\|PRM\|1\|D.+(SWITCH|SIGNAL).+UNKNOWN" "%USERPROFILE%\AppData\Local\Temp\OnboardLogs"\RTDC4040\*4040*20170205* | grep -SE "(Enforcement Action)|(\[TIMEOUT)|(CHR.+\|PRM\|1\|D.+(SWITCH|SIGNAL).+UNKNOWN)" - &gt;&gt; 2017-02-05-UncaughtWiMAX.txt</v>
      </c>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 customFormat="1" x14ac:dyDescent="0.25">
      <c r="A28" s="33" t="s">
        <v>567</v>
      </c>
      <c r="B28" s="7">
        <v>4039</v>
      </c>
      <c r="C28" s="21" t="s">
        <v>193</v>
      </c>
      <c r="D28" s="21" t="s">
        <v>757</v>
      </c>
      <c r="E28" s="13">
        <v>42771.257569444446</v>
      </c>
      <c r="F28" s="13">
        <v>42771.268240740741</v>
      </c>
      <c r="G28" s="7">
        <v>16</v>
      </c>
      <c r="H28" s="21" t="s">
        <v>758</v>
      </c>
      <c r="I28" s="13">
        <v>42771.29587962963</v>
      </c>
      <c r="J28" s="7">
        <v>0</v>
      </c>
      <c r="K28" s="98" t="str">
        <f t="shared" si="0"/>
        <v>4039/4040</v>
      </c>
      <c r="L28" s="21" t="str">
        <f>VLOOKUP(A28,'Trips&amp;Operators'!$C$1:$G$99999,5,FALSE)</f>
        <v>SHOOK JOHN</v>
      </c>
      <c r="M28" s="6">
        <f t="shared" si="1"/>
        <v>2.7638888888759539E-2</v>
      </c>
      <c r="N28" s="7">
        <f t="shared" si="2"/>
        <v>39.799999999813735</v>
      </c>
      <c r="O28" s="7"/>
      <c r="P28" s="7"/>
      <c r="Q28" s="22"/>
      <c r="R28" s="22"/>
      <c r="S28" s="31">
        <f t="shared" si="3"/>
        <v>1</v>
      </c>
      <c r="T28" s="46" t="str">
        <f t="shared" si="4"/>
        <v>Southbound</v>
      </c>
      <c r="U28" s="190">
        <f>IF(AG28="EC",COUNTIFS(Variables!$M$2:$M$19,IF(T28="NorthBound","&gt;=","&lt;=")&amp;Y28,Variables!$M$2:$M$19,IF(T28="NorthBound","&lt;=","&gt;=")&amp;Z28),COUNTIFS(Variables!$P$2:$P$19,IF(T28="NorthBound","&gt;=","&lt;=")&amp;Y28,Variables!$P$2:$P$19,IF(T28="NorthBound","&lt;=","&gt;=")&amp;Z28))</f>
        <v>12</v>
      </c>
      <c r="V28" s="191" t="str">
        <f t="shared" si="5"/>
        <v>https://d0f6bd738d7f1b3e5a7ca70fe4ff75f0.us-east-1.aws.found.io/app/kibana#/discover/Steve-Slow-Train-Analysis-(2080s-and-2083s)?_g=(refreshInterval:(display:Off,pause:!f,section:0,value:0),time:(from:'2017-02-05T05:10:54-0700',mode:absolute,to:'2017-02-05T08:06:04-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28" s="192" t="str">
        <f t="shared" si="6"/>
        <v>N</v>
      </c>
      <c r="X28" s="192">
        <f t="shared" ref="X28:X31" si="21">VALUE(LEFT(AD28,4))-VALUE(LEFT(AD27,4))</f>
        <v>1</v>
      </c>
      <c r="Y28" s="62">
        <f t="shared" si="8"/>
        <v>23.1083</v>
      </c>
      <c r="Z28" s="62">
        <f t="shared" si="9"/>
        <v>1.61E-2</v>
      </c>
      <c r="AA28" s="62">
        <f t="shared" si="10"/>
        <v>23.092199999999998</v>
      </c>
      <c r="AB28" s="59" t="e">
        <f>VLOOKUP(A28,Enforcements!$C$7:$K$16,8,0)</f>
        <v>#N/A</v>
      </c>
      <c r="AC28" s="55" t="e">
        <f>VLOOKUP(A28,Enforcements!$C$7:$E$16,3,0)</f>
        <v>#N/A</v>
      </c>
      <c r="AD28" s="56" t="str">
        <f t="shared" si="11"/>
        <v>0116-05</v>
      </c>
      <c r="AE28" s="85" t="str">
        <f t="shared" si="12"/>
        <v>aws s3 cp s3://rtdc.mdm.uploadarchive.raw/RTDC4039/ "%USERPROFILE%\AppData\Local\Temp\OnboardLogs"\RTDC4039\2017-02-05 --exclude "*" --recursive --include "*20170205*" &amp; "%USERPROFILE%\Documents\GitHub\mrs-test-scripts\Headless Mode &amp; Sideloading\WalkAndUnGZ.bat" "%USERPROFILE%\AppData\Local\Temp\OnboardLogs"\RTDC4039\2017-02-05 &amp; aws s3 cp s3://rtdc.mdm.uploadarchive.raw/RTDC4039/ "%USERPROFILE%\AppData\Local\Temp\OnboardLogs"\RTDC4039\2017-02-06 --exclude "*" --recursive --include "*20170206*" &amp; "%USERPROFILE%\Documents\GitHub\mrs-test-scripts\Headless Mode &amp; Sideloading\WalkAndUnGZ.bat" "%USERPROFILE%\AppData\Local\Temp\OnboardLogs"\RTDC4039\2017-02-06</v>
      </c>
      <c r="AF28" s="82" t="str">
        <f t="shared" si="13"/>
        <v>"C:\Program Files (x86)\AstroGrep\AstroGrep.exe" /spath="%USERPROFILE%\AppData\Local\Temp\OnboardLogs" /stypes="app*4039*20170205*" /stext=" 14:.+((SYSTEM_STATE.+slice.+state.+changed )|(ment ac)|(multiple cpu faults)|(system.+state.+changed )|(\[timeout)|(PRM\|1\|D)|(kpr)|(kdp)|(\|lc)|(penalty))" /e /r /s</v>
      </c>
      <c r="AG28" s="1" t="str">
        <f t="shared" si="14"/>
        <v>EC</v>
      </c>
      <c r="AH28" s="86" t="str">
        <f t="shared" si="18"/>
        <v>"%USERPROFILE%\Documents\GitHub\eaglep3\Utilities\RefineRTDCRunTimes.py" --tripid 116-05 --locoid 4039 --swversion DE.1.0.8.0 --startMP 204:231083 --initTime 2017-02-05T06:10:54 --startdatetime 2017-02-05T06:26:16 --delay 16 --endMP 204:161 --enddatetime 2017-02-05T07:06:04 --enforcementcount 0 &gt;&gt;C:\Users\stu\Documents\GitHub\eaglep3-reporting\EC\2017-02-05-refined-times.txt</v>
      </c>
      <c r="AI28" s="108" t="str">
        <f t="shared" si="19"/>
        <v>echo {"issue":{"subject":"","project_id":79,"tracker_id":40,"status_id":1,"priority_id":2,"assigned_to_id":23,"start_date":"2017-02-05","description":"","custom_fields":[{"id":1,"name":"Subdivision","value":"EC"},{"id":4,"name":"Milepost","value":"0.0161"},{"id":17,"name":"Train ID","value":"116-05"},{"id":16,"name":"Locomotive ID","value":"4039"},{"id":130,"name":"Impact","value":""},{"id":150,"name":"Time of Event (Mountain Time)","value":"07:06:04"},{"id":151,"name":"Denver Issue ID","value":""},{"id":178,"name":"Operational Impact","value":"Yes"},{"id":179,"name":"Denver Segment Assigned","value":""}]}} | curl -X POST -H "Content-Type: application/json" -H "X-Redmine-API-Key: d6333d4a04012a730768444271f8ca06482dae87" https://secure.xorail.net/redmine/issues.json --data @-</v>
      </c>
      <c r="AJ28" s="48"/>
      <c r="AK28" s="48"/>
      <c r="AL28" s="48"/>
      <c r="AM28" s="158" t="str">
        <f t="shared" si="20"/>
        <v>start /low /b %USERPROFILE%\Documents\GitHub\eaglep3\Utilities\DownloadLogsFromS3.py --loco 4039 --day 2017-02-05</v>
      </c>
      <c r="AN28" s="167" t="str">
        <f>"grep -SE -B400 ""CHR.+\|PRM\|1\|D.+(SWITCH|SIGNAL).+UNKNOWN"" "&amp;search_path&amp;"\RTDC"&amp;B28&amp;"\*"&amp;B28&amp;"*"&amp;TEXT(AVERAGE(F28,I28)-utc_offset/24,"YYYYMMDD")&amp;"* | grep -SE ""(Enforcement Action)|(\[TIMEOUT)|(CHR.+\|PRM\|1\|D.+(SWITCH|SIGNAL).+UNKNOWN)"" - &gt;&gt; "&amp;TEXT(Variables!$A$2,"YYYY-MM-DD")&amp;"-UncaughtWiMAX.txt"</f>
        <v>grep -SE -B400 "CHR.+\|PRM\|1\|D.+(SWITCH|SIGNAL).+UNKNOWN" "%USERPROFILE%\AppData\Local\Temp\OnboardLogs"\RTDC4039\*4039*20170205* | grep -SE "(Enforcement Action)|(\[TIMEOUT)|(CHR.+\|PRM\|1\|D.+(SWITCH|SIGNAL).+UNKNOWN)" - &gt;&gt; 2017-02-05-UncaughtWiMAX.txt</v>
      </c>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 customFormat="1" x14ac:dyDescent="0.25">
      <c r="A29" s="33" t="s">
        <v>559</v>
      </c>
      <c r="B29" s="7">
        <v>4025</v>
      </c>
      <c r="C29" s="21" t="s">
        <v>193</v>
      </c>
      <c r="D29" s="21" t="s">
        <v>760</v>
      </c>
      <c r="E29" s="13">
        <v>42771.227638888886</v>
      </c>
      <c r="F29" s="13">
        <v>42771.239837962959</v>
      </c>
      <c r="G29" s="7">
        <v>1</v>
      </c>
      <c r="H29" s="21" t="s">
        <v>416</v>
      </c>
      <c r="I29" s="13">
        <v>42771.265810185185</v>
      </c>
      <c r="J29" s="7">
        <v>0</v>
      </c>
      <c r="K29" s="98" t="str">
        <f t="shared" si="0"/>
        <v>4025/4026</v>
      </c>
      <c r="L29" s="21" t="str">
        <f>VLOOKUP(A29,'Trips&amp;Operators'!$C$1:$G$99999,5,FALSE)</f>
        <v>MAELZER KURT</v>
      </c>
      <c r="M29" s="6">
        <f t="shared" si="1"/>
        <v>2.5972222225391306E-2</v>
      </c>
      <c r="N29" s="7">
        <f t="shared" si="2"/>
        <v>37.400000004563481</v>
      </c>
      <c r="O29" s="7"/>
      <c r="P29" s="7"/>
      <c r="Q29" s="22"/>
      <c r="R29" s="22"/>
      <c r="S29" s="31">
        <f t="shared" si="3"/>
        <v>1</v>
      </c>
      <c r="T29" s="46" t="str">
        <f t="shared" si="4"/>
        <v>NorthBound</v>
      </c>
      <c r="U29" s="190">
        <f>IF(AG29="EC",COUNTIFS(Variables!$M$2:$M$19,IF(T29="NorthBound","&gt;=","&lt;=")&amp;Y29,Variables!$M$2:$M$19,IF(T29="NorthBound","&lt;=","&gt;=")&amp;Z29),COUNTIFS(Variables!$P$2:$P$19,IF(T29="NorthBound","&gt;=","&lt;=")&amp;Y29,Variables!$P$2:$P$19,IF(T29="NorthBound","&lt;=","&gt;=")&amp;Z29))</f>
        <v>12</v>
      </c>
      <c r="V29" s="191" t="str">
        <f t="shared" si="5"/>
        <v>https://d0f6bd738d7f1b3e5a7ca70fe4ff75f0.us-east-1.aws.found.io/app/kibana#/discover/Steve-Slow-Train-Analysis-(2080s-and-2083s)?_g=(refreshInterval:(display:Off,pause:!f,section:0,value:0),time:(from:'2017-02-05T04:27:48-0700',mode:absolute,to:'2017-02-05T07:22:46-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29" s="192" t="str">
        <f t="shared" si="6"/>
        <v>N</v>
      </c>
      <c r="X29" s="192">
        <f t="shared" si="21"/>
        <v>1</v>
      </c>
      <c r="Y29" s="62">
        <f t="shared" si="8"/>
        <v>4.3999999999999997E-2</v>
      </c>
      <c r="Z29" s="62">
        <f t="shared" si="9"/>
        <v>23.331399999999999</v>
      </c>
      <c r="AA29" s="62">
        <f t="shared" si="10"/>
        <v>23.287399999999998</v>
      </c>
      <c r="AB29" s="59" t="e">
        <f>VLOOKUP(A29,Enforcements!$C$7:$K$16,8,0)</f>
        <v>#N/A</v>
      </c>
      <c r="AC29" s="55" t="e">
        <f>VLOOKUP(A29,Enforcements!$C$7:$E$16,3,0)</f>
        <v>#N/A</v>
      </c>
      <c r="AD29" s="56" t="str">
        <f t="shared" si="11"/>
        <v>0117-05</v>
      </c>
      <c r="AE29" s="85" t="str">
        <f t="shared" si="12"/>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29" s="82" t="str">
        <f t="shared" si="13"/>
        <v>"C:\Program Files (x86)\AstroGrep\AstroGrep.exe" /spath="%USERPROFILE%\AppData\Local\Temp\OnboardLogs" /stypes="app*4025*20170205*" /stext=" 13:.+((SYSTEM_STATE.+slice.+state.+changed )|(ment ac)|(multiple cpu faults)|(system.+state.+changed )|(\[timeout)|(PRM\|1\|D)|(kpr)|(kdp)|(\|lc)|(penalty))" /e /r /s</v>
      </c>
      <c r="AG29" s="1" t="str">
        <f t="shared" si="14"/>
        <v>EC</v>
      </c>
      <c r="AH29" s="86" t="str">
        <f t="shared" si="18"/>
        <v>"%USERPROFILE%\Documents\GitHub\eaglep3\Utilities\RefineRTDCRunTimes.py" --tripid 117-05 --locoid 4025 --swversion DE.1.0.8.0 --startMP 204:440 --initTime 2017-02-05T05:27:48 --startdatetime 2017-02-05T05:45:22 --delay 1 --endMP 204:233314 --enddatetime 2017-02-05T06:22:46 --enforcementcount 0 &gt;&gt;C:\Users\stu\Documents\GitHub\eaglep3-reporting\EC\2017-02-05-refined-times.txt</v>
      </c>
      <c r="AI29" s="108" t="str">
        <f t="shared" si="19"/>
        <v>echo {"issue":{"subject":"","project_id":79,"tracker_id":40,"status_id":1,"priority_id":2,"assigned_to_id":23,"start_date":"2017-02-05","description":"","custom_fields":[{"id":1,"name":"Subdivision","value":"EC"},{"id":4,"name":"Milepost","value":"23.3314"},{"id":17,"name":"Train ID","value":"117-05"},{"id":16,"name":"Locomotive ID","value":"4025"},{"id":130,"name":"Impact","value":""},{"id":150,"name":"Time of Event (Mountain Time)","value":"06:22:46"},{"id":151,"name":"Denver Issue ID","value":""},{"id":178,"name":"Operational Impact","value":"Yes"},{"id":179,"name":"Denver Segment Assigned","value":""}]}} | curl -X POST -H "Content-Type: application/json" -H "X-Redmine-API-Key: d6333d4a04012a730768444271f8ca06482dae87" https://secure.xorail.net/redmine/issues.json --data @-</v>
      </c>
      <c r="AJ29" s="48"/>
      <c r="AK29" s="48"/>
      <c r="AL29" s="48"/>
      <c r="AM29" s="158" t="str">
        <f t="shared" si="20"/>
        <v>start /low /b %USERPROFILE%\Documents\GitHub\eaglep3\Utilities\DownloadLogsFromS3.py --loco 4025 --day 2017-02-05</v>
      </c>
      <c r="AN29" s="167" t="str">
        <f>"grep -SE -B400 ""CHR.+\|PRM\|1\|D.+(SWITCH|SIGNAL).+UNKNOWN"" "&amp;search_path&amp;"\RTDC"&amp;B29&amp;"\*"&amp;B29&amp;"*"&amp;TEXT(AVERAGE(F29,I29)-utc_offset/24,"YYYYMMDD")&amp;"*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 customFormat="1" x14ac:dyDescent="0.25">
      <c r="A30" s="33" t="s">
        <v>569</v>
      </c>
      <c r="B30" s="7">
        <v>4026</v>
      </c>
      <c r="C30" s="21" t="s">
        <v>193</v>
      </c>
      <c r="D30" s="21" t="s">
        <v>366</v>
      </c>
      <c r="E30" s="13">
        <v>42771.270509259259</v>
      </c>
      <c r="F30" s="13">
        <v>42771.278969907406</v>
      </c>
      <c r="G30" s="7">
        <v>1</v>
      </c>
      <c r="H30" s="21" t="s">
        <v>307</v>
      </c>
      <c r="I30" s="13">
        <v>42771.305243055554</v>
      </c>
      <c r="J30" s="7">
        <v>0</v>
      </c>
      <c r="K30" s="98" t="str">
        <f t="shared" si="0"/>
        <v>4025/4026</v>
      </c>
      <c r="L30" s="21" t="str">
        <f>VLOOKUP(A30,'Trips&amp;Operators'!$C$1:$G$99999,5,FALSE)</f>
        <v>MAELZER KURT</v>
      </c>
      <c r="M30" s="6">
        <f t="shared" si="1"/>
        <v>2.6273148148902692E-2</v>
      </c>
      <c r="N30" s="7">
        <f t="shared" si="2"/>
        <v>37.833333334419876</v>
      </c>
      <c r="O30" s="7"/>
      <c r="P30" s="7"/>
      <c r="Q30" s="22"/>
      <c r="R30" s="22"/>
      <c r="S30" s="31">
        <f t="shared" si="3"/>
        <v>1</v>
      </c>
      <c r="T30" s="46" t="str">
        <f t="shared" si="4"/>
        <v>Southbound</v>
      </c>
      <c r="U30" s="190">
        <f>IF(AG30="EC",COUNTIFS(Variables!$M$2:$M$19,IF(T30="NorthBound","&gt;=","&lt;=")&amp;Y30,Variables!$M$2:$M$19,IF(T30="NorthBound","&lt;=","&gt;=")&amp;Z30),COUNTIFS(Variables!$P$2:$P$19,IF(T30="NorthBound","&gt;=","&lt;=")&amp;Y30,Variables!$P$2:$P$19,IF(T30="NorthBound","&lt;=","&gt;=")&amp;Z30))</f>
        <v>12</v>
      </c>
      <c r="V30" s="191" t="str">
        <f t="shared" si="5"/>
        <v>https://d0f6bd738d7f1b3e5a7ca70fe4ff75f0.us-east-1.aws.found.io/app/kibana#/discover/Steve-Slow-Train-Analysis-(2080s-and-2083s)?_g=(refreshInterval:(display:Off,pause:!f,section:0,value:0),time:(from:'2017-02-05T05:29:32-0700',mode:absolute,to:'2017-02-05T08:19: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30" s="192" t="str">
        <f t="shared" si="6"/>
        <v>N</v>
      </c>
      <c r="X30" s="192">
        <f t="shared" si="21"/>
        <v>1</v>
      </c>
      <c r="Y30" s="62">
        <f t="shared" si="8"/>
        <v>23.299600000000002</v>
      </c>
      <c r="Z30" s="62">
        <f t="shared" si="9"/>
        <v>1.3899999999999999E-2</v>
      </c>
      <c r="AA30" s="62">
        <f t="shared" si="10"/>
        <v>23.285700000000002</v>
      </c>
      <c r="AB30" s="59" t="e">
        <f>VLOOKUP(A30,Enforcements!$C$7:$K$16,8,0)</f>
        <v>#N/A</v>
      </c>
      <c r="AC30" s="55" t="e">
        <f>VLOOKUP(A30,Enforcements!$C$7:$E$16,3,0)</f>
        <v>#N/A</v>
      </c>
      <c r="AD30" s="56" t="str">
        <f t="shared" si="11"/>
        <v>0118-05</v>
      </c>
      <c r="AE30" s="85" t="str">
        <f t="shared" si="12"/>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30" s="82" t="str">
        <f t="shared" si="13"/>
        <v>"C:\Program Files (x86)\AstroGrep\AstroGrep.exe" /spath="%USERPROFILE%\AppData\Local\Temp\OnboardLogs" /stypes="app*4026*20170205*" /stext=" 14:.+((SYSTEM_STATE.+slice.+state.+changed )|(ment ac)|(multiple cpu faults)|(system.+state.+changed )|(\[timeout)|(PRM\|1\|D)|(kpr)|(kdp)|(\|lc)|(penalty))" /e /r /s</v>
      </c>
      <c r="AG30" s="1" t="str">
        <f t="shared" si="14"/>
        <v>EC</v>
      </c>
      <c r="AH30" s="86" t="str">
        <f t="shared" si="18"/>
        <v>"%USERPROFILE%\Documents\GitHub\eaglep3\Utilities\RefineRTDCRunTimes.py" --tripid 118-05 --locoid 4026 --swversion DE.1.0.8.0 --startMP 204:232996 --initTime 2017-02-05T06:29:32 --startdatetime 2017-02-05T06:41:43 --delay 1 --endMP 204:139 --enddatetime 2017-02-05T07:19:33 --enforcementcount 0 &gt;&gt;C:\Users\stu\Documents\GitHub\eaglep3-reporting\EC\2017-02-05-refined-times.txt</v>
      </c>
      <c r="AI30" s="108" t="str">
        <f t="shared" si="19"/>
        <v>echo {"issue":{"subject":"","project_id":79,"tracker_id":40,"status_id":1,"priority_id":2,"assigned_to_id":23,"start_date":"2017-02-05","description":"","custom_fields":[{"id":1,"name":"Subdivision","value":"EC"},{"id":4,"name":"Milepost","value":"0.0139"},{"id":17,"name":"Train ID","value":"118-05"},{"id":16,"name":"Locomotive ID","value":"4026"},{"id":130,"name":"Impact","value":""},{"id":150,"name":"Time of Event (Mountain Time)","value":"07:19:33"},{"id":151,"name":"Denver Issue ID","value":""},{"id":178,"name":"Operational Impact","value":"Yes"},{"id":179,"name":"Denver Segment Assigned","value":""}]}} | curl -X POST -H "Content-Type: application/json" -H "X-Redmine-API-Key: d6333d4a04012a730768444271f8ca06482dae87" https://secure.xorail.net/redmine/issues.json --data @-</v>
      </c>
      <c r="AJ30" s="48"/>
      <c r="AK30" s="48"/>
      <c r="AL30" s="48"/>
      <c r="AM30" s="158" t="str">
        <f t="shared" si="20"/>
        <v>start /low /b %USERPROFILE%\Documents\GitHub\eaglep3\Utilities\DownloadLogsFromS3.py --loco 4026 --day 2017-02-05</v>
      </c>
      <c r="AN30" s="167" t="str">
        <f>"grep -SE -B400 ""CHR.+\|PRM\|1\|D.+(SWITCH|SIGNAL).+UNKNOWN"" "&amp;search_path&amp;"\RTDC"&amp;B30&amp;"\*"&amp;B30&amp;"*"&amp;TEXT(AVERAGE(F30,I30)-utc_offset/24,"YYYYMMDD")&amp;"*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 customFormat="1" x14ac:dyDescent="0.25">
      <c r="A31" s="33" t="s">
        <v>500</v>
      </c>
      <c r="B31" s="7">
        <v>4016</v>
      </c>
      <c r="C31" s="21" t="s">
        <v>193</v>
      </c>
      <c r="D31" s="21" t="s">
        <v>421</v>
      </c>
      <c r="E31" s="13">
        <v>42771.249131944445</v>
      </c>
      <c r="F31" s="13">
        <v>42771.251030092593</v>
      </c>
      <c r="G31" s="7">
        <v>1</v>
      </c>
      <c r="H31" s="21" t="s">
        <v>761</v>
      </c>
      <c r="I31" s="13">
        <v>42771.282546296294</v>
      </c>
      <c r="J31" s="7">
        <v>0</v>
      </c>
      <c r="K31" s="98" t="str">
        <f t="shared" si="0"/>
        <v>4015/4016</v>
      </c>
      <c r="L31" s="21" t="str">
        <f>VLOOKUP(A31,'Trips&amp;Operators'!$C$1:$G$99999,5,FALSE)</f>
        <v>BADERTSCHER DIANE</v>
      </c>
      <c r="M31" s="6">
        <f t="shared" si="1"/>
        <v>3.1516203700448386E-2</v>
      </c>
      <c r="N31" s="7">
        <f t="shared" si="2"/>
        <v>45.383333328645676</v>
      </c>
      <c r="O31" s="7"/>
      <c r="P31" s="7"/>
      <c r="Q31" s="22"/>
      <c r="R31" s="22"/>
      <c r="S31" s="31">
        <f t="shared" si="3"/>
        <v>1</v>
      </c>
      <c r="T31" s="46" t="str">
        <f t="shared" si="4"/>
        <v>NorthBound</v>
      </c>
      <c r="U31" s="190">
        <f>IF(AG31="EC",COUNTIFS(Variables!$M$2:$M$19,IF(T31="NorthBound","&gt;=","&lt;=")&amp;Y31,Variables!$M$2:$M$19,IF(T31="NorthBound","&lt;=","&gt;=")&amp;Z31),COUNTIFS(Variables!$P$2:$P$19,IF(T31="NorthBound","&gt;=","&lt;=")&amp;Y31,Variables!$P$2:$P$19,IF(T31="NorthBound","&lt;=","&gt;=")&amp;Z31))</f>
        <v>12</v>
      </c>
      <c r="V31" s="191" t="str">
        <f t="shared" si="5"/>
        <v>https://d0f6bd738d7f1b3e5a7ca70fe4ff75f0.us-east-1.aws.found.io/app/kibana#/discover/Steve-Slow-Train-Analysis-(2080s-and-2083s)?_g=(refreshInterval:(display:Off,pause:!f,section:0,value:0),time:(from:'2017-02-05T04:58:45-0700',mode:absolute,to:'2017-02-05T07:46:52-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31" s="192" t="str">
        <f t="shared" si="6"/>
        <v>N</v>
      </c>
      <c r="X31" s="192">
        <f t="shared" si="21"/>
        <v>1</v>
      </c>
      <c r="Y31" s="62">
        <f t="shared" si="8"/>
        <v>7.1199999999999999E-2</v>
      </c>
      <c r="Z31" s="62">
        <f t="shared" si="9"/>
        <v>23.325900000000001</v>
      </c>
      <c r="AA31" s="62">
        <f t="shared" si="10"/>
        <v>23.2547</v>
      </c>
      <c r="AB31" s="59" t="str">
        <f>VLOOKUP(A31,Enforcements!$C$7:$K$16,8,0)</f>
        <v>Signal based authority (5)</v>
      </c>
      <c r="AC31" s="55" t="str">
        <f>VLOOKUP(A31,Enforcements!$C$7:$E$16,3,0)</f>
        <v>SIGNAL</v>
      </c>
      <c r="AD31" s="56" t="str">
        <f t="shared" si="11"/>
        <v>0119-05</v>
      </c>
      <c r="AE31" s="85" t="str">
        <f t="shared" si="12"/>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31" s="82" t="str">
        <f t="shared" si="13"/>
        <v>"C:\Program Files (x86)\AstroGrep\AstroGrep.exe" /spath="%USERPROFILE%\AppData\Local\Temp\OnboardLogs" /stypes="app*4016*20170205*" /stext=" 13:.+((SYSTEM_STATE.+slice.+state.+changed )|(ment ac)|(multiple cpu faults)|(system.+state.+changed )|(\[timeout)|(PRM\|1\|D)|(kpr)|(kdp)|(\|lc)|(penalty))" /e /r /s</v>
      </c>
      <c r="AG31" s="1" t="str">
        <f t="shared" si="14"/>
        <v>EC</v>
      </c>
      <c r="AH31" s="86" t="str">
        <f t="shared" si="18"/>
        <v>"%USERPROFILE%\Documents\GitHub\eaglep3\Utilities\RefineRTDCRunTimes.py" --tripid 119-05 --locoid 4016 --swversion DE.1.0.8.0 --startMP 204:712 --initTime 2017-02-05T05:58:45 --startdatetime 2017-02-05T06:01:29 --delay 1 --endMP 204:233259 --enddatetime 2017-02-05T06:46:52 --enforcementcount 0 &gt;&gt;C:\Users\stu\Documents\GitHub\eaglep3-reporting\EC\2017-02-05-refined-times.txt</v>
      </c>
      <c r="AI31" s="108" t="str">
        <f t="shared" si="19"/>
        <v>echo {"issue":{"subject":"","project_id":79,"tracker_id":40,"status_id":1,"priority_id":2,"assigned_to_id":23,"start_date":"2017-02-05","description":"","custom_fields":[{"id":1,"name":"Subdivision","value":"EC"},{"id":4,"name":"Milepost","value":"23.3259"},{"id":17,"name":"Train ID","value":"119-05"},{"id":16,"name":"Locomotive ID","value":"4016"},{"id":130,"name":"Impact","value":""},{"id":150,"name":"Time of Event (Mountain Time)","value":"06:46:52"},{"id":151,"name":"Denver Issue ID","value":""},{"id":178,"name":"Operational Impact","value":"Yes"},{"id":179,"name":"Denver Segment Assigned","value":""}]}} | curl -X POST -H "Content-Type: application/json" -H "X-Redmine-API-Key: d6333d4a04012a730768444271f8ca06482dae87" https://secure.xorail.net/redmine/issues.json --data @-</v>
      </c>
      <c r="AJ31" s="48"/>
      <c r="AK31" s="48"/>
      <c r="AL31" s="48"/>
      <c r="AM31" s="158" t="str">
        <f t="shared" si="20"/>
        <v>start /low /b %USERPROFILE%\Documents\GitHub\eaglep3\Utilities\DownloadLogsFromS3.py --loco 4016 --day 2017-02-05</v>
      </c>
      <c r="AN31" s="167" t="str">
        <f>"grep -SE -B400 ""CHR.+\|PRM\|1\|D.+(SWITCH|SIGNAL).+UNKNOWN"" "&amp;search_path&amp;"\RTDC"&amp;B31&amp;"\*"&amp;B31&amp;"*"&amp;TEXT(AVERAGE(F31,I31)-utc_offset/24,"YYYYMMDD")&amp;"*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 customFormat="1" x14ac:dyDescent="0.25">
      <c r="A32" s="33" t="s">
        <v>572</v>
      </c>
      <c r="B32" s="7">
        <v>4015</v>
      </c>
      <c r="C32" s="21" t="s">
        <v>193</v>
      </c>
      <c r="D32" s="21" t="s">
        <v>361</v>
      </c>
      <c r="E32" s="13">
        <v>42771.284907407404</v>
      </c>
      <c r="F32" s="13">
        <v>42771.289097222223</v>
      </c>
      <c r="G32" s="7">
        <v>1</v>
      </c>
      <c r="H32" s="21" t="s">
        <v>307</v>
      </c>
      <c r="I32" s="13">
        <v>42771.31695601852</v>
      </c>
      <c r="J32" s="7">
        <v>0</v>
      </c>
      <c r="K32" s="98" t="str">
        <f t="shared" si="0"/>
        <v>4015/4016</v>
      </c>
      <c r="L32" s="21" t="str">
        <f>VLOOKUP(A32,'Trips&amp;Operators'!$C$1:$G$99999,5,FALSE)</f>
        <v>BADERTSCHER DIANE</v>
      </c>
      <c r="M32" s="6">
        <f t="shared" si="1"/>
        <v>2.7858796296641231E-2</v>
      </c>
      <c r="N32" s="7">
        <f t="shared" si="2"/>
        <v>40.116666667163372</v>
      </c>
      <c r="O32" s="7"/>
      <c r="P32" s="7"/>
      <c r="Q32" s="22"/>
      <c r="R32" s="22"/>
      <c r="S32" s="31">
        <f t="shared" si="3"/>
        <v>1</v>
      </c>
      <c r="T32" s="46" t="str">
        <f t="shared" si="4"/>
        <v>Southbound</v>
      </c>
      <c r="U32" s="190">
        <f>IF(AG32="EC",COUNTIFS(Variables!$M$2:$M$19,IF(T32="NorthBound","&gt;=","&lt;=")&amp;Y32,Variables!$M$2:$M$19,IF(T32="NorthBound","&lt;=","&gt;=")&amp;Z32),COUNTIFS(Variables!$P$2:$P$19,IF(T32="NorthBound","&gt;=","&lt;=")&amp;Y32,Variables!$P$2:$P$19,IF(T32="NorthBound","&lt;=","&gt;=")&amp;Z32))</f>
        <v>12</v>
      </c>
      <c r="V32" s="191" t="str">
        <f t="shared" si="5"/>
        <v>https://d0f6bd738d7f1b3e5a7ca70fe4ff75f0.us-east-1.aws.found.io/app/kibana#/discover/Steve-Slow-Train-Analysis-(2080s-and-2083s)?_g=(refreshInterval:(display:Off,pause:!f,section:0,value:0),time:(from:'2017-02-05T05:50:16-0700',mode:absolute,to:'2017-02-05T08:36: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32" s="192" t="str">
        <f t="shared" si="6"/>
        <v>N</v>
      </c>
      <c r="X32" s="192">
        <f t="shared" ref="X32:X63" si="22">VALUE(LEFT(AD32,4))-VALUE(LEFT(AD31,4))</f>
        <v>1</v>
      </c>
      <c r="Y32" s="62">
        <f t="shared" si="8"/>
        <v>23.2959</v>
      </c>
      <c r="Z32" s="62">
        <f t="shared" si="9"/>
        <v>1.3899999999999999E-2</v>
      </c>
      <c r="AA32" s="62">
        <f t="shared" si="10"/>
        <v>23.282</v>
      </c>
      <c r="AB32" s="59" t="e">
        <f>VLOOKUP(A32,Enforcements!$C$7:$K$16,8,0)</f>
        <v>#N/A</v>
      </c>
      <c r="AC32" s="55" t="e">
        <f>VLOOKUP(A32,Enforcements!$C$7:$E$16,3,0)</f>
        <v>#N/A</v>
      </c>
      <c r="AD32" s="56" t="str">
        <f t="shared" si="11"/>
        <v>0120-05</v>
      </c>
      <c r="AE32" s="85" t="str">
        <f t="shared" si="12"/>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32" s="82" t="str">
        <f t="shared" si="13"/>
        <v>"C:\Program Files (x86)\AstroGrep\AstroGrep.exe" /spath="%USERPROFILE%\AppData\Local\Temp\OnboardLogs" /stypes="app*4015*20170205*" /stext=" 14:.+((SYSTEM_STATE.+slice.+state.+changed )|(ment ac)|(multiple cpu faults)|(system.+state.+changed )|(\[timeout)|(PRM\|1\|D)|(kpr)|(kdp)|(\|lc)|(penalty))" /e /r /s</v>
      </c>
      <c r="AG32" s="1" t="str">
        <f t="shared" si="14"/>
        <v>EC</v>
      </c>
      <c r="AH32" s="86" t="str">
        <f t="shared" si="18"/>
        <v>"%USERPROFILE%\Documents\GitHub\eaglep3\Utilities\RefineRTDCRunTimes.py" --tripid 120-05 --locoid 4015 --swversion DE.1.0.8.0 --startMP 204:232959 --initTime 2017-02-05T06:50:16 --startdatetime 2017-02-05T06:56:18 --delay 1 --endMP 204:139 --enddatetime 2017-02-05T07:36:25 --enforcementcount 0 &gt;&gt;C:\Users\stu\Documents\GitHub\eaglep3-reporting\EC\2017-02-05-refined-times.txt</v>
      </c>
      <c r="AI32" s="108" t="str">
        <f t="shared" si="19"/>
        <v>echo {"issue":{"subject":"","project_id":79,"tracker_id":40,"status_id":1,"priority_id":2,"assigned_to_id":23,"start_date":"2017-02-05","description":"","custom_fields":[{"id":1,"name":"Subdivision","value":"EC"},{"id":4,"name":"Milepost","value":"0.0139"},{"id":17,"name":"Train ID","value":"120-05"},{"id":16,"name":"Locomotive ID","value":"4015"},{"id":130,"name":"Impact","value":""},{"id":150,"name":"Time of Event (Mountain Time)","value":"07:36:25"},{"id":151,"name":"Denver Issue ID","value":""},{"id":178,"name":"Operational Impact","value":"Yes"},{"id":179,"name":"Denver Segment Assigned","value":""}]}} | curl -X POST -H "Content-Type: application/json" -H "X-Redmine-API-Key: d6333d4a04012a730768444271f8ca06482dae87" https://secure.xorail.net/redmine/issues.json --data @-</v>
      </c>
      <c r="AJ32" s="48"/>
      <c r="AK32" s="48"/>
      <c r="AL32" s="48"/>
      <c r="AM32" s="158" t="str">
        <f t="shared" si="20"/>
        <v>start /low /b %USERPROFILE%\Documents\GitHub\eaglep3\Utilities\DownloadLogsFromS3.py --loco 4015 --day 2017-02-05</v>
      </c>
      <c r="AN32" s="167" t="str">
        <f>"grep -SE -B400 ""CHR.+\|PRM\|1\|D.+(SWITCH|SIGNAL).+UNKNOWN"" "&amp;search_path&amp;"\RTDC"&amp;B32&amp;"\*"&amp;B32&amp;"*"&amp;TEXT(AVERAGE(F32,I32)-utc_offset/24,"YYYYMMDD")&amp;"* | grep -SE ""(Enforcement Action)|(\[TIMEOUT)|(CHR.+\|PRM\|1\|D.+(SWITCH|SIGNAL).+UNKNOWN)"" - &gt;&gt; "&amp;TEXT(Variables!$A$2,"YYYY-MM-DD")&amp;"-UncaughtWiMAX.txt"</f>
        <v>grep -SE -B400 "CHR.+\|PRM\|1\|D.+(SWITCH|SIGNAL).+UNKNOWN" "%USERPROFILE%\AppData\Local\Temp\OnboardLogs"\RTDC4015\*4015*20170205* | grep -SE "(Enforcement Action)|(\[TIMEOUT)|(CHR.+\|PRM\|1\|D.+(SWITCH|SIGNAL).+UNKNOWN)" - &gt;&gt; 2017-02-05-UncaughtWiMAX.txt</v>
      </c>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s="1" customFormat="1" x14ac:dyDescent="0.25">
      <c r="A33" s="33" t="s">
        <v>565</v>
      </c>
      <c r="B33" s="7">
        <v>4022</v>
      </c>
      <c r="C33" s="21" t="s">
        <v>193</v>
      </c>
      <c r="D33" s="21" t="s">
        <v>291</v>
      </c>
      <c r="E33" s="13">
        <v>42771.255694444444</v>
      </c>
      <c r="F33" s="13">
        <v>42771.26059027778</v>
      </c>
      <c r="G33" s="7">
        <v>1</v>
      </c>
      <c r="H33" s="21" t="s">
        <v>314</v>
      </c>
      <c r="I33" s="13">
        <v>42771.286631944444</v>
      </c>
      <c r="J33" s="7">
        <v>0</v>
      </c>
      <c r="K33" s="98" t="str">
        <f t="shared" si="0"/>
        <v>4021/4022</v>
      </c>
      <c r="L33" s="21" t="str">
        <f>VLOOKUP(A33,'Trips&amp;Operators'!$C$1:$G$99999,5,FALSE)</f>
        <v>DAVIS WENDY</v>
      </c>
      <c r="M33" s="6">
        <f t="shared" si="1"/>
        <v>2.6041666664241347E-2</v>
      </c>
      <c r="N33" s="7">
        <f t="shared" si="2"/>
        <v>37.49999999650754</v>
      </c>
      <c r="O33" s="7"/>
      <c r="P33" s="7"/>
      <c r="Q33" s="22"/>
      <c r="R33" s="22"/>
      <c r="S33" s="31">
        <f t="shared" si="3"/>
        <v>1</v>
      </c>
      <c r="T33" s="46" t="str">
        <f t="shared" si="4"/>
        <v>NorthBound</v>
      </c>
      <c r="U33" s="190">
        <f>IF(AG33="EC",COUNTIFS(Variables!$M$2:$M$19,IF(T33="NorthBound","&gt;=","&lt;=")&amp;Y33,Variables!$M$2:$M$19,IF(T33="NorthBound","&lt;=","&gt;=")&amp;Z33),COUNTIFS(Variables!$P$2:$P$19,IF(T33="NorthBound","&gt;=","&lt;=")&amp;Y33,Variables!$P$2:$P$19,IF(T33="NorthBound","&lt;=","&gt;=")&amp;Z33))</f>
        <v>12</v>
      </c>
      <c r="V33" s="191" t="str">
        <f t="shared" si="5"/>
        <v>https://d0f6bd738d7f1b3e5a7ca70fe4ff75f0.us-east-1.aws.found.io/app/kibana#/discover/Steve-Slow-Train-Analysis-(2080s-and-2083s)?_g=(refreshInterval:(display:Off,pause:!f,section:0,value:0),time:(from:'2017-02-05T05:08:12-0700',mode:absolute,to:'2017-02-05T07:52: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33" s="192" t="str">
        <f t="shared" si="6"/>
        <v>N</v>
      </c>
      <c r="X33" s="192">
        <f t="shared" si="22"/>
        <v>1</v>
      </c>
      <c r="Y33" s="62">
        <f t="shared" si="8"/>
        <v>4.5499999999999999E-2</v>
      </c>
      <c r="Z33" s="62">
        <f t="shared" si="9"/>
        <v>23.330400000000001</v>
      </c>
      <c r="AA33" s="62">
        <f t="shared" si="10"/>
        <v>23.2849</v>
      </c>
      <c r="AB33" s="59" t="e">
        <f>VLOOKUP(A33,Enforcements!$C$7:$K$16,8,0)</f>
        <v>#N/A</v>
      </c>
      <c r="AC33" s="55" t="e">
        <f>VLOOKUP(A33,Enforcements!$C$7:$E$16,3,0)</f>
        <v>#N/A</v>
      </c>
      <c r="AD33" s="56" t="str">
        <f t="shared" si="11"/>
        <v>0121-05</v>
      </c>
      <c r="AE33" s="85" t="str">
        <f t="shared" si="12"/>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33" s="82" t="str">
        <f t="shared" si="13"/>
        <v>"C:\Program Files (x86)\AstroGrep\AstroGrep.exe" /spath="%USERPROFILE%\AppData\Local\Temp\OnboardLogs" /stypes="app*4022*20170205*" /stext=" 13:.+((SYSTEM_STATE.+slice.+state.+changed )|(ment ac)|(multiple cpu faults)|(system.+state.+changed )|(\[timeout)|(PRM\|1\|D)|(kpr)|(kdp)|(\|lc)|(penalty))" /e /r /s</v>
      </c>
      <c r="AG33" s="1" t="str">
        <f t="shared" si="14"/>
        <v>EC</v>
      </c>
      <c r="AH33" s="86" t="str">
        <f t="shared" si="18"/>
        <v>"%USERPROFILE%\Documents\GitHub\eaglep3\Utilities\RefineRTDCRunTimes.py" --tripid 121-05 --locoid 4022 --swversion DE.1.0.8.0 --startMP 204:455 --initTime 2017-02-05T06:08:12 --startdatetime 2017-02-05T06:15:15 --delay 1 --endMP 204:233304 --enddatetime 2017-02-05T06:52:45 --enforcementcount 0 &gt;&gt;C:\Users\stu\Documents\GitHub\eaglep3-reporting\EC\2017-02-05-refined-times.txt</v>
      </c>
      <c r="AI33" s="108" t="str">
        <f t="shared" si="19"/>
        <v>echo {"issue":{"subject":"","project_id":79,"tracker_id":40,"status_id":1,"priority_id":2,"assigned_to_id":23,"start_date":"2017-02-05","description":"","custom_fields":[{"id":1,"name":"Subdivision","value":"EC"},{"id":4,"name":"Milepost","value":"23.3304"},{"id":17,"name":"Train ID","value":"121-05"},{"id":16,"name":"Locomotive ID","value":"4022"},{"id":130,"name":"Impact","value":""},{"id":150,"name":"Time of Event (Mountain Time)","value":"06:52:45"},{"id":151,"name":"Denver Issue ID","value":""},{"id":178,"name":"Operational Impact","value":"Yes"},{"id":179,"name":"Denver Segment Assigned","value":""}]}} | curl -X POST -H "Content-Type: application/json" -H "X-Redmine-API-Key: d6333d4a04012a730768444271f8ca06482dae87" https://secure.xorail.net/redmine/issues.json --data @-</v>
      </c>
      <c r="AJ33" s="48"/>
      <c r="AK33" s="48"/>
      <c r="AL33" s="48"/>
      <c r="AM33" s="158" t="str">
        <f t="shared" si="20"/>
        <v>start /low /b %USERPROFILE%\Documents\GitHub\eaglep3\Utilities\DownloadLogsFromS3.py --loco 4022 --day 2017-02-05</v>
      </c>
      <c r="AN33" s="167" t="str">
        <f>"grep -SE -B400 ""CHR.+\|PRM\|1\|D.+(SWITCH|SIGNAL).+UNKNOWN"" "&amp;search_path&amp;"\RTDC"&amp;B33&amp;"\*"&amp;B33&amp;"*"&amp;TEXT(AVERAGE(F33,I33)-utc_offset/24,"YYYYMMDD")&amp;"*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 customFormat="1" x14ac:dyDescent="0.25">
      <c r="A34" s="33" t="s">
        <v>574</v>
      </c>
      <c r="B34" s="7">
        <v>4021</v>
      </c>
      <c r="C34" s="21" t="s">
        <v>193</v>
      </c>
      <c r="D34" s="21" t="s">
        <v>285</v>
      </c>
      <c r="E34" s="13">
        <v>42771.295254629629</v>
      </c>
      <c r="F34" s="13">
        <v>42771.299479166664</v>
      </c>
      <c r="G34" s="7">
        <v>1</v>
      </c>
      <c r="H34" s="21" t="s">
        <v>208</v>
      </c>
      <c r="I34" s="13">
        <v>42771.326979166668</v>
      </c>
      <c r="J34" s="7">
        <v>0</v>
      </c>
      <c r="K34" s="98" t="str">
        <f t="shared" si="0"/>
        <v>4021/4022</v>
      </c>
      <c r="L34" s="21" t="str">
        <f>VLOOKUP(A34,'Trips&amp;Operators'!$C$1:$G$99999,5,FALSE)</f>
        <v>DAVIS WENDY</v>
      </c>
      <c r="M34" s="6">
        <f t="shared" si="1"/>
        <v>2.7500000003783498E-2</v>
      </c>
      <c r="N34" s="7">
        <f t="shared" si="2"/>
        <v>39.600000005448237</v>
      </c>
      <c r="O34" s="7"/>
      <c r="P34" s="7"/>
      <c r="Q34" s="22"/>
      <c r="R34" s="22"/>
      <c r="S34" s="31">
        <f t="shared" si="3"/>
        <v>1</v>
      </c>
      <c r="T34" s="46" t="str">
        <f t="shared" si="4"/>
        <v>Southbound</v>
      </c>
      <c r="U34" s="190">
        <f>IF(AG34="EC",COUNTIFS(Variables!$M$2:$M$19,IF(T34="NorthBound","&gt;=","&lt;=")&amp;Y34,Variables!$M$2:$M$19,IF(T34="NorthBound","&lt;=","&gt;=")&amp;Z34),COUNTIFS(Variables!$P$2:$P$19,IF(T34="NorthBound","&gt;=","&lt;=")&amp;Y34,Variables!$P$2:$P$19,IF(T34="NorthBound","&lt;=","&gt;=")&amp;Z34))</f>
        <v>12</v>
      </c>
      <c r="V34" s="191" t="str">
        <f t="shared" si="5"/>
        <v>https://d0f6bd738d7f1b3e5a7ca70fe4ff75f0.us-east-1.aws.found.io/app/kibana#/discover/Steve-Slow-Train-Analysis-(2080s-and-2083s)?_g=(refreshInterval:(display:Off,pause:!f,section:0,value:0),time:(from:'2017-02-05T06:05:10-0700',mode:absolute,to:'2017-02-05T08:50:51-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34" s="192" t="str">
        <f t="shared" si="6"/>
        <v>N</v>
      </c>
      <c r="X34" s="192">
        <f t="shared" si="22"/>
        <v>1</v>
      </c>
      <c r="Y34" s="62">
        <f t="shared" si="8"/>
        <v>23.299399999999999</v>
      </c>
      <c r="Z34" s="62">
        <f t="shared" si="9"/>
        <v>1.6E-2</v>
      </c>
      <c r="AA34" s="62">
        <f t="shared" si="10"/>
        <v>23.2834</v>
      </c>
      <c r="AB34" s="59" t="e">
        <f>VLOOKUP(A34,Enforcements!$C$7:$K$16,8,0)</f>
        <v>#N/A</v>
      </c>
      <c r="AC34" s="55" t="e">
        <f>VLOOKUP(A34,Enforcements!$C$7:$E$16,3,0)</f>
        <v>#N/A</v>
      </c>
      <c r="AD34" s="56" t="str">
        <f t="shared" si="11"/>
        <v>0122-05</v>
      </c>
      <c r="AE34" s="85" t="str">
        <f t="shared" si="12"/>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34" s="82" t="str">
        <f t="shared" si="13"/>
        <v>"C:\Program Files (x86)\AstroGrep\AstroGrep.exe" /spath="%USERPROFILE%\AppData\Local\Temp\OnboardLogs" /stypes="app*4021*20170205*" /stext=" 14:.+((SYSTEM_STATE.+slice.+state.+changed )|(ment ac)|(multiple cpu faults)|(system.+state.+changed )|(\[timeout)|(PRM\|1\|D)|(kpr)|(kdp)|(\|lc)|(penalty))" /e /r /s</v>
      </c>
      <c r="AG34" s="1" t="str">
        <f t="shared" si="14"/>
        <v>EC</v>
      </c>
      <c r="AH34" s="86" t="str">
        <f t="shared" si="18"/>
        <v>"%USERPROFILE%\Documents\GitHub\eaglep3\Utilities\RefineRTDCRunTimes.py" --tripid 122-05 --locoid 4021 --swversion DE.1.0.8.0 --startMP 204:232994 --initTime 2017-02-05T07:05:10 --startdatetime 2017-02-05T07:11:15 --delay 1 --endMP 204:160 --enddatetime 2017-02-05T07:50:51 --enforcementcount 0 &gt;&gt;C:\Users\stu\Documents\GitHub\eaglep3-reporting\EC\2017-02-05-refined-times.txt</v>
      </c>
      <c r="AI34" s="108" t="str">
        <f t="shared" si="19"/>
        <v>echo {"issue":{"subject":"","project_id":79,"tracker_id":40,"status_id":1,"priority_id":2,"assigned_to_id":23,"start_date":"2017-02-05","description":"","custom_fields":[{"id":1,"name":"Subdivision","value":"EC"},{"id":4,"name":"Milepost","value":"0.016"},{"id":17,"name":"Train ID","value":"122-05"},{"id":16,"name":"Locomotive ID","value":"4021"},{"id":130,"name":"Impact","value":""},{"id":150,"name":"Time of Event (Mountain Time)","value":"07:50:51"},{"id":151,"name":"Denver Issue ID","value":""},{"id":178,"name":"Operational Impact","value":"Yes"},{"id":179,"name":"Denver Segment Assigned","value":""}]}} | curl -X POST -H "Content-Type: application/json" -H "X-Redmine-API-Key: d6333d4a04012a730768444271f8ca06482dae87" https://secure.xorail.net/redmine/issues.json --data @-</v>
      </c>
      <c r="AJ34" s="48"/>
      <c r="AK34" s="48"/>
      <c r="AL34" s="48"/>
      <c r="AM34" s="158" t="str">
        <f t="shared" si="20"/>
        <v>start /low /b %USERPROFILE%\Documents\GitHub\eaglep3\Utilities\DownloadLogsFromS3.py --loco 4021 --day 2017-02-05</v>
      </c>
      <c r="AN34" s="167" t="str">
        <f>"grep -SE -B400 ""CHR.+\|PRM\|1\|D.+(SWITCH|SIGNAL).+UNKNOWN"" "&amp;search_path&amp;"\RTDC"&amp;B34&amp;"\*"&amp;B34&amp;"*"&amp;TEXT(AVERAGE(F34,I34)-utc_offset/24,"YYYYMMDD")&amp;"*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 customFormat="1" x14ac:dyDescent="0.25">
      <c r="A35" s="33" t="s">
        <v>568</v>
      </c>
      <c r="B35" s="7">
        <v>4002</v>
      </c>
      <c r="C35" s="21" t="s">
        <v>193</v>
      </c>
      <c r="D35" s="21" t="s">
        <v>222</v>
      </c>
      <c r="E35" s="13">
        <v>42771.266296296293</v>
      </c>
      <c r="F35" s="13">
        <v>42771.270972222221</v>
      </c>
      <c r="G35" s="7">
        <v>1</v>
      </c>
      <c r="H35" s="21" t="s">
        <v>416</v>
      </c>
      <c r="I35" s="13">
        <v>42771.296226851853</v>
      </c>
      <c r="J35" s="7">
        <v>0</v>
      </c>
      <c r="K35" s="98" t="str">
        <f t="shared" si="0"/>
        <v>4001/4002</v>
      </c>
      <c r="L35" s="21" t="str">
        <f>VLOOKUP(A35,'Trips&amp;Operators'!$C$1:$G$99999,5,FALSE)</f>
        <v>BERLING GARY</v>
      </c>
      <c r="M35" s="6">
        <f t="shared" si="1"/>
        <v>2.5254629632399883E-2</v>
      </c>
      <c r="N35" s="7">
        <f t="shared" si="2"/>
        <v>36.366666670655832</v>
      </c>
      <c r="O35" s="7"/>
      <c r="P35" s="7"/>
      <c r="Q35" s="22"/>
      <c r="R35" s="22"/>
      <c r="S35" s="31">
        <f t="shared" si="3"/>
        <v>1</v>
      </c>
      <c r="T35" s="46" t="str">
        <f t="shared" si="4"/>
        <v>NorthBound</v>
      </c>
      <c r="U35" s="190">
        <f>IF(AG35="EC",COUNTIFS(Variables!$M$2:$M$19,IF(T35="NorthBound","&gt;=","&lt;=")&amp;Y35,Variables!$M$2:$M$19,IF(T35="NorthBound","&lt;=","&gt;=")&amp;Z35),COUNTIFS(Variables!$P$2:$P$19,IF(T35="NorthBound","&gt;=","&lt;=")&amp;Y35,Variables!$P$2:$P$19,IF(T35="NorthBound","&lt;=","&gt;=")&amp;Z35))</f>
        <v>12</v>
      </c>
      <c r="V35" s="191" t="str">
        <f t="shared" si="5"/>
        <v>https://d0f6bd738d7f1b3e5a7ca70fe4ff75f0.us-east-1.aws.found.io/app/kibana#/discover/Steve-Slow-Train-Analysis-(2080s-and-2083s)?_g=(refreshInterval:(display:Off,pause:!f,section:0,value:0),time:(from:'2017-02-05T05:23:28-0700',mode:absolute,to:'2017-02-05T08:06:34-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35" s="192" t="str">
        <f t="shared" si="6"/>
        <v>N</v>
      </c>
      <c r="X35" s="192">
        <f t="shared" si="22"/>
        <v>1</v>
      </c>
      <c r="Y35" s="62">
        <f t="shared" si="8"/>
        <v>4.6899999999999997E-2</v>
      </c>
      <c r="Z35" s="62">
        <f t="shared" si="9"/>
        <v>23.331399999999999</v>
      </c>
      <c r="AA35" s="62">
        <f t="shared" si="10"/>
        <v>23.284499999999998</v>
      </c>
      <c r="AB35" s="59" t="e">
        <f>VLOOKUP(A35,Enforcements!$C$7:$K$16,8,0)</f>
        <v>#N/A</v>
      </c>
      <c r="AC35" s="55" t="e">
        <f>VLOOKUP(A35,Enforcements!$C$7:$E$16,3,0)</f>
        <v>#N/A</v>
      </c>
      <c r="AD35" s="56" t="str">
        <f t="shared" si="11"/>
        <v>0123-05</v>
      </c>
      <c r="AE35" s="85" t="str">
        <f t="shared" si="12"/>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35" s="82" t="str">
        <f t="shared" si="13"/>
        <v>"C:\Program Files (x86)\AstroGrep\AstroGrep.exe" /spath="%USERPROFILE%\AppData\Local\Temp\OnboardLogs" /stypes="app*4002*20170205*" /stext=" 14:.+((SYSTEM_STATE.+slice.+state.+changed )|(ment ac)|(multiple cpu faults)|(system.+state.+changed )|(\[timeout)|(PRM\|1\|D)|(kpr)|(kdp)|(\|lc)|(penalty))" /e /r /s</v>
      </c>
      <c r="AG35" s="1" t="str">
        <f t="shared" si="14"/>
        <v>EC</v>
      </c>
      <c r="AH35" s="86" t="str">
        <f t="shared" si="18"/>
        <v>"%USERPROFILE%\Documents\GitHub\eaglep3\Utilities\RefineRTDCRunTimes.py" --tripid 123-05 --locoid 4002 --swversion DE.1.0.8.0 --startMP 204:469 --initTime 2017-02-05T06:23:28 --startdatetime 2017-02-05T06:30:12 --delay 1 --endMP 204:233314 --enddatetime 2017-02-05T07:06:34 --enforcementcount 0 &gt;&gt;C:\Users\stu\Documents\GitHub\eaglep3-reporting\EC\2017-02-05-refined-times.txt</v>
      </c>
      <c r="AI35" s="108" t="str">
        <f t="shared" si="19"/>
        <v>echo {"issue":{"subject":"","project_id":79,"tracker_id":40,"status_id":1,"priority_id":2,"assigned_to_id":23,"start_date":"2017-02-05","description":"","custom_fields":[{"id":1,"name":"Subdivision","value":"EC"},{"id":4,"name":"Milepost","value":"23.3314"},{"id":17,"name":"Train ID","value":"123-05"},{"id":16,"name":"Locomotive ID","value":"4002"},{"id":130,"name":"Impact","value":""},{"id":150,"name":"Time of Event (Mountain Time)","value":"07:06:34"},{"id":151,"name":"Denver Issue ID","value":""},{"id":178,"name":"Operational Impact","value":"Yes"},{"id":179,"name":"Denver Segment Assigned","value":""}]}} | curl -X POST -H "Content-Type: application/json" -H "X-Redmine-API-Key: d6333d4a04012a730768444271f8ca06482dae87" https://secure.xorail.net/redmine/issues.json --data @-</v>
      </c>
      <c r="AJ35" s="48"/>
      <c r="AK35" s="48"/>
      <c r="AL35" s="48"/>
      <c r="AM35" s="158" t="str">
        <f t="shared" si="20"/>
        <v>start /low /b %USERPROFILE%\Documents\GitHub\eaglep3\Utilities\DownloadLogsFromS3.py --loco 4002 --day 2017-02-05</v>
      </c>
      <c r="AN35" s="167" t="str">
        <f>"grep -SE -B400 ""CHR.+\|PRM\|1\|D.+(SWITCH|SIGNAL).+UNKNOWN"" "&amp;search_path&amp;"\RTDC"&amp;B35&amp;"\*"&amp;B35&amp;"*"&amp;TEXT(AVERAGE(F35,I35)-utc_offset/24,"YYYYMMDD")&amp;"*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 customFormat="1" x14ac:dyDescent="0.25">
      <c r="A36" s="33" t="s">
        <v>576</v>
      </c>
      <c r="B36" s="7">
        <v>4001</v>
      </c>
      <c r="C36" s="21" t="s">
        <v>193</v>
      </c>
      <c r="D36" s="21" t="s">
        <v>762</v>
      </c>
      <c r="E36" s="13">
        <v>42771.301689814813</v>
      </c>
      <c r="F36" s="13">
        <v>42771.309976851851</v>
      </c>
      <c r="G36" s="7">
        <v>1</v>
      </c>
      <c r="H36" s="21" t="s">
        <v>763</v>
      </c>
      <c r="I36" s="13">
        <v>42771.336817129632</v>
      </c>
      <c r="J36" s="7">
        <v>0</v>
      </c>
      <c r="K36" s="98" t="str">
        <f t="shared" si="0"/>
        <v>4001/4002</v>
      </c>
      <c r="L36" s="21" t="str">
        <f>VLOOKUP(A36,'Trips&amp;Operators'!$C$1:$G$99999,5,FALSE)</f>
        <v>BERLING GARY</v>
      </c>
      <c r="M36" s="6">
        <f t="shared" si="1"/>
        <v>2.6840277780138422E-2</v>
      </c>
      <c r="N36" s="7">
        <f t="shared" si="2"/>
        <v>38.650000003399327</v>
      </c>
      <c r="O36" s="7"/>
      <c r="P36" s="7"/>
      <c r="Q36" s="22"/>
      <c r="R36" s="22"/>
      <c r="S36" s="31">
        <f t="shared" si="3"/>
        <v>1</v>
      </c>
      <c r="T36" s="46" t="str">
        <f t="shared" si="4"/>
        <v>Southbound</v>
      </c>
      <c r="U36" s="190">
        <f>IF(AG36="EC",COUNTIFS(Variables!$M$2:$M$19,IF(T36="NorthBound","&gt;=","&lt;=")&amp;Y36,Variables!$M$2:$M$19,IF(T36="NorthBound","&lt;=","&gt;=")&amp;Z36),COUNTIFS(Variables!$P$2:$P$19,IF(T36="NorthBound","&gt;=","&lt;=")&amp;Y36,Variables!$P$2:$P$19,IF(T36="NorthBound","&lt;=","&gt;=")&amp;Z36))</f>
        <v>12</v>
      </c>
      <c r="V36" s="191" t="str">
        <f t="shared" si="5"/>
        <v>https://d0f6bd738d7f1b3e5a7ca70fe4ff75f0.us-east-1.aws.found.io/app/kibana#/discover/Steve-Slow-Train-Analysis-(2080s-and-2083s)?_g=(refreshInterval:(display:Off,pause:!f,section:0,value:0),time:(from:'2017-02-05T06:14:26-0700',mode:absolute,to:'2017-02-05T09:05:01-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36" s="192" t="str">
        <f t="shared" si="6"/>
        <v>N</v>
      </c>
      <c r="X36" s="192">
        <f t="shared" si="22"/>
        <v>1</v>
      </c>
      <c r="Y36" s="62">
        <f t="shared" si="8"/>
        <v>23.301300000000001</v>
      </c>
      <c r="Z36" s="62">
        <f t="shared" si="9"/>
        <v>9.5999999999999992E-3</v>
      </c>
      <c r="AA36" s="62">
        <f t="shared" si="10"/>
        <v>23.291700000000002</v>
      </c>
      <c r="AB36" s="59" t="e">
        <f>VLOOKUP(A36,Enforcements!$C$7:$K$16,8,0)</f>
        <v>#N/A</v>
      </c>
      <c r="AC36" s="55" t="e">
        <f>VLOOKUP(A36,Enforcements!$C$7:$E$16,3,0)</f>
        <v>#N/A</v>
      </c>
      <c r="AD36" s="56" t="str">
        <f t="shared" si="11"/>
        <v>0124-05</v>
      </c>
      <c r="AE36" s="85" t="str">
        <f t="shared" si="12"/>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36" s="82" t="str">
        <f t="shared" si="13"/>
        <v>"C:\Program Files (x86)\AstroGrep\AstroGrep.exe" /spath="%USERPROFILE%\AppData\Local\Temp\OnboardLogs" /stypes="app*4001*20170205*" /stext=" 15:.+((SYSTEM_STATE.+slice.+state.+changed )|(ment ac)|(multiple cpu faults)|(system.+state.+changed )|(\[timeout)|(PRM\|1\|D)|(kpr)|(kdp)|(\|lc)|(penalty))" /e /r /s</v>
      </c>
      <c r="AG36" s="1" t="str">
        <f t="shared" si="14"/>
        <v>EC</v>
      </c>
      <c r="AH36" s="86" t="str">
        <f t="shared" si="18"/>
        <v>"%USERPROFILE%\Documents\GitHub\eaglep3\Utilities\RefineRTDCRunTimes.py" --tripid 124-05 --locoid 4001 --swversion DE.1.0.8.0 --startMP 204:233013 --initTime 2017-02-05T07:14:26 --startdatetime 2017-02-05T07:26:22 --delay 1 --endMP 204:96 --enddatetime 2017-02-05T08:05:01 --enforcementcount 0 &gt;&gt;C:\Users\stu\Documents\GitHub\eaglep3-reporting\EC\2017-02-05-refined-times.txt</v>
      </c>
      <c r="AI36" s="108" t="str">
        <f t="shared" si="19"/>
        <v>echo {"issue":{"subject":"","project_id":79,"tracker_id":40,"status_id":1,"priority_id":2,"assigned_to_id":23,"start_date":"2017-02-05","description":"","custom_fields":[{"id":1,"name":"Subdivision","value":"EC"},{"id":4,"name":"Milepost","value":"0.0096"},{"id":17,"name":"Train ID","value":"124-05"},{"id":16,"name":"Locomotive ID","value":"4001"},{"id":130,"name":"Impact","value":""},{"id":150,"name":"Time of Event (Mountain Time)","value":"08:05:01"},{"id":151,"name":"Denver Issue ID","value":""},{"id":178,"name":"Operational Impact","value":"Yes"},{"id":179,"name":"Denver Segment Assigned","value":""}]}} | curl -X POST -H "Content-Type: application/json" -H "X-Redmine-API-Key: d6333d4a04012a730768444271f8ca06482dae87" https://secure.xorail.net/redmine/issues.json --data @-</v>
      </c>
      <c r="AJ36" s="48"/>
      <c r="AK36" s="48"/>
      <c r="AL36" s="48"/>
      <c r="AM36" s="158" t="str">
        <f t="shared" si="20"/>
        <v>start /low /b %USERPROFILE%\Documents\GitHub\eaglep3\Utilities\DownloadLogsFromS3.py --loco 4001 --day 2017-02-05</v>
      </c>
      <c r="AN36" s="167" t="str">
        <f>"grep -SE -B400 ""CHR.+\|PRM\|1\|D.+(SWITCH|SIGNAL).+UNKNOWN"" "&amp;search_path&amp;"\RTDC"&amp;B36&amp;"\*"&amp;B36&amp;"*"&amp;TEXT(AVERAGE(F36,I36)-utc_offset/24,"YYYYMMDD")&amp;"*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 customFormat="1" x14ac:dyDescent="0.25">
      <c r="A37" s="33" t="s">
        <v>571</v>
      </c>
      <c r="B37" s="7">
        <v>4031</v>
      </c>
      <c r="C37" s="21" t="s">
        <v>193</v>
      </c>
      <c r="D37" s="21" t="s">
        <v>241</v>
      </c>
      <c r="E37" s="13">
        <v>42771.275891203702</v>
      </c>
      <c r="F37" s="13">
        <v>42771.281423611108</v>
      </c>
      <c r="G37" s="7">
        <v>1</v>
      </c>
      <c r="H37" s="21" t="s">
        <v>764</v>
      </c>
      <c r="I37" s="13">
        <v>42771.306759259256</v>
      </c>
      <c r="J37" s="7">
        <v>0</v>
      </c>
      <c r="K37" s="98" t="str">
        <f t="shared" si="0"/>
        <v>4031/4032</v>
      </c>
      <c r="L37" s="21" t="str">
        <f>VLOOKUP(A37,'Trips&amp;Operators'!$C$1:$G$99999,5,FALSE)</f>
        <v>GEBRETEKLE DAGNEW</v>
      </c>
      <c r="M37" s="6">
        <f t="shared" si="1"/>
        <v>2.5335648148029577E-2</v>
      </c>
      <c r="N37" s="7">
        <f t="shared" si="2"/>
        <v>36.483333333162591</v>
      </c>
      <c r="O37" s="7"/>
      <c r="P37" s="7"/>
      <c r="Q37" s="22"/>
      <c r="R37" s="22"/>
      <c r="S37" s="31">
        <f t="shared" si="3"/>
        <v>1</v>
      </c>
      <c r="T37" s="46" t="str">
        <f t="shared" si="4"/>
        <v>NorthBound</v>
      </c>
      <c r="U37" s="190">
        <f>IF(AG37="EC",COUNTIFS(Variables!$M$2:$M$19,IF(T37="NorthBound","&gt;=","&lt;=")&amp;Y37,Variables!$M$2:$M$19,IF(T37="NorthBound","&lt;=","&gt;=")&amp;Z37),COUNTIFS(Variables!$P$2:$P$19,IF(T37="NorthBound","&gt;=","&lt;=")&amp;Y37,Variables!$P$2:$P$19,IF(T37="NorthBound","&lt;=","&gt;=")&amp;Z37))</f>
        <v>12</v>
      </c>
      <c r="V37" s="191" t="str">
        <f t="shared" si="5"/>
        <v>https://d0f6bd738d7f1b3e5a7ca70fe4ff75f0.us-east-1.aws.found.io/app/kibana#/discover/Steve-Slow-Train-Analysis-(2080s-and-2083s)?_g=(refreshInterval:(display:Off,pause:!f,section:0,value:0),time:(from:'2017-02-05T05:37:17-0700',mode:absolute,to:'2017-02-05T08:21:44-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37" s="192" t="str">
        <f t="shared" si="6"/>
        <v>N</v>
      </c>
      <c r="X37" s="192">
        <f t="shared" si="22"/>
        <v>1</v>
      </c>
      <c r="Y37" s="62">
        <f t="shared" si="8"/>
        <v>4.5699999999999998E-2</v>
      </c>
      <c r="Z37" s="62">
        <f t="shared" si="9"/>
        <v>23.334900000000001</v>
      </c>
      <c r="AA37" s="62">
        <f t="shared" si="10"/>
        <v>23.289200000000001</v>
      </c>
      <c r="AB37" s="59" t="e">
        <f>VLOOKUP(A37,Enforcements!$C$7:$K$16,8,0)</f>
        <v>#N/A</v>
      </c>
      <c r="AC37" s="55" t="e">
        <f>VLOOKUP(A37,Enforcements!$C$7:$E$16,3,0)</f>
        <v>#N/A</v>
      </c>
      <c r="AD37" s="56" t="str">
        <f t="shared" si="11"/>
        <v>0125-05</v>
      </c>
      <c r="AE37" s="85" t="str">
        <f t="shared" si="12"/>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37" s="82" t="str">
        <f t="shared" si="13"/>
        <v>"C:\Program Files (x86)\AstroGrep\AstroGrep.exe" /spath="%USERPROFILE%\AppData\Local\Temp\OnboardLogs" /stypes="app*4031*20170205*" /stext=" 14:.+((SYSTEM_STATE.+slice.+state.+changed )|(ment ac)|(multiple cpu faults)|(system.+state.+changed )|(\[timeout)|(PRM\|1\|D)|(kpr)|(kdp)|(\|lc)|(penalty))" /e /r /s</v>
      </c>
      <c r="AG37" s="1" t="str">
        <f t="shared" si="14"/>
        <v>EC</v>
      </c>
      <c r="AH37" s="86" t="str">
        <f t="shared" si="18"/>
        <v>"%USERPROFILE%\Documents\GitHub\eaglep3\Utilities\RefineRTDCRunTimes.py" --tripid 125-05 --locoid 4031 --swversion DE.1.0.8.0 --startMP 204:457 --initTime 2017-02-05T06:37:17 --startdatetime 2017-02-05T06:45:15 --delay 1 --endMP 204:233349 --enddatetime 2017-02-05T07:21:44 --enforcementcount 0 &gt;&gt;C:\Users\stu\Documents\GitHub\eaglep3-reporting\EC\2017-02-05-refined-times.txt</v>
      </c>
      <c r="AI37" s="108" t="str">
        <f t="shared" si="19"/>
        <v>echo {"issue":{"subject":"","project_id":79,"tracker_id":40,"status_id":1,"priority_id":2,"assigned_to_id":23,"start_date":"2017-02-05","description":"","custom_fields":[{"id":1,"name":"Subdivision","value":"EC"},{"id":4,"name":"Milepost","value":"23.3349"},{"id":17,"name":"Train ID","value":"125-05"},{"id":16,"name":"Locomotive ID","value":"4031"},{"id":130,"name":"Impact","value":""},{"id":150,"name":"Time of Event (Mountain Time)","value":"07:21:44"},{"id":151,"name":"Denver Issue ID","value":""},{"id":178,"name":"Operational Impact","value":"Yes"},{"id":179,"name":"Denver Segment Assigned","value":""}]}} | curl -X POST -H "Content-Type: application/json" -H "X-Redmine-API-Key: d6333d4a04012a730768444271f8ca06482dae87" https://secure.xorail.net/redmine/issues.json --data @-</v>
      </c>
      <c r="AJ37" s="48"/>
      <c r="AK37" s="48"/>
      <c r="AL37" s="48"/>
      <c r="AM37" s="158" t="str">
        <f t="shared" si="20"/>
        <v>start /low /b %USERPROFILE%\Documents\GitHub\eaglep3\Utilities\DownloadLogsFromS3.py --loco 4031 --day 2017-02-05</v>
      </c>
      <c r="AN37" s="167" t="str">
        <f>"grep -SE -B400 ""CHR.+\|PRM\|1\|D.+(SWITCH|SIGNAL).+UNKNOWN"" "&amp;search_path&amp;"\RTDC"&amp;B37&amp;"\*"&amp;B37&amp;"*"&amp;TEXT(AVERAGE(F37,I37)-utc_offset/24,"YYYYMMDD")&amp;"*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 customFormat="1" x14ac:dyDescent="0.25">
      <c r="A38" s="33" t="s">
        <v>578</v>
      </c>
      <c r="B38" s="7">
        <v>4032</v>
      </c>
      <c r="C38" s="21" t="s">
        <v>193</v>
      </c>
      <c r="D38" s="21" t="s">
        <v>367</v>
      </c>
      <c r="E38" s="13">
        <v>42771.314513888887</v>
      </c>
      <c r="F38" s="13">
        <v>42771.320324074077</v>
      </c>
      <c r="G38" s="7">
        <v>1</v>
      </c>
      <c r="H38" s="21" t="s">
        <v>289</v>
      </c>
      <c r="I38" s="13">
        <v>42771.34584490741</v>
      </c>
      <c r="J38" s="7">
        <v>0</v>
      </c>
      <c r="K38" s="98" t="str">
        <f t="shared" si="0"/>
        <v>4031/4032</v>
      </c>
      <c r="L38" s="21" t="str">
        <f>VLOOKUP(A38,'Trips&amp;Operators'!$C$1:$G$99999,5,FALSE)</f>
        <v>GEBRETEKLE DAGNEW</v>
      </c>
      <c r="M38" s="6">
        <f t="shared" si="1"/>
        <v>2.5520833332848269E-2</v>
      </c>
      <c r="N38" s="7">
        <f t="shared" si="2"/>
        <v>36.749999999301508</v>
      </c>
      <c r="O38" s="7"/>
      <c r="P38" s="7"/>
      <c r="Q38" s="22"/>
      <c r="R38" s="22"/>
      <c r="S38" s="31">
        <f t="shared" si="3"/>
        <v>1</v>
      </c>
      <c r="T38" s="46" t="str">
        <f t="shared" si="4"/>
        <v>Southbound</v>
      </c>
      <c r="U38" s="190">
        <f>IF(AG38="EC",COUNTIFS(Variables!$M$2:$M$19,IF(T38="NorthBound","&gt;=","&lt;=")&amp;Y38,Variables!$M$2:$M$19,IF(T38="NorthBound","&lt;=","&gt;=")&amp;Z38),COUNTIFS(Variables!$P$2:$P$19,IF(T38="NorthBound","&gt;=","&lt;=")&amp;Y38,Variables!$P$2:$P$19,IF(T38="NorthBound","&lt;=","&gt;=")&amp;Z38))</f>
        <v>12</v>
      </c>
      <c r="V38" s="191" t="str">
        <f t="shared" si="5"/>
        <v>https://d0f6bd738d7f1b3e5a7ca70fe4ff75f0.us-east-1.aws.found.io/app/kibana#/discover/Steve-Slow-Train-Analysis-(2080s-and-2083s)?_g=(refreshInterval:(display:Off,pause:!f,section:0,value:0),time:(from:'2017-02-05T06:32:54-0700',mode:absolute,to:'2017-02-05T09:18:01-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38" s="192" t="str">
        <f t="shared" si="6"/>
        <v>N</v>
      </c>
      <c r="X38" s="192">
        <f t="shared" si="22"/>
        <v>1</v>
      </c>
      <c r="Y38" s="62">
        <f t="shared" si="8"/>
        <v>23.302700000000002</v>
      </c>
      <c r="Z38" s="62">
        <f t="shared" si="9"/>
        <v>1.5599999999999999E-2</v>
      </c>
      <c r="AA38" s="62">
        <f t="shared" si="10"/>
        <v>23.287100000000002</v>
      </c>
      <c r="AB38" s="59" t="e">
        <f>VLOOKUP(A38,Enforcements!$C$7:$K$16,8,0)</f>
        <v>#N/A</v>
      </c>
      <c r="AC38" s="55" t="e">
        <f>VLOOKUP(A38,Enforcements!$C$7:$E$16,3,0)</f>
        <v>#N/A</v>
      </c>
      <c r="AD38" s="56" t="str">
        <f t="shared" si="11"/>
        <v>0126-05</v>
      </c>
      <c r="AE38" s="85" t="str">
        <f t="shared" si="12"/>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38" s="82" t="str">
        <f t="shared" si="13"/>
        <v>"C:\Program Files (x86)\AstroGrep\AstroGrep.exe" /spath="%USERPROFILE%\AppData\Local\Temp\OnboardLogs" /stypes="app*4032*20170205*" /stext=" 15:.+((SYSTEM_STATE.+slice.+state.+changed )|(ment ac)|(multiple cpu faults)|(system.+state.+changed )|(\[timeout)|(PRM\|1\|D)|(kpr)|(kdp)|(\|lc)|(penalty))" /e /r /s</v>
      </c>
      <c r="AG38" s="1" t="str">
        <f t="shared" si="14"/>
        <v>EC</v>
      </c>
      <c r="AH38" s="86" t="str">
        <f t="shared" si="18"/>
        <v>"%USERPROFILE%\Documents\GitHub\eaglep3\Utilities\RefineRTDCRunTimes.py" --tripid 126-05 --locoid 4032 --swversion DE.1.0.8.0 --startMP 204:233027 --initTime 2017-02-05T07:32:54 --startdatetime 2017-02-05T07:41:16 --delay 1 --endMP 204:156 --enddatetime 2017-02-05T08:18:01 --enforcementcount 0 &gt;&gt;C:\Users\stu\Documents\GitHub\eaglep3-reporting\EC\2017-02-05-refined-times.txt</v>
      </c>
      <c r="AI38" s="108" t="str">
        <f t="shared" si="19"/>
        <v>echo {"issue":{"subject":"","project_id":79,"tracker_id":40,"status_id":1,"priority_id":2,"assigned_to_id":23,"start_date":"2017-02-05","description":"","custom_fields":[{"id":1,"name":"Subdivision","value":"EC"},{"id":4,"name":"Milepost","value":"0.0156"},{"id":17,"name":"Train ID","value":"126-05"},{"id":16,"name":"Locomotive ID","value":"4032"},{"id":130,"name":"Impact","value":""},{"id":150,"name":"Time of Event (Mountain Time)","value":"08:18:01"},{"id":151,"name":"Denver Issue ID","value":""},{"id":178,"name":"Operational Impact","value":"Yes"},{"id":179,"name":"Denver Segment Assigned","value":""}]}} | curl -X POST -H "Content-Type: application/json" -H "X-Redmine-API-Key: d6333d4a04012a730768444271f8ca06482dae87" https://secure.xorail.net/redmine/issues.json --data @-</v>
      </c>
      <c r="AJ38" s="48"/>
      <c r="AK38" s="48"/>
      <c r="AL38" s="48"/>
      <c r="AM38" s="158" t="str">
        <f t="shared" si="20"/>
        <v>start /low /b %USERPROFILE%\Documents\GitHub\eaglep3\Utilities\DownloadLogsFromS3.py --loco 4032 --day 2017-02-05</v>
      </c>
      <c r="AN38" s="167" t="str">
        <f>"grep -SE -B400 ""CHR.+\|PRM\|1\|D.+(SWITCH|SIGNAL).+UNKNOWN"" "&amp;search_path&amp;"\RTDC"&amp;B38&amp;"\*"&amp;B38&amp;"*"&amp;TEXT(AVERAGE(F38,I38)-utc_offset/24,"YYYYMMDD")&amp;"*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 customFormat="1" x14ac:dyDescent="0.25">
      <c r="A39" s="33" t="s">
        <v>502</v>
      </c>
      <c r="B39" s="7">
        <v>4009</v>
      </c>
      <c r="C39" s="21" t="s">
        <v>193</v>
      </c>
      <c r="D39" s="21" t="s">
        <v>240</v>
      </c>
      <c r="E39" s="13">
        <v>42771.288703703707</v>
      </c>
      <c r="F39" s="13">
        <v>42771.29184027778</v>
      </c>
      <c r="G39" s="7">
        <v>1</v>
      </c>
      <c r="H39" s="21" t="s">
        <v>765</v>
      </c>
      <c r="I39" s="13">
        <v>42771.316759259258</v>
      </c>
      <c r="J39" s="7">
        <v>0</v>
      </c>
      <c r="K39" s="98" t="str">
        <f t="shared" si="0"/>
        <v>4009/4010</v>
      </c>
      <c r="L39" s="21" t="str">
        <f>VLOOKUP(A39,'Trips&amp;Operators'!$C$1:$G$99999,5,FALSE)</f>
        <v>OUN ZACK</v>
      </c>
      <c r="M39" s="6">
        <f t="shared" si="1"/>
        <v>2.491898147854954E-2</v>
      </c>
      <c r="N39" s="7">
        <f t="shared" si="2"/>
        <v>35.883333329111338</v>
      </c>
      <c r="O39" s="7"/>
      <c r="P39" s="7"/>
      <c r="Q39" s="22"/>
      <c r="R39" s="22"/>
      <c r="S39" s="31">
        <f t="shared" si="3"/>
        <v>1</v>
      </c>
      <c r="T39" s="46" t="str">
        <f t="shared" si="4"/>
        <v>NorthBound</v>
      </c>
      <c r="U39" s="190">
        <f>IF(AG39="EC",COUNTIFS(Variables!$M$2:$M$19,IF(T39="NorthBound","&gt;=","&lt;=")&amp;Y39,Variables!$M$2:$M$19,IF(T39="NorthBound","&lt;=","&gt;=")&amp;Z39),COUNTIFS(Variables!$P$2:$P$19,IF(T39="NorthBound","&gt;=","&lt;=")&amp;Y39,Variables!$P$2:$P$19,IF(T39="NorthBound","&lt;=","&gt;=")&amp;Z39))</f>
        <v>12</v>
      </c>
      <c r="V39" s="191" t="str">
        <f t="shared" si="5"/>
        <v>https://d0f6bd738d7f1b3e5a7ca70fe4ff75f0.us-east-1.aws.found.io/app/kibana#/discover/Steve-Slow-Train-Analysis-(2080s-and-2083s)?_g=(refreshInterval:(display:Off,pause:!f,section:0,value:0),time:(from:'2017-02-05T05:55:44-0700',mode:absolute,to:'2017-02-05T08:36:08-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39" s="192" t="str">
        <f t="shared" si="6"/>
        <v>N</v>
      </c>
      <c r="X39" s="192">
        <f t="shared" si="22"/>
        <v>1</v>
      </c>
      <c r="Y39" s="62">
        <f t="shared" si="8"/>
        <v>4.5100000000000001E-2</v>
      </c>
      <c r="Z39" s="62">
        <f t="shared" si="9"/>
        <v>23.334299999999999</v>
      </c>
      <c r="AA39" s="62">
        <f t="shared" si="10"/>
        <v>23.289199999999997</v>
      </c>
      <c r="AB39" s="59" t="e">
        <f>VLOOKUP(A39,Enforcements!$C$7:$K$16,8,0)</f>
        <v>#N/A</v>
      </c>
      <c r="AC39" s="55" t="e">
        <f>VLOOKUP(A39,Enforcements!$C$7:$E$16,3,0)</f>
        <v>#N/A</v>
      </c>
      <c r="AD39" s="56" t="str">
        <f t="shared" si="11"/>
        <v>0127-05</v>
      </c>
      <c r="AE39" s="85" t="str">
        <f t="shared" si="12"/>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39" s="82" t="str">
        <f t="shared" si="13"/>
        <v>"C:\Program Files (x86)\AstroGrep\AstroGrep.exe" /spath="%USERPROFILE%\AppData\Local\Temp\OnboardLogs" /stypes="app*4009*20170205*" /stext=" 14:.+((SYSTEM_STATE.+slice.+state.+changed )|(ment ac)|(multiple cpu faults)|(system.+state.+changed )|(\[timeout)|(PRM\|1\|D)|(kpr)|(kdp)|(\|lc)|(penalty))" /e /r /s</v>
      </c>
      <c r="AG39" s="1" t="str">
        <f t="shared" si="14"/>
        <v>EC</v>
      </c>
      <c r="AH39" s="86" t="str">
        <f t="shared" si="18"/>
        <v>"%USERPROFILE%\Documents\GitHub\eaglep3\Utilities\RefineRTDCRunTimes.py" --tripid 127-05 --locoid 4009 --swversion DE.1.0.8.0 --startMP 204:451 --initTime 2017-02-05T06:55:44 --startdatetime 2017-02-05T07:00:15 --delay 1 --endMP 204:233343 --enddatetime 2017-02-05T07:36:08 --enforcementcount 0 &gt;&gt;C:\Users\stu\Documents\GitHub\eaglep3-reporting\EC\2017-02-05-refined-times.txt</v>
      </c>
      <c r="AI39" s="108" t="str">
        <f t="shared" si="19"/>
        <v>echo {"issue":{"subject":"","project_id":79,"tracker_id":40,"status_id":1,"priority_id":2,"assigned_to_id":23,"start_date":"2017-02-05","description":"","custom_fields":[{"id":1,"name":"Subdivision","value":"EC"},{"id":4,"name":"Milepost","value":"23.3343"},{"id":17,"name":"Train ID","value":"127-05"},{"id":16,"name":"Locomotive ID","value":"4009"},{"id":130,"name":"Impact","value":""},{"id":150,"name":"Time of Event (Mountain Time)","value":"07:36:08"},{"id":151,"name":"Denver Issue ID","value":""},{"id":178,"name":"Operational Impact","value":"Yes"},{"id":179,"name":"Denver Segment Assigned","value":""}]}} | curl -X POST -H "Content-Type: application/json" -H "X-Redmine-API-Key: d6333d4a04012a730768444271f8ca06482dae87" https://secure.xorail.net/redmine/issues.json --data @-</v>
      </c>
      <c r="AJ39" s="48"/>
      <c r="AK39" s="48"/>
      <c r="AL39" s="48"/>
      <c r="AM39" s="158" t="str">
        <f t="shared" si="20"/>
        <v>start /low /b %USERPROFILE%\Documents\GitHub\eaglep3\Utilities\DownloadLogsFromS3.py --loco 4009 --day 2017-02-05</v>
      </c>
      <c r="AN39" s="167" t="str">
        <f>"grep -SE -B400 ""CHR.+\|PRM\|1\|D.+(SWITCH|SIGNAL).+UNKNOWN"" "&amp;search_path&amp;"\RTDC"&amp;B39&amp;"\*"&amp;B39&amp;"*"&amp;TEXT(AVERAGE(F39,I39)-utc_offset/24,"YYYYMMDD")&amp;"*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 customFormat="1" x14ac:dyDescent="0.25">
      <c r="A40" s="33" t="s">
        <v>504</v>
      </c>
      <c r="B40" s="7">
        <v>4010</v>
      </c>
      <c r="C40" s="21" t="s">
        <v>193</v>
      </c>
      <c r="D40" s="21" t="s">
        <v>766</v>
      </c>
      <c r="E40" s="13">
        <v>42771.326631944445</v>
      </c>
      <c r="F40" s="13">
        <v>42771.330810185187</v>
      </c>
      <c r="G40" s="7">
        <v>1</v>
      </c>
      <c r="H40" s="21" t="s">
        <v>225</v>
      </c>
      <c r="I40" s="13">
        <v>42771.357361111113</v>
      </c>
      <c r="J40" s="7">
        <v>0</v>
      </c>
      <c r="K40" s="98" t="str">
        <f t="shared" si="0"/>
        <v>4009/4010</v>
      </c>
      <c r="L40" s="21" t="str">
        <f>VLOOKUP(A40,'Trips&amp;Operators'!$C$1:$G$99999,5,FALSE)</f>
        <v>OUN ZACK</v>
      </c>
      <c r="M40" s="6">
        <f t="shared" si="1"/>
        <v>2.6550925926130731E-2</v>
      </c>
      <c r="N40" s="7">
        <f t="shared" si="2"/>
        <v>38.233333333628252</v>
      </c>
      <c r="O40" s="7"/>
      <c r="P40" s="7"/>
      <c r="Q40" s="22"/>
      <c r="R40" s="22"/>
      <c r="S40" s="31">
        <f t="shared" si="3"/>
        <v>1</v>
      </c>
      <c r="T40" s="46" t="str">
        <f t="shared" si="4"/>
        <v>Southbound</v>
      </c>
      <c r="U40" s="190">
        <f>IF(AG40="EC",COUNTIFS(Variables!$M$2:$M$19,IF(T40="NorthBound","&gt;=","&lt;=")&amp;Y40,Variables!$M$2:$M$19,IF(T40="NorthBound","&lt;=","&gt;=")&amp;Z40),COUNTIFS(Variables!$P$2:$P$19,IF(T40="NorthBound","&gt;=","&lt;=")&amp;Y40,Variables!$P$2:$P$19,IF(T40="NorthBound","&lt;=","&gt;=")&amp;Z40))</f>
        <v>12</v>
      </c>
      <c r="V40" s="191" t="str">
        <f t="shared" si="5"/>
        <v>https://d0f6bd738d7f1b3e5a7ca70fe4ff75f0.us-east-1.aws.found.io/app/kibana#/discover/Steve-Slow-Train-Analysis-(2080s-and-2083s)?_g=(refreshInterval:(display:Off,pause:!f,section:0,value:0),time:(from:'2017-02-05T06:50:21-0700',mode:absolute,to:'2017-02-05T09:34:36-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40" s="192" t="str">
        <f t="shared" si="6"/>
        <v>N</v>
      </c>
      <c r="X40" s="192">
        <f t="shared" si="22"/>
        <v>1</v>
      </c>
      <c r="Y40" s="62">
        <f t="shared" si="8"/>
        <v>23.302600000000002</v>
      </c>
      <c r="Z40" s="62">
        <f t="shared" si="9"/>
        <v>1.54E-2</v>
      </c>
      <c r="AA40" s="62">
        <f t="shared" si="10"/>
        <v>23.287200000000002</v>
      </c>
      <c r="AB40" s="59" t="str">
        <f>VLOOKUP(A40,Enforcements!$C$7:$K$16,8,0)</f>
        <v>Form based authority (4)</v>
      </c>
      <c r="AC40" s="55" t="str">
        <f>VLOOKUP(A40,Enforcements!$C$7:$E$16,3,0)</f>
        <v>TRACK WARRANT AUTHORITY</v>
      </c>
      <c r="AD40" s="56" t="str">
        <f t="shared" si="11"/>
        <v>0128-05</v>
      </c>
      <c r="AE40" s="85" t="str">
        <f t="shared" si="12"/>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40" s="82" t="str">
        <f t="shared" si="13"/>
        <v>"C:\Program Files (x86)\AstroGrep\AstroGrep.exe" /spath="%USERPROFILE%\AppData\Local\Temp\OnboardLogs" /stypes="app*4010*20170205*" /stext=" 15:.+((SYSTEM_STATE.+slice.+state.+changed )|(ment ac)|(multiple cpu faults)|(system.+state.+changed )|(\[timeout)|(PRM\|1\|D)|(kpr)|(kdp)|(\|lc)|(penalty))" /e /r /s</v>
      </c>
      <c r="AG40" s="1" t="str">
        <f t="shared" si="14"/>
        <v>EC</v>
      </c>
      <c r="AH40" s="86" t="str">
        <f t="shared" si="18"/>
        <v>"%USERPROFILE%\Documents\GitHub\eaglep3\Utilities\RefineRTDCRunTimes.py" --tripid 128-05 --locoid 4010 --swversion DE.1.0.8.0 --startMP 204:233026 --initTime 2017-02-05T07:50:21 --startdatetime 2017-02-05T07:56:22 --delay 1 --endMP 204:154 --enddatetime 2017-02-05T08:34:36 --enforcementcount 0 &gt;&gt;C:\Users\stu\Documents\GitHub\eaglep3-reporting\EC\2017-02-05-refined-times.txt</v>
      </c>
      <c r="AI40" s="108" t="str">
        <f t="shared" si="19"/>
        <v>echo {"issue":{"subject":"","project_id":79,"tracker_id":40,"status_id":1,"priority_id":2,"assigned_to_id":23,"start_date":"2017-02-05","description":"","custom_fields":[{"id":1,"name":"Subdivision","value":"EC"},{"id":4,"name":"Milepost","value":"0.0154"},{"id":17,"name":"Train ID","value":"128-05"},{"id":16,"name":"Locomotive ID","value":"4010"},{"id":130,"name":"Impact","value":""},{"id":150,"name":"Time of Event (Mountain Time)","value":"08:34:36"},{"id":151,"name":"Denver Issue ID","value":""},{"id":178,"name":"Operational Impact","value":"Yes"},{"id":179,"name":"Denver Segment Assigned","value":""}]}} | curl -X POST -H "Content-Type: application/json" -H "X-Redmine-API-Key: d6333d4a04012a730768444271f8ca06482dae87" https://secure.xorail.net/redmine/issues.json --data @-</v>
      </c>
      <c r="AJ40" s="48"/>
      <c r="AK40" s="48"/>
      <c r="AL40" s="48"/>
      <c r="AM40" s="158" t="str">
        <f t="shared" si="20"/>
        <v>start /low /b %USERPROFILE%\Documents\GitHub\eaglep3\Utilities\DownloadLogsFromS3.py --loco 4010 --day 2017-02-05</v>
      </c>
      <c r="AN40" s="167" t="str">
        <f>"grep -SE -B400 ""CHR.+\|PRM\|1\|D.+(SWITCH|SIGNAL).+UNKNOWN"" "&amp;search_path&amp;"\RTDC"&amp;B40&amp;"\*"&amp;B40&amp;"*"&amp;TEXT(AVERAGE(F40,I40)-utc_offset/24,"YYYYMMDD")&amp;"*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 customFormat="1" x14ac:dyDescent="0.25">
      <c r="A41" s="33" t="s">
        <v>575</v>
      </c>
      <c r="B41" s="7">
        <v>4040</v>
      </c>
      <c r="C41" s="21" t="s">
        <v>193</v>
      </c>
      <c r="D41" s="21" t="s">
        <v>211</v>
      </c>
      <c r="E41" s="13">
        <v>42771.297962962963</v>
      </c>
      <c r="F41" s="13">
        <v>42771.302268518521</v>
      </c>
      <c r="G41" s="7">
        <v>1</v>
      </c>
      <c r="H41" s="21" t="s">
        <v>407</v>
      </c>
      <c r="I41" s="13">
        <v>42771.328912037039</v>
      </c>
      <c r="J41" s="7">
        <v>0</v>
      </c>
      <c r="K41" s="98" t="str">
        <f t="shared" si="0"/>
        <v>4039/4040</v>
      </c>
      <c r="L41" s="21" t="str">
        <f>VLOOKUP(A41,'Trips&amp;Operators'!$C$1:$G$99999,5,FALSE)</f>
        <v>SHOOK JOHN</v>
      </c>
      <c r="M41" s="6">
        <f t="shared" si="1"/>
        <v>2.6643518518540077E-2</v>
      </c>
      <c r="N41" s="7">
        <f t="shared" si="2"/>
        <v>38.366666666697711</v>
      </c>
      <c r="O41" s="7"/>
      <c r="P41" s="7"/>
      <c r="Q41" s="22"/>
      <c r="R41" s="22"/>
      <c r="S41" s="31">
        <f t="shared" si="3"/>
        <v>1</v>
      </c>
      <c r="T41" s="46" t="str">
        <f t="shared" si="4"/>
        <v>NorthBound</v>
      </c>
      <c r="U41" s="190">
        <f>IF(AG41="EC",COUNTIFS(Variables!$M$2:$M$19,IF(T41="NorthBound","&gt;=","&lt;=")&amp;Y41,Variables!$M$2:$M$19,IF(T41="NorthBound","&lt;=","&gt;=")&amp;Z41),COUNTIFS(Variables!$P$2:$P$19,IF(T41="NorthBound","&gt;=","&lt;=")&amp;Y41,Variables!$P$2:$P$19,IF(T41="NorthBound","&lt;=","&gt;=")&amp;Z41))</f>
        <v>12</v>
      </c>
      <c r="V41" s="191" t="str">
        <f t="shared" si="5"/>
        <v>https://d0f6bd738d7f1b3e5a7ca70fe4ff75f0.us-east-1.aws.found.io/app/kibana#/discover/Steve-Slow-Train-Analysis-(2080s-and-2083s)?_g=(refreshInterval:(display:Off,pause:!f,section:0,value:0),time:(from:'2017-02-05T06:09:04-0700',mode:absolute,to:'2017-02-05T08:53:38-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41" s="192" t="str">
        <f t="shared" si="6"/>
        <v>N</v>
      </c>
      <c r="X41" s="192">
        <f t="shared" si="22"/>
        <v>1</v>
      </c>
      <c r="Y41" s="62">
        <f t="shared" si="8"/>
        <v>4.4900000000000002E-2</v>
      </c>
      <c r="Z41" s="62">
        <f t="shared" si="9"/>
        <v>23.336600000000001</v>
      </c>
      <c r="AA41" s="62">
        <f t="shared" si="10"/>
        <v>23.291700000000002</v>
      </c>
      <c r="AB41" s="59" t="e">
        <f>VLOOKUP(A41,Enforcements!$C$7:$K$16,8,0)</f>
        <v>#N/A</v>
      </c>
      <c r="AC41" s="55" t="e">
        <f>VLOOKUP(A41,Enforcements!$C$7:$E$16,3,0)</f>
        <v>#N/A</v>
      </c>
      <c r="AD41" s="56" t="str">
        <f t="shared" si="11"/>
        <v>0129-05</v>
      </c>
      <c r="AE41" s="85" t="str">
        <f t="shared" si="12"/>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41" s="82" t="str">
        <f t="shared" si="13"/>
        <v>"C:\Program Files (x86)\AstroGrep\AstroGrep.exe" /spath="%USERPROFILE%\AppData\Local\Temp\OnboardLogs" /stypes="app*4040*20170205*" /stext=" 14:.+((SYSTEM_STATE.+slice.+state.+changed )|(ment ac)|(multiple cpu faults)|(system.+state.+changed )|(\[timeout)|(PRM\|1\|D)|(kpr)|(kdp)|(\|lc)|(penalty))" /e /r /s</v>
      </c>
      <c r="AG41" s="1" t="str">
        <f t="shared" si="14"/>
        <v>EC</v>
      </c>
      <c r="AH41" s="86" t="str">
        <f t="shared" si="18"/>
        <v>"%USERPROFILE%\Documents\GitHub\eaglep3\Utilities\RefineRTDCRunTimes.py" --tripid 129-05 --locoid 4040 --swversion DE.1.0.8.0 --startMP 204:449 --initTime 2017-02-05T07:09:04 --startdatetime 2017-02-05T07:15:16 --delay 1 --endMP 204:233366 --enddatetime 2017-02-05T07:53:38 --enforcementcount 0 &gt;&gt;C:\Users\stu\Documents\GitHub\eaglep3-reporting\EC\2017-02-05-refined-times.txt</v>
      </c>
      <c r="AI41" s="108" t="str">
        <f t="shared" si="19"/>
        <v>echo {"issue":{"subject":"","project_id":79,"tracker_id":40,"status_id":1,"priority_id":2,"assigned_to_id":23,"start_date":"2017-02-05","description":"","custom_fields":[{"id":1,"name":"Subdivision","value":"EC"},{"id":4,"name":"Milepost","value":"23.3366"},{"id":17,"name":"Train ID","value":"129-05"},{"id":16,"name":"Locomotive ID","value":"4040"},{"id":130,"name":"Impact","value":""},{"id":150,"name":"Time of Event (Mountain Time)","value":"07:53:38"},{"id":151,"name":"Denver Issue ID","value":""},{"id":178,"name":"Operational Impact","value":"Yes"},{"id":179,"name":"Denver Segment Assigned","value":""}]}} | curl -X POST -H "Content-Type: application/json" -H "X-Redmine-API-Key: d6333d4a04012a730768444271f8ca06482dae87" https://secure.xorail.net/redmine/issues.json --data @-</v>
      </c>
      <c r="AJ41" s="48"/>
      <c r="AK41" s="48"/>
      <c r="AL41" s="48"/>
      <c r="AM41" s="158" t="str">
        <f t="shared" si="20"/>
        <v>start /low /b %USERPROFILE%\Documents\GitHub\eaglep3\Utilities\DownloadLogsFromS3.py --loco 4040 --day 2017-02-05</v>
      </c>
      <c r="AN41" s="167" t="str">
        <f>"grep -SE -B400 ""CHR.+\|PRM\|1\|D.+(SWITCH|SIGNAL).+UNKNOWN"" "&amp;search_path&amp;"\RTDC"&amp;B41&amp;"\*"&amp;B41&amp;"*"&amp;TEXT(AVERAGE(F41,I41)-utc_offset/24,"YYYYMMDD")&amp;"* | grep -SE ""(Enforcement Action)|(\[TIMEOUT)|(CHR.+\|PRM\|1\|D.+(SWITCH|SIGNAL).+UNKNOWN)"" - &gt;&gt; "&amp;TEXT(Variables!$A$2,"YYYY-MM-DD")&amp;"-UncaughtWiMAX.txt"</f>
        <v>grep -SE -B400 "CHR.+\|PRM\|1\|D.+(SWITCH|SIGNAL).+UNKNOWN" "%USERPROFILE%\AppData\Local\Temp\OnboardLogs"\RTDC4040\*4040*20170205* | grep -SE "(Enforcement Action)|(\[TIMEOUT)|(CHR.+\|PRM\|1\|D.+(SWITCH|SIGNAL).+UNKNOWN)" - &gt;&gt; 2017-02-05-UncaughtWiMAX.txt</v>
      </c>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 customFormat="1" x14ac:dyDescent="0.25">
      <c r="A42" s="33" t="s">
        <v>582</v>
      </c>
      <c r="B42" s="7">
        <v>4039</v>
      </c>
      <c r="C42" s="21" t="s">
        <v>193</v>
      </c>
      <c r="D42" s="21" t="s">
        <v>767</v>
      </c>
      <c r="E42" s="13">
        <v>42771.330810185187</v>
      </c>
      <c r="F42" s="13">
        <v>42771.341168981482</v>
      </c>
      <c r="G42" s="7">
        <v>1</v>
      </c>
      <c r="H42" s="21" t="s">
        <v>184</v>
      </c>
      <c r="I42" s="13">
        <v>42771.369143518517</v>
      </c>
      <c r="J42" s="7">
        <v>0</v>
      </c>
      <c r="K42" s="98" t="str">
        <f t="shared" si="0"/>
        <v>4039/4040</v>
      </c>
      <c r="L42" s="21" t="str">
        <f>VLOOKUP(A42,'Trips&amp;Operators'!$C$1:$G$99999,5,FALSE)</f>
        <v>SHOOK JOHN</v>
      </c>
      <c r="M42" s="6">
        <f t="shared" si="1"/>
        <v>2.7974537035333924E-2</v>
      </c>
      <c r="N42" s="7">
        <f t="shared" si="2"/>
        <v>40.283333330880851</v>
      </c>
      <c r="O42" s="7"/>
      <c r="P42" s="7"/>
      <c r="Q42" s="22"/>
      <c r="R42" s="22"/>
      <c r="S42" s="31">
        <f t="shared" si="3"/>
        <v>1</v>
      </c>
      <c r="T42" s="46" t="str">
        <f t="shared" si="4"/>
        <v>Southbound</v>
      </c>
      <c r="U42" s="190">
        <f>IF(AG42="EC",COUNTIFS(Variables!$M$2:$M$19,IF(T42="NorthBound","&gt;=","&lt;=")&amp;Y42,Variables!$M$2:$M$19,IF(T42="NorthBound","&lt;=","&gt;=")&amp;Z42),COUNTIFS(Variables!$P$2:$P$19,IF(T42="NorthBound","&gt;=","&lt;=")&amp;Y42,Variables!$P$2:$P$19,IF(T42="NorthBound","&lt;=","&gt;=")&amp;Z42))</f>
        <v>12</v>
      </c>
      <c r="V42" s="191" t="str">
        <f t="shared" si="5"/>
        <v>https://d0f6bd738d7f1b3e5a7ca70fe4ff75f0.us-east-1.aws.found.io/app/kibana#/discover/Steve-Slow-Train-Analysis-(2080s-and-2083s)?_g=(refreshInterval:(display:Off,pause:!f,section:0,value:0),time:(from:'2017-02-05T06:56:22-0700',mode:absolute,to:'2017-02-05T09:51:34-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42" s="192" t="str">
        <f t="shared" si="6"/>
        <v>N</v>
      </c>
      <c r="X42" s="192">
        <f t="shared" si="22"/>
        <v>1</v>
      </c>
      <c r="Y42" s="62">
        <f t="shared" si="8"/>
        <v>23.303599999999999</v>
      </c>
      <c r="Z42" s="62">
        <f t="shared" si="9"/>
        <v>1.49E-2</v>
      </c>
      <c r="AA42" s="62">
        <f t="shared" si="10"/>
        <v>23.288699999999999</v>
      </c>
      <c r="AB42" s="59" t="e">
        <f>VLOOKUP(A42,Enforcements!$C$7:$K$16,8,0)</f>
        <v>#N/A</v>
      </c>
      <c r="AC42" s="55" t="e">
        <f>VLOOKUP(A42,Enforcements!$C$7:$E$16,3,0)</f>
        <v>#N/A</v>
      </c>
      <c r="AD42" s="56" t="str">
        <f t="shared" si="11"/>
        <v>0130-05</v>
      </c>
      <c r="AE42" s="85" t="str">
        <f t="shared" si="12"/>
        <v>aws s3 cp s3://rtdc.mdm.uploadarchive.raw/RTDC4039/ "%USERPROFILE%\AppData\Local\Temp\OnboardLogs"\RTDC4039\2017-02-05 --exclude "*" --recursive --include "*20170205*" &amp; "%USERPROFILE%\Documents\GitHub\mrs-test-scripts\Headless Mode &amp; Sideloading\WalkAndUnGZ.bat" "%USERPROFILE%\AppData\Local\Temp\OnboardLogs"\RTDC4039\2017-02-05 &amp; aws s3 cp s3://rtdc.mdm.uploadarchive.raw/RTDC4039/ "%USERPROFILE%\AppData\Local\Temp\OnboardLogs"\RTDC4039\2017-02-06 --exclude "*" --recursive --include "*20170206*" &amp; "%USERPROFILE%\Documents\GitHub\mrs-test-scripts\Headless Mode &amp; Sideloading\WalkAndUnGZ.bat" "%USERPROFILE%\AppData\Local\Temp\OnboardLogs"\RTDC4039\2017-02-06</v>
      </c>
      <c r="AF42" s="82" t="str">
        <f t="shared" si="13"/>
        <v>"C:\Program Files (x86)\AstroGrep\AstroGrep.exe" /spath="%USERPROFILE%\AppData\Local\Temp\OnboardLogs" /stypes="app*4039*20170205*" /stext=" 15:.+((SYSTEM_STATE.+slice.+state.+changed )|(ment ac)|(multiple cpu faults)|(system.+state.+changed )|(\[timeout)|(PRM\|1\|D)|(kpr)|(kdp)|(\|lc)|(penalty))" /e /r /s</v>
      </c>
      <c r="AG42" s="1" t="str">
        <f t="shared" si="14"/>
        <v>EC</v>
      </c>
      <c r="AH42" s="86" t="str">
        <f t="shared" si="18"/>
        <v>"%USERPROFILE%\Documents\GitHub\eaglep3\Utilities\RefineRTDCRunTimes.py" --tripid 130-05 --locoid 4039 --swversion DE.1.0.8.0 --startMP 204:233036 --initTime 2017-02-05T07:56:22 --startdatetime 2017-02-05T08:11:17 --delay 1 --endMP 204:149 --enddatetime 2017-02-05T08:51:34 --enforcementcount 0 &gt;&gt;C:\Users\stu\Documents\GitHub\eaglep3-reporting\EC\2017-02-05-refined-times.txt</v>
      </c>
      <c r="AI42" s="108" t="str">
        <f t="shared" si="19"/>
        <v>echo {"issue":{"subject":"","project_id":79,"tracker_id":40,"status_id":1,"priority_id":2,"assigned_to_id":23,"start_date":"2017-02-05","description":"","custom_fields":[{"id":1,"name":"Subdivision","value":"EC"},{"id":4,"name":"Milepost","value":"0.0149"},{"id":17,"name":"Train ID","value":"130-05"},{"id":16,"name":"Locomotive ID","value":"4039"},{"id":130,"name":"Impact","value":""},{"id":150,"name":"Time of Event (Mountain Time)","value":"08:51:34"},{"id":151,"name":"Denver Issue ID","value":""},{"id":178,"name":"Operational Impact","value":"Yes"},{"id":179,"name":"Denver Segment Assigned","value":""}]}} | curl -X POST -H "Content-Type: application/json" -H "X-Redmine-API-Key: d6333d4a04012a730768444271f8ca06482dae87" https://secure.xorail.net/redmine/issues.json --data @-</v>
      </c>
      <c r="AJ42" s="48"/>
      <c r="AK42" s="48"/>
      <c r="AL42" s="48"/>
      <c r="AM42" s="158" t="str">
        <f t="shared" si="20"/>
        <v>start /low /b %USERPROFILE%\Documents\GitHub\eaglep3\Utilities\DownloadLogsFromS3.py --loco 4039 --day 2017-02-05</v>
      </c>
      <c r="AN42" s="167" t="str">
        <f>"grep -SE -B400 ""CHR.+\|PRM\|1\|D.+(SWITCH|SIGNAL).+UNKNOWN"" "&amp;search_path&amp;"\RTDC"&amp;B42&amp;"\*"&amp;B42&amp;"*"&amp;TEXT(AVERAGE(F42,I42)-utc_offset/24,"YYYYMMDD")&amp;"* | grep -SE ""(Enforcement Action)|(\[TIMEOUT)|(CHR.+\|PRM\|1\|D.+(SWITCH|SIGNAL).+UNKNOWN)"" - &gt;&gt; "&amp;TEXT(Variables!$A$2,"YYYY-MM-DD")&amp;"-UncaughtWiMAX.txt"</f>
        <v>grep -SE -B400 "CHR.+\|PRM\|1\|D.+(SWITCH|SIGNAL).+UNKNOWN" "%USERPROFILE%\AppData\Local\Temp\OnboardLogs"\RTDC4039\*4039*20170205* | grep -SE "(Enforcement Action)|(\[TIMEOUT)|(CHR.+\|PRM\|1\|D.+(SWITCH|SIGNAL).+UNKNOWN)" - &gt;&gt; 2017-02-05-UncaughtWiMAX.txt</v>
      </c>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 customFormat="1" x14ac:dyDescent="0.25">
      <c r="A43" s="33" t="s">
        <v>577</v>
      </c>
      <c r="B43" s="7">
        <v>4025</v>
      </c>
      <c r="C43" s="21" t="s">
        <v>193</v>
      </c>
      <c r="D43" s="21" t="s">
        <v>318</v>
      </c>
      <c r="E43" s="13">
        <v>42771.309849537036</v>
      </c>
      <c r="F43" s="13">
        <v>42771.312708333331</v>
      </c>
      <c r="G43" s="7">
        <v>1</v>
      </c>
      <c r="H43" s="21" t="s">
        <v>223</v>
      </c>
      <c r="I43" s="13">
        <v>42771.337766203702</v>
      </c>
      <c r="J43" s="7">
        <v>0</v>
      </c>
      <c r="K43" s="98" t="str">
        <f t="shared" si="0"/>
        <v>4025/4026</v>
      </c>
      <c r="L43" s="21" t="str">
        <f>VLOOKUP(A43,'Trips&amp;Operators'!$C$1:$G$99999,5,FALSE)</f>
        <v>MAELZER KURT</v>
      </c>
      <c r="M43" s="6">
        <f t="shared" si="1"/>
        <v>2.5057870370801538E-2</v>
      </c>
      <c r="N43" s="7">
        <f t="shared" si="2"/>
        <v>36.083333333954215</v>
      </c>
      <c r="O43" s="7"/>
      <c r="P43" s="7"/>
      <c r="Q43" s="22"/>
      <c r="R43" s="22"/>
      <c r="S43" s="31">
        <f t="shared" si="3"/>
        <v>1</v>
      </c>
      <c r="T43" s="46" t="str">
        <f t="shared" si="4"/>
        <v>NorthBound</v>
      </c>
      <c r="U43" s="190">
        <f>IF(AG43="EC",COUNTIFS(Variables!$M$2:$M$19,IF(T43="NorthBound","&gt;=","&lt;=")&amp;Y43,Variables!$M$2:$M$19,IF(T43="NorthBound","&lt;=","&gt;=")&amp;Z43),COUNTIFS(Variables!$P$2:$P$19,IF(T43="NorthBound","&gt;=","&lt;=")&amp;Y43,Variables!$P$2:$P$19,IF(T43="NorthBound","&lt;=","&gt;=")&amp;Z43))</f>
        <v>12</v>
      </c>
      <c r="V43" s="191" t="str">
        <f t="shared" si="5"/>
        <v>https://d0f6bd738d7f1b3e5a7ca70fe4ff75f0.us-east-1.aws.found.io/app/kibana#/discover/Steve-Slow-Train-Analysis-(2080s-and-2083s)?_g=(refreshInterval:(display:Off,pause:!f,section:0,value:0),time:(from:'2017-02-05T06:26:11-0700',mode:absolute,to:'2017-02-05T09:06:23-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43" s="192" t="str">
        <f t="shared" si="6"/>
        <v>N</v>
      </c>
      <c r="X43" s="192">
        <f t="shared" si="22"/>
        <v>1</v>
      </c>
      <c r="Y43" s="62">
        <f t="shared" si="8"/>
        <v>4.4699999999999997E-2</v>
      </c>
      <c r="Z43" s="62">
        <f t="shared" si="9"/>
        <v>23.329899999999999</v>
      </c>
      <c r="AA43" s="62">
        <f t="shared" si="10"/>
        <v>23.2852</v>
      </c>
      <c r="AB43" s="59" t="e">
        <f>VLOOKUP(A43,Enforcements!$C$7:$K$16,8,0)</f>
        <v>#N/A</v>
      </c>
      <c r="AC43" s="55" t="e">
        <f>VLOOKUP(A43,Enforcements!$C$7:$E$16,3,0)</f>
        <v>#N/A</v>
      </c>
      <c r="AD43" s="56" t="str">
        <f t="shared" si="11"/>
        <v>0131-05</v>
      </c>
      <c r="AE43" s="85" t="str">
        <f t="shared" si="12"/>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43" s="82" t="str">
        <f t="shared" si="13"/>
        <v>"C:\Program Files (x86)\AstroGrep\AstroGrep.exe" /spath="%USERPROFILE%\AppData\Local\Temp\OnboardLogs" /stypes="app*4025*20170205*" /stext=" 15:.+((SYSTEM_STATE.+slice.+state.+changed )|(ment ac)|(multiple cpu faults)|(system.+state.+changed )|(\[timeout)|(PRM\|1\|D)|(kpr)|(kdp)|(\|lc)|(penalty))" /e /r /s</v>
      </c>
      <c r="AG43" s="1" t="str">
        <f t="shared" si="14"/>
        <v>EC</v>
      </c>
      <c r="AH43" s="86" t="str">
        <f t="shared" si="18"/>
        <v>"%USERPROFILE%\Documents\GitHub\eaglep3\Utilities\RefineRTDCRunTimes.py" --tripid 131-05 --locoid 4025 --swversion DE.1.0.8.0 --startMP 204:447 --initTime 2017-02-05T07:26:11 --startdatetime 2017-02-05T07:30:18 --delay 1 --endMP 204:233299 --enddatetime 2017-02-05T08:06:23 --enforcementcount 0 &gt;&gt;C:\Users\stu\Documents\GitHub\eaglep3-reporting\EC\2017-02-05-refined-times.txt</v>
      </c>
      <c r="AI43" s="108" t="str">
        <f t="shared" si="19"/>
        <v>echo {"issue":{"subject":"","project_id":79,"tracker_id":40,"status_id":1,"priority_id":2,"assigned_to_id":23,"start_date":"2017-02-05","description":"","custom_fields":[{"id":1,"name":"Subdivision","value":"EC"},{"id":4,"name":"Milepost","value":"23.3299"},{"id":17,"name":"Train ID","value":"131-05"},{"id":16,"name":"Locomotive ID","value":"4025"},{"id":130,"name":"Impact","value":""},{"id":150,"name":"Time of Event (Mountain Time)","value":"08:06:23"},{"id":151,"name":"Denver Issue ID","value":""},{"id":178,"name":"Operational Impact","value":"Yes"},{"id":179,"name":"Denver Segment Assigned","value":""}]}} | curl -X POST -H "Content-Type: application/json" -H "X-Redmine-API-Key: d6333d4a04012a730768444271f8ca06482dae87" https://secure.xorail.net/redmine/issues.json --data @-</v>
      </c>
      <c r="AJ43" s="48"/>
      <c r="AK43" s="48"/>
      <c r="AL43" s="48"/>
      <c r="AM43" s="158" t="str">
        <f t="shared" si="20"/>
        <v>start /low /b %USERPROFILE%\Documents\GitHub\eaglep3\Utilities\DownloadLogsFromS3.py --loco 4025 --day 2017-02-05</v>
      </c>
      <c r="AN43" s="167" t="str">
        <f>"grep -SE -B400 ""CHR.+\|PRM\|1\|D.+(SWITCH|SIGNAL).+UNKNOWN"" "&amp;search_path&amp;"\RTDC"&amp;B43&amp;"\*"&amp;B43&amp;"*"&amp;TEXT(AVERAGE(F43,I43)-utc_offset/24,"YYYYMMDD")&amp;"*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 customFormat="1" x14ac:dyDescent="0.25">
      <c r="A44" s="33" t="s">
        <v>503</v>
      </c>
      <c r="B44" s="7">
        <v>4026</v>
      </c>
      <c r="C44" s="21" t="s">
        <v>193</v>
      </c>
      <c r="D44" s="21" t="s">
        <v>768</v>
      </c>
      <c r="E44" s="13">
        <v>42771.343611111108</v>
      </c>
      <c r="F44" s="13">
        <v>42771.351643518516</v>
      </c>
      <c r="G44" s="7">
        <v>1</v>
      </c>
      <c r="H44" s="21" t="s">
        <v>237</v>
      </c>
      <c r="I44" s="13">
        <v>42771.378761574073</v>
      </c>
      <c r="J44" s="7">
        <v>0</v>
      </c>
      <c r="K44" s="98" t="str">
        <f t="shared" si="0"/>
        <v>4025/4026</v>
      </c>
      <c r="L44" s="21" t="str">
        <f>VLOOKUP(A44,'Trips&amp;Operators'!$C$1:$G$99999,5,FALSE)</f>
        <v>MAELZER KURT</v>
      </c>
      <c r="M44" s="6">
        <f t="shared" si="1"/>
        <v>2.7118055557366461E-2</v>
      </c>
      <c r="N44" s="7">
        <f t="shared" si="2"/>
        <v>39.050000002607703</v>
      </c>
      <c r="O44" s="7"/>
      <c r="P44" s="7"/>
      <c r="Q44" s="22"/>
      <c r="R44" s="22"/>
      <c r="S44" s="31">
        <f t="shared" si="3"/>
        <v>1</v>
      </c>
      <c r="T44" s="46" t="str">
        <f t="shared" si="4"/>
        <v>Southbound</v>
      </c>
      <c r="U44" s="190">
        <f>IF(AG44="EC",COUNTIFS(Variables!$M$2:$M$19,IF(T44="NorthBound","&gt;=","&lt;=")&amp;Y44,Variables!$M$2:$M$19,IF(T44="NorthBound","&lt;=","&gt;=")&amp;Z44),COUNTIFS(Variables!$P$2:$P$19,IF(T44="NorthBound","&gt;=","&lt;=")&amp;Y44,Variables!$P$2:$P$19,IF(T44="NorthBound","&lt;=","&gt;=")&amp;Z44))</f>
        <v>12</v>
      </c>
      <c r="V44" s="191" t="str">
        <f t="shared" si="5"/>
        <v>https://d0f6bd738d7f1b3e5a7ca70fe4ff75f0.us-east-1.aws.found.io/app/kibana#/discover/Steve-Slow-Train-Analysis-(2080s-and-2083s)?_g=(refreshInterval:(display:Off,pause:!f,section:0,value:0),time:(from:'2017-02-05T07:14:48-0700',mode:absolute,to:'2017-02-05T10:05: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44" s="192" t="str">
        <f t="shared" si="6"/>
        <v>N</v>
      </c>
      <c r="X44" s="192">
        <f t="shared" si="22"/>
        <v>1</v>
      </c>
      <c r="Y44" s="62">
        <f t="shared" si="8"/>
        <v>23.3</v>
      </c>
      <c r="Z44" s="62">
        <f t="shared" si="9"/>
        <v>1.43E-2</v>
      </c>
      <c r="AA44" s="62">
        <f t="shared" si="10"/>
        <v>23.285700000000002</v>
      </c>
      <c r="AB44" s="59" t="str">
        <f>VLOOKUP(A44,Enforcements!$C$7:$K$16,8,0)</f>
        <v>Speed (6)</v>
      </c>
      <c r="AC44" s="55" t="str">
        <f>VLOOKUP(A44,Enforcements!$C$7:$E$16,3,0)</f>
        <v>PERMANENT SPEED RESTRICTION</v>
      </c>
      <c r="AD44" s="56" t="str">
        <f t="shared" si="11"/>
        <v>0132-05</v>
      </c>
      <c r="AE44" s="85" t="str">
        <f t="shared" si="12"/>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44" s="82" t="str">
        <f t="shared" si="13"/>
        <v>"C:\Program Files (x86)\AstroGrep\AstroGrep.exe" /spath="%USERPROFILE%\AppData\Local\Temp\OnboardLogs" /stypes="app*4026*20170205*" /stext=" 16:.+((SYSTEM_STATE.+slice.+state.+changed )|(ment ac)|(multiple cpu faults)|(system.+state.+changed )|(\[timeout)|(PRM\|1\|D)|(kpr)|(kdp)|(\|lc)|(penalty))" /e /r /s</v>
      </c>
      <c r="AG44" s="1" t="str">
        <f t="shared" si="14"/>
        <v>EC</v>
      </c>
      <c r="AH44" s="86" t="str">
        <f t="shared" si="18"/>
        <v>"%USERPROFILE%\Documents\GitHub\eaglep3\Utilities\RefineRTDCRunTimes.py" --tripid 132-05 --locoid 4026 --swversion DE.1.0.8.0 --startMP 204:233000 --initTime 2017-02-05T08:14:48 --startdatetime 2017-02-05T08:26:22 --delay 1 --endMP 204:143 --enddatetime 2017-02-05T09:05:25 --enforcementcount 0 &gt;&gt;C:\Users\stu\Documents\GitHub\eaglep3-reporting\EC\2017-02-05-refined-times.txt</v>
      </c>
      <c r="AI44" s="108" t="str">
        <f t="shared" si="19"/>
        <v>echo {"issue":{"subject":"","project_id":79,"tracker_id":40,"status_id":1,"priority_id":2,"assigned_to_id":23,"start_date":"2017-02-05","description":"","custom_fields":[{"id":1,"name":"Subdivision","value":"EC"},{"id":4,"name":"Milepost","value":"0.0143"},{"id":17,"name":"Train ID","value":"132-05"},{"id":16,"name":"Locomotive ID","value":"4026"},{"id":130,"name":"Impact","value":""},{"id":150,"name":"Time of Event (Mountain Time)","value":"09:05:25"},{"id":151,"name":"Denver Issue ID","value":""},{"id":178,"name":"Operational Impact","value":"Yes"},{"id":179,"name":"Denver Segment Assigned","value":""}]}} | curl -X POST -H "Content-Type: application/json" -H "X-Redmine-API-Key: d6333d4a04012a730768444271f8ca06482dae87" https://secure.xorail.net/redmine/issues.json --data @-</v>
      </c>
      <c r="AJ44" s="48"/>
      <c r="AK44" s="48"/>
      <c r="AL44" s="48"/>
      <c r="AM44" s="158" t="str">
        <f t="shared" si="20"/>
        <v>start /low /b %USERPROFILE%\Documents\GitHub\eaglep3\Utilities\DownloadLogsFromS3.py --loco 4026 --day 2017-02-05</v>
      </c>
      <c r="AN44" s="167" t="str">
        <f>"grep -SE -B400 ""CHR.+\|PRM\|1\|D.+(SWITCH|SIGNAL).+UNKNOWN"" "&amp;search_path&amp;"\RTDC"&amp;B44&amp;"\*"&amp;B44&amp;"*"&amp;TEXT(AVERAGE(F44,I44)-utc_offset/24,"YYYYMMDD")&amp;"*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 customFormat="1" x14ac:dyDescent="0.25">
      <c r="A45" s="33" t="s">
        <v>580</v>
      </c>
      <c r="B45" s="7">
        <v>4016</v>
      </c>
      <c r="C45" s="21" t="s">
        <v>193</v>
      </c>
      <c r="D45" s="21" t="s">
        <v>209</v>
      </c>
      <c r="E45" s="13">
        <v>42771.321319444447</v>
      </c>
      <c r="F45" s="13">
        <v>42771.323425925926</v>
      </c>
      <c r="G45" s="7">
        <v>1</v>
      </c>
      <c r="H45" s="21" t="s">
        <v>745</v>
      </c>
      <c r="I45" s="13">
        <v>42771.350081018521</v>
      </c>
      <c r="J45" s="7">
        <v>0</v>
      </c>
      <c r="K45" s="98" t="str">
        <f t="shared" si="0"/>
        <v>4015/4016</v>
      </c>
      <c r="L45" s="21" t="str">
        <f>VLOOKUP(A45,'Trips&amp;Operators'!$C$1:$G$99999,5,FALSE)</f>
        <v>BADERTSCHER DIANE</v>
      </c>
      <c r="M45" s="6">
        <f t="shared" si="1"/>
        <v>2.6655092595319729E-2</v>
      </c>
      <c r="N45" s="7">
        <f t="shared" ref="N45:N76" si="23">24*60*SUM($M45:$M45)</f>
        <v>38.38333333726041</v>
      </c>
      <c r="O45" s="7"/>
      <c r="P45" s="7"/>
      <c r="Q45" s="22"/>
      <c r="R45" s="22"/>
      <c r="S45" s="31">
        <f t="shared" si="3"/>
        <v>1</v>
      </c>
      <c r="T45" s="46" t="str">
        <f t="shared" si="4"/>
        <v>NorthBound</v>
      </c>
      <c r="U45" s="190">
        <f>IF(AG45="EC",COUNTIFS(Variables!$M$2:$M$19,IF(T45="NorthBound","&gt;=","&lt;=")&amp;Y45,Variables!$M$2:$M$19,IF(T45="NorthBound","&lt;=","&gt;=")&amp;Z45),COUNTIFS(Variables!$P$2:$P$19,IF(T45="NorthBound","&gt;=","&lt;=")&amp;Y45,Variables!$P$2:$P$19,IF(T45="NorthBound","&lt;=","&gt;=")&amp;Z45))</f>
        <v>12</v>
      </c>
      <c r="V45" s="191" t="str">
        <f t="shared" si="5"/>
        <v>https://d0f6bd738d7f1b3e5a7ca70fe4ff75f0.us-east-1.aws.found.io/app/kibana#/discover/Steve-Slow-Train-Analysis-(2080s-and-2083s)?_g=(refreshInterval:(display:Off,pause:!f,section:0,value:0),time:(from:'2017-02-05T06:42:42-0700',mode:absolute,to:'2017-02-05T09:24:07-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45" s="192" t="str">
        <f t="shared" si="6"/>
        <v>N</v>
      </c>
      <c r="X45" s="192">
        <f t="shared" si="22"/>
        <v>1</v>
      </c>
      <c r="Y45" s="62">
        <f t="shared" ref="Y45:Y76" si="24">RIGHT(D45,LEN(D45)-4)/10000</f>
        <v>4.6199999999999998E-2</v>
      </c>
      <c r="Z45" s="62">
        <f t="shared" ref="Z45:Z76" si="25">RIGHT(H45,LEN(H45)-4)/10000</f>
        <v>23.3325</v>
      </c>
      <c r="AA45" s="62">
        <f t="shared" si="10"/>
        <v>23.286300000000001</v>
      </c>
      <c r="AB45" s="59" t="e">
        <f>VLOOKUP(A45,Enforcements!$C$7:$K$16,8,0)</f>
        <v>#N/A</v>
      </c>
      <c r="AC45" s="55" t="e">
        <f>VLOOKUP(A45,Enforcements!$C$7:$E$16,3,0)</f>
        <v>#N/A</v>
      </c>
      <c r="AD45" s="56" t="str">
        <f t="shared" si="11"/>
        <v>0133-05</v>
      </c>
      <c r="AE45" s="85" t="str">
        <f t="shared" si="12"/>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45" s="82" t="str">
        <f t="shared" si="13"/>
        <v>"C:\Program Files (x86)\AstroGrep\AstroGrep.exe" /spath="%USERPROFILE%\AppData\Local\Temp\OnboardLogs" /stypes="app*4016*20170205*" /stext=" 15:.+((SYSTEM_STATE.+slice.+state.+changed )|(ment ac)|(multiple cpu faults)|(system.+state.+changed )|(\[timeout)|(PRM\|1\|D)|(kpr)|(kdp)|(\|lc)|(penalty))" /e /r /s</v>
      </c>
      <c r="AG45" s="1" t="str">
        <f t="shared" si="14"/>
        <v>EC</v>
      </c>
      <c r="AH45" s="86" t="str">
        <f t="shared" si="18"/>
        <v>"%USERPROFILE%\Documents\GitHub\eaglep3\Utilities\RefineRTDCRunTimes.py" --tripid 133-05 --locoid 4016 --swversion DE.1.0.8.0 --startMP 204:462 --initTime 2017-02-05T07:42:42 --startdatetime 2017-02-05T07:45:44 --delay 1 --endMP 204:233325 --enddatetime 2017-02-05T08:24:07 --enforcementcount 0 &gt;&gt;C:\Users\stu\Documents\GitHub\eaglep3-reporting\EC\2017-02-05-refined-times.txt</v>
      </c>
      <c r="AI45" s="108" t="str">
        <f t="shared" si="19"/>
        <v>echo {"issue":{"subject":"","project_id":79,"tracker_id":40,"status_id":1,"priority_id":2,"assigned_to_id":23,"start_date":"2017-02-05","description":"","custom_fields":[{"id":1,"name":"Subdivision","value":"EC"},{"id":4,"name":"Milepost","value":"23.3325"},{"id":17,"name":"Train ID","value":"133-05"},{"id":16,"name":"Locomotive ID","value":"4016"},{"id":130,"name":"Impact","value":""},{"id":150,"name":"Time of Event (Mountain Time)","value":"08:24:07"},{"id":151,"name":"Denver Issue ID","value":""},{"id":178,"name":"Operational Impact","value":"Yes"},{"id":179,"name":"Denver Segment Assigned","value":""}]}} | curl -X POST -H "Content-Type: application/json" -H "X-Redmine-API-Key: d6333d4a04012a730768444271f8ca06482dae87" https://secure.xorail.net/redmine/issues.json --data @-</v>
      </c>
      <c r="AJ45" s="48"/>
      <c r="AK45" s="48"/>
      <c r="AL45" s="48"/>
      <c r="AM45" s="158" t="str">
        <f t="shared" si="20"/>
        <v>start /low /b %USERPROFILE%\Documents\GitHub\eaglep3\Utilities\DownloadLogsFromS3.py --loco 4016 --day 2017-02-05</v>
      </c>
      <c r="AN45" s="167" t="str">
        <f>"grep -SE -B400 ""CHR.+\|PRM\|1\|D.+(SWITCH|SIGNAL).+UNKNOWN"" "&amp;search_path&amp;"\RTDC"&amp;B45&amp;"\*"&amp;B45&amp;"*"&amp;TEXT(AVERAGE(F45,I45)-utc_offset/24,"YYYYMMDD")&amp;"*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 customFormat="1" x14ac:dyDescent="0.25">
      <c r="A46" s="33" t="s">
        <v>586</v>
      </c>
      <c r="B46" s="7">
        <v>4015</v>
      </c>
      <c r="C46" s="21" t="s">
        <v>193</v>
      </c>
      <c r="D46" s="21" t="s">
        <v>395</v>
      </c>
      <c r="E46" s="13">
        <v>42771.353437500002</v>
      </c>
      <c r="F46" s="13">
        <v>42771.362037037034</v>
      </c>
      <c r="G46" s="7">
        <v>1</v>
      </c>
      <c r="H46" s="21" t="s">
        <v>769</v>
      </c>
      <c r="I46" s="13">
        <v>42771.389884259261</v>
      </c>
      <c r="J46" s="7">
        <v>0</v>
      </c>
      <c r="K46" s="98" t="str">
        <f t="shared" si="0"/>
        <v>4015/4016</v>
      </c>
      <c r="L46" s="21" t="str">
        <f>VLOOKUP(A46,'Trips&amp;Operators'!$C$1:$G$99999,5,FALSE)</f>
        <v>BADERTSCHER DIANE</v>
      </c>
      <c r="M46" s="6">
        <f t="shared" si="1"/>
        <v>2.7847222227137536E-2</v>
      </c>
      <c r="N46" s="7">
        <f t="shared" si="23"/>
        <v>40.100000007078052</v>
      </c>
      <c r="O46" s="7"/>
      <c r="P46" s="7"/>
      <c r="Q46" s="22"/>
      <c r="R46" s="22"/>
      <c r="S46" s="31">
        <f t="shared" si="3"/>
        <v>1</v>
      </c>
      <c r="T46" s="46" t="str">
        <f t="shared" si="4"/>
        <v>Southbound</v>
      </c>
      <c r="U46" s="190">
        <f>IF(AG46="EC",COUNTIFS(Variables!$M$2:$M$19,IF(T46="NorthBound","&gt;=","&lt;=")&amp;Y46,Variables!$M$2:$M$19,IF(T46="NorthBound","&lt;=","&gt;=")&amp;Z46),COUNTIFS(Variables!$P$2:$P$19,IF(T46="NorthBound","&gt;=","&lt;=")&amp;Y46,Variables!$P$2:$P$19,IF(T46="NorthBound","&lt;=","&gt;=")&amp;Z46))</f>
        <v>12</v>
      </c>
      <c r="V46" s="191" t="str">
        <f t="shared" si="5"/>
        <v>https://d0f6bd738d7f1b3e5a7ca70fe4ff75f0.us-east-1.aws.found.io/app/kibana#/discover/Steve-Slow-Train-Analysis-(2080s-and-2083s)?_g=(refreshInterval:(display:Off,pause:!f,section:0,value:0),time:(from:'2017-02-05T07:28:57-0700',mode:absolute,to:'2017-02-05T10:21:26-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46" s="192" t="str">
        <f t="shared" si="6"/>
        <v>N</v>
      </c>
      <c r="X46" s="192">
        <f t="shared" si="22"/>
        <v>1</v>
      </c>
      <c r="Y46" s="62">
        <f t="shared" si="24"/>
        <v>23.300599999999999</v>
      </c>
      <c r="Z46" s="62">
        <f t="shared" si="25"/>
        <v>1.7999999999999999E-2</v>
      </c>
      <c r="AA46" s="62">
        <f t="shared" si="10"/>
        <v>23.282599999999999</v>
      </c>
      <c r="AB46" s="59" t="e">
        <f>VLOOKUP(A46,Enforcements!$C$7:$K$16,8,0)</f>
        <v>#N/A</v>
      </c>
      <c r="AC46" s="55" t="e">
        <f>VLOOKUP(A46,Enforcements!$C$7:$E$16,3,0)</f>
        <v>#N/A</v>
      </c>
      <c r="AD46" s="56" t="str">
        <f t="shared" si="11"/>
        <v>0134-05</v>
      </c>
      <c r="AE46" s="85" t="str">
        <f t="shared" si="12"/>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46" s="82" t="str">
        <f t="shared" si="13"/>
        <v>"C:\Program Files (x86)\AstroGrep\AstroGrep.exe" /spath="%USERPROFILE%\AppData\Local\Temp\OnboardLogs" /stypes="app*4015*20170205*" /stext=" 16:.+((SYSTEM_STATE.+slice.+state.+changed )|(ment ac)|(multiple cpu faults)|(system.+state.+changed )|(\[timeout)|(PRM\|1\|D)|(kpr)|(kdp)|(\|lc)|(penalty))" /e /r /s</v>
      </c>
      <c r="AG46" s="1" t="str">
        <f t="shared" si="14"/>
        <v>EC</v>
      </c>
      <c r="AH46" s="86" t="str">
        <f t="shared" si="18"/>
        <v>"%USERPROFILE%\Documents\GitHub\eaglep3\Utilities\RefineRTDCRunTimes.py" --tripid 134-05 --locoid 4015 --swversion DE.1.0.8.0 --startMP 204:233006 --initTime 2017-02-05T08:28:57 --startdatetime 2017-02-05T08:41:20 --delay 1 --endMP 204:180 --enddatetime 2017-02-05T09:21:26 --enforcementcount 0 &gt;&gt;C:\Users\stu\Documents\GitHub\eaglep3-reporting\EC\2017-02-05-refined-times.txt</v>
      </c>
      <c r="AI46" s="108" t="str">
        <f t="shared" si="19"/>
        <v>echo {"issue":{"subject":"","project_id":79,"tracker_id":40,"status_id":1,"priority_id":2,"assigned_to_id":23,"start_date":"2017-02-05","description":"","custom_fields":[{"id":1,"name":"Subdivision","value":"EC"},{"id":4,"name":"Milepost","value":"0.018"},{"id":17,"name":"Train ID","value":"134-05"},{"id":16,"name":"Locomotive ID","value":"4015"},{"id":130,"name":"Impact","value":""},{"id":150,"name":"Time of Event (Mountain Time)","value":"09:21:26"},{"id":151,"name":"Denver Issue ID","value":""},{"id":178,"name":"Operational Impact","value":"Yes"},{"id":179,"name":"Denver Segment Assigned","value":""}]}} | curl -X POST -H "Content-Type: application/json" -H "X-Redmine-API-Key: d6333d4a04012a730768444271f8ca06482dae87" https://secure.xorail.net/redmine/issues.json --data @-</v>
      </c>
      <c r="AJ46" s="48"/>
      <c r="AK46" s="48"/>
      <c r="AL46" s="48"/>
      <c r="AM46" s="158" t="str">
        <f t="shared" si="20"/>
        <v>start /low /b %USERPROFILE%\Documents\GitHub\eaglep3\Utilities\DownloadLogsFromS3.py --loco 4015 --day 2017-02-05</v>
      </c>
      <c r="AN46" s="167" t="str">
        <f>"grep -SE -B400 ""CHR.+\|PRM\|1\|D.+(SWITCH|SIGNAL).+UNKNOWN"" "&amp;search_path&amp;"\RTDC"&amp;B46&amp;"\*"&amp;B46&amp;"*"&amp;TEXT(AVERAGE(F46,I46)-utc_offset/24,"YYYYMMDD")&amp;"* | grep -SE ""(Enforcement Action)|(\[TIMEOUT)|(CHR.+\|PRM\|1\|D.+(SWITCH|SIGNAL).+UNKNOWN)"" - &gt;&gt; "&amp;TEXT(Variables!$A$2,"YYYY-MM-DD")&amp;"-UncaughtWiMAX.txt"</f>
        <v>grep -SE -B400 "CHR.+\|PRM\|1\|D.+(SWITCH|SIGNAL).+UNKNOWN" "%USERPROFILE%\AppData\Local\Temp\OnboardLogs"\RTDC4015\*4015*20170205* | grep -SE "(Enforcement Action)|(\[TIMEOUT)|(CHR.+\|PRM\|1\|D.+(SWITCH|SIGNAL).+UNKNOWN)" - &gt;&gt; 2017-02-05-UncaughtWiMAX.txt</v>
      </c>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 customFormat="1" x14ac:dyDescent="0.25">
      <c r="A47" s="33" t="s">
        <v>581</v>
      </c>
      <c r="B47" s="7">
        <v>4022</v>
      </c>
      <c r="C47" s="21" t="s">
        <v>193</v>
      </c>
      <c r="D47" s="21" t="s">
        <v>291</v>
      </c>
      <c r="E47" s="13">
        <v>42771.328622685185</v>
      </c>
      <c r="F47" s="13">
        <v>42771.333506944444</v>
      </c>
      <c r="G47" s="7">
        <v>1</v>
      </c>
      <c r="H47" s="21" t="s">
        <v>288</v>
      </c>
      <c r="I47" s="13">
        <v>42771.358807870369</v>
      </c>
      <c r="J47" s="7">
        <v>0</v>
      </c>
      <c r="K47" s="98" t="str">
        <f t="shared" si="0"/>
        <v>4021/4022</v>
      </c>
      <c r="L47" s="21" t="str">
        <f>VLOOKUP(A47,'Trips&amp;Operators'!$C$1:$G$99999,5,FALSE)</f>
        <v>DAVIS WENDY</v>
      </c>
      <c r="M47" s="6">
        <f t="shared" si="1"/>
        <v>2.5300925924966577E-2</v>
      </c>
      <c r="N47" s="7">
        <f t="shared" si="23"/>
        <v>36.433333331951872</v>
      </c>
      <c r="O47" s="7"/>
      <c r="P47" s="7"/>
      <c r="Q47" s="22"/>
      <c r="R47" s="22"/>
      <c r="S47" s="31">
        <f t="shared" si="3"/>
        <v>1</v>
      </c>
      <c r="T47" s="46" t="str">
        <f t="shared" si="4"/>
        <v>NorthBound</v>
      </c>
      <c r="U47" s="190">
        <f>IF(AG47="EC",COUNTIFS(Variables!$M$2:$M$19,IF(T47="NorthBound","&gt;=","&lt;=")&amp;Y47,Variables!$M$2:$M$19,IF(T47="NorthBound","&lt;=","&gt;=")&amp;Z47),COUNTIFS(Variables!$P$2:$P$19,IF(T47="NorthBound","&gt;=","&lt;=")&amp;Y47,Variables!$P$2:$P$19,IF(T47="NorthBound","&lt;=","&gt;=")&amp;Z47))</f>
        <v>12</v>
      </c>
      <c r="V47" s="191" t="str">
        <f t="shared" si="5"/>
        <v>https://d0f6bd738d7f1b3e5a7ca70fe4ff75f0.us-east-1.aws.found.io/app/kibana#/discover/Steve-Slow-Train-Analysis-(2080s-and-2083s)?_g=(refreshInterval:(display:Off,pause:!f,section:0,value:0),time:(from:'2017-02-05T06:53:13-0700',mode:absolute,to:'2017-02-05T09:36:41-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47" s="192" t="str">
        <f t="shared" si="6"/>
        <v>N</v>
      </c>
      <c r="X47" s="192">
        <f t="shared" si="22"/>
        <v>1</v>
      </c>
      <c r="Y47" s="62">
        <f t="shared" si="24"/>
        <v>4.5499999999999999E-2</v>
      </c>
      <c r="Z47" s="62">
        <f t="shared" si="25"/>
        <v>23.3307</v>
      </c>
      <c r="AA47" s="62">
        <f t="shared" si="10"/>
        <v>23.2852</v>
      </c>
      <c r="AB47" s="59" t="e">
        <f>VLOOKUP(A47,Enforcements!$C$7:$K$16,8,0)</f>
        <v>#N/A</v>
      </c>
      <c r="AC47" s="55" t="e">
        <f>VLOOKUP(A47,Enforcements!$C$7:$E$16,3,0)</f>
        <v>#N/A</v>
      </c>
      <c r="AD47" s="56" t="str">
        <f t="shared" si="11"/>
        <v>0135-05</v>
      </c>
      <c r="AE47" s="85" t="str">
        <f t="shared" si="12"/>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47" s="82" t="str">
        <f t="shared" si="13"/>
        <v>"C:\Program Files (x86)\AstroGrep\AstroGrep.exe" /spath="%USERPROFILE%\AppData\Local\Temp\OnboardLogs" /stypes="app*4022*20170205*" /stext=" 15:.+((SYSTEM_STATE.+slice.+state.+changed )|(ment ac)|(multiple cpu faults)|(system.+state.+changed )|(\[timeout)|(PRM\|1\|D)|(kpr)|(kdp)|(\|lc)|(penalty))" /e /r /s</v>
      </c>
      <c r="AG47" s="1" t="str">
        <f t="shared" si="14"/>
        <v>EC</v>
      </c>
      <c r="AH47" s="86" t="str">
        <f t="shared" si="18"/>
        <v>"%USERPROFILE%\Documents\GitHub\eaglep3\Utilities\RefineRTDCRunTimes.py" --tripid 135-05 --locoid 4022 --swversion DE.1.0.8.0 --startMP 204:455 --initTime 2017-02-05T07:53:13 --startdatetime 2017-02-05T08:00:15 --delay 1 --endMP 204:233307 --enddatetime 2017-02-05T08:36:41 --enforcementcount 0 &gt;&gt;C:\Users\stu\Documents\GitHub\eaglep3-reporting\EC\2017-02-05-refined-times.txt</v>
      </c>
      <c r="AI47" s="108" t="str">
        <f t="shared" si="19"/>
        <v>echo {"issue":{"subject":"","project_id":79,"tracker_id":40,"status_id":1,"priority_id":2,"assigned_to_id":23,"start_date":"2017-02-05","description":"","custom_fields":[{"id":1,"name":"Subdivision","value":"EC"},{"id":4,"name":"Milepost","value":"23.3307"},{"id":17,"name":"Train ID","value":"135-05"},{"id":16,"name":"Locomotive ID","value":"4022"},{"id":130,"name":"Impact","value":""},{"id":150,"name":"Time of Event (Mountain Time)","value":"08:36:41"},{"id":151,"name":"Denver Issue ID","value":""},{"id":178,"name":"Operational Impact","value":"Yes"},{"id":179,"name":"Denver Segment Assigned","value":""}]}} | curl -X POST -H "Content-Type: application/json" -H "X-Redmine-API-Key: d6333d4a04012a730768444271f8ca06482dae87" https://secure.xorail.net/redmine/issues.json --data @-</v>
      </c>
      <c r="AJ47" s="48"/>
      <c r="AK47" s="48"/>
      <c r="AL47" s="48"/>
      <c r="AM47" s="158" t="str">
        <f t="shared" si="20"/>
        <v>start /low /b %USERPROFILE%\Documents\GitHub\eaglep3\Utilities\DownloadLogsFromS3.py --loco 4022 --day 2017-02-05</v>
      </c>
      <c r="AN47" s="167" t="str">
        <f>"grep -SE -B400 ""CHR.+\|PRM\|1\|D.+(SWITCH|SIGNAL).+UNKNOWN"" "&amp;search_path&amp;"\RTDC"&amp;B47&amp;"\*"&amp;B47&amp;"*"&amp;TEXT(AVERAGE(F47,I47)-utc_offset/24,"YYYYMMDD")&amp;"*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 customFormat="1" x14ac:dyDescent="0.25">
      <c r="A48" s="33" t="s">
        <v>589</v>
      </c>
      <c r="B48" s="7">
        <v>4021</v>
      </c>
      <c r="C48" s="21" t="s">
        <v>193</v>
      </c>
      <c r="D48" s="21" t="s">
        <v>326</v>
      </c>
      <c r="E48" s="13">
        <v>42771.368854166663</v>
      </c>
      <c r="F48" s="13">
        <v>42771.372407407405</v>
      </c>
      <c r="G48" s="7">
        <v>0</v>
      </c>
      <c r="H48" s="21" t="s">
        <v>213</v>
      </c>
      <c r="I48" s="13">
        <v>42771.399976851855</v>
      </c>
      <c r="J48" s="7">
        <v>0</v>
      </c>
      <c r="K48" s="98" t="str">
        <f t="shared" si="0"/>
        <v>4021/4022</v>
      </c>
      <c r="L48" s="21" t="str">
        <f>VLOOKUP(A48,'Trips&amp;Operators'!$C$1:$G$99999,5,FALSE)</f>
        <v>DAVIS WENDY</v>
      </c>
      <c r="M48" s="6">
        <f t="shared" si="1"/>
        <v>2.7569444449909497E-2</v>
      </c>
      <c r="N48" s="7">
        <f t="shared" si="23"/>
        <v>39.700000007869676</v>
      </c>
      <c r="O48" s="7"/>
      <c r="P48" s="7"/>
      <c r="Q48" s="22"/>
      <c r="R48" s="22"/>
      <c r="S48" s="31">
        <f t="shared" si="3"/>
        <v>1</v>
      </c>
      <c r="T48" s="46" t="str">
        <f t="shared" si="4"/>
        <v>Southbound</v>
      </c>
      <c r="U48" s="190">
        <f>IF(AG48="EC",COUNTIFS(Variables!$M$2:$M$19,IF(T48="NorthBound","&gt;=","&lt;=")&amp;Y48,Variables!$M$2:$M$19,IF(T48="NorthBound","&lt;=","&gt;=")&amp;Z48),COUNTIFS(Variables!$P$2:$P$19,IF(T48="NorthBound","&gt;=","&lt;=")&amp;Y48,Variables!$P$2:$P$19,IF(T48="NorthBound","&lt;=","&gt;=")&amp;Z48))</f>
        <v>12</v>
      </c>
      <c r="V48" s="191" t="str">
        <f t="shared" si="5"/>
        <v>https://d0f6bd738d7f1b3e5a7ca70fe4ff75f0.us-east-1.aws.found.io/app/kibana#/discover/Steve-Slow-Train-Analysis-(2080s-and-2083s)?_g=(refreshInterval:(display:Off,pause:!f,section:0,value:0),time:(from:'2017-02-05T07:51:09-0700',mode:absolute,to:'2017-02-05T10:35:58-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48" s="192" t="str">
        <f t="shared" si="6"/>
        <v>N</v>
      </c>
      <c r="X48" s="192">
        <f t="shared" si="22"/>
        <v>1</v>
      </c>
      <c r="Y48" s="62">
        <f t="shared" si="24"/>
        <v>23.2986</v>
      </c>
      <c r="Z48" s="62">
        <f t="shared" si="25"/>
        <v>1.5800000000000002E-2</v>
      </c>
      <c r="AA48" s="62">
        <f t="shared" si="10"/>
        <v>23.282800000000002</v>
      </c>
      <c r="AB48" s="59" t="e">
        <f>VLOOKUP(A48,Enforcements!$C$7:$K$16,8,0)</f>
        <v>#N/A</v>
      </c>
      <c r="AC48" s="55" t="e">
        <f>VLOOKUP(A48,Enforcements!$C$7:$E$16,3,0)</f>
        <v>#N/A</v>
      </c>
      <c r="AD48" s="56" t="str">
        <f t="shared" si="11"/>
        <v>0136-05</v>
      </c>
      <c r="AE48" s="85" t="str">
        <f t="shared" si="12"/>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48" s="82" t="str">
        <f t="shared" si="13"/>
        <v>"C:\Program Files (x86)\AstroGrep\AstroGrep.exe" /spath="%USERPROFILE%\AppData\Local\Temp\OnboardLogs" /stypes="app*4021*20170205*" /stext=" 16:.+((SYSTEM_STATE.+slice.+state.+changed )|(ment ac)|(multiple cpu faults)|(system.+state.+changed )|(\[timeout)|(PRM\|1\|D)|(kpr)|(kdp)|(\|lc)|(penalty))" /e /r /s</v>
      </c>
      <c r="AG48" s="1" t="str">
        <f t="shared" si="14"/>
        <v>EC</v>
      </c>
      <c r="AH48" s="86" t="str">
        <f t="shared" si="18"/>
        <v>"%USERPROFILE%\Documents\GitHub\eaglep3\Utilities\RefineRTDCRunTimes.py" --tripid 136-05 --locoid 4021 --swversion DE.1.0.8.0 --startMP 204:232986 --initTime 2017-02-05T08:51:09 --startdatetime 2017-02-05T08:56:16 --delay 0 --endMP 204:158 --enddatetime 2017-02-05T09:35:58 --enforcementcount 0 &gt;&gt;C:\Users\stu\Documents\GitHub\eaglep3-reporting\EC\2017-02-05-refined-times.txt</v>
      </c>
      <c r="AI48" s="108" t="str">
        <f t="shared" si="19"/>
        <v>echo {"issue":{"subject":"","project_id":79,"tracker_id":40,"status_id":1,"priority_id":2,"assigned_to_id":23,"start_date":"2017-02-05","description":"","custom_fields":[{"id":1,"name":"Subdivision","value":"EC"},{"id":4,"name":"Milepost","value":"0.0158"},{"id":17,"name":"Train ID","value":"136-05"},{"id":16,"name":"Locomotive ID","value":"4021"},{"id":130,"name":"Impact","value":""},{"id":150,"name":"Time of Event (Mountain Time)","value":"09:35:58"},{"id":151,"name":"Denver Issue ID","value":""},{"id":178,"name":"Operational Impact","value":"Yes"},{"id":179,"name":"Denver Segment Assigned","value":""}]}} | curl -X POST -H "Content-Type: application/json" -H "X-Redmine-API-Key: d6333d4a04012a730768444271f8ca06482dae87" https://secure.xorail.net/redmine/issues.json --data @-</v>
      </c>
      <c r="AJ48" s="48"/>
      <c r="AK48" s="48"/>
      <c r="AL48" s="48"/>
      <c r="AM48" s="158" t="str">
        <f t="shared" si="20"/>
        <v>start /low /b %USERPROFILE%\Documents\GitHub\eaglep3\Utilities\DownloadLogsFromS3.py --loco 4021 --day 2017-02-05</v>
      </c>
      <c r="AN48" s="167" t="str">
        <f>"grep -SE -B400 ""CHR.+\|PRM\|1\|D.+(SWITCH|SIGNAL).+UNKNOWN"" "&amp;search_path&amp;"\RTDC"&amp;B48&amp;"\*"&amp;B48&amp;"*"&amp;TEXT(AVERAGE(F48,I48)-utc_offset/24,"YYYYMMDD")&amp;"*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1" customFormat="1" x14ac:dyDescent="0.25">
      <c r="A49" s="33" t="s">
        <v>584</v>
      </c>
      <c r="B49" s="7">
        <v>4002</v>
      </c>
      <c r="C49" s="21" t="s">
        <v>193</v>
      </c>
      <c r="D49" s="21" t="s">
        <v>397</v>
      </c>
      <c r="E49" s="13">
        <v>42771.338726851849</v>
      </c>
      <c r="F49" s="13">
        <v>42771.3440625</v>
      </c>
      <c r="G49" s="7">
        <v>1</v>
      </c>
      <c r="H49" s="21" t="s">
        <v>394</v>
      </c>
      <c r="I49" s="13">
        <v>42771.370173611111</v>
      </c>
      <c r="J49" s="7">
        <v>0</v>
      </c>
      <c r="K49" s="98" t="str">
        <f t="shared" si="0"/>
        <v>4001/4002</v>
      </c>
      <c r="L49" s="21" t="str">
        <f>VLOOKUP(A49,'Trips&amp;Operators'!$C$1:$G$99999,5,FALSE)</f>
        <v>BERLING GARY</v>
      </c>
      <c r="M49" s="6">
        <f t="shared" si="1"/>
        <v>2.6111111110367347E-2</v>
      </c>
      <c r="N49" s="7">
        <f t="shared" si="23"/>
        <v>37.599999998928979</v>
      </c>
      <c r="O49" s="7"/>
      <c r="P49" s="7"/>
      <c r="Q49" s="22"/>
      <c r="R49" s="22"/>
      <c r="S49" s="31">
        <f t="shared" si="3"/>
        <v>1</v>
      </c>
      <c r="T49" s="46" t="str">
        <f t="shared" si="4"/>
        <v>NorthBound</v>
      </c>
      <c r="U49" s="190">
        <f>IF(AG49="EC",COUNTIFS(Variables!$M$2:$M$19,IF(T49="NorthBound","&gt;=","&lt;=")&amp;Y49,Variables!$M$2:$M$19,IF(T49="NorthBound","&lt;=","&gt;=")&amp;Z49),COUNTIFS(Variables!$P$2:$P$19,IF(T49="NorthBound","&gt;=","&lt;=")&amp;Y49,Variables!$P$2:$P$19,IF(T49="NorthBound","&lt;=","&gt;=")&amp;Z49))</f>
        <v>12</v>
      </c>
      <c r="V49" s="191" t="str">
        <f t="shared" si="5"/>
        <v>https://d0f6bd738d7f1b3e5a7ca70fe4ff75f0.us-east-1.aws.found.io/app/kibana#/discover/Steve-Slow-Train-Analysis-(2080s-and-2083s)?_g=(refreshInterval:(display:Off,pause:!f,section:0,value:0),time:(from:'2017-02-05T07:07:46-0700',mode:absolute,to:'2017-02-05T09:53:03-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49" s="192" t="str">
        <f t="shared" si="6"/>
        <v>N</v>
      </c>
      <c r="X49" s="192">
        <f t="shared" si="22"/>
        <v>1</v>
      </c>
      <c r="Y49" s="62">
        <f t="shared" si="24"/>
        <v>4.24E-2</v>
      </c>
      <c r="Z49" s="62">
        <f t="shared" si="25"/>
        <v>23.333400000000001</v>
      </c>
      <c r="AA49" s="62">
        <f t="shared" si="10"/>
        <v>23.291</v>
      </c>
      <c r="AB49" s="59" t="e">
        <f>VLOOKUP(A49,Enforcements!$C$7:$K$16,8,0)</f>
        <v>#N/A</v>
      </c>
      <c r="AC49" s="55" t="e">
        <f>VLOOKUP(A49,Enforcements!$C$7:$E$16,3,0)</f>
        <v>#N/A</v>
      </c>
      <c r="AD49" s="56" t="str">
        <f t="shared" si="11"/>
        <v>0137-05</v>
      </c>
      <c r="AE49" s="85" t="str">
        <f t="shared" si="12"/>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49" s="82" t="str">
        <f t="shared" si="13"/>
        <v>"C:\Program Files (x86)\AstroGrep\AstroGrep.exe" /spath="%USERPROFILE%\AppData\Local\Temp\OnboardLogs" /stypes="app*4002*20170205*" /stext=" 15:.+((SYSTEM_STATE.+slice.+state.+changed )|(ment ac)|(multiple cpu faults)|(system.+state.+changed )|(\[timeout)|(PRM\|1\|D)|(kpr)|(kdp)|(\|lc)|(penalty))" /e /r /s</v>
      </c>
      <c r="AG49" s="1" t="str">
        <f t="shared" si="14"/>
        <v>EC</v>
      </c>
      <c r="AH49" s="86" t="str">
        <f t="shared" si="18"/>
        <v>"%USERPROFILE%\Documents\GitHub\eaglep3\Utilities\RefineRTDCRunTimes.py" --tripid 137-05 --locoid 4002 --swversion DE.1.0.8.0 --startMP 204:424 --initTime 2017-02-05T08:07:46 --startdatetime 2017-02-05T08:15:27 --delay 1 --endMP 204:233334 --enddatetime 2017-02-05T08:53:03 --enforcementcount 0 &gt;&gt;C:\Users\stu\Documents\GitHub\eaglep3-reporting\EC\2017-02-05-refined-times.txt</v>
      </c>
      <c r="AI49" s="108" t="str">
        <f t="shared" si="19"/>
        <v>echo {"issue":{"subject":"","project_id":79,"tracker_id":40,"status_id":1,"priority_id":2,"assigned_to_id":23,"start_date":"2017-02-05","description":"","custom_fields":[{"id":1,"name":"Subdivision","value":"EC"},{"id":4,"name":"Milepost","value":"23.3334"},{"id":17,"name":"Train ID","value":"137-05"},{"id":16,"name":"Locomotive ID","value":"4002"},{"id":130,"name":"Impact","value":""},{"id":150,"name":"Time of Event (Mountain Time)","value":"08:53:03"},{"id":151,"name":"Denver Issue ID","value":""},{"id":178,"name":"Operational Impact","value":"Yes"},{"id":179,"name":"Denver Segment Assigned","value":""}]}} | curl -X POST -H "Content-Type: application/json" -H "X-Redmine-API-Key: d6333d4a04012a730768444271f8ca06482dae87" https://secure.xorail.net/redmine/issues.json --data @-</v>
      </c>
      <c r="AJ49" s="48"/>
      <c r="AK49" s="48"/>
      <c r="AL49" s="48"/>
      <c r="AM49" s="158" t="str">
        <f t="shared" si="20"/>
        <v>start /low /b %USERPROFILE%\Documents\GitHub\eaglep3\Utilities\DownloadLogsFromS3.py --loco 4002 --day 2017-02-05</v>
      </c>
      <c r="AN49" s="167" t="str">
        <f>"grep -SE -B400 ""CHR.+\|PRM\|1\|D.+(SWITCH|SIGNAL).+UNKNOWN"" "&amp;search_path&amp;"\RTDC"&amp;B49&amp;"\*"&amp;B49&amp;"*"&amp;TEXT(AVERAGE(F49,I49)-utc_offset/24,"YYYYMMDD")&amp;"*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 customFormat="1" x14ac:dyDescent="0.25">
      <c r="A50" s="33" t="s">
        <v>592</v>
      </c>
      <c r="B50" s="7">
        <v>4001</v>
      </c>
      <c r="C50" s="21" t="s">
        <v>193</v>
      </c>
      <c r="D50" s="21" t="s">
        <v>357</v>
      </c>
      <c r="E50" s="13">
        <v>42771.376400462963</v>
      </c>
      <c r="F50" s="13">
        <v>42771.382962962962</v>
      </c>
      <c r="G50" s="7">
        <v>1</v>
      </c>
      <c r="H50" s="21" t="s">
        <v>307</v>
      </c>
      <c r="I50" s="13">
        <v>42771.409641203703</v>
      </c>
      <c r="J50" s="7">
        <v>0</v>
      </c>
      <c r="K50" s="98" t="str">
        <f t="shared" si="0"/>
        <v>4001/4002</v>
      </c>
      <c r="L50" s="21" t="str">
        <f>VLOOKUP(A50,'Trips&amp;Operators'!$C$1:$G$99999,5,FALSE)</f>
        <v>BERLING GARY</v>
      </c>
      <c r="M50" s="6">
        <f t="shared" si="1"/>
        <v>2.6678240741603076E-2</v>
      </c>
      <c r="N50" s="7">
        <f t="shared" si="23"/>
        <v>38.41666666790843</v>
      </c>
      <c r="O50" s="7"/>
      <c r="P50" s="7"/>
      <c r="Q50" s="22"/>
      <c r="R50" s="22"/>
      <c r="S50" s="31">
        <f t="shared" si="3"/>
        <v>1</v>
      </c>
      <c r="T50" s="46" t="str">
        <f t="shared" si="4"/>
        <v>Southbound</v>
      </c>
      <c r="U50" s="190">
        <f>IF(AG50="EC",COUNTIFS(Variables!$M$2:$M$19,IF(T50="NorthBound","&gt;=","&lt;=")&amp;Y50,Variables!$M$2:$M$19,IF(T50="NorthBound","&lt;=","&gt;=")&amp;Z50),COUNTIFS(Variables!$P$2:$P$19,IF(T50="NorthBound","&gt;=","&lt;=")&amp;Y50,Variables!$P$2:$P$19,IF(T50="NorthBound","&lt;=","&gt;=")&amp;Z50))</f>
        <v>12</v>
      </c>
      <c r="V50" s="191" t="str">
        <f t="shared" si="5"/>
        <v>https://d0f6bd738d7f1b3e5a7ca70fe4ff75f0.us-east-1.aws.found.io/app/kibana#/discover/Steve-Slow-Train-Analysis-(2080s-and-2083s)?_g=(refreshInterval:(display:Off,pause:!f,section:0,value:0),time:(from:'2017-02-05T08:02:01-0700',mode:absolute,to:'2017-02-05T10:49:53-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50" s="192" t="str">
        <f t="shared" si="6"/>
        <v>N</v>
      </c>
      <c r="X50" s="192">
        <f t="shared" si="22"/>
        <v>1</v>
      </c>
      <c r="Y50" s="62">
        <f t="shared" si="24"/>
        <v>23.301500000000001</v>
      </c>
      <c r="Z50" s="62">
        <f t="shared" si="25"/>
        <v>1.3899999999999999E-2</v>
      </c>
      <c r="AA50" s="62">
        <f t="shared" si="10"/>
        <v>23.287600000000001</v>
      </c>
      <c r="AB50" s="59" t="e">
        <f>VLOOKUP(A50,Enforcements!$C$7:$K$16,8,0)</f>
        <v>#N/A</v>
      </c>
      <c r="AC50" s="55" t="e">
        <f>VLOOKUP(A50,Enforcements!$C$7:$E$16,3,0)</f>
        <v>#N/A</v>
      </c>
      <c r="AD50" s="56" t="str">
        <f t="shared" si="11"/>
        <v>0138-05</v>
      </c>
      <c r="AE50" s="85" t="str">
        <f t="shared" si="12"/>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50" s="82" t="str">
        <f t="shared" si="13"/>
        <v>"C:\Program Files (x86)\AstroGrep\AstroGrep.exe" /spath="%USERPROFILE%\AppData\Local\Temp\OnboardLogs" /stypes="app*4001*20170205*" /stext=" 16:.+((SYSTEM_STATE.+slice.+state.+changed )|(ment ac)|(multiple cpu faults)|(system.+state.+changed )|(\[timeout)|(PRM\|1\|D)|(kpr)|(kdp)|(\|lc)|(penalty))" /e /r /s</v>
      </c>
      <c r="AG50" s="1" t="str">
        <f t="shared" si="14"/>
        <v>EC</v>
      </c>
      <c r="AH50" s="86" t="str">
        <f t="shared" si="18"/>
        <v>"%USERPROFILE%\Documents\GitHub\eaglep3\Utilities\RefineRTDCRunTimes.py" --tripid 138-05 --locoid 4001 --swversion DE.1.0.8.0 --startMP 204:233015 --initTime 2017-02-05T09:02:01 --startdatetime 2017-02-05T09:11:28 --delay 1 --endMP 204:139 --enddatetime 2017-02-05T09:49:53 --enforcementcount 0 &gt;&gt;C:\Users\stu\Documents\GitHub\eaglep3-reporting\EC\2017-02-05-refined-times.txt</v>
      </c>
      <c r="AI50" s="108" t="str">
        <f t="shared" si="19"/>
        <v>echo {"issue":{"subject":"","project_id":79,"tracker_id":40,"status_id":1,"priority_id":2,"assigned_to_id":23,"start_date":"2017-02-05","description":"","custom_fields":[{"id":1,"name":"Subdivision","value":"EC"},{"id":4,"name":"Milepost","value":"0.0139"},{"id":17,"name":"Train ID","value":"138-05"},{"id":16,"name":"Locomotive ID","value":"4001"},{"id":130,"name":"Impact","value":""},{"id":150,"name":"Time of Event (Mountain Time)","value":"09:49:53"},{"id":151,"name":"Denver Issue ID","value":""},{"id":178,"name":"Operational Impact","value":"Yes"},{"id":179,"name":"Denver Segment Assigned","value":""}]}} | curl -X POST -H "Content-Type: application/json" -H "X-Redmine-API-Key: d6333d4a04012a730768444271f8ca06482dae87" https://secure.xorail.net/redmine/issues.json --data @-</v>
      </c>
      <c r="AJ50" s="48"/>
      <c r="AK50" s="48"/>
      <c r="AL50" s="48"/>
      <c r="AM50" s="158" t="str">
        <f t="shared" si="20"/>
        <v>start /low /b %USERPROFILE%\Documents\GitHub\eaglep3\Utilities\DownloadLogsFromS3.py --loco 4001 --day 2017-02-05</v>
      </c>
      <c r="AN50" s="167" t="str">
        <f>"grep -SE -B400 ""CHR.+\|PRM\|1\|D.+(SWITCH|SIGNAL).+UNKNOWN"" "&amp;search_path&amp;"\RTDC"&amp;B50&amp;"\*"&amp;B50&amp;"*"&amp;TEXT(AVERAGE(F50,I50)-utc_offset/24,"YYYYMMDD")&amp;"*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 customFormat="1" x14ac:dyDescent="0.25">
      <c r="A51" s="33" t="s">
        <v>585</v>
      </c>
      <c r="B51" s="7">
        <v>4031</v>
      </c>
      <c r="C51" s="21" t="s">
        <v>193</v>
      </c>
      <c r="D51" s="21" t="s">
        <v>275</v>
      </c>
      <c r="E51" s="13">
        <v>42771.348263888889</v>
      </c>
      <c r="F51" s="13">
        <v>42771.354351851849</v>
      </c>
      <c r="G51" s="7">
        <v>1</v>
      </c>
      <c r="H51" s="21" t="s">
        <v>418</v>
      </c>
      <c r="I51" s="13">
        <v>42771.378622685188</v>
      </c>
      <c r="J51" s="7">
        <v>0</v>
      </c>
      <c r="K51" s="98" t="str">
        <f t="shared" si="0"/>
        <v>4031/4032</v>
      </c>
      <c r="L51" s="21" t="str">
        <f>VLOOKUP(A51,'Trips&amp;Operators'!$C$1:$G$99999,5,FALSE)</f>
        <v>GEBRETEKLE DAGNEW</v>
      </c>
      <c r="M51" s="6">
        <f t="shared" si="1"/>
        <v>2.4270833338960074E-2</v>
      </c>
      <c r="N51" s="7">
        <f t="shared" si="23"/>
        <v>34.950000008102506</v>
      </c>
      <c r="O51" s="7"/>
      <c r="P51" s="7"/>
      <c r="Q51" s="22"/>
      <c r="R51" s="22"/>
      <c r="S51" s="31">
        <f t="shared" si="3"/>
        <v>1</v>
      </c>
      <c r="T51" s="46" t="str">
        <f t="shared" si="4"/>
        <v>NorthBound</v>
      </c>
      <c r="U51" s="190">
        <f>IF(AG51="EC",COUNTIFS(Variables!$M$2:$M$19,IF(T51="NorthBound","&gt;=","&lt;=")&amp;Y51,Variables!$M$2:$M$19,IF(T51="NorthBound","&lt;=","&gt;=")&amp;Z51),COUNTIFS(Variables!$P$2:$P$19,IF(T51="NorthBound","&gt;=","&lt;=")&amp;Y51,Variables!$P$2:$P$19,IF(T51="NorthBound","&lt;=","&gt;=")&amp;Z51))</f>
        <v>12</v>
      </c>
      <c r="V51" s="191" t="str">
        <f t="shared" si="5"/>
        <v>https://d0f6bd738d7f1b3e5a7ca70fe4ff75f0.us-east-1.aws.found.io/app/kibana#/discover/Steve-Slow-Train-Analysis-(2080s-and-2083s)?_g=(refreshInterval:(display:Off,pause:!f,section:0,value:0),time:(from:'2017-02-05T07:21:30-0700',mode:absolute,to:'2017-02-05T10:05:13-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51" s="192" t="str">
        <f t="shared" si="6"/>
        <v>N</v>
      </c>
      <c r="X51" s="192">
        <f t="shared" si="22"/>
        <v>1</v>
      </c>
      <c r="Y51" s="62">
        <f t="shared" si="24"/>
        <v>4.53E-2</v>
      </c>
      <c r="Z51" s="62">
        <f t="shared" si="25"/>
        <v>23.3339</v>
      </c>
      <c r="AA51" s="62">
        <f t="shared" si="10"/>
        <v>23.288599999999999</v>
      </c>
      <c r="AB51" s="59" t="e">
        <f>VLOOKUP(A51,Enforcements!$C$7:$K$16,8,0)</f>
        <v>#N/A</v>
      </c>
      <c r="AC51" s="55" t="e">
        <f>VLOOKUP(A51,Enforcements!$C$7:$E$16,3,0)</f>
        <v>#N/A</v>
      </c>
      <c r="AD51" s="56" t="str">
        <f t="shared" si="11"/>
        <v>0139-05</v>
      </c>
      <c r="AE51" s="85" t="str">
        <f t="shared" si="12"/>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51" s="82" t="str">
        <f t="shared" si="13"/>
        <v>"C:\Program Files (x86)\AstroGrep\AstroGrep.exe" /spath="%USERPROFILE%\AppData\Local\Temp\OnboardLogs" /stypes="app*4031*20170205*" /stext=" 16:.+((SYSTEM_STATE.+slice.+state.+changed )|(ment ac)|(multiple cpu faults)|(system.+state.+changed )|(\[timeout)|(PRM\|1\|D)|(kpr)|(kdp)|(\|lc)|(penalty))" /e /r /s</v>
      </c>
      <c r="AG51" s="1" t="str">
        <f t="shared" si="14"/>
        <v>EC</v>
      </c>
      <c r="AH51" s="86" t="str">
        <f t="shared" si="18"/>
        <v>"%USERPROFILE%\Documents\GitHub\eaglep3\Utilities\RefineRTDCRunTimes.py" --tripid 139-05 --locoid 4031 --swversion DE.1.0.8.0 --startMP 204:453 --initTime 2017-02-05T08:21:30 --startdatetime 2017-02-05T08:30:16 --delay 1 --endMP 204:233339 --enddatetime 2017-02-05T09:05:13 --enforcementcount 0 &gt;&gt;C:\Users\stu\Documents\GitHub\eaglep3-reporting\EC\2017-02-05-refined-times.txt</v>
      </c>
      <c r="AI51" s="108" t="str">
        <f t="shared" si="19"/>
        <v>echo {"issue":{"subject":"","project_id":79,"tracker_id":40,"status_id":1,"priority_id":2,"assigned_to_id":23,"start_date":"2017-02-05","description":"","custom_fields":[{"id":1,"name":"Subdivision","value":"EC"},{"id":4,"name":"Milepost","value":"23.3339"},{"id":17,"name":"Train ID","value":"139-05"},{"id":16,"name":"Locomotive ID","value":"4031"},{"id":130,"name":"Impact","value":""},{"id":150,"name":"Time of Event (Mountain Time)","value":"09:05:13"},{"id":151,"name":"Denver Issue ID","value":""},{"id":178,"name":"Operational Impact","value":"Yes"},{"id":179,"name":"Denver Segment Assigned","value":""}]}} | curl -X POST -H "Content-Type: application/json" -H "X-Redmine-API-Key: d6333d4a04012a730768444271f8ca06482dae87" https://secure.xorail.net/redmine/issues.json --data @-</v>
      </c>
      <c r="AJ51" s="48"/>
      <c r="AK51" s="48"/>
      <c r="AL51" s="48"/>
      <c r="AM51" s="158" t="str">
        <f t="shared" si="20"/>
        <v>start /low /b %USERPROFILE%\Documents\GitHub\eaglep3\Utilities\DownloadLogsFromS3.py --loco 4031 --day 2017-02-05</v>
      </c>
      <c r="AN51" s="167" t="str">
        <f>"grep -SE -B400 ""CHR.+\|PRM\|1\|D.+(SWITCH|SIGNAL).+UNKNOWN"" "&amp;search_path&amp;"\RTDC"&amp;B51&amp;"\*"&amp;B51&amp;"*"&amp;TEXT(AVERAGE(F51,I51)-utc_offset/24,"YYYYMMDD")&amp;"*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 customFormat="1" x14ac:dyDescent="0.25">
      <c r="A52" s="33" t="s">
        <v>594</v>
      </c>
      <c r="B52" s="7">
        <v>4032</v>
      </c>
      <c r="C52" s="21" t="s">
        <v>193</v>
      </c>
      <c r="D52" s="21" t="s">
        <v>768</v>
      </c>
      <c r="E52" s="13">
        <v>42771.387129629627</v>
      </c>
      <c r="F52" s="13">
        <v>42771.393229166664</v>
      </c>
      <c r="G52" s="7">
        <v>1</v>
      </c>
      <c r="H52" s="21" t="s">
        <v>289</v>
      </c>
      <c r="I52" s="13">
        <v>42771.41878472222</v>
      </c>
      <c r="J52" s="7">
        <v>0</v>
      </c>
      <c r="K52" s="98" t="str">
        <f t="shared" si="0"/>
        <v>4031/4032</v>
      </c>
      <c r="L52" s="21" t="str">
        <f>VLOOKUP(A52,'Trips&amp;Operators'!$C$1:$G$99999,5,FALSE)</f>
        <v>GEBRETEKLE DAGNEW</v>
      </c>
      <c r="M52" s="6">
        <f t="shared" si="1"/>
        <v>2.5555555555911269E-2</v>
      </c>
      <c r="N52" s="7">
        <f t="shared" si="23"/>
        <v>36.800000000512227</v>
      </c>
      <c r="O52" s="7"/>
      <c r="P52" s="7"/>
      <c r="Q52" s="22"/>
      <c r="R52" s="22"/>
      <c r="S52" s="31">
        <f t="shared" si="3"/>
        <v>1</v>
      </c>
      <c r="T52" s="46" t="str">
        <f t="shared" si="4"/>
        <v>Southbound</v>
      </c>
      <c r="U52" s="190">
        <f>IF(AG52="EC",COUNTIFS(Variables!$M$2:$M$19,IF(T52="NorthBound","&gt;=","&lt;=")&amp;Y52,Variables!$M$2:$M$19,IF(T52="NorthBound","&lt;=","&gt;=")&amp;Z52),COUNTIFS(Variables!$P$2:$P$19,IF(T52="NorthBound","&gt;=","&lt;=")&amp;Y52,Variables!$P$2:$P$19,IF(T52="NorthBound","&lt;=","&gt;=")&amp;Z52))</f>
        <v>12</v>
      </c>
      <c r="V52" s="191" t="str">
        <f t="shared" si="5"/>
        <v>https://d0f6bd738d7f1b3e5a7ca70fe4ff75f0.us-east-1.aws.found.io/app/kibana#/discover/Steve-Slow-Train-Analysis-(2080s-and-2083s)?_g=(refreshInterval:(display:Off,pause:!f,section:0,value:0),time:(from:'2017-02-05T08:17:28-0700',mode:absolute,to:'2017-02-05T11:03:03-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52" s="192" t="str">
        <f t="shared" si="6"/>
        <v>N</v>
      </c>
      <c r="X52" s="192">
        <f t="shared" si="22"/>
        <v>1</v>
      </c>
      <c r="Y52" s="62">
        <f t="shared" si="24"/>
        <v>23.3</v>
      </c>
      <c r="Z52" s="62">
        <f t="shared" si="25"/>
        <v>1.5599999999999999E-2</v>
      </c>
      <c r="AA52" s="62">
        <f t="shared" si="10"/>
        <v>23.284400000000002</v>
      </c>
      <c r="AB52" s="59" t="e">
        <f>VLOOKUP(A52,Enforcements!$C$7:$K$16,8,0)</f>
        <v>#N/A</v>
      </c>
      <c r="AC52" s="55" t="e">
        <f>VLOOKUP(A52,Enforcements!$C$7:$E$16,3,0)</f>
        <v>#N/A</v>
      </c>
      <c r="AD52" s="56" t="str">
        <f t="shared" si="11"/>
        <v>0140-05</v>
      </c>
      <c r="AE52" s="85" t="str">
        <f t="shared" si="12"/>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52" s="82" t="str">
        <f t="shared" si="13"/>
        <v>"C:\Program Files (x86)\AstroGrep\AstroGrep.exe" /spath="%USERPROFILE%\AppData\Local\Temp\OnboardLogs" /stypes="app*4032*20170205*" /stext=" 17:.+((SYSTEM_STATE.+slice.+state.+changed )|(ment ac)|(multiple cpu faults)|(system.+state.+changed )|(\[timeout)|(PRM\|1\|D)|(kpr)|(kdp)|(\|lc)|(penalty))" /e /r /s</v>
      </c>
      <c r="AG52" s="1" t="str">
        <f t="shared" si="14"/>
        <v>EC</v>
      </c>
      <c r="AH52" s="86" t="str">
        <f t="shared" si="18"/>
        <v>"%USERPROFILE%\Documents\GitHub\eaglep3\Utilities\RefineRTDCRunTimes.py" --tripid 140-05 --locoid 4032 --swversion DE.1.0.8.0 --startMP 204:233000 --initTime 2017-02-05T09:17:28 --startdatetime 2017-02-05T09:26:15 --delay 1 --endMP 204:156 --enddatetime 2017-02-05T10:03:03 --enforcementcount 0 &gt;&gt;C:\Users\stu\Documents\GitHub\eaglep3-reporting\EC\2017-02-05-refined-times.txt</v>
      </c>
      <c r="AI52" s="108" t="str">
        <f t="shared" si="19"/>
        <v>echo {"issue":{"subject":"","project_id":79,"tracker_id":40,"status_id":1,"priority_id":2,"assigned_to_id":23,"start_date":"2017-02-05","description":"","custom_fields":[{"id":1,"name":"Subdivision","value":"EC"},{"id":4,"name":"Milepost","value":"0.0156"},{"id":17,"name":"Train ID","value":"140-05"},{"id":16,"name":"Locomotive ID","value":"4032"},{"id":130,"name":"Impact","value":""},{"id":150,"name":"Time of Event (Mountain Time)","value":"10:03:03"},{"id":151,"name":"Denver Issue ID","value":""},{"id":178,"name":"Operational Impact","value":"Yes"},{"id":179,"name":"Denver Segment Assigned","value":""}]}} | curl -X POST -H "Content-Type: application/json" -H "X-Redmine-API-Key: d6333d4a04012a730768444271f8ca06482dae87" https://secure.xorail.net/redmine/issues.json --data @-</v>
      </c>
      <c r="AJ52" s="48"/>
      <c r="AK52" s="48"/>
      <c r="AL52" s="48"/>
      <c r="AM52" s="158" t="str">
        <f t="shared" si="20"/>
        <v>start /low /b %USERPROFILE%\Documents\GitHub\eaglep3\Utilities\DownloadLogsFromS3.py --loco 4032 --day 2017-02-05</v>
      </c>
      <c r="AN52" s="167" t="str">
        <f>"grep -SE -B400 ""CHR.+\|PRM\|1\|D.+(SWITCH|SIGNAL).+UNKNOWN"" "&amp;search_path&amp;"\RTDC"&amp;B52&amp;"\*"&amp;B52&amp;"*"&amp;TEXT(AVERAGE(F52,I52)-utc_offset/24,"YYYYMMDD")&amp;"*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 customFormat="1" x14ac:dyDescent="0.25">
      <c r="A53" s="33" t="s">
        <v>588</v>
      </c>
      <c r="B53" s="7">
        <v>4009</v>
      </c>
      <c r="C53" s="21" t="s">
        <v>193</v>
      </c>
      <c r="D53" s="21" t="s">
        <v>276</v>
      </c>
      <c r="E53" s="13">
        <v>42771.359074074076</v>
      </c>
      <c r="F53" s="13">
        <v>42771.364803240744</v>
      </c>
      <c r="G53" s="7">
        <v>1</v>
      </c>
      <c r="H53" s="21" t="s">
        <v>416</v>
      </c>
      <c r="I53" s="13">
        <v>42771.390844907408</v>
      </c>
      <c r="J53" s="7">
        <v>0</v>
      </c>
      <c r="K53" s="98" t="str">
        <f t="shared" si="0"/>
        <v>4009/4010</v>
      </c>
      <c r="L53" s="21" t="str">
        <f>VLOOKUP(A53,'Trips&amp;Operators'!$C$1:$G$99999,5,FALSE)</f>
        <v>OUN ZACK</v>
      </c>
      <c r="M53" s="6">
        <f t="shared" si="1"/>
        <v>2.6041666664241347E-2</v>
      </c>
      <c r="N53" s="7">
        <f t="shared" si="23"/>
        <v>37.49999999650754</v>
      </c>
      <c r="O53" s="7"/>
      <c r="P53" s="7"/>
      <c r="Q53" s="22"/>
      <c r="R53" s="22"/>
      <c r="S53" s="31">
        <f t="shared" si="3"/>
        <v>1</v>
      </c>
      <c r="T53" s="46" t="str">
        <f t="shared" si="4"/>
        <v>NorthBound</v>
      </c>
      <c r="U53" s="190">
        <f>IF(AG53="EC",COUNTIFS(Variables!$M$2:$M$19,IF(T53="NorthBound","&gt;=","&lt;=")&amp;Y53,Variables!$M$2:$M$19,IF(T53="NorthBound","&lt;=","&gt;=")&amp;Z53),COUNTIFS(Variables!$P$2:$P$19,IF(T53="NorthBound","&gt;=","&lt;=")&amp;Y53,Variables!$P$2:$P$19,IF(T53="NorthBound","&lt;=","&gt;=")&amp;Z53))</f>
        <v>12</v>
      </c>
      <c r="V53" s="191" t="str">
        <f t="shared" si="5"/>
        <v>https://d0f6bd738d7f1b3e5a7ca70fe4ff75f0.us-east-1.aws.found.io/app/kibana#/discover/Steve-Slow-Train-Analysis-(2080s-and-2083s)?_g=(refreshInterval:(display:Off,pause:!f,section:0,value:0),time:(from:'2017-02-05T07:37:04-0700',mode:absolute,to:'2017-02-05T10:22:49-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53" s="192" t="str">
        <f t="shared" si="6"/>
        <v>N</v>
      </c>
      <c r="X53" s="192">
        <f t="shared" si="22"/>
        <v>1</v>
      </c>
      <c r="Y53" s="62">
        <f t="shared" si="24"/>
        <v>4.7100000000000003E-2</v>
      </c>
      <c r="Z53" s="62">
        <f t="shared" si="25"/>
        <v>23.331399999999999</v>
      </c>
      <c r="AA53" s="62">
        <f t="shared" si="10"/>
        <v>23.284299999999998</v>
      </c>
      <c r="AB53" s="59" t="e">
        <f>VLOOKUP(A53,Enforcements!$C$7:$K$16,8,0)</f>
        <v>#N/A</v>
      </c>
      <c r="AC53" s="55" t="e">
        <f>VLOOKUP(A53,Enforcements!$C$7:$E$16,3,0)</f>
        <v>#N/A</v>
      </c>
      <c r="AD53" s="56" t="str">
        <f t="shared" si="11"/>
        <v>0141-05</v>
      </c>
      <c r="AE53" s="85" t="str">
        <f t="shared" si="12"/>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53" s="82" t="str">
        <f t="shared" si="13"/>
        <v>"C:\Program Files (x86)\AstroGrep\AstroGrep.exe" /spath="%USERPROFILE%\AppData\Local\Temp\OnboardLogs" /stypes="app*4009*20170205*" /stext=" 16:.+((SYSTEM_STATE.+slice.+state.+changed )|(ment ac)|(multiple cpu faults)|(system.+state.+changed )|(\[timeout)|(PRM\|1\|D)|(kpr)|(kdp)|(\|lc)|(penalty))" /e /r /s</v>
      </c>
      <c r="AG53" s="1" t="str">
        <f t="shared" si="14"/>
        <v>EC</v>
      </c>
      <c r="AH53" s="86" t="str">
        <f t="shared" si="18"/>
        <v>"%USERPROFILE%\Documents\GitHub\eaglep3\Utilities\RefineRTDCRunTimes.py" --tripid 141-05 --locoid 4009 --swversion DE.1.0.8.0 --startMP 204:471 --initTime 2017-02-05T08:37:04 --startdatetime 2017-02-05T08:45:19 --delay 1 --endMP 204:233314 --enddatetime 2017-02-05T09:22:49 --enforcementcount 0 &gt;&gt;C:\Users\stu\Documents\GitHub\eaglep3-reporting\EC\2017-02-05-refined-times.txt</v>
      </c>
      <c r="AI53" s="108" t="str">
        <f t="shared" si="19"/>
        <v>echo {"issue":{"subject":"","project_id":79,"tracker_id":40,"status_id":1,"priority_id":2,"assigned_to_id":23,"start_date":"2017-02-05","description":"","custom_fields":[{"id":1,"name":"Subdivision","value":"EC"},{"id":4,"name":"Milepost","value":"23.3314"},{"id":17,"name":"Train ID","value":"141-05"},{"id":16,"name":"Locomotive ID","value":"4009"},{"id":130,"name":"Impact","value":""},{"id":150,"name":"Time of Event (Mountain Time)","value":"09:22:49"},{"id":151,"name":"Denver Issue ID","value":""},{"id":178,"name":"Operational Impact","value":"Yes"},{"id":179,"name":"Denver Segment Assigned","value":""}]}} | curl -X POST -H "Content-Type: application/json" -H "X-Redmine-API-Key: d6333d4a04012a730768444271f8ca06482dae87" https://secure.xorail.net/redmine/issues.json --data @-</v>
      </c>
      <c r="AJ53" s="48"/>
      <c r="AK53" s="48"/>
      <c r="AL53" s="48"/>
      <c r="AM53" s="158" t="str">
        <f t="shared" si="20"/>
        <v>start /low /b %USERPROFILE%\Documents\GitHub\eaglep3\Utilities\DownloadLogsFromS3.py --loco 4009 --day 2017-02-05</v>
      </c>
      <c r="AN53" s="167" t="str">
        <f>"grep -SE -B400 ""CHR.+\|PRM\|1\|D.+(SWITCH|SIGNAL).+UNKNOWN"" "&amp;search_path&amp;"\RTDC"&amp;B53&amp;"\*"&amp;B53&amp;"*"&amp;TEXT(AVERAGE(F53,I53)-utc_offset/24,"YYYYMMDD")&amp;"*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 customFormat="1" x14ac:dyDescent="0.25">
      <c r="A54" s="33" t="s">
        <v>596</v>
      </c>
      <c r="B54" s="7">
        <v>4010</v>
      </c>
      <c r="C54" s="21" t="s">
        <v>193</v>
      </c>
      <c r="D54" s="21" t="s">
        <v>770</v>
      </c>
      <c r="E54" s="13">
        <v>42771.399398148147</v>
      </c>
      <c r="F54" s="13">
        <v>42771.403657407405</v>
      </c>
      <c r="G54" s="7">
        <v>0</v>
      </c>
      <c r="H54" s="21" t="s">
        <v>196</v>
      </c>
      <c r="I54" s="13">
        <v>42771.430486111109</v>
      </c>
      <c r="J54" s="7">
        <v>0</v>
      </c>
      <c r="K54" s="98" t="str">
        <f t="shared" si="0"/>
        <v>4009/4010</v>
      </c>
      <c r="L54" s="21" t="str">
        <f>VLOOKUP(A54,'Trips&amp;Operators'!$C$1:$G$99999,5,FALSE)</f>
        <v>OUN ZACK</v>
      </c>
      <c r="M54" s="6">
        <f t="shared" si="1"/>
        <v>2.6828703703358769E-2</v>
      </c>
      <c r="N54" s="7">
        <f t="shared" si="23"/>
        <v>38.633333332836628</v>
      </c>
      <c r="O54" s="7"/>
      <c r="P54" s="7"/>
      <c r="Q54" s="22"/>
      <c r="R54" s="22"/>
      <c r="S54" s="31">
        <f t="shared" si="3"/>
        <v>1</v>
      </c>
      <c r="T54" s="46" t="str">
        <f t="shared" si="4"/>
        <v>Southbound</v>
      </c>
      <c r="U54" s="190">
        <f>IF(AG54="EC",COUNTIFS(Variables!$M$2:$M$19,IF(T54="NorthBound","&gt;=","&lt;=")&amp;Y54,Variables!$M$2:$M$19,IF(T54="NorthBound","&lt;=","&gt;=")&amp;Z54),COUNTIFS(Variables!$P$2:$P$19,IF(T54="NorthBound","&gt;=","&lt;=")&amp;Y54,Variables!$P$2:$P$19,IF(T54="NorthBound","&lt;=","&gt;=")&amp;Z54))</f>
        <v>12</v>
      </c>
      <c r="V54" s="191" t="str">
        <f t="shared" si="5"/>
        <v>https://d0f6bd738d7f1b3e5a7ca70fe4ff75f0.us-east-1.aws.found.io/app/kibana#/discover/Steve-Slow-Train-Analysis-(2080s-and-2083s)?_g=(refreshInterval:(display:Off,pause:!f,section:0,value:0),time:(from:'2017-02-05T08:35:08-0700',mode:absolute,to:'2017-02-05T11:19:54-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54" s="192" t="str">
        <f t="shared" si="6"/>
        <v>N</v>
      </c>
      <c r="X54" s="192">
        <f t="shared" si="22"/>
        <v>1</v>
      </c>
      <c r="Y54" s="62">
        <f t="shared" si="24"/>
        <v>23.302299999999999</v>
      </c>
      <c r="Z54" s="62">
        <f t="shared" si="25"/>
        <v>1.4999999999999999E-2</v>
      </c>
      <c r="AA54" s="62">
        <f t="shared" si="10"/>
        <v>23.287299999999998</v>
      </c>
      <c r="AB54" s="59" t="e">
        <f>VLOOKUP(A54,Enforcements!$C$7:$K$16,8,0)</f>
        <v>#N/A</v>
      </c>
      <c r="AC54" s="55" t="e">
        <f>VLOOKUP(A54,Enforcements!$C$7:$E$16,3,0)</f>
        <v>#N/A</v>
      </c>
      <c r="AD54" s="56" t="str">
        <f t="shared" si="11"/>
        <v>0142-05</v>
      </c>
      <c r="AE54" s="85" t="str">
        <f t="shared" si="12"/>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54" s="82" t="str">
        <f t="shared" si="13"/>
        <v>"C:\Program Files (x86)\AstroGrep\AstroGrep.exe" /spath="%USERPROFILE%\AppData\Local\Temp\OnboardLogs" /stypes="app*4010*20170205*" /stext=" 17:.+((SYSTEM_STATE.+slice.+state.+changed )|(ment ac)|(multiple cpu faults)|(system.+state.+changed )|(\[timeout)|(PRM\|1\|D)|(kpr)|(kdp)|(\|lc)|(penalty))" /e /r /s</v>
      </c>
      <c r="AG54" s="1" t="str">
        <f t="shared" si="14"/>
        <v>EC</v>
      </c>
      <c r="AH54" s="86" t="str">
        <f t="shared" si="18"/>
        <v>"%USERPROFILE%\Documents\GitHub\eaglep3\Utilities\RefineRTDCRunTimes.py" --tripid 142-05 --locoid 4010 --swversion DE.1.0.8.0 --startMP 204:233023 --initTime 2017-02-05T09:35:08 --startdatetime 2017-02-05T09:41:16 --delay 0 --endMP 204:150 --enddatetime 2017-02-05T10:19:54 --enforcementcount 0 &gt;&gt;C:\Users\stu\Documents\GitHub\eaglep3-reporting\EC\2017-02-05-refined-times.txt</v>
      </c>
      <c r="AI54" s="108" t="str">
        <f t="shared" si="19"/>
        <v>echo {"issue":{"subject":"","project_id":79,"tracker_id":40,"status_id":1,"priority_id":2,"assigned_to_id":23,"start_date":"2017-02-05","description":"","custom_fields":[{"id":1,"name":"Subdivision","value":"EC"},{"id":4,"name":"Milepost","value":"0.015"},{"id":17,"name":"Train ID","value":"142-05"},{"id":16,"name":"Locomotive ID","value":"4010"},{"id":130,"name":"Impact","value":""},{"id":150,"name":"Time of Event (Mountain Time)","value":"10:19:54"},{"id":151,"name":"Denver Issue ID","value":""},{"id":178,"name":"Operational Impact","value":"Yes"},{"id":179,"name":"Denver Segment Assigned","value":""}]}} | curl -X POST -H "Content-Type: application/json" -H "X-Redmine-API-Key: d6333d4a04012a730768444271f8ca06482dae87" https://secure.xorail.net/redmine/issues.json --data @-</v>
      </c>
      <c r="AJ54" s="48"/>
      <c r="AK54" s="48"/>
      <c r="AL54" s="48"/>
      <c r="AM54" s="158" t="str">
        <f t="shared" si="20"/>
        <v>start /low /b %USERPROFILE%\Documents\GitHub\eaglep3\Utilities\DownloadLogsFromS3.py --loco 4010 --day 2017-02-05</v>
      </c>
      <c r="AN54" s="167" t="str">
        <f>"grep -SE -B400 ""CHR.+\|PRM\|1\|D.+(SWITCH|SIGNAL).+UNKNOWN"" "&amp;search_path&amp;"\RTDC"&amp;B54&amp;"\*"&amp;B54&amp;"*"&amp;TEXT(AVERAGE(F54,I54)-utc_offset/24,"YYYYMMDD")&amp;"*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 customFormat="1" x14ac:dyDescent="0.25">
      <c r="A55" s="33" t="s">
        <v>590</v>
      </c>
      <c r="B55" s="7">
        <v>4040</v>
      </c>
      <c r="C55" s="21" t="s">
        <v>193</v>
      </c>
      <c r="D55" s="21" t="s">
        <v>291</v>
      </c>
      <c r="E55" s="13">
        <v>42771.370925925927</v>
      </c>
      <c r="F55" s="13">
        <v>42771.375185185185</v>
      </c>
      <c r="G55" s="7">
        <v>1</v>
      </c>
      <c r="H55" s="21" t="s">
        <v>771</v>
      </c>
      <c r="I55" s="13">
        <v>42771.400405092594</v>
      </c>
      <c r="J55" s="7">
        <v>0</v>
      </c>
      <c r="K55" s="98" t="str">
        <f t="shared" si="0"/>
        <v>4039/4040</v>
      </c>
      <c r="L55" s="21" t="str">
        <f>VLOOKUP(A55,'Trips&amp;Operators'!$C$1:$G$99999,5,FALSE)</f>
        <v>SHOOK JOHN</v>
      </c>
      <c r="M55" s="6">
        <f t="shared" si="1"/>
        <v>2.5219907409336884E-2</v>
      </c>
      <c r="N55" s="7">
        <f t="shared" si="23"/>
        <v>36.316666669445112</v>
      </c>
      <c r="O55" s="7"/>
      <c r="P55" s="7"/>
      <c r="Q55" s="22"/>
      <c r="R55" s="22"/>
      <c r="S55" s="31">
        <f t="shared" si="3"/>
        <v>1</v>
      </c>
      <c r="T55" s="46" t="str">
        <f t="shared" si="4"/>
        <v>NorthBound</v>
      </c>
      <c r="U55" s="190">
        <f>IF(AG55="EC",COUNTIFS(Variables!$M$2:$M$19,IF(T55="NorthBound","&gt;=","&lt;=")&amp;Y55,Variables!$M$2:$M$19,IF(T55="NorthBound","&lt;=","&gt;=")&amp;Z55),COUNTIFS(Variables!$P$2:$P$19,IF(T55="NorthBound","&gt;=","&lt;=")&amp;Y55,Variables!$P$2:$P$19,IF(T55="NorthBound","&lt;=","&gt;=")&amp;Z55))</f>
        <v>12</v>
      </c>
      <c r="V55" s="191" t="str">
        <f t="shared" si="5"/>
        <v>https://d0f6bd738d7f1b3e5a7ca70fe4ff75f0.us-east-1.aws.found.io/app/kibana#/discover/Steve-Slow-Train-Analysis-(2080s-and-2083s)?_g=(refreshInterval:(display:Off,pause:!f,section:0,value:0),time:(from:'2017-02-05T07:54:08-0700',mode:absolute,to:'2017-02-05T10:36:35-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55" s="192" t="str">
        <f t="shared" si="6"/>
        <v>N</v>
      </c>
      <c r="X55" s="192">
        <f t="shared" si="22"/>
        <v>1</v>
      </c>
      <c r="Y55" s="62">
        <f t="shared" si="24"/>
        <v>4.5499999999999999E-2</v>
      </c>
      <c r="Z55" s="62">
        <f t="shared" si="25"/>
        <v>23.332000000000001</v>
      </c>
      <c r="AA55" s="62">
        <f t="shared" si="10"/>
        <v>23.2865</v>
      </c>
      <c r="AB55" s="59" t="e">
        <f>VLOOKUP(A55,Enforcements!$C$7:$K$16,8,0)</f>
        <v>#N/A</v>
      </c>
      <c r="AC55" s="55" t="e">
        <f>VLOOKUP(A55,Enforcements!$C$7:$E$16,3,0)</f>
        <v>#N/A</v>
      </c>
      <c r="AD55" s="56" t="str">
        <f t="shared" si="11"/>
        <v>0143-05</v>
      </c>
      <c r="AE55" s="85" t="str">
        <f t="shared" si="12"/>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55" s="82" t="str">
        <f t="shared" si="13"/>
        <v>"C:\Program Files (x86)\AstroGrep\AstroGrep.exe" /spath="%USERPROFILE%\AppData\Local\Temp\OnboardLogs" /stypes="app*4040*20170205*" /stext=" 16:.+((SYSTEM_STATE.+slice.+state.+changed )|(ment ac)|(multiple cpu faults)|(system.+state.+changed )|(\[timeout)|(PRM\|1\|D)|(kpr)|(kdp)|(\|lc)|(penalty))" /e /r /s</v>
      </c>
      <c r="AG55" s="1" t="str">
        <f t="shared" si="14"/>
        <v>EC</v>
      </c>
      <c r="AH55" s="86" t="str">
        <f t="shared" si="18"/>
        <v>"%USERPROFILE%\Documents\GitHub\eaglep3\Utilities\RefineRTDCRunTimes.py" --tripid 143-05 --locoid 4040 --swversion DE.1.0.8.0 --startMP 204:455 --initTime 2017-02-05T08:54:08 --startdatetime 2017-02-05T09:00:16 --delay 1 --endMP 204:233320 --enddatetime 2017-02-05T09:36:35 --enforcementcount 0 &gt;&gt;C:\Users\stu\Documents\GitHub\eaglep3-reporting\EC\2017-02-05-refined-times.txt</v>
      </c>
      <c r="AI55" s="108" t="str">
        <f t="shared" si="19"/>
        <v>echo {"issue":{"subject":"","project_id":79,"tracker_id":40,"status_id":1,"priority_id":2,"assigned_to_id":23,"start_date":"2017-02-05","description":"","custom_fields":[{"id":1,"name":"Subdivision","value":"EC"},{"id":4,"name":"Milepost","value":"23.332"},{"id":17,"name":"Train ID","value":"143-05"},{"id":16,"name":"Locomotive ID","value":"4040"},{"id":130,"name":"Impact","value":""},{"id":150,"name":"Time of Event (Mountain Time)","value":"09:36:35"},{"id":151,"name":"Denver Issue ID","value":""},{"id":178,"name":"Operational Impact","value":"Yes"},{"id":179,"name":"Denver Segment Assigned","value":""}]}} | curl -X POST -H "Content-Type: application/json" -H "X-Redmine-API-Key: d6333d4a04012a730768444271f8ca06482dae87" https://secure.xorail.net/redmine/issues.json --data @-</v>
      </c>
      <c r="AJ55" s="48"/>
      <c r="AK55" s="48"/>
      <c r="AL55" s="48"/>
      <c r="AM55" s="158" t="str">
        <f t="shared" si="20"/>
        <v>start /low /b %USERPROFILE%\Documents\GitHub\eaglep3\Utilities\DownloadLogsFromS3.py --loco 4040 --day 2017-02-05</v>
      </c>
      <c r="AN55" s="167" t="str">
        <f>"grep -SE -B400 ""CHR.+\|PRM\|1\|D.+(SWITCH|SIGNAL).+UNKNOWN"" "&amp;search_path&amp;"\RTDC"&amp;B55&amp;"\*"&amp;B55&amp;"*"&amp;TEXT(AVERAGE(F55,I55)-utc_offset/24,"YYYYMMDD")&amp;"* | grep -SE ""(Enforcement Action)|(\[TIMEOUT)|(CHR.+\|PRM\|1\|D.+(SWITCH|SIGNAL).+UNKNOWN)"" - &gt;&gt; "&amp;TEXT(Variables!$A$2,"YYYY-MM-DD")&amp;"-UncaughtWiMAX.txt"</f>
        <v>grep -SE -B400 "CHR.+\|PRM\|1\|D.+(SWITCH|SIGNAL).+UNKNOWN" "%USERPROFILE%\AppData\Local\Temp\OnboardLogs"\RTDC4040\*4040*20170205* | grep -SE "(Enforcement Action)|(\[TIMEOUT)|(CHR.+\|PRM\|1\|D.+(SWITCH|SIGNAL).+UNKNOWN)" - &gt;&gt; 2017-02-05-UncaughtWiMAX.txt</v>
      </c>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 customFormat="1" x14ac:dyDescent="0.25">
      <c r="A56" s="33" t="s">
        <v>598</v>
      </c>
      <c r="B56" s="7">
        <v>4039</v>
      </c>
      <c r="C56" s="21" t="s">
        <v>193</v>
      </c>
      <c r="D56" s="21" t="s">
        <v>762</v>
      </c>
      <c r="E56" s="13">
        <v>42771.402395833335</v>
      </c>
      <c r="F56" s="13">
        <v>42771.414097222223</v>
      </c>
      <c r="G56" s="7">
        <v>1</v>
      </c>
      <c r="H56" s="21" t="s">
        <v>196</v>
      </c>
      <c r="I56" s="13">
        <v>42771.441689814812</v>
      </c>
      <c r="J56" s="7">
        <v>0</v>
      </c>
      <c r="K56" s="98" t="str">
        <f t="shared" si="0"/>
        <v>4039/4040</v>
      </c>
      <c r="L56" s="21" t="str">
        <f>VLOOKUP(A56,'Trips&amp;Operators'!$C$1:$G$99999,5,FALSE)</f>
        <v>SHOOK JOHN</v>
      </c>
      <c r="M56" s="6">
        <f t="shared" si="1"/>
        <v>2.7592592588916887E-2</v>
      </c>
      <c r="N56" s="7">
        <f t="shared" si="23"/>
        <v>39.733333328040317</v>
      </c>
      <c r="O56" s="7"/>
      <c r="P56" s="7"/>
      <c r="Q56" s="22"/>
      <c r="R56" s="22"/>
      <c r="S56" s="31">
        <f t="shared" si="3"/>
        <v>1</v>
      </c>
      <c r="T56" s="46" t="str">
        <f t="shared" si="4"/>
        <v>Southbound</v>
      </c>
      <c r="U56" s="190">
        <f>IF(AG56="EC",COUNTIFS(Variables!$M$2:$M$19,IF(T56="NorthBound","&gt;=","&lt;=")&amp;Y56,Variables!$M$2:$M$19,IF(T56="NorthBound","&lt;=","&gt;=")&amp;Z56),COUNTIFS(Variables!$P$2:$P$19,IF(T56="NorthBound","&gt;=","&lt;=")&amp;Y56,Variables!$P$2:$P$19,IF(T56="NorthBound","&lt;=","&gt;=")&amp;Z56))</f>
        <v>12</v>
      </c>
      <c r="V56" s="191" t="str">
        <f t="shared" si="5"/>
        <v>https://d0f6bd738d7f1b3e5a7ca70fe4ff75f0.us-east-1.aws.found.io/app/kibana#/discover/Steve-Slow-Train-Analysis-(2080s-and-2083s)?_g=(refreshInterval:(display:Off,pause:!f,section:0,value:0),time:(from:'2017-02-05T08:39:27-0700',mode:absolute,to:'2017-02-05T11:36:02-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56" s="192" t="str">
        <f t="shared" si="6"/>
        <v>N</v>
      </c>
      <c r="X56" s="192">
        <f t="shared" si="22"/>
        <v>1</v>
      </c>
      <c r="Y56" s="62">
        <f t="shared" si="24"/>
        <v>23.301300000000001</v>
      </c>
      <c r="Z56" s="62">
        <f t="shared" si="25"/>
        <v>1.4999999999999999E-2</v>
      </c>
      <c r="AA56" s="62">
        <f t="shared" si="10"/>
        <v>23.286300000000001</v>
      </c>
      <c r="AB56" s="59" t="e">
        <f>VLOOKUP(A56,Enforcements!$C$7:$K$16,8,0)</f>
        <v>#N/A</v>
      </c>
      <c r="AC56" s="55" t="e">
        <f>VLOOKUP(A56,Enforcements!$C$7:$E$16,3,0)</f>
        <v>#N/A</v>
      </c>
      <c r="AD56" s="56" t="str">
        <f t="shared" si="11"/>
        <v>0144-05</v>
      </c>
      <c r="AE56" s="85" t="str">
        <f t="shared" si="12"/>
        <v>aws s3 cp s3://rtdc.mdm.uploadarchive.raw/RTDC4039/ "%USERPROFILE%\AppData\Local\Temp\OnboardLogs"\RTDC4039\2017-02-05 --exclude "*" --recursive --include "*20170205*" &amp; "%USERPROFILE%\Documents\GitHub\mrs-test-scripts\Headless Mode &amp; Sideloading\WalkAndUnGZ.bat" "%USERPROFILE%\AppData\Local\Temp\OnboardLogs"\RTDC4039\2017-02-05 &amp; aws s3 cp s3://rtdc.mdm.uploadarchive.raw/RTDC4039/ "%USERPROFILE%\AppData\Local\Temp\OnboardLogs"\RTDC4039\2017-02-06 --exclude "*" --recursive --include "*20170206*" &amp; "%USERPROFILE%\Documents\GitHub\mrs-test-scripts\Headless Mode &amp; Sideloading\WalkAndUnGZ.bat" "%USERPROFILE%\AppData\Local\Temp\OnboardLogs"\RTDC4039\2017-02-06</v>
      </c>
      <c r="AF56" s="82" t="str">
        <f t="shared" si="13"/>
        <v>"C:\Program Files (x86)\AstroGrep\AstroGrep.exe" /spath="%USERPROFILE%\AppData\Local\Temp\OnboardLogs" /stypes="app*4039*20170205*" /stext=" 17:.+((SYSTEM_STATE.+slice.+state.+changed )|(ment ac)|(multiple cpu faults)|(system.+state.+changed )|(\[timeout)|(PRM\|1\|D)|(kpr)|(kdp)|(\|lc)|(penalty))" /e /r /s</v>
      </c>
      <c r="AG56" s="1" t="str">
        <f t="shared" si="14"/>
        <v>EC</v>
      </c>
      <c r="AH56" s="86" t="str">
        <f t="shared" si="18"/>
        <v>"%USERPROFILE%\Documents\GitHub\eaglep3\Utilities\RefineRTDCRunTimes.py" --tripid 144-05 --locoid 4039 --swversion DE.1.0.8.0 --startMP 204:233013 --initTime 2017-02-05T09:39:27 --startdatetime 2017-02-05T09:56:18 --delay 1 --endMP 204:150 --enddatetime 2017-02-05T10:36:02 --enforcementcount 0 &gt;&gt;C:\Users\stu\Documents\GitHub\eaglep3-reporting\EC\2017-02-05-refined-times.txt</v>
      </c>
      <c r="AI56" s="108" t="str">
        <f t="shared" si="19"/>
        <v>echo {"issue":{"subject":"","project_id":79,"tracker_id":40,"status_id":1,"priority_id":2,"assigned_to_id":23,"start_date":"2017-02-05","description":"","custom_fields":[{"id":1,"name":"Subdivision","value":"EC"},{"id":4,"name":"Milepost","value":"0.015"},{"id":17,"name":"Train ID","value":"144-05"},{"id":16,"name":"Locomotive ID","value":"4039"},{"id":130,"name":"Impact","value":""},{"id":150,"name":"Time of Event (Mountain Time)","value":"10:36:02"},{"id":151,"name":"Denver Issue ID","value":""},{"id":178,"name":"Operational Impact","value":"Yes"},{"id":179,"name":"Denver Segment Assigned","value":""}]}} | curl -X POST -H "Content-Type: application/json" -H "X-Redmine-API-Key: d6333d4a04012a730768444271f8ca06482dae87" https://secure.xorail.net/redmine/issues.json --data @-</v>
      </c>
      <c r="AJ56" s="48"/>
      <c r="AK56" s="48"/>
      <c r="AL56" s="48"/>
      <c r="AM56" s="158" t="str">
        <f t="shared" si="20"/>
        <v>start /low /b %USERPROFILE%\Documents\GitHub\eaglep3\Utilities\DownloadLogsFromS3.py --loco 4039 --day 2017-02-05</v>
      </c>
      <c r="AN56" s="167" t="str">
        <f>"grep -SE -B400 ""CHR.+\|PRM\|1\|D.+(SWITCH|SIGNAL).+UNKNOWN"" "&amp;search_path&amp;"\RTDC"&amp;B56&amp;"\*"&amp;B56&amp;"*"&amp;TEXT(AVERAGE(F56,I56)-utc_offset/24,"YYYYMMDD")&amp;"* | grep -SE ""(Enforcement Action)|(\[TIMEOUT)|(CHR.+\|PRM\|1\|D.+(SWITCH|SIGNAL).+UNKNOWN)"" - &gt;&gt; "&amp;TEXT(Variables!$A$2,"YYYY-MM-DD")&amp;"-UncaughtWiMAX.txt"</f>
        <v>grep -SE -B400 "CHR.+\|PRM\|1\|D.+(SWITCH|SIGNAL).+UNKNOWN" "%USERPROFILE%\AppData\Local\Temp\OnboardLogs"\RTDC4039\*4039*20170205* | grep -SE "(Enforcement Action)|(\[TIMEOUT)|(CHR.+\|PRM\|1\|D.+(SWITCH|SIGNAL).+UNKNOWN)" - &gt;&gt; 2017-02-05-UncaughtWiMAX.txt</v>
      </c>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 customFormat="1" x14ac:dyDescent="0.25">
      <c r="A57" s="33" t="s">
        <v>593</v>
      </c>
      <c r="B57" s="7">
        <v>4025</v>
      </c>
      <c r="C57" s="21" t="s">
        <v>193</v>
      </c>
      <c r="D57" s="21" t="s">
        <v>290</v>
      </c>
      <c r="E57" s="13">
        <v>42771.382881944446</v>
      </c>
      <c r="F57" s="13">
        <v>42771.385682870372</v>
      </c>
      <c r="G57" s="7">
        <v>1</v>
      </c>
      <c r="H57" s="21" t="s">
        <v>398</v>
      </c>
      <c r="I57" s="13">
        <v>42771.411527777775</v>
      </c>
      <c r="J57" s="7">
        <v>0</v>
      </c>
      <c r="K57" s="98" t="str">
        <f t="shared" si="0"/>
        <v>4025/4026</v>
      </c>
      <c r="L57" s="21" t="str">
        <f>VLOOKUP(A57,'Trips&amp;Operators'!$C$1:$G$99999,5,FALSE)</f>
        <v>MAELZER KURT</v>
      </c>
      <c r="M57" s="6">
        <f t="shared" si="1"/>
        <v>2.5844907402643003E-2</v>
      </c>
      <c r="N57" s="7">
        <f t="shared" si="23"/>
        <v>37.216666659805924</v>
      </c>
      <c r="O57" s="7"/>
      <c r="P57" s="7"/>
      <c r="Q57" s="22"/>
      <c r="R57" s="22"/>
      <c r="S57" s="31">
        <f t="shared" si="3"/>
        <v>1</v>
      </c>
      <c r="T57" s="46" t="str">
        <f t="shared" si="4"/>
        <v>NorthBound</v>
      </c>
      <c r="U57" s="190">
        <f>IF(AG57="EC",COUNTIFS(Variables!$M$2:$M$19,IF(T57="NorthBound","&gt;=","&lt;=")&amp;Y57,Variables!$M$2:$M$19,IF(T57="NorthBound","&lt;=","&gt;=")&amp;Z57),COUNTIFS(Variables!$P$2:$P$19,IF(T57="NorthBound","&gt;=","&lt;=")&amp;Y57,Variables!$P$2:$P$19,IF(T57="NorthBound","&lt;=","&gt;=")&amp;Z57))</f>
        <v>12</v>
      </c>
      <c r="V57" s="191" t="str">
        <f t="shared" si="5"/>
        <v>https://d0f6bd738d7f1b3e5a7ca70fe4ff75f0.us-east-1.aws.found.io/app/kibana#/discover/Steve-Slow-Train-Analysis-(2080s-and-2083s)?_g=(refreshInterval:(display:Off,pause:!f,section:0,value:0),time:(from:'2017-02-05T08:11:21-0700',mode:absolute,to:'2017-02-05T10:52:36-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57" s="192" t="str">
        <f t="shared" si="6"/>
        <v>N</v>
      </c>
      <c r="X57" s="192">
        <f t="shared" si="22"/>
        <v>1</v>
      </c>
      <c r="Y57" s="62">
        <f t="shared" si="24"/>
        <v>4.4600000000000001E-2</v>
      </c>
      <c r="Z57" s="62">
        <f t="shared" si="25"/>
        <v>23.331</v>
      </c>
      <c r="AA57" s="62">
        <f t="shared" si="10"/>
        <v>23.2864</v>
      </c>
      <c r="AB57" s="59" t="e">
        <f>VLOOKUP(A57,Enforcements!$C$7:$K$16,8,0)</f>
        <v>#N/A</v>
      </c>
      <c r="AC57" s="55" t="e">
        <f>VLOOKUP(A57,Enforcements!$C$7:$E$16,3,0)</f>
        <v>#N/A</v>
      </c>
      <c r="AD57" s="56" t="str">
        <f t="shared" si="11"/>
        <v>0145-05</v>
      </c>
      <c r="AE57" s="85" t="str">
        <f t="shared" si="12"/>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57" s="82" t="str">
        <f t="shared" si="13"/>
        <v>"C:\Program Files (x86)\AstroGrep\AstroGrep.exe" /spath="%USERPROFILE%\AppData\Local\Temp\OnboardLogs" /stypes="app*4025*20170205*" /stext=" 16:.+((SYSTEM_STATE.+slice.+state.+changed )|(ment ac)|(multiple cpu faults)|(system.+state.+changed )|(\[timeout)|(PRM\|1\|D)|(kpr)|(kdp)|(\|lc)|(penalty))" /e /r /s</v>
      </c>
      <c r="AG57" s="1" t="str">
        <f t="shared" si="14"/>
        <v>EC</v>
      </c>
      <c r="AH57" s="86" t="str">
        <f t="shared" si="18"/>
        <v>"%USERPROFILE%\Documents\GitHub\eaglep3\Utilities\RefineRTDCRunTimes.py" --tripid 145-05 --locoid 4025 --swversion DE.1.0.8.0 --startMP 204:446 --initTime 2017-02-05T09:11:21 --startdatetime 2017-02-05T09:15:23 --delay 1 --endMP 204:233310 --enddatetime 2017-02-05T09:52:36 --enforcementcount 0 &gt;&gt;C:\Users\stu\Documents\GitHub\eaglep3-reporting\EC\2017-02-05-refined-times.txt</v>
      </c>
      <c r="AI57" s="108" t="str">
        <f t="shared" si="19"/>
        <v>echo {"issue":{"subject":"","project_id":79,"tracker_id":40,"status_id":1,"priority_id":2,"assigned_to_id":23,"start_date":"2017-02-05","description":"","custom_fields":[{"id":1,"name":"Subdivision","value":"EC"},{"id":4,"name":"Milepost","value":"23.331"},{"id":17,"name":"Train ID","value":"145-05"},{"id":16,"name":"Locomotive ID","value":"4025"},{"id":130,"name":"Impact","value":""},{"id":150,"name":"Time of Event (Mountain Time)","value":"09:52:36"},{"id":151,"name":"Denver Issue ID","value":""},{"id":178,"name":"Operational Impact","value":"Yes"},{"id":179,"name":"Denver Segment Assigned","value":""}]}} | curl -X POST -H "Content-Type: application/json" -H "X-Redmine-API-Key: d6333d4a04012a730768444271f8ca06482dae87" https://secure.xorail.net/redmine/issues.json --data @-</v>
      </c>
      <c r="AJ57" s="48"/>
      <c r="AK57" s="48"/>
      <c r="AL57" s="48"/>
      <c r="AM57" s="158" t="str">
        <f t="shared" si="20"/>
        <v>start /low /b %USERPROFILE%\Documents\GitHub\eaglep3\Utilities\DownloadLogsFromS3.py --loco 4025 --day 2017-02-05</v>
      </c>
      <c r="AN57" s="167" t="str">
        <f>"grep -SE -B400 ""CHR.+\|PRM\|1\|D.+(SWITCH|SIGNAL).+UNKNOWN"" "&amp;search_path&amp;"\RTDC"&amp;B57&amp;"\*"&amp;B57&amp;"*"&amp;TEXT(AVERAGE(F57,I57)-utc_offset/24,"YYYYMMDD")&amp;"*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 customFormat="1" x14ac:dyDescent="0.25">
      <c r="A58" s="33" t="s">
        <v>600</v>
      </c>
      <c r="B58" s="7">
        <v>4026</v>
      </c>
      <c r="C58" s="21" t="s">
        <v>193</v>
      </c>
      <c r="D58" s="21" t="s">
        <v>285</v>
      </c>
      <c r="E58" s="13">
        <v>42771.420335648145</v>
      </c>
      <c r="F58" s="13">
        <v>42771.424722222226</v>
      </c>
      <c r="G58" s="7">
        <v>0</v>
      </c>
      <c r="H58" s="21" t="s">
        <v>772</v>
      </c>
      <c r="I58" s="13">
        <v>42771.451226851852</v>
      </c>
      <c r="J58" s="7">
        <v>0</v>
      </c>
      <c r="K58" s="98" t="str">
        <f t="shared" si="0"/>
        <v>4025/4026</v>
      </c>
      <c r="L58" s="21" t="str">
        <f>VLOOKUP(A58,'Trips&amp;Operators'!$C$1:$G$99999,5,FALSE)</f>
        <v>MAELZER KURT</v>
      </c>
      <c r="M58" s="6">
        <f t="shared" si="1"/>
        <v>2.6504629626288079E-2</v>
      </c>
      <c r="N58" s="7">
        <f t="shared" si="23"/>
        <v>38.166666661854833</v>
      </c>
      <c r="O58" s="7"/>
      <c r="P58" s="7"/>
      <c r="Q58" s="22"/>
      <c r="R58" s="22"/>
      <c r="S58" s="31">
        <f t="shared" si="3"/>
        <v>1</v>
      </c>
      <c r="T58" s="46" t="str">
        <f t="shared" si="4"/>
        <v>Southbound</v>
      </c>
      <c r="U58" s="190">
        <f>IF(AG58="EC",COUNTIFS(Variables!$M$2:$M$19,IF(T58="NorthBound","&gt;=","&lt;=")&amp;Y58,Variables!$M$2:$M$19,IF(T58="NorthBound","&lt;=","&gt;=")&amp;Z58),COUNTIFS(Variables!$P$2:$P$19,IF(T58="NorthBound","&gt;=","&lt;=")&amp;Y58,Variables!$P$2:$P$19,IF(T58="NorthBound","&lt;=","&gt;=")&amp;Z58))</f>
        <v>12</v>
      </c>
      <c r="V58" s="191" t="str">
        <f t="shared" si="5"/>
        <v>https://d0f6bd738d7f1b3e5a7ca70fe4ff75f0.us-east-1.aws.found.io/app/kibana#/discover/Steve-Slow-Train-Analysis-(2080s-and-2083s)?_g=(refreshInterval:(display:Off,pause:!f,section:0,value:0),time:(from:'2017-02-05T09:05:17-0700',mode:absolute,to:'2017-02-05T11:49:46-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58" s="192" t="str">
        <f t="shared" si="6"/>
        <v>N</v>
      </c>
      <c r="X58" s="192">
        <f t="shared" si="22"/>
        <v>1</v>
      </c>
      <c r="Y58" s="62">
        <f t="shared" si="24"/>
        <v>23.299399999999999</v>
      </c>
      <c r="Z58" s="62">
        <f t="shared" si="25"/>
        <v>1.34E-2</v>
      </c>
      <c r="AA58" s="62">
        <f t="shared" si="10"/>
        <v>23.285999999999998</v>
      </c>
      <c r="AB58" s="59" t="e">
        <f>VLOOKUP(A58,Enforcements!$C$7:$K$16,8,0)</f>
        <v>#N/A</v>
      </c>
      <c r="AC58" s="55" t="e">
        <f>VLOOKUP(A58,Enforcements!$C$7:$E$16,3,0)</f>
        <v>#N/A</v>
      </c>
      <c r="AD58" s="56" t="str">
        <f t="shared" si="11"/>
        <v>0146-05</v>
      </c>
      <c r="AE58" s="85" t="str">
        <f t="shared" si="12"/>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58" s="82" t="str">
        <f t="shared" si="13"/>
        <v>"C:\Program Files (x86)\AstroGrep\AstroGrep.exe" /spath="%USERPROFILE%\AppData\Local\Temp\OnboardLogs" /stypes="app*4026*20170205*" /stext=" 17:.+((SYSTEM_STATE.+slice.+state.+changed )|(ment ac)|(multiple cpu faults)|(system.+state.+changed )|(\[timeout)|(PRM\|1\|D)|(kpr)|(kdp)|(\|lc)|(penalty))" /e /r /s</v>
      </c>
      <c r="AG58" s="1" t="str">
        <f t="shared" si="14"/>
        <v>EC</v>
      </c>
      <c r="AH58" s="86" t="str">
        <f t="shared" si="18"/>
        <v>"%USERPROFILE%\Documents\GitHub\eaglep3\Utilities\RefineRTDCRunTimes.py" --tripid 146-05 --locoid 4026 --swversion DE.1.0.8.0 --startMP 204:232994 --initTime 2017-02-05T10:05:17 --startdatetime 2017-02-05T10:11:36 --delay 0 --endMP 204:134 --enddatetime 2017-02-05T10:49:46 --enforcementcount 0 &gt;&gt;C:\Users\stu\Documents\GitHub\eaglep3-reporting\EC\2017-02-05-refined-times.txt</v>
      </c>
      <c r="AI58" s="108" t="str">
        <f t="shared" si="19"/>
        <v>echo {"issue":{"subject":"","project_id":79,"tracker_id":40,"status_id":1,"priority_id":2,"assigned_to_id":23,"start_date":"2017-02-05","description":"","custom_fields":[{"id":1,"name":"Subdivision","value":"EC"},{"id":4,"name":"Milepost","value":"0.0134"},{"id":17,"name":"Train ID","value":"146-05"},{"id":16,"name":"Locomotive ID","value":"4026"},{"id":130,"name":"Impact","value":""},{"id":150,"name":"Time of Event (Mountain Time)","value":"10:49:46"},{"id":151,"name":"Denver Issue ID","value":""},{"id":178,"name":"Operational Impact","value":"Yes"},{"id":179,"name":"Denver Segment Assigned","value":""}]}} | curl -X POST -H "Content-Type: application/json" -H "X-Redmine-API-Key: d6333d4a04012a730768444271f8ca06482dae87" https://secure.xorail.net/redmine/issues.json --data @-</v>
      </c>
      <c r="AJ58" s="48"/>
      <c r="AK58" s="48"/>
      <c r="AL58" s="48"/>
      <c r="AM58" s="158" t="str">
        <f t="shared" si="20"/>
        <v>start /low /b %USERPROFILE%\Documents\GitHub\eaglep3\Utilities\DownloadLogsFromS3.py --loco 4026 --day 2017-02-05</v>
      </c>
      <c r="AN58" s="167" t="str">
        <f>"grep -SE -B400 ""CHR.+\|PRM\|1\|D.+(SWITCH|SIGNAL).+UNKNOWN"" "&amp;search_path&amp;"\RTDC"&amp;B58&amp;"\*"&amp;B58&amp;"*"&amp;TEXT(AVERAGE(F58,I58)-utc_offset/24,"YYYYMMDD")&amp;"*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 customFormat="1" x14ac:dyDescent="0.25">
      <c r="A59" s="33" t="s">
        <v>595</v>
      </c>
      <c r="B59" s="7">
        <v>4016</v>
      </c>
      <c r="C59" s="21" t="s">
        <v>193</v>
      </c>
      <c r="D59" s="21" t="s">
        <v>276</v>
      </c>
      <c r="E59" s="13">
        <v>42771.392233796294</v>
      </c>
      <c r="F59" s="13">
        <v>42771.396006944444</v>
      </c>
      <c r="G59" s="7">
        <v>1</v>
      </c>
      <c r="H59" s="21" t="s">
        <v>773</v>
      </c>
      <c r="I59" s="13">
        <v>42771.42114583333</v>
      </c>
      <c r="J59" s="7">
        <v>0</v>
      </c>
      <c r="K59" s="98" t="str">
        <f t="shared" si="0"/>
        <v>4015/4016</v>
      </c>
      <c r="L59" s="21" t="str">
        <f>VLOOKUP(A59,'Trips&amp;Operators'!$C$1:$G$99999,5,FALSE)</f>
        <v>BADERTSCHER DIANE</v>
      </c>
      <c r="M59" s="6">
        <f t="shared" si="1"/>
        <v>2.5138888886431232E-2</v>
      </c>
      <c r="N59" s="7">
        <f t="shared" si="23"/>
        <v>36.199999996460974</v>
      </c>
      <c r="O59" s="7"/>
      <c r="P59" s="7"/>
      <c r="Q59" s="22"/>
      <c r="R59" s="22"/>
      <c r="S59" s="31">
        <f t="shared" si="3"/>
        <v>1</v>
      </c>
      <c r="T59" s="46" t="str">
        <f t="shared" si="4"/>
        <v>NorthBound</v>
      </c>
      <c r="U59" s="190">
        <f>IF(AG59="EC",COUNTIFS(Variables!$M$2:$M$19,IF(T59="NorthBound","&gt;=","&lt;=")&amp;Y59,Variables!$M$2:$M$19,IF(T59="NorthBound","&lt;=","&gt;=")&amp;Z59),COUNTIFS(Variables!$P$2:$P$19,IF(T59="NorthBound","&gt;=","&lt;=")&amp;Y59,Variables!$P$2:$P$19,IF(T59="NorthBound","&lt;=","&gt;=")&amp;Z59))</f>
        <v>12</v>
      </c>
      <c r="V59" s="191" t="str">
        <f t="shared" si="5"/>
        <v>https://d0f6bd738d7f1b3e5a7ca70fe4ff75f0.us-east-1.aws.found.io/app/kibana#/discover/Steve-Slow-Train-Analysis-(2080s-and-2083s)?_g=(refreshInterval:(display:Off,pause:!f,section:0,value:0),time:(from:'2017-02-05T08:24:49-0700',mode:absolute,to:'2017-02-05T11:06:27-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59" s="192" t="str">
        <f t="shared" si="6"/>
        <v>N</v>
      </c>
      <c r="X59" s="192">
        <f t="shared" si="22"/>
        <v>1</v>
      </c>
      <c r="Y59" s="62">
        <f t="shared" si="24"/>
        <v>4.7100000000000003E-2</v>
      </c>
      <c r="Z59" s="62">
        <f t="shared" si="25"/>
        <v>23.332999999999998</v>
      </c>
      <c r="AA59" s="62">
        <f t="shared" si="10"/>
        <v>23.285899999999998</v>
      </c>
      <c r="AB59" s="59" t="e">
        <f>VLOOKUP(A59,Enforcements!$C$7:$K$16,8,0)</f>
        <v>#N/A</v>
      </c>
      <c r="AC59" s="55" t="e">
        <f>VLOOKUP(A59,Enforcements!$C$7:$E$16,3,0)</f>
        <v>#N/A</v>
      </c>
      <c r="AD59" s="56" t="str">
        <f t="shared" si="11"/>
        <v>0147-05</v>
      </c>
      <c r="AE59" s="85" t="str">
        <f t="shared" si="12"/>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59" s="82" t="str">
        <f t="shared" si="13"/>
        <v>"C:\Program Files (x86)\AstroGrep\AstroGrep.exe" /spath="%USERPROFILE%\AppData\Local\Temp\OnboardLogs" /stypes="app*4016*20170205*" /stext=" 17:.+((SYSTEM_STATE.+slice.+state.+changed )|(ment ac)|(multiple cpu faults)|(system.+state.+changed )|(\[timeout)|(PRM\|1\|D)|(kpr)|(kdp)|(\|lc)|(penalty))" /e /r /s</v>
      </c>
      <c r="AG59" s="1" t="str">
        <f t="shared" si="14"/>
        <v>EC</v>
      </c>
      <c r="AH59" s="86" t="str">
        <f t="shared" si="18"/>
        <v>"%USERPROFILE%\Documents\GitHub\eaglep3\Utilities\RefineRTDCRunTimes.py" --tripid 147-05 --locoid 4016 --swversion DE.1.0.8.0 --startMP 204:471 --initTime 2017-02-05T09:24:49 --startdatetime 2017-02-05T09:30:15 --delay 1 --endMP 204:233330 --enddatetime 2017-02-05T10:06:27 --enforcementcount 0 &gt;&gt;C:\Users\stu\Documents\GitHub\eaglep3-reporting\EC\2017-02-05-refined-times.txt</v>
      </c>
      <c r="AI59" s="108" t="str">
        <f t="shared" si="19"/>
        <v>echo {"issue":{"subject":"","project_id":79,"tracker_id":40,"status_id":1,"priority_id":2,"assigned_to_id":23,"start_date":"2017-02-05","description":"","custom_fields":[{"id":1,"name":"Subdivision","value":"EC"},{"id":4,"name":"Milepost","value":"23.333"},{"id":17,"name":"Train ID","value":"147-05"},{"id":16,"name":"Locomotive ID","value":"4016"},{"id":130,"name":"Impact","value":""},{"id":150,"name":"Time of Event (Mountain Time)","value":"10:06:27"},{"id":151,"name":"Denver Issue ID","value":""},{"id":178,"name":"Operational Impact","value":"Yes"},{"id":179,"name":"Denver Segment Assigned","value":""}]}} | curl -X POST -H "Content-Type: application/json" -H "X-Redmine-API-Key: d6333d4a04012a730768444271f8ca06482dae87" https://secure.xorail.net/redmine/issues.json --data @-</v>
      </c>
      <c r="AJ59" s="48"/>
      <c r="AK59" s="48"/>
      <c r="AL59" s="48"/>
      <c r="AM59" s="158" t="str">
        <f t="shared" si="20"/>
        <v>start /low /b %USERPROFILE%\Documents\GitHub\eaglep3\Utilities\DownloadLogsFromS3.py --loco 4016 --day 2017-02-05</v>
      </c>
      <c r="AN59" s="167" t="str">
        <f>"grep -SE -B400 ""CHR.+\|PRM\|1\|D.+(SWITCH|SIGNAL).+UNKNOWN"" "&amp;search_path&amp;"\RTDC"&amp;B59&amp;"\*"&amp;B59&amp;"*"&amp;TEXT(AVERAGE(F59,I59)-utc_offset/24,"YYYYMMDD")&amp;"*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 customFormat="1" x14ac:dyDescent="0.25">
      <c r="A60" s="33" t="s">
        <v>602</v>
      </c>
      <c r="B60" s="7">
        <v>4015</v>
      </c>
      <c r="C60" s="21" t="s">
        <v>193</v>
      </c>
      <c r="D60" s="21" t="s">
        <v>283</v>
      </c>
      <c r="E60" s="13">
        <v>42771.424328703702</v>
      </c>
      <c r="F60" s="13">
        <v>42771.434942129628</v>
      </c>
      <c r="G60" s="7">
        <v>1</v>
      </c>
      <c r="H60" s="21" t="s">
        <v>184</v>
      </c>
      <c r="I60" s="13">
        <v>42771.463171296295</v>
      </c>
      <c r="J60" s="7">
        <v>0</v>
      </c>
      <c r="K60" s="98" t="str">
        <f t="shared" si="0"/>
        <v>4015/4016</v>
      </c>
      <c r="L60" s="21" t="str">
        <f>VLOOKUP(A60,'Trips&amp;Operators'!$C$1:$G$99999,5,FALSE)</f>
        <v>BADERTSCHER DIANE</v>
      </c>
      <c r="M60" s="6">
        <f t="shared" si="1"/>
        <v>2.8229166666278616E-2</v>
      </c>
      <c r="N60" s="7">
        <f t="shared" si="23"/>
        <v>40.649999999441206</v>
      </c>
      <c r="O60" s="7"/>
      <c r="P60" s="7"/>
      <c r="Q60" s="22"/>
      <c r="R60" s="22"/>
      <c r="S60" s="31">
        <f t="shared" si="3"/>
        <v>1</v>
      </c>
      <c r="T60" s="46" t="str">
        <f t="shared" si="4"/>
        <v>Southbound</v>
      </c>
      <c r="U60" s="190">
        <f>IF(AG60="EC",COUNTIFS(Variables!$M$2:$M$19,IF(T60="NorthBound","&gt;=","&lt;=")&amp;Y60,Variables!$M$2:$M$19,IF(T60="NorthBound","&lt;=","&gt;=")&amp;Z60),COUNTIFS(Variables!$P$2:$P$19,IF(T60="NorthBound","&gt;=","&lt;=")&amp;Y60,Variables!$P$2:$P$19,IF(T60="NorthBound","&lt;=","&gt;=")&amp;Z60))</f>
        <v>12</v>
      </c>
      <c r="V60" s="191" t="str">
        <f t="shared" si="5"/>
        <v>https://d0f6bd738d7f1b3e5a7ca70fe4ff75f0.us-east-1.aws.found.io/app/kibana#/discover/Steve-Slow-Train-Analysis-(2080s-and-2083s)?_g=(refreshInterval:(display:Off,pause:!f,section:0,value:0),time:(from:'2017-02-05T09:11:02-0700',mode:absolute,to:'2017-02-05T12:06:58-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60" s="192" t="str">
        <f t="shared" si="6"/>
        <v>N</v>
      </c>
      <c r="X60" s="192">
        <f t="shared" si="22"/>
        <v>1</v>
      </c>
      <c r="Y60" s="62">
        <f t="shared" si="24"/>
        <v>23.298200000000001</v>
      </c>
      <c r="Z60" s="62">
        <f t="shared" si="25"/>
        <v>1.49E-2</v>
      </c>
      <c r="AA60" s="62">
        <f t="shared" si="10"/>
        <v>23.283300000000001</v>
      </c>
      <c r="AB60" s="59" t="e">
        <f>VLOOKUP(A60,Enforcements!$C$7:$K$16,8,0)</f>
        <v>#N/A</v>
      </c>
      <c r="AC60" s="55" t="e">
        <f>VLOOKUP(A60,Enforcements!$C$7:$E$16,3,0)</f>
        <v>#N/A</v>
      </c>
      <c r="AD60" s="56" t="str">
        <f t="shared" si="11"/>
        <v>0148-05</v>
      </c>
      <c r="AE60" s="85" t="str">
        <f t="shared" si="12"/>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60" s="82" t="str">
        <f t="shared" si="13"/>
        <v>"C:\Program Files (x86)\AstroGrep\AstroGrep.exe" /spath="%USERPROFILE%\AppData\Local\Temp\OnboardLogs" /stypes="app*4015*20170205*" /stext=" 18:.+((SYSTEM_STATE.+slice.+state.+changed )|(ment ac)|(multiple cpu faults)|(system.+state.+changed )|(\[timeout)|(PRM\|1\|D)|(kpr)|(kdp)|(\|lc)|(penalty))" /e /r /s</v>
      </c>
      <c r="AG60" s="1" t="str">
        <f t="shared" si="14"/>
        <v>EC</v>
      </c>
      <c r="AH60" s="86" t="str">
        <f t="shared" si="18"/>
        <v>"%USERPROFILE%\Documents\GitHub\eaglep3\Utilities\RefineRTDCRunTimes.py" --tripid 148-05 --locoid 4015 --swversion DE.1.0.8.0 --startMP 204:232982 --initTime 2017-02-05T10:11:02 --startdatetime 2017-02-05T10:26:19 --delay 1 --endMP 204:149 --enddatetime 2017-02-05T11:06:58 --enforcementcount 0 &gt;&gt;C:\Users\stu\Documents\GitHub\eaglep3-reporting\EC\2017-02-05-refined-times.txt</v>
      </c>
      <c r="AI60" s="108" t="str">
        <f t="shared" si="19"/>
        <v>echo {"issue":{"subject":"","project_id":79,"tracker_id":40,"status_id":1,"priority_id":2,"assigned_to_id":23,"start_date":"2017-02-05","description":"","custom_fields":[{"id":1,"name":"Subdivision","value":"EC"},{"id":4,"name":"Milepost","value":"0.0149"},{"id":17,"name":"Train ID","value":"148-05"},{"id":16,"name":"Locomotive ID","value":"4015"},{"id":130,"name":"Impact","value":""},{"id":150,"name":"Time of Event (Mountain Time)","value":"11:06:58"},{"id":151,"name":"Denver Issue ID","value":""},{"id":178,"name":"Operational Impact","value":"Yes"},{"id":179,"name":"Denver Segment Assigned","value":""}]}} | curl -X POST -H "Content-Type: application/json" -H "X-Redmine-API-Key: d6333d4a04012a730768444271f8ca06482dae87" https://secure.xorail.net/redmine/issues.json --data @-</v>
      </c>
      <c r="AJ60" s="48"/>
      <c r="AK60" s="48"/>
      <c r="AL60" s="48"/>
      <c r="AM60" s="158" t="str">
        <f t="shared" si="20"/>
        <v>start /low /b %USERPROFILE%\Documents\GitHub\eaglep3\Utilities\DownloadLogsFromS3.py --loco 4015 --day 2017-02-05</v>
      </c>
      <c r="AN60" s="167" t="str">
        <f>"grep -SE -B400 ""CHR.+\|PRM\|1\|D.+(SWITCH|SIGNAL).+UNKNOWN"" "&amp;search_path&amp;"\RTDC"&amp;B60&amp;"\*"&amp;B60&amp;"*"&amp;TEXT(AVERAGE(F60,I60)-utc_offset/24,"YYYYMMDD")&amp;"* | grep -SE ""(Enforcement Action)|(\[TIMEOUT)|(CHR.+\|PRM\|1\|D.+(SWITCH|SIGNAL).+UNKNOWN)"" - &gt;&gt; "&amp;TEXT(Variables!$A$2,"YYYY-MM-DD")&amp;"-UncaughtWiMAX.txt"</f>
        <v>grep -SE -B400 "CHR.+\|PRM\|1\|D.+(SWITCH|SIGNAL).+UNKNOWN" "%USERPROFILE%\AppData\Local\Temp\OnboardLogs"\RTDC4015\*4015*20170205* | grep -SE "(Enforcement Action)|(\[TIMEOUT)|(CHR.+\|PRM\|1\|D.+(SWITCH|SIGNAL).+UNKNOWN)" - &gt;&gt; 2017-02-05-UncaughtWiMAX.txt</v>
      </c>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 customFormat="1" x14ac:dyDescent="0.25">
      <c r="A61" s="33" t="s">
        <v>505</v>
      </c>
      <c r="B61" s="7">
        <v>4022</v>
      </c>
      <c r="C61" s="21" t="s">
        <v>193</v>
      </c>
      <c r="D61" s="21" t="s">
        <v>406</v>
      </c>
      <c r="E61" s="13">
        <v>42771.401296296295</v>
      </c>
      <c r="F61" s="13">
        <v>42771.406400462962</v>
      </c>
      <c r="G61" s="7">
        <v>1</v>
      </c>
      <c r="H61" s="21" t="s">
        <v>331</v>
      </c>
      <c r="I61" s="13">
        <v>42771.433020833334</v>
      </c>
      <c r="J61" s="7">
        <v>0</v>
      </c>
      <c r="K61" s="98" t="str">
        <f t="shared" si="0"/>
        <v>4021/4022</v>
      </c>
      <c r="L61" s="21" t="str">
        <f>VLOOKUP(A61,'Trips&amp;Operators'!$C$1:$G$99999,5,FALSE)</f>
        <v>DAVIS WENDY</v>
      </c>
      <c r="M61" s="6">
        <f t="shared" si="1"/>
        <v>2.662037037225673E-2</v>
      </c>
      <c r="N61" s="7">
        <f t="shared" si="23"/>
        <v>38.333333336049691</v>
      </c>
      <c r="O61" s="7"/>
      <c r="P61" s="7"/>
      <c r="Q61" s="22"/>
      <c r="R61" s="22"/>
      <c r="S61" s="31">
        <f t="shared" si="3"/>
        <v>1</v>
      </c>
      <c r="T61" s="46" t="str">
        <f t="shared" si="4"/>
        <v>NorthBound</v>
      </c>
      <c r="U61" s="190">
        <f>IF(AG61="EC",COUNTIFS(Variables!$M$2:$M$19,IF(T61="NorthBound","&gt;=","&lt;=")&amp;Y61,Variables!$M$2:$M$19,IF(T61="NorthBound","&lt;=","&gt;=")&amp;Z61),COUNTIFS(Variables!$P$2:$P$19,IF(T61="NorthBound","&gt;=","&lt;=")&amp;Y61,Variables!$P$2:$P$19,IF(T61="NorthBound","&lt;=","&gt;=")&amp;Z61))</f>
        <v>12</v>
      </c>
      <c r="V61" s="191" t="str">
        <f t="shared" si="5"/>
        <v>https://d0f6bd738d7f1b3e5a7ca70fe4ff75f0.us-east-1.aws.found.io/app/kibana#/discover/Steve-Slow-Train-Analysis-(2080s-and-2083s)?_g=(refreshInterval:(display:Off,pause:!f,section:0,value:0),time:(from:'2017-02-05T08:37:52-0700',mode:absolute,to:'2017-02-05T11:23: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61" s="192" t="str">
        <f t="shared" si="6"/>
        <v>N</v>
      </c>
      <c r="X61" s="192">
        <f t="shared" si="22"/>
        <v>1</v>
      </c>
      <c r="Y61" s="62">
        <f t="shared" si="24"/>
        <v>4.6600000000000003E-2</v>
      </c>
      <c r="Z61" s="62">
        <f t="shared" si="25"/>
        <v>23.3306</v>
      </c>
      <c r="AA61" s="62">
        <f t="shared" si="10"/>
        <v>23.283999999999999</v>
      </c>
      <c r="AB61" s="59" t="str">
        <f>VLOOKUP(A61,Enforcements!$C$7:$K$16,8,0)</f>
        <v>Speed (6)</v>
      </c>
      <c r="AC61" s="55" t="str">
        <f>VLOOKUP(A61,Enforcements!$C$7:$E$16,3,0)</f>
        <v>PERMANENT SPEED RESTRICTION</v>
      </c>
      <c r="AD61" s="56" t="str">
        <f t="shared" si="11"/>
        <v>0149-05</v>
      </c>
      <c r="AE61" s="85" t="str">
        <f t="shared" si="12"/>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61" s="82" t="str">
        <f t="shared" si="13"/>
        <v>"C:\Program Files (x86)\AstroGrep\AstroGrep.exe" /spath="%USERPROFILE%\AppData\Local\Temp\OnboardLogs" /stypes="app*4022*20170205*" /stext=" 17:.+((SYSTEM_STATE.+slice.+state.+changed )|(ment ac)|(multiple cpu faults)|(system.+state.+changed )|(\[timeout)|(PRM\|1\|D)|(kpr)|(kdp)|(\|lc)|(penalty))" /e /r /s</v>
      </c>
      <c r="AG61" s="1" t="str">
        <f t="shared" si="14"/>
        <v>EC</v>
      </c>
      <c r="AH61" s="86" t="str">
        <f t="shared" si="18"/>
        <v>"%USERPROFILE%\Documents\GitHub\eaglep3\Utilities\RefineRTDCRunTimes.py" --tripid 149-05 --locoid 4022 --swversion DE.1.0.8.0 --startMP 204:466 --initTime 2017-02-05T09:37:52 --startdatetime 2017-02-05T09:45:13 --delay 1 --endMP 204:233306 --enddatetime 2017-02-05T10:23:33 --enforcementcount 0 &gt;&gt;C:\Users\stu\Documents\GitHub\eaglep3-reporting\EC\2017-02-05-refined-times.txt</v>
      </c>
      <c r="AI61" s="108" t="str">
        <f t="shared" si="19"/>
        <v>echo {"issue":{"subject":"","project_id":79,"tracker_id":40,"status_id":1,"priority_id":2,"assigned_to_id":23,"start_date":"2017-02-05","description":"","custom_fields":[{"id":1,"name":"Subdivision","value":"EC"},{"id":4,"name":"Milepost","value":"23.3306"},{"id":17,"name":"Train ID","value":"149-05"},{"id":16,"name":"Locomotive ID","value":"4022"},{"id":130,"name":"Impact","value":""},{"id":150,"name":"Time of Event (Mountain Time)","value":"10:23:33"},{"id":151,"name":"Denver Issue ID","value":""},{"id":178,"name":"Operational Impact","value":"Yes"},{"id":179,"name":"Denver Segment Assigned","value":""}]}} | curl -X POST -H "Content-Type: application/json" -H "X-Redmine-API-Key: d6333d4a04012a730768444271f8ca06482dae87" https://secure.xorail.net/redmine/issues.json --data @-</v>
      </c>
      <c r="AJ61" s="48"/>
      <c r="AK61" s="48"/>
      <c r="AL61" s="48"/>
      <c r="AM61" s="158" t="str">
        <f t="shared" si="20"/>
        <v>start /low /b %USERPROFILE%\Documents\GitHub\eaglep3\Utilities\DownloadLogsFromS3.py --loco 4022 --day 2017-02-05</v>
      </c>
      <c r="AN61" s="167" t="str">
        <f>"grep -SE -B400 ""CHR.+\|PRM\|1\|D.+(SWITCH|SIGNAL).+UNKNOWN"" "&amp;search_path&amp;"\RTDC"&amp;B61&amp;"\*"&amp;B61&amp;"*"&amp;TEXT(AVERAGE(F61,I61)-utc_offset/24,"YYYYMMDD")&amp;"*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 customFormat="1" x14ac:dyDescent="0.25">
      <c r="A62" s="33" t="s">
        <v>607</v>
      </c>
      <c r="B62" s="7">
        <v>4021</v>
      </c>
      <c r="C62" s="21" t="s">
        <v>193</v>
      </c>
      <c r="D62" s="21" t="s">
        <v>759</v>
      </c>
      <c r="E62" s="13">
        <v>42771.443368055552</v>
      </c>
      <c r="F62" s="13">
        <v>42771.445300925923</v>
      </c>
      <c r="G62" s="7">
        <v>0</v>
      </c>
      <c r="H62" s="21" t="s">
        <v>212</v>
      </c>
      <c r="I62" s="13">
        <v>42771.472534722219</v>
      </c>
      <c r="J62" s="7">
        <v>0</v>
      </c>
      <c r="K62" s="98" t="str">
        <f t="shared" si="0"/>
        <v>4021/4022</v>
      </c>
      <c r="L62" s="21" t="str">
        <f>VLOOKUP(A62,'Trips&amp;Operators'!$C$1:$G$99999,5,FALSE)</f>
        <v>DAVIS WENDY</v>
      </c>
      <c r="M62" s="6">
        <f t="shared" si="1"/>
        <v>2.7233796296059154E-2</v>
      </c>
      <c r="N62" s="7">
        <f t="shared" si="23"/>
        <v>39.216666666325182</v>
      </c>
      <c r="O62" s="7"/>
      <c r="P62" s="7"/>
      <c r="Q62" s="22"/>
      <c r="R62" s="22"/>
      <c r="S62" s="31">
        <f t="shared" si="3"/>
        <v>1</v>
      </c>
      <c r="T62" s="46" t="str">
        <f t="shared" si="4"/>
        <v>Southbound</v>
      </c>
      <c r="U62" s="190">
        <f>IF(AG62="EC",COUNTIFS(Variables!$M$2:$M$19,IF(T62="NorthBound","&gt;=","&lt;=")&amp;Y62,Variables!$M$2:$M$19,IF(T62="NorthBound","&lt;=","&gt;=")&amp;Z62),COUNTIFS(Variables!$P$2:$P$19,IF(T62="NorthBound","&gt;=","&lt;=")&amp;Y62,Variables!$P$2:$P$19,IF(T62="NorthBound","&lt;=","&gt;=")&amp;Z62))</f>
        <v>12</v>
      </c>
      <c r="V62" s="191" t="str">
        <f t="shared" si="5"/>
        <v>https://d0f6bd738d7f1b3e5a7ca70fe4ff75f0.us-east-1.aws.found.io/app/kibana#/discover/Steve-Slow-Train-Analysis-(2080s-and-2083s)?_g=(refreshInterval:(display:Off,pause:!f,section:0,value:0),time:(from:'2017-02-05T09:38:27-0700',mode:absolute,to:'2017-02-05T12:20:27-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62" s="192" t="str">
        <f t="shared" si="6"/>
        <v>N</v>
      </c>
      <c r="X62" s="192">
        <f t="shared" si="22"/>
        <v>1</v>
      </c>
      <c r="Y62" s="62">
        <f t="shared" si="24"/>
        <v>23.301100000000002</v>
      </c>
      <c r="Z62" s="62">
        <f t="shared" si="25"/>
        <v>1.52E-2</v>
      </c>
      <c r="AA62" s="62">
        <f t="shared" si="10"/>
        <v>23.285900000000002</v>
      </c>
      <c r="AB62" s="59" t="e">
        <f>VLOOKUP(A62,Enforcements!$C$7:$K$16,8,0)</f>
        <v>#N/A</v>
      </c>
      <c r="AC62" s="55" t="e">
        <f>VLOOKUP(A62,Enforcements!$C$7:$E$16,3,0)</f>
        <v>#N/A</v>
      </c>
      <c r="AD62" s="56" t="str">
        <f t="shared" si="11"/>
        <v>0150-05</v>
      </c>
      <c r="AE62" s="85" t="str">
        <f t="shared" si="12"/>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62" s="82" t="str">
        <f t="shared" si="13"/>
        <v>"C:\Program Files (x86)\AstroGrep\AstroGrep.exe" /spath="%USERPROFILE%\AppData\Local\Temp\OnboardLogs" /stypes="app*4021*20170205*" /stext=" 18:.+((SYSTEM_STATE.+slice.+state.+changed )|(ment ac)|(multiple cpu faults)|(system.+state.+changed )|(\[timeout)|(PRM\|1\|D)|(kpr)|(kdp)|(\|lc)|(penalty))" /e /r /s</v>
      </c>
      <c r="AG62" s="1" t="str">
        <f t="shared" si="14"/>
        <v>EC</v>
      </c>
      <c r="AH62" s="86" t="str">
        <f t="shared" si="18"/>
        <v>"%USERPROFILE%\Documents\GitHub\eaglep3\Utilities\RefineRTDCRunTimes.py" --tripid 150-05 --locoid 4021 --swversion DE.1.0.8.0 --startMP 204:233011 --initTime 2017-02-05T10:38:27 --startdatetime 2017-02-05T10:41:14 --delay 0 --endMP 204:152 --enddatetime 2017-02-05T11:20:27 --enforcementcount 0 &gt;&gt;C:\Users\stu\Documents\GitHub\eaglep3-reporting\EC\2017-02-05-refined-times.txt</v>
      </c>
      <c r="AI62" s="108" t="str">
        <f t="shared" si="19"/>
        <v>echo {"issue":{"subject":"","project_id":79,"tracker_id":40,"status_id":1,"priority_id":2,"assigned_to_id":23,"start_date":"2017-02-05","description":"","custom_fields":[{"id":1,"name":"Subdivision","value":"EC"},{"id":4,"name":"Milepost","value":"0.0152"},{"id":17,"name":"Train ID","value":"150-05"},{"id":16,"name":"Locomotive ID","value":"4021"},{"id":130,"name":"Impact","value":""},{"id":150,"name":"Time of Event (Mountain Time)","value":"11:20:27"},{"id":151,"name":"Denver Issue ID","value":""},{"id":178,"name":"Operational Impact","value":"Yes"},{"id":179,"name":"Denver Segment Assigned","value":""}]}} | curl -X POST -H "Content-Type: application/json" -H "X-Redmine-API-Key: d6333d4a04012a730768444271f8ca06482dae87" https://secure.xorail.net/redmine/issues.json --data @-</v>
      </c>
      <c r="AJ62" s="48"/>
      <c r="AK62" s="48"/>
      <c r="AL62" s="48"/>
      <c r="AM62" s="158" t="str">
        <f t="shared" si="20"/>
        <v>start /low /b %USERPROFILE%\Documents\GitHub\eaglep3\Utilities\DownloadLogsFromS3.py --loco 4021 --day 2017-02-05</v>
      </c>
      <c r="AN62" s="167" t="str">
        <f>"grep -SE -B400 ""CHR.+\|PRM\|1\|D.+(SWITCH|SIGNAL).+UNKNOWN"" "&amp;search_path&amp;"\RTDC"&amp;B62&amp;"\*"&amp;B62&amp;"*"&amp;TEXT(AVERAGE(F62,I62)-utc_offset/24,"YYYYMMDD")&amp;"*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 customFormat="1" x14ac:dyDescent="0.25">
      <c r="A63" s="33" t="s">
        <v>506</v>
      </c>
      <c r="B63" s="7">
        <v>4002</v>
      </c>
      <c r="C63" s="21" t="s">
        <v>193</v>
      </c>
      <c r="D63" s="21" t="s">
        <v>774</v>
      </c>
      <c r="E63" s="13">
        <v>42771.41128472222</v>
      </c>
      <c r="F63" s="13">
        <v>42771.416817129626</v>
      </c>
      <c r="G63" s="7">
        <v>1</v>
      </c>
      <c r="H63" s="21" t="s">
        <v>773</v>
      </c>
      <c r="I63" s="13">
        <v>42771.442557870374</v>
      </c>
      <c r="J63" s="7">
        <v>0</v>
      </c>
      <c r="K63" s="98" t="str">
        <f t="shared" si="0"/>
        <v>4001/4002</v>
      </c>
      <c r="L63" s="21" t="str">
        <f>VLOOKUP(A63,'Trips&amp;Operators'!$C$1:$G$99999,5,FALSE)</f>
        <v>BERLING GARY</v>
      </c>
      <c r="M63" s="6">
        <f t="shared" si="1"/>
        <v>2.5740740748005919E-2</v>
      </c>
      <c r="N63" s="7">
        <f t="shared" si="23"/>
        <v>37.066666677128524</v>
      </c>
      <c r="O63" s="7"/>
      <c r="P63" s="7"/>
      <c r="Q63" s="22"/>
      <c r="R63" s="22"/>
      <c r="S63" s="31">
        <f t="shared" si="3"/>
        <v>1</v>
      </c>
      <c r="T63" s="46" t="str">
        <f t="shared" si="4"/>
        <v>NorthBound</v>
      </c>
      <c r="U63" s="190">
        <f>IF(AG63="EC",COUNTIFS(Variables!$M$2:$M$19,IF(T63="NorthBound","&gt;=","&lt;=")&amp;Y63,Variables!$M$2:$M$19,IF(T63="NorthBound","&lt;=","&gt;=")&amp;Z63),COUNTIFS(Variables!$P$2:$P$19,IF(T63="NorthBound","&gt;=","&lt;=")&amp;Y63,Variables!$P$2:$P$19,IF(T63="NorthBound","&lt;=","&gt;=")&amp;Z63))</f>
        <v>12</v>
      </c>
      <c r="V63" s="191" t="str">
        <f t="shared" si="5"/>
        <v>https://d0f6bd738d7f1b3e5a7ca70fe4ff75f0.us-east-1.aws.found.io/app/kibana#/discover/Steve-Slow-Train-Analysis-(2080s-and-2083s)?_g=(refreshInterval:(display:Off,pause:!f,section:0,value:0),time:(from:'2017-02-05T08:52:15-0700',mode:absolute,to:'2017-02-05T11:37:17-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63" s="192" t="str">
        <f t="shared" si="6"/>
        <v>N</v>
      </c>
      <c r="X63" s="192">
        <f t="shared" si="22"/>
        <v>1</v>
      </c>
      <c r="Y63" s="62">
        <f t="shared" si="24"/>
        <v>4.2900000000000001E-2</v>
      </c>
      <c r="Z63" s="62">
        <f t="shared" si="25"/>
        <v>23.332999999999998</v>
      </c>
      <c r="AA63" s="62">
        <f t="shared" si="10"/>
        <v>23.290099999999999</v>
      </c>
      <c r="AB63" s="59" t="str">
        <f>VLOOKUP(A63,Enforcements!$C$7:$K$16,8,0)</f>
        <v>Signal based authority (5)</v>
      </c>
      <c r="AC63" s="55" t="str">
        <f>VLOOKUP(A63,Enforcements!$C$7:$E$16,3,0)</f>
        <v>SIGNAL</v>
      </c>
      <c r="AD63" s="56" t="str">
        <f t="shared" si="11"/>
        <v>0151-05</v>
      </c>
      <c r="AE63" s="85" t="str">
        <f t="shared" si="12"/>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63" s="82" t="str">
        <f t="shared" si="13"/>
        <v>"C:\Program Files (x86)\AstroGrep\AstroGrep.exe" /spath="%USERPROFILE%\AppData\Local\Temp\OnboardLogs" /stypes="app*4002*20170205*" /stext=" 17:.+((SYSTEM_STATE.+slice.+state.+changed )|(ment ac)|(multiple cpu faults)|(system.+state.+changed )|(\[timeout)|(PRM\|1\|D)|(kpr)|(kdp)|(\|lc)|(penalty))" /e /r /s</v>
      </c>
      <c r="AG63" s="1" t="str">
        <f t="shared" si="14"/>
        <v>EC</v>
      </c>
      <c r="AH63" s="86" t="str">
        <f t="shared" si="18"/>
        <v>"%USERPROFILE%\Documents\GitHub\eaglep3\Utilities\RefineRTDCRunTimes.py" --tripid 151-05 --locoid 4002 --swversion DE.1.0.8.0 --startMP 204:429 --initTime 2017-02-05T09:52:15 --startdatetime 2017-02-05T10:00:13 --delay 1 --endMP 204:233330 --enddatetime 2017-02-05T10:37:17 --enforcementcount 0 &gt;&gt;C:\Users\stu\Documents\GitHub\eaglep3-reporting\EC\2017-02-05-refined-times.txt</v>
      </c>
      <c r="AI63" s="108" t="str">
        <f t="shared" si="19"/>
        <v>echo {"issue":{"subject":"","project_id":79,"tracker_id":40,"status_id":1,"priority_id":2,"assigned_to_id":23,"start_date":"2017-02-05","description":"","custom_fields":[{"id":1,"name":"Subdivision","value":"EC"},{"id":4,"name":"Milepost","value":"23.333"},{"id":17,"name":"Train ID","value":"151-05"},{"id":16,"name":"Locomotive ID","value":"4002"},{"id":130,"name":"Impact","value":""},{"id":150,"name":"Time of Event (Mountain Time)","value":"10:37:17"},{"id":151,"name":"Denver Issue ID","value":""},{"id":178,"name":"Operational Impact","value":"Yes"},{"id":179,"name":"Denver Segment Assigned","value":""}]}} | curl -X POST -H "Content-Type: application/json" -H "X-Redmine-API-Key: d6333d4a04012a730768444271f8ca06482dae87" https://secure.xorail.net/redmine/issues.json --data @-</v>
      </c>
      <c r="AJ63" s="48"/>
      <c r="AK63" s="48"/>
      <c r="AL63" s="48"/>
      <c r="AM63" s="158" t="str">
        <f t="shared" si="20"/>
        <v>start /low /b %USERPROFILE%\Documents\GitHub\eaglep3\Utilities\DownloadLogsFromS3.py --loco 4002 --day 2017-02-05</v>
      </c>
      <c r="AN63" s="167" t="str">
        <f>"grep -SE -B400 ""CHR.+\|PRM\|1\|D.+(SWITCH|SIGNAL).+UNKNOWN"" "&amp;search_path&amp;"\RTDC"&amp;B63&amp;"\*"&amp;B63&amp;"*"&amp;TEXT(AVERAGE(F63,I63)-utc_offset/24,"YYYYMMDD")&amp;"*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 customFormat="1" x14ac:dyDescent="0.25">
      <c r="A64" s="33" t="s">
        <v>609</v>
      </c>
      <c r="B64" s="7">
        <v>4001</v>
      </c>
      <c r="C64" s="21" t="s">
        <v>193</v>
      </c>
      <c r="D64" s="21" t="s">
        <v>775</v>
      </c>
      <c r="E64" s="13">
        <v>42771.451307870368</v>
      </c>
      <c r="F64" s="13">
        <v>42771.455729166664</v>
      </c>
      <c r="G64" s="7">
        <v>1</v>
      </c>
      <c r="H64" s="21" t="s">
        <v>351</v>
      </c>
      <c r="I64" s="13">
        <v>42771.482523148145</v>
      </c>
      <c r="J64" s="7">
        <v>0</v>
      </c>
      <c r="K64" s="98" t="str">
        <f t="shared" si="0"/>
        <v>4001/4002</v>
      </c>
      <c r="L64" s="21" t="str">
        <f>VLOOKUP(A64,'Trips&amp;Operators'!$C$1:$G$99999,5,FALSE)</f>
        <v>BERLING GARY</v>
      </c>
      <c r="M64" s="6">
        <f t="shared" si="1"/>
        <v>2.679398148029577E-2</v>
      </c>
      <c r="N64" s="7">
        <f t="shared" si="23"/>
        <v>38.583333331625909</v>
      </c>
      <c r="O64" s="7"/>
      <c r="P64" s="7"/>
      <c r="Q64" s="22"/>
      <c r="R64" s="22"/>
      <c r="S64" s="31">
        <f t="shared" si="3"/>
        <v>1</v>
      </c>
      <c r="T64" s="46" t="str">
        <f t="shared" si="4"/>
        <v>Southbound</v>
      </c>
      <c r="U64" s="190">
        <f>IF(AG64="EC",COUNTIFS(Variables!$M$2:$M$19,IF(T64="NorthBound","&gt;=","&lt;=")&amp;Y64,Variables!$M$2:$M$19,IF(T64="NorthBound","&lt;=","&gt;=")&amp;Z64),COUNTIFS(Variables!$P$2:$P$19,IF(T64="NorthBound","&gt;=","&lt;=")&amp;Y64,Variables!$P$2:$P$19,IF(T64="NorthBound","&lt;=","&gt;=")&amp;Z64))</f>
        <v>12</v>
      </c>
      <c r="V64" s="191" t="str">
        <f t="shared" si="5"/>
        <v>https://d0f6bd738d7f1b3e5a7ca70fe4ff75f0.us-east-1.aws.found.io/app/kibana#/discover/Steve-Slow-Train-Analysis-(2080s-and-2083s)?_g=(refreshInterval:(display:Off,pause:!f,section:0,value:0),time:(from:'2017-02-05T09:49:53-0700',mode:absolute,to:'2017-02-05T12:34:50-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64" s="192" t="str">
        <f t="shared" si="6"/>
        <v>N</v>
      </c>
      <c r="X64" s="192">
        <f t="shared" ref="X64:X95" si="26">VALUE(LEFT(AD64,4))-VALUE(LEFT(AD63,4))</f>
        <v>1</v>
      </c>
      <c r="Y64" s="62">
        <f t="shared" si="24"/>
        <v>23.3001</v>
      </c>
      <c r="Z64" s="62">
        <f t="shared" si="25"/>
        <v>1.29E-2</v>
      </c>
      <c r="AA64" s="62">
        <f t="shared" si="10"/>
        <v>23.287200000000002</v>
      </c>
      <c r="AB64" s="59" t="e">
        <f>VLOOKUP(A64,Enforcements!$C$7:$K$16,8,0)</f>
        <v>#N/A</v>
      </c>
      <c r="AC64" s="55" t="e">
        <f>VLOOKUP(A64,Enforcements!$C$7:$E$16,3,0)</f>
        <v>#N/A</v>
      </c>
      <c r="AD64" s="56" t="str">
        <f t="shared" si="11"/>
        <v>0152-05</v>
      </c>
      <c r="AE64" s="85" t="str">
        <f t="shared" si="12"/>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64" s="82" t="str">
        <f t="shared" si="13"/>
        <v>"C:\Program Files (x86)\AstroGrep\AstroGrep.exe" /spath="%USERPROFILE%\AppData\Local\Temp\OnboardLogs" /stypes="app*4001*20170205*" /stext=" 18:.+((SYSTEM_STATE.+slice.+state.+changed )|(ment ac)|(multiple cpu faults)|(system.+state.+changed )|(\[timeout)|(PRM\|1\|D)|(kpr)|(kdp)|(\|lc)|(penalty))" /e /r /s</v>
      </c>
      <c r="AG64" s="1" t="str">
        <f t="shared" si="14"/>
        <v>EC</v>
      </c>
      <c r="AH64" s="86" t="str">
        <f t="shared" si="18"/>
        <v>"%USERPROFILE%\Documents\GitHub\eaglep3\Utilities\RefineRTDCRunTimes.py" --tripid 152-05 --locoid 4001 --swversion DE.1.0.8.0 --startMP 204:233001 --initTime 2017-02-05T10:49:53 --startdatetime 2017-02-05T10:56:15 --delay 1 --endMP 204:129 --enddatetime 2017-02-05T11:34:50 --enforcementcount 0 &gt;&gt;C:\Users\stu\Documents\GitHub\eaglep3-reporting\EC\2017-02-05-refined-times.txt</v>
      </c>
      <c r="AI64" s="108" t="str">
        <f t="shared" si="19"/>
        <v>echo {"issue":{"subject":"","project_id":79,"tracker_id":40,"status_id":1,"priority_id":2,"assigned_to_id":23,"start_date":"2017-02-05","description":"","custom_fields":[{"id":1,"name":"Subdivision","value":"EC"},{"id":4,"name":"Milepost","value":"0.0129"},{"id":17,"name":"Train ID","value":"152-05"},{"id":16,"name":"Locomotive ID","value":"4001"},{"id":130,"name":"Impact","value":""},{"id":150,"name":"Time of Event (Mountain Time)","value":"11:34:50"},{"id":151,"name":"Denver Issue ID","value":""},{"id":178,"name":"Operational Impact","value":"Yes"},{"id":179,"name":"Denver Segment Assigned","value":""}]}} | curl -X POST -H "Content-Type: application/json" -H "X-Redmine-API-Key: d6333d4a04012a730768444271f8ca06482dae87" https://secure.xorail.net/redmine/issues.json --data @-</v>
      </c>
      <c r="AJ64" s="48"/>
      <c r="AK64" s="48"/>
      <c r="AL64" s="48"/>
      <c r="AM64" s="158" t="str">
        <f t="shared" si="20"/>
        <v>start /low /b %USERPROFILE%\Documents\GitHub\eaglep3\Utilities\DownloadLogsFromS3.py --loco 4001 --day 2017-02-05</v>
      </c>
      <c r="AN64" s="167" t="str">
        <f>"grep -SE -B400 ""CHR.+\|PRM\|1\|D.+(SWITCH|SIGNAL).+UNKNOWN"" "&amp;search_path&amp;"\RTDC"&amp;B64&amp;"\*"&amp;B64&amp;"*"&amp;TEXT(AVERAGE(F64,I64)-utc_offset/24,"YYYYMMDD")&amp;"*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 customFormat="1" x14ac:dyDescent="0.25">
      <c r="A65" s="33" t="s">
        <v>601</v>
      </c>
      <c r="B65" s="7">
        <v>4031</v>
      </c>
      <c r="C65" s="21" t="s">
        <v>193</v>
      </c>
      <c r="D65" s="21" t="s">
        <v>240</v>
      </c>
      <c r="E65" s="13">
        <v>42771.422268518516</v>
      </c>
      <c r="F65" s="13">
        <v>42771.427256944444</v>
      </c>
      <c r="G65" s="7">
        <v>1</v>
      </c>
      <c r="H65" s="21" t="s">
        <v>306</v>
      </c>
      <c r="I65" s="13">
        <v>42771.452592592592</v>
      </c>
      <c r="J65" s="7">
        <v>0</v>
      </c>
      <c r="K65" s="98" t="str">
        <f t="shared" si="0"/>
        <v>4031/4032</v>
      </c>
      <c r="L65" s="21" t="str">
        <f>VLOOKUP(A65,'Trips&amp;Operators'!$C$1:$G$99999,5,FALSE)</f>
        <v>GEBRETEKLE DAGNEW</v>
      </c>
      <c r="M65" s="6">
        <f t="shared" si="1"/>
        <v>2.5335648148029577E-2</v>
      </c>
      <c r="N65" s="7">
        <f t="shared" si="23"/>
        <v>36.483333333162591</v>
      </c>
      <c r="O65" s="7"/>
      <c r="P65" s="7"/>
      <c r="Q65" s="22"/>
      <c r="R65" s="22"/>
      <c r="S65" s="31">
        <f t="shared" si="3"/>
        <v>1</v>
      </c>
      <c r="T65" s="46" t="str">
        <f t="shared" si="4"/>
        <v>NorthBound</v>
      </c>
      <c r="U65" s="190">
        <f>IF(AG65="EC",COUNTIFS(Variables!$M$2:$M$19,IF(T65="NorthBound","&gt;=","&lt;=")&amp;Y65,Variables!$M$2:$M$19,IF(T65="NorthBound","&lt;=","&gt;=")&amp;Z65),COUNTIFS(Variables!$P$2:$P$19,IF(T65="NorthBound","&gt;=","&lt;=")&amp;Y65,Variables!$P$2:$P$19,IF(T65="NorthBound","&lt;=","&gt;=")&amp;Z65))</f>
        <v>12</v>
      </c>
      <c r="V65" s="191" t="str">
        <f t="shared" si="5"/>
        <v>https://d0f6bd738d7f1b3e5a7ca70fe4ff75f0.us-east-1.aws.found.io/app/kibana#/discover/Steve-Slow-Train-Analysis-(2080s-and-2083s)?_g=(refreshInterval:(display:Off,pause:!f,section:0,value:0),time:(from:'2017-02-05T09:08:04-0700',mode:absolute,to:'2017-02-05T11:51:44-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65" s="192" t="str">
        <f t="shared" si="6"/>
        <v>N</v>
      </c>
      <c r="X65" s="192">
        <f t="shared" si="26"/>
        <v>1</v>
      </c>
      <c r="Y65" s="62">
        <f t="shared" si="24"/>
        <v>4.5100000000000001E-2</v>
      </c>
      <c r="Z65" s="62">
        <f t="shared" si="25"/>
        <v>23.3308</v>
      </c>
      <c r="AA65" s="62">
        <f t="shared" si="10"/>
        <v>23.285699999999999</v>
      </c>
      <c r="AB65" s="59" t="e">
        <f>VLOOKUP(A65,Enforcements!$C$7:$K$16,8,0)</f>
        <v>#N/A</v>
      </c>
      <c r="AC65" s="55" t="e">
        <f>VLOOKUP(A65,Enforcements!$C$7:$E$16,3,0)</f>
        <v>#N/A</v>
      </c>
      <c r="AD65" s="56" t="str">
        <f t="shared" si="11"/>
        <v>0153-05</v>
      </c>
      <c r="AE65" s="85" t="str">
        <f t="shared" si="12"/>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65" s="82" t="str">
        <f t="shared" si="13"/>
        <v>"C:\Program Files (x86)\AstroGrep\AstroGrep.exe" /spath="%USERPROFILE%\AppData\Local\Temp\OnboardLogs" /stypes="app*4031*20170205*" /stext=" 17:.+((SYSTEM_STATE.+slice.+state.+changed )|(ment ac)|(multiple cpu faults)|(system.+state.+changed )|(\[timeout)|(PRM\|1\|D)|(kpr)|(kdp)|(\|lc)|(penalty))" /e /r /s</v>
      </c>
      <c r="AG65" s="1" t="str">
        <f t="shared" si="14"/>
        <v>EC</v>
      </c>
      <c r="AH65" s="86" t="str">
        <f t="shared" si="18"/>
        <v>"%USERPROFILE%\Documents\GitHub\eaglep3\Utilities\RefineRTDCRunTimes.py" --tripid 153-05 --locoid 4031 --swversion DE.1.0.8.0 --startMP 204:451 --initTime 2017-02-05T10:08:04 --startdatetime 2017-02-05T10:15:15 --delay 1 --endMP 204:233308 --enddatetime 2017-02-05T10:51:44 --enforcementcount 0 &gt;&gt;C:\Users\stu\Documents\GitHub\eaglep3-reporting\EC\2017-02-05-refined-times.txt</v>
      </c>
      <c r="AI65" s="108" t="str">
        <f t="shared" si="19"/>
        <v>echo {"issue":{"subject":"","project_id":79,"tracker_id":40,"status_id":1,"priority_id":2,"assigned_to_id":23,"start_date":"2017-02-05","description":"","custom_fields":[{"id":1,"name":"Subdivision","value":"EC"},{"id":4,"name":"Milepost","value":"23.3308"},{"id":17,"name":"Train ID","value":"153-05"},{"id":16,"name":"Locomotive ID","value":"4031"},{"id":130,"name":"Impact","value":""},{"id":150,"name":"Time of Event (Mountain Time)","value":"10:51:44"},{"id":151,"name":"Denver Issue ID","value":""},{"id":178,"name":"Operational Impact","value":"Yes"},{"id":179,"name":"Denver Segment Assigned","value":""}]}} | curl -X POST -H "Content-Type: application/json" -H "X-Redmine-API-Key: d6333d4a04012a730768444271f8ca06482dae87" https://secure.xorail.net/redmine/issues.json --data @-</v>
      </c>
      <c r="AJ65" s="48"/>
      <c r="AK65" s="48"/>
      <c r="AL65" s="48"/>
      <c r="AM65" s="158" t="str">
        <f t="shared" si="20"/>
        <v>start /low /b %USERPROFILE%\Documents\GitHub\eaglep3\Utilities\DownloadLogsFromS3.py --loco 4031 --day 2017-02-05</v>
      </c>
      <c r="AN65" s="167" t="str">
        <f>"grep -SE -B400 ""CHR.+\|PRM\|1\|D.+(SWITCH|SIGNAL).+UNKNOWN"" "&amp;search_path&amp;"\RTDC"&amp;B65&amp;"\*"&amp;B65&amp;"*"&amp;TEXT(AVERAGE(F65,I65)-utc_offset/24,"YYYYMMDD")&amp;"*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 customFormat="1" x14ac:dyDescent="0.25">
      <c r="A66" s="33" t="s">
        <v>613</v>
      </c>
      <c r="B66" s="7">
        <v>4032</v>
      </c>
      <c r="C66" s="21" t="s">
        <v>193</v>
      </c>
      <c r="D66" s="21" t="s">
        <v>309</v>
      </c>
      <c r="E66" s="13">
        <v>42771.462395833332</v>
      </c>
      <c r="F66" s="13">
        <v>42771.466261574074</v>
      </c>
      <c r="G66" s="7">
        <v>1</v>
      </c>
      <c r="H66" s="21" t="s">
        <v>776</v>
      </c>
      <c r="I66" s="13">
        <v>42771.49181712963</v>
      </c>
      <c r="J66" s="7">
        <v>0</v>
      </c>
      <c r="K66" s="98" t="str">
        <f t="shared" si="0"/>
        <v>4031/4032</v>
      </c>
      <c r="L66" s="21" t="str">
        <f>VLOOKUP(A66,'Trips&amp;Operators'!$C$1:$G$99999,5,FALSE)</f>
        <v>GEBRETEKLE DAGNEW</v>
      </c>
      <c r="M66" s="6">
        <f t="shared" si="1"/>
        <v>2.5555555555911269E-2</v>
      </c>
      <c r="N66" s="7">
        <f t="shared" si="23"/>
        <v>36.800000000512227</v>
      </c>
      <c r="O66" s="7"/>
      <c r="P66" s="7"/>
      <c r="Q66" s="22"/>
      <c r="R66" s="22"/>
      <c r="S66" s="31">
        <f t="shared" si="3"/>
        <v>1</v>
      </c>
      <c r="T66" s="46" t="str">
        <f t="shared" si="4"/>
        <v>Southbound</v>
      </c>
      <c r="U66" s="190">
        <f>IF(AG66="EC",COUNTIFS(Variables!$M$2:$M$19,IF(T66="NorthBound","&gt;=","&lt;=")&amp;Y66,Variables!$M$2:$M$19,IF(T66="NorthBound","&lt;=","&gt;=")&amp;Z66),COUNTIFS(Variables!$P$2:$P$19,IF(T66="NorthBound","&gt;=","&lt;=")&amp;Y66,Variables!$P$2:$P$19,IF(T66="NorthBound","&lt;=","&gt;=")&amp;Z66))</f>
        <v>12</v>
      </c>
      <c r="V66" s="191" t="str">
        <f t="shared" si="5"/>
        <v>https://d0f6bd738d7f1b3e5a7ca70fe4ff75f0.us-east-1.aws.found.io/app/kibana#/discover/Steve-Slow-Train-Analysis-(2080s-and-2083s)?_g=(refreshInterval:(display:Off,pause:!f,section:0,value:0),time:(from:'2017-02-05T10:05:51-0700',mode:absolute,to:'2017-02-05T12:48:13-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66" s="192" t="str">
        <f t="shared" si="6"/>
        <v>N</v>
      </c>
      <c r="X66" s="192">
        <f t="shared" si="26"/>
        <v>1</v>
      </c>
      <c r="Y66" s="62">
        <f t="shared" si="24"/>
        <v>23.297899999999998</v>
      </c>
      <c r="Z66" s="62">
        <f t="shared" si="25"/>
        <v>1.6299999999999999E-2</v>
      </c>
      <c r="AA66" s="62">
        <f t="shared" si="10"/>
        <v>23.281599999999997</v>
      </c>
      <c r="AB66" s="59" t="e">
        <f>VLOOKUP(A66,Enforcements!$C$7:$K$16,8,0)</f>
        <v>#N/A</v>
      </c>
      <c r="AC66" s="55" t="e">
        <f>VLOOKUP(A66,Enforcements!$C$7:$E$16,3,0)</f>
        <v>#N/A</v>
      </c>
      <c r="AD66" s="56" t="str">
        <f t="shared" si="11"/>
        <v>0154-05</v>
      </c>
      <c r="AE66" s="85" t="str">
        <f t="shared" si="12"/>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66" s="82" t="str">
        <f t="shared" si="13"/>
        <v>"C:\Program Files (x86)\AstroGrep\AstroGrep.exe" /spath="%USERPROFILE%\AppData\Local\Temp\OnboardLogs" /stypes="app*4032*20170205*" /stext=" 18:.+((SYSTEM_STATE.+slice.+state.+changed )|(ment ac)|(multiple cpu faults)|(system.+state.+changed )|(\[timeout)|(PRM\|1\|D)|(kpr)|(kdp)|(\|lc)|(penalty))" /e /r /s</v>
      </c>
      <c r="AG66" s="1" t="str">
        <f t="shared" si="14"/>
        <v>EC</v>
      </c>
      <c r="AH66" s="86" t="str">
        <f t="shared" si="18"/>
        <v>"%USERPROFILE%\Documents\GitHub\eaglep3\Utilities\RefineRTDCRunTimes.py" --tripid 154-05 --locoid 4032 --swversion DE.1.0.8.0 --startMP 204:232979 --initTime 2017-02-05T11:05:51 --startdatetime 2017-02-05T11:11:25 --delay 1 --endMP 204:163 --enddatetime 2017-02-05T11:48:13 --enforcementcount 0 &gt;&gt;C:\Users\stu\Documents\GitHub\eaglep3-reporting\EC\2017-02-05-refined-times.txt</v>
      </c>
      <c r="AI66" s="108" t="str">
        <f t="shared" si="19"/>
        <v>echo {"issue":{"subject":"","project_id":79,"tracker_id":40,"status_id":1,"priority_id":2,"assigned_to_id":23,"start_date":"2017-02-05","description":"","custom_fields":[{"id":1,"name":"Subdivision","value":"EC"},{"id":4,"name":"Milepost","value":"0.0163"},{"id":17,"name":"Train ID","value":"154-05"},{"id":16,"name":"Locomotive ID","value":"4032"},{"id":130,"name":"Impact","value":""},{"id":150,"name":"Time of Event (Mountain Time)","value":"11:48:13"},{"id":151,"name":"Denver Issue ID","value":""},{"id":178,"name":"Operational Impact","value":"Yes"},{"id":179,"name":"Denver Segment Assigned","value":""}]}} | curl -X POST -H "Content-Type: application/json" -H "X-Redmine-API-Key: d6333d4a04012a730768444271f8ca06482dae87" https://secure.xorail.net/redmine/issues.json --data @-</v>
      </c>
      <c r="AJ66" s="48"/>
      <c r="AK66" s="48"/>
      <c r="AL66" s="48"/>
      <c r="AM66" s="158" t="str">
        <f t="shared" si="20"/>
        <v>start /low /b %USERPROFILE%\Documents\GitHub\eaglep3\Utilities\DownloadLogsFromS3.py --loco 4032 --day 2017-02-05</v>
      </c>
      <c r="AN66" s="167" t="str">
        <f>"grep -SE -B400 ""CHR.+\|PRM\|1\|D.+(SWITCH|SIGNAL).+UNKNOWN"" "&amp;search_path&amp;"\RTDC"&amp;B66&amp;"\*"&amp;B66&amp;"*"&amp;TEXT(AVERAGE(F66,I66)-utc_offset/24,"YYYYMMDD")&amp;"*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 customFormat="1" x14ac:dyDescent="0.25">
      <c r="A67" s="33" t="s">
        <v>603</v>
      </c>
      <c r="B67" s="7">
        <v>4009</v>
      </c>
      <c r="C67" s="21" t="s">
        <v>193</v>
      </c>
      <c r="D67" s="21" t="s">
        <v>240</v>
      </c>
      <c r="E67" s="13">
        <v>42771.433136574073</v>
      </c>
      <c r="F67" s="13">
        <v>42771.437650462962</v>
      </c>
      <c r="G67" s="7">
        <v>1</v>
      </c>
      <c r="H67" s="21" t="s">
        <v>416</v>
      </c>
      <c r="I67" s="13">
        <v>42771.462256944447</v>
      </c>
      <c r="J67" s="7">
        <v>0</v>
      </c>
      <c r="K67" s="98" t="str">
        <f t="shared" si="0"/>
        <v>4009/4010</v>
      </c>
      <c r="L67" s="21" t="str">
        <f>VLOOKUP(A67,'Trips&amp;Operators'!$C$1:$G$99999,5,FALSE)</f>
        <v>ROMERO CHAD</v>
      </c>
      <c r="M67" s="6">
        <f t="shared" si="1"/>
        <v>2.4606481485534459E-2</v>
      </c>
      <c r="N67" s="7">
        <f t="shared" si="23"/>
        <v>35.433333339169621</v>
      </c>
      <c r="O67" s="7"/>
      <c r="P67" s="7"/>
      <c r="Q67" s="22"/>
      <c r="R67" s="22"/>
      <c r="S67" s="31">
        <f t="shared" si="3"/>
        <v>1</v>
      </c>
      <c r="T67" s="46" t="str">
        <f t="shared" si="4"/>
        <v>NorthBound</v>
      </c>
      <c r="U67" s="190">
        <f>IF(AG67="EC",COUNTIFS(Variables!$M$2:$M$19,IF(T67="NorthBound","&gt;=","&lt;=")&amp;Y67,Variables!$M$2:$M$19,IF(T67="NorthBound","&lt;=","&gt;=")&amp;Z67),COUNTIFS(Variables!$P$2:$P$19,IF(T67="NorthBound","&gt;=","&lt;=")&amp;Y67,Variables!$P$2:$P$19,IF(T67="NorthBound","&lt;=","&gt;=")&amp;Z67))</f>
        <v>12</v>
      </c>
      <c r="V67" s="191" t="str">
        <f t="shared" si="5"/>
        <v>https://d0f6bd738d7f1b3e5a7ca70fe4ff75f0.us-east-1.aws.found.io/app/kibana#/discover/Steve-Slow-Train-Analysis-(2080s-and-2083s)?_g=(refreshInterval:(display:Off,pause:!f,section:0,value:0),time:(from:'2017-02-05T09:23:43-0700',mode:absolute,to:'2017-02-05T12:05: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67" s="192" t="str">
        <f t="shared" si="6"/>
        <v>N</v>
      </c>
      <c r="X67" s="192">
        <f t="shared" si="26"/>
        <v>1</v>
      </c>
      <c r="Y67" s="62">
        <f t="shared" si="24"/>
        <v>4.5100000000000001E-2</v>
      </c>
      <c r="Z67" s="62">
        <f t="shared" si="25"/>
        <v>23.331399999999999</v>
      </c>
      <c r="AA67" s="62">
        <f t="shared" si="10"/>
        <v>23.286299999999997</v>
      </c>
      <c r="AB67" s="59" t="e">
        <f>VLOOKUP(A67,Enforcements!$C$7:$K$16,8,0)</f>
        <v>#N/A</v>
      </c>
      <c r="AC67" s="55" t="e">
        <f>VLOOKUP(A67,Enforcements!$C$7:$E$16,3,0)</f>
        <v>#N/A</v>
      </c>
      <c r="AD67" s="56" t="str">
        <f t="shared" si="11"/>
        <v>0155-05</v>
      </c>
      <c r="AE67" s="85" t="str">
        <f t="shared" si="12"/>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67" s="82" t="str">
        <f t="shared" si="13"/>
        <v>"C:\Program Files (x86)\AstroGrep\AstroGrep.exe" /spath="%USERPROFILE%\AppData\Local\Temp\OnboardLogs" /stypes="app*4009*20170205*" /stext=" 18:.+((SYSTEM_STATE.+slice.+state.+changed )|(ment ac)|(multiple cpu faults)|(system.+state.+changed )|(\[timeout)|(PRM\|1\|D)|(kpr)|(kdp)|(\|lc)|(penalty))" /e /r /s</v>
      </c>
      <c r="AG67" s="1" t="str">
        <f t="shared" si="14"/>
        <v>EC</v>
      </c>
      <c r="AH67" s="86" t="str">
        <f t="shared" si="18"/>
        <v>"%USERPROFILE%\Documents\GitHub\eaglep3\Utilities\RefineRTDCRunTimes.py" --tripid 155-05 --locoid 4009 --swversion DE.1.0.8.0 --startMP 204:451 --initTime 2017-02-05T10:23:43 --startdatetime 2017-02-05T10:30:13 --delay 1 --endMP 204:233314 --enddatetime 2017-02-05T11:05:39 --enforcementcount 0 &gt;&gt;C:\Users\stu\Documents\GitHub\eaglep3-reporting\EC\2017-02-05-refined-times.txt</v>
      </c>
      <c r="AI67" s="108" t="str">
        <f t="shared" si="19"/>
        <v>echo {"issue":{"subject":"","project_id":79,"tracker_id":40,"status_id":1,"priority_id":2,"assigned_to_id":23,"start_date":"2017-02-05","description":"","custom_fields":[{"id":1,"name":"Subdivision","value":"EC"},{"id":4,"name":"Milepost","value":"23.3314"},{"id":17,"name":"Train ID","value":"155-05"},{"id":16,"name":"Locomotive ID","value":"4009"},{"id":130,"name":"Impact","value":""},{"id":150,"name":"Time of Event (Mountain Time)","value":"11:05:39"},{"id":151,"name":"Denver Issue ID","value":""},{"id":178,"name":"Operational Impact","value":"Yes"},{"id":179,"name":"Denver Segment Assigned","value":""}]}} | curl -X POST -H "Content-Type: application/json" -H "X-Redmine-API-Key: d6333d4a04012a730768444271f8ca06482dae87" https://secure.xorail.net/redmine/issues.json --data @-</v>
      </c>
      <c r="AJ67" s="48"/>
      <c r="AK67" s="48"/>
      <c r="AL67" s="48"/>
      <c r="AM67" s="158" t="str">
        <f t="shared" si="20"/>
        <v>start /low /b %USERPROFILE%\Documents\GitHub\eaglep3\Utilities\DownloadLogsFromS3.py --loco 4009 --day 2017-02-05</v>
      </c>
      <c r="AN67" s="167" t="str">
        <f>"grep -SE -B400 ""CHR.+\|PRM\|1\|D.+(SWITCH|SIGNAL).+UNKNOWN"" "&amp;search_path&amp;"\RTDC"&amp;B67&amp;"\*"&amp;B67&amp;"*"&amp;TEXT(AVERAGE(F67,I67)-utc_offset/24,"YYYYMMDD")&amp;"*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 customFormat="1" x14ac:dyDescent="0.25">
      <c r="A68" s="33" t="s">
        <v>614</v>
      </c>
      <c r="B68" s="7">
        <v>4010</v>
      </c>
      <c r="C68" s="21" t="s">
        <v>193</v>
      </c>
      <c r="D68" s="21" t="s">
        <v>311</v>
      </c>
      <c r="E68" s="13">
        <v>42771.463958333334</v>
      </c>
      <c r="F68" s="13">
        <v>42771.476550925923</v>
      </c>
      <c r="G68" s="7">
        <v>1</v>
      </c>
      <c r="H68" s="21" t="s">
        <v>325</v>
      </c>
      <c r="I68" s="13">
        <v>42771.502303240741</v>
      </c>
      <c r="J68" s="7">
        <v>0</v>
      </c>
      <c r="K68" s="98" t="str">
        <f t="shared" si="0"/>
        <v>4009/4010</v>
      </c>
      <c r="L68" s="21" t="str">
        <f>VLOOKUP(A68,'Trips&amp;Operators'!$C$1:$G$99999,5,FALSE)</f>
        <v>ROMERO CHAD</v>
      </c>
      <c r="M68" s="6">
        <f t="shared" si="1"/>
        <v>2.5752314817509614E-2</v>
      </c>
      <c r="N68" s="7">
        <f t="shared" si="23"/>
        <v>37.083333337213844</v>
      </c>
      <c r="O68" s="7"/>
      <c r="P68" s="7"/>
      <c r="Q68" s="22"/>
      <c r="R68" s="22"/>
      <c r="S68" s="31">
        <f t="shared" si="3"/>
        <v>1</v>
      </c>
      <c r="T68" s="46" t="str">
        <f t="shared" si="4"/>
        <v>Southbound</v>
      </c>
      <c r="U68" s="190">
        <f>IF(AG68="EC",COUNTIFS(Variables!$M$2:$M$19,IF(T68="NorthBound","&gt;=","&lt;=")&amp;Y68,Variables!$M$2:$M$19,IF(T68="NorthBound","&lt;=","&gt;=")&amp;Z68),COUNTIFS(Variables!$P$2:$P$19,IF(T68="NorthBound","&gt;=","&lt;=")&amp;Y68,Variables!$P$2:$P$19,IF(T68="NorthBound","&lt;=","&gt;=")&amp;Z68))</f>
        <v>12</v>
      </c>
      <c r="V68" s="191" t="str">
        <f t="shared" si="5"/>
        <v>https://d0f6bd738d7f1b3e5a7ca70fe4ff75f0.us-east-1.aws.found.io/app/kibana#/discover/Steve-Slow-Train-Analysis-(2080s-and-2083s)?_g=(refreshInterval:(display:Off,pause:!f,section:0,value:0),time:(from:'2017-02-05T10:08:06-0700',mode:absolute,to:'2017-02-05T13:03:19-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68" s="192" t="str">
        <f t="shared" si="6"/>
        <v>N</v>
      </c>
      <c r="X68" s="192">
        <f t="shared" si="26"/>
        <v>1</v>
      </c>
      <c r="Y68" s="62">
        <f t="shared" si="24"/>
        <v>23.299199999999999</v>
      </c>
      <c r="Z68" s="62">
        <f t="shared" si="25"/>
        <v>1.38E-2</v>
      </c>
      <c r="AA68" s="62">
        <f t="shared" si="10"/>
        <v>23.285399999999999</v>
      </c>
      <c r="AB68" s="59" t="e">
        <f>VLOOKUP(A68,Enforcements!$C$7:$K$16,8,0)</f>
        <v>#N/A</v>
      </c>
      <c r="AC68" s="55" t="e">
        <f>VLOOKUP(A68,Enforcements!$C$7:$E$16,3,0)</f>
        <v>#N/A</v>
      </c>
      <c r="AD68" s="56" t="str">
        <f t="shared" si="11"/>
        <v>0156-05</v>
      </c>
      <c r="AE68" s="85" t="str">
        <f t="shared" si="12"/>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68" s="82" t="str">
        <f t="shared" si="13"/>
        <v>"C:\Program Files (x86)\AstroGrep\AstroGrep.exe" /spath="%USERPROFILE%\AppData\Local\Temp\OnboardLogs" /stypes="app*4010*20170205*" /stext=" 19:.+((SYSTEM_STATE.+slice.+state.+changed )|(ment ac)|(multiple cpu faults)|(system.+state.+changed )|(\[timeout)|(PRM\|1\|D)|(kpr)|(kdp)|(\|lc)|(penalty))" /e /r /s</v>
      </c>
      <c r="AG68" s="1" t="str">
        <f t="shared" si="14"/>
        <v>EC</v>
      </c>
      <c r="AH68" s="86" t="str">
        <f t="shared" si="18"/>
        <v>"%USERPROFILE%\Documents\GitHub\eaglep3\Utilities\RefineRTDCRunTimes.py" --tripid 156-05 --locoid 4010 --swversion DE.1.0.8.0 --startMP 204:232992 --initTime 2017-02-05T11:08:06 --startdatetime 2017-02-05T11:26:14 --delay 1 --endMP 204:138 --enddatetime 2017-02-05T12:03:19 --enforcementcount 0 &gt;&gt;C:\Users\stu\Documents\GitHub\eaglep3-reporting\EC\2017-02-05-refined-times.txt</v>
      </c>
      <c r="AI68" s="108" t="str">
        <f t="shared" si="19"/>
        <v>echo {"issue":{"subject":"","project_id":79,"tracker_id":40,"status_id":1,"priority_id":2,"assigned_to_id":23,"start_date":"2017-02-05","description":"","custom_fields":[{"id":1,"name":"Subdivision","value":"EC"},{"id":4,"name":"Milepost","value":"0.0138"},{"id":17,"name":"Train ID","value":"156-05"},{"id":16,"name":"Locomotive ID","value":"4010"},{"id":130,"name":"Impact","value":""},{"id":150,"name":"Time of Event (Mountain Time)","value":"12:03:19"},{"id":151,"name":"Denver Issue ID","value":""},{"id":178,"name":"Operational Impact","value":"Yes"},{"id":179,"name":"Denver Segment Assigned","value":""}]}} | curl -X POST -H "Content-Type: application/json" -H "X-Redmine-API-Key: d6333d4a04012a730768444271f8ca06482dae87" https://secure.xorail.net/redmine/issues.json --data @-</v>
      </c>
      <c r="AJ68" s="48"/>
      <c r="AK68" s="48"/>
      <c r="AL68" s="48"/>
      <c r="AM68" s="158" t="str">
        <f t="shared" si="20"/>
        <v>start /low /b %USERPROFILE%\Documents\GitHub\eaglep3\Utilities\DownloadLogsFromS3.py --loco 4010 --day 2017-02-05</v>
      </c>
      <c r="AN68" s="167" t="str">
        <f>"grep -SE -B400 ""CHR.+\|PRM\|1\|D.+(SWITCH|SIGNAL).+UNKNOWN"" "&amp;search_path&amp;"\RTDC"&amp;B68&amp;"\*"&amp;B68&amp;"*"&amp;TEXT(AVERAGE(F68,I68)-utc_offset/24,"YYYYMMDD")&amp;"*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 customFormat="1" x14ac:dyDescent="0.25">
      <c r="A69" s="33" t="s">
        <v>608</v>
      </c>
      <c r="B69" s="7">
        <v>4040</v>
      </c>
      <c r="C69" s="21" t="s">
        <v>193</v>
      </c>
      <c r="D69" s="21" t="s">
        <v>318</v>
      </c>
      <c r="E69" s="13">
        <v>42771.443460648145</v>
      </c>
      <c r="F69" s="13">
        <v>42771.448113425926</v>
      </c>
      <c r="G69" s="7">
        <v>1</v>
      </c>
      <c r="H69" s="21" t="s">
        <v>777</v>
      </c>
      <c r="I69" s="13">
        <v>42771.474363425928</v>
      </c>
      <c r="J69" s="7">
        <v>0</v>
      </c>
      <c r="K69" s="98" t="str">
        <f t="shared" si="0"/>
        <v>4039/4040</v>
      </c>
      <c r="L69" s="21" t="str">
        <f>VLOOKUP(A69,'Trips&amp;Operators'!$C$1:$G$99999,5,FALSE)</f>
        <v>SHOOK JOHN</v>
      </c>
      <c r="M69" s="6">
        <f t="shared" si="1"/>
        <v>2.6250000002619345E-2</v>
      </c>
      <c r="N69" s="7">
        <f t="shared" si="23"/>
        <v>37.800000003771856</v>
      </c>
      <c r="O69" s="7"/>
      <c r="P69" s="7"/>
      <c r="Q69" s="22"/>
      <c r="R69" s="22"/>
      <c r="S69" s="31">
        <f t="shared" si="3"/>
        <v>1</v>
      </c>
      <c r="T69" s="46" t="str">
        <f t="shared" si="4"/>
        <v>NorthBound</v>
      </c>
      <c r="U69" s="190">
        <f>IF(AG69="EC",COUNTIFS(Variables!$M$2:$M$19,IF(T69="NorthBound","&gt;=","&lt;=")&amp;Y69,Variables!$M$2:$M$19,IF(T69="NorthBound","&lt;=","&gt;=")&amp;Z69),COUNTIFS(Variables!$P$2:$P$19,IF(T69="NorthBound","&gt;=","&lt;=")&amp;Y69,Variables!$P$2:$P$19,IF(T69="NorthBound","&lt;=","&gt;=")&amp;Z69))</f>
        <v>12</v>
      </c>
      <c r="V69" s="191" t="str">
        <f t="shared" si="5"/>
        <v>https://d0f6bd738d7f1b3e5a7ca70fe4ff75f0.us-east-1.aws.found.io/app/kibana#/discover/Steve-Slow-Train-Analysis-(2080s-and-2083s)?_g=(refreshInterval:(display:Off,pause:!f,section:0,value:0),time:(from:'2017-02-05T09:38:35-0700',mode:absolute,to:'2017-02-05T12:23:05-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69" s="192" t="str">
        <f t="shared" si="6"/>
        <v>N</v>
      </c>
      <c r="X69" s="192">
        <f t="shared" si="26"/>
        <v>1</v>
      </c>
      <c r="Y69" s="62">
        <f t="shared" si="24"/>
        <v>4.4699999999999997E-2</v>
      </c>
      <c r="Z69" s="62">
        <f t="shared" si="25"/>
        <v>23.334199999999999</v>
      </c>
      <c r="AA69" s="62">
        <f t="shared" si="10"/>
        <v>23.2895</v>
      </c>
      <c r="AB69" s="59" t="e">
        <f>VLOOKUP(A69,Enforcements!$C$7:$K$16,8,0)</f>
        <v>#N/A</v>
      </c>
      <c r="AC69" s="55" t="e">
        <f>VLOOKUP(A69,Enforcements!$C$7:$E$16,3,0)</f>
        <v>#N/A</v>
      </c>
      <c r="AD69" s="56" t="str">
        <f t="shared" si="11"/>
        <v>0157-05</v>
      </c>
      <c r="AE69" s="85" t="str">
        <f t="shared" si="12"/>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69" s="82" t="str">
        <f t="shared" si="13"/>
        <v>"C:\Program Files (x86)\AstroGrep\AstroGrep.exe" /spath="%USERPROFILE%\AppData\Local\Temp\OnboardLogs" /stypes="app*4040*20170205*" /stext=" 18:.+((SYSTEM_STATE.+slice.+state.+changed )|(ment ac)|(multiple cpu faults)|(system.+state.+changed )|(\[timeout)|(PRM\|1\|D)|(kpr)|(kdp)|(\|lc)|(penalty))" /e /r /s</v>
      </c>
      <c r="AG69" s="1" t="str">
        <f t="shared" si="14"/>
        <v>EC</v>
      </c>
      <c r="AH69" s="86" t="str">
        <f t="shared" si="18"/>
        <v>"%USERPROFILE%\Documents\GitHub\eaglep3\Utilities\RefineRTDCRunTimes.py" --tripid 157-05 --locoid 4040 --swversion DE.1.0.8.0 --startMP 204:447 --initTime 2017-02-05T10:38:35 --startdatetime 2017-02-05T10:45:17 --delay 1 --endMP 204:233342 --enddatetime 2017-02-05T11:23:05 --enforcementcount 0 &gt;&gt;C:\Users\stu\Documents\GitHub\eaglep3-reporting\EC\2017-02-05-refined-times.txt</v>
      </c>
      <c r="AI69" s="108" t="str">
        <f t="shared" si="19"/>
        <v>echo {"issue":{"subject":"","project_id":79,"tracker_id":40,"status_id":1,"priority_id":2,"assigned_to_id":23,"start_date":"2017-02-05","description":"","custom_fields":[{"id":1,"name":"Subdivision","value":"EC"},{"id":4,"name":"Milepost","value":"23.3342"},{"id":17,"name":"Train ID","value":"157-05"},{"id":16,"name":"Locomotive ID","value":"4040"},{"id":130,"name":"Impact","value":""},{"id":150,"name":"Time of Event (Mountain Time)","value":"11:23:05"},{"id":151,"name":"Denver Issue ID","value":""},{"id":178,"name":"Operational Impact","value":"Yes"},{"id":179,"name":"Denver Segment Assigned","value":""}]}} | curl -X POST -H "Content-Type: application/json" -H "X-Redmine-API-Key: d6333d4a04012a730768444271f8ca06482dae87" https://secure.xorail.net/redmine/issues.json --data @-</v>
      </c>
      <c r="AJ69" s="48"/>
      <c r="AK69" s="48"/>
      <c r="AL69" s="48"/>
      <c r="AM69" s="158" t="str">
        <f t="shared" si="20"/>
        <v>start /low /b %USERPROFILE%\Documents\GitHub\eaglep3\Utilities\DownloadLogsFromS3.py --loco 4040 --day 2017-02-05</v>
      </c>
      <c r="AN69" s="167" t="str">
        <f>"grep -SE -B400 ""CHR.+\|PRM\|1\|D.+(SWITCH|SIGNAL).+UNKNOWN"" "&amp;search_path&amp;"\RTDC"&amp;B69&amp;"\*"&amp;B69&amp;"*"&amp;TEXT(AVERAGE(F69,I69)-utc_offset/24,"YYYYMMDD")&amp;"* | grep -SE ""(Enforcement Action)|(\[TIMEOUT)|(CHR.+\|PRM\|1\|D.+(SWITCH|SIGNAL).+UNKNOWN)"" - &gt;&gt; "&amp;TEXT(Variables!$A$2,"YYYY-MM-DD")&amp;"-UncaughtWiMAX.txt"</f>
        <v>grep -SE -B400 "CHR.+\|PRM\|1\|D.+(SWITCH|SIGNAL).+UNKNOWN" "%USERPROFILE%\AppData\Local\Temp\OnboardLogs"\RTDC4040\*4040*20170205* | grep -SE "(Enforcement Action)|(\[TIMEOUT)|(CHR.+\|PRM\|1\|D.+(SWITCH|SIGNAL).+UNKNOWN)" - &gt;&gt; 2017-02-05-UncaughtWiMAX.txt</v>
      </c>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 customFormat="1" x14ac:dyDescent="0.25">
      <c r="A70" s="33" t="s">
        <v>619</v>
      </c>
      <c r="B70" s="7">
        <v>4039</v>
      </c>
      <c r="C70" s="21" t="s">
        <v>193</v>
      </c>
      <c r="D70" s="21" t="s">
        <v>762</v>
      </c>
      <c r="E70" s="13">
        <v>42771.475937499999</v>
      </c>
      <c r="F70" s="13">
        <v>42771.487002314818</v>
      </c>
      <c r="G70" s="7">
        <v>1</v>
      </c>
      <c r="H70" s="21" t="s">
        <v>307</v>
      </c>
      <c r="I70" s="13">
        <v>42771.515092592592</v>
      </c>
      <c r="J70" s="7">
        <v>0</v>
      </c>
      <c r="K70" s="98" t="str">
        <f t="shared" si="0"/>
        <v>4039/4040</v>
      </c>
      <c r="L70" s="21" t="str">
        <f>VLOOKUP(A70,'Trips&amp;Operators'!$C$1:$G$99999,5,FALSE)</f>
        <v>SHOOK JOHN</v>
      </c>
      <c r="M70" s="6">
        <f t="shared" si="1"/>
        <v>2.8090277774026617E-2</v>
      </c>
      <c r="N70" s="7">
        <f t="shared" si="23"/>
        <v>40.449999994598329</v>
      </c>
      <c r="O70" s="7"/>
      <c r="P70" s="7"/>
      <c r="Q70" s="22"/>
      <c r="R70" s="22"/>
      <c r="S70" s="31">
        <f t="shared" si="3"/>
        <v>1</v>
      </c>
      <c r="T70" s="46" t="str">
        <f t="shared" si="4"/>
        <v>Southbound</v>
      </c>
      <c r="U70" s="190">
        <f>IF(AG70="EC",COUNTIFS(Variables!$M$2:$M$19,IF(T70="NorthBound","&gt;=","&lt;=")&amp;Y70,Variables!$M$2:$M$19,IF(T70="NorthBound","&lt;=","&gt;=")&amp;Z70),COUNTIFS(Variables!$P$2:$P$19,IF(T70="NorthBound","&gt;=","&lt;=")&amp;Y70,Variables!$P$2:$P$19,IF(T70="NorthBound","&lt;=","&gt;=")&amp;Z70))</f>
        <v>12</v>
      </c>
      <c r="V70" s="191" t="str">
        <f t="shared" si="5"/>
        <v>https://d0f6bd738d7f1b3e5a7ca70fe4ff75f0.us-east-1.aws.found.io/app/kibana#/discover/Steve-Slow-Train-Analysis-(2080s-and-2083s)?_g=(refreshInterval:(display:Off,pause:!f,section:0,value:0),time:(from:'2017-02-05T10:25:21-0700',mode:absolute,to:'2017-02-05T13:21:44-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70" s="192" t="str">
        <f t="shared" si="6"/>
        <v>N</v>
      </c>
      <c r="X70" s="192">
        <f t="shared" si="26"/>
        <v>1</v>
      </c>
      <c r="Y70" s="62">
        <f t="shared" si="24"/>
        <v>23.301300000000001</v>
      </c>
      <c r="Z70" s="62">
        <f t="shared" si="25"/>
        <v>1.3899999999999999E-2</v>
      </c>
      <c r="AA70" s="62">
        <f t="shared" si="10"/>
        <v>23.287400000000002</v>
      </c>
      <c r="AB70" s="59" t="e">
        <f>VLOOKUP(A70,Enforcements!$C$7:$K$16,8,0)</f>
        <v>#N/A</v>
      </c>
      <c r="AC70" s="55" t="e">
        <f>VLOOKUP(A70,Enforcements!$C$7:$E$16,3,0)</f>
        <v>#N/A</v>
      </c>
      <c r="AD70" s="56" t="str">
        <f t="shared" si="11"/>
        <v>0158-05</v>
      </c>
      <c r="AE70" s="85" t="str">
        <f t="shared" si="12"/>
        <v>aws s3 cp s3://rtdc.mdm.uploadarchive.raw/RTDC4039/ "%USERPROFILE%\AppData\Local\Temp\OnboardLogs"\RTDC4039\2017-02-05 --exclude "*" --recursive --include "*20170205*" &amp; "%USERPROFILE%\Documents\GitHub\mrs-test-scripts\Headless Mode &amp; Sideloading\WalkAndUnGZ.bat" "%USERPROFILE%\AppData\Local\Temp\OnboardLogs"\RTDC4039\2017-02-05 &amp; aws s3 cp s3://rtdc.mdm.uploadarchive.raw/RTDC4039/ "%USERPROFILE%\AppData\Local\Temp\OnboardLogs"\RTDC4039\2017-02-06 --exclude "*" --recursive --include "*20170206*" &amp; "%USERPROFILE%\Documents\GitHub\mrs-test-scripts\Headless Mode &amp; Sideloading\WalkAndUnGZ.bat" "%USERPROFILE%\AppData\Local\Temp\OnboardLogs"\RTDC4039\2017-02-06</v>
      </c>
      <c r="AF70" s="82" t="str">
        <f t="shared" si="13"/>
        <v>"C:\Program Files (x86)\AstroGrep\AstroGrep.exe" /spath="%USERPROFILE%\AppData\Local\Temp\OnboardLogs" /stypes="app*4039*20170205*" /stext=" 19:.+((SYSTEM_STATE.+slice.+state.+changed )|(ment ac)|(multiple cpu faults)|(system.+state.+changed )|(\[timeout)|(PRM\|1\|D)|(kpr)|(kdp)|(\|lc)|(penalty))" /e /r /s</v>
      </c>
      <c r="AG70" s="1" t="str">
        <f t="shared" si="14"/>
        <v>EC</v>
      </c>
      <c r="AH70" s="86" t="str">
        <f t="shared" si="18"/>
        <v>"%USERPROFILE%\Documents\GitHub\eaglep3\Utilities\RefineRTDCRunTimes.py" --tripid 158-05 --locoid 4039 --swversion DE.1.0.8.0 --startMP 204:233013 --initTime 2017-02-05T11:25:21 --startdatetime 2017-02-05T11:41:17 --delay 1 --endMP 204:139 --enddatetime 2017-02-05T12:21:44 --enforcementcount 0 &gt;&gt;C:\Users\stu\Documents\GitHub\eaglep3-reporting\EC\2017-02-05-refined-times.txt</v>
      </c>
      <c r="AI70" s="108" t="str">
        <f t="shared" si="19"/>
        <v>echo {"issue":{"subject":"","project_id":79,"tracker_id":40,"status_id":1,"priority_id":2,"assigned_to_id":23,"start_date":"2017-02-05","description":"","custom_fields":[{"id":1,"name":"Subdivision","value":"EC"},{"id":4,"name":"Milepost","value":"0.0139"},{"id":17,"name":"Train ID","value":"158-05"},{"id":16,"name":"Locomotive ID","value":"4039"},{"id":130,"name":"Impact","value":""},{"id":150,"name":"Time of Event (Mountain Time)","value":"12:21:44"},{"id":151,"name":"Denver Issue ID","value":""},{"id":178,"name":"Operational Impact","value":"Yes"},{"id":179,"name":"Denver Segment Assigned","value":""}]}} | curl -X POST -H "Content-Type: application/json" -H "X-Redmine-API-Key: d6333d4a04012a730768444271f8ca06482dae87" https://secure.xorail.net/redmine/issues.json --data @-</v>
      </c>
      <c r="AJ70" s="48"/>
      <c r="AK70" s="48"/>
      <c r="AL70" s="48"/>
      <c r="AM70" s="158" t="str">
        <f t="shared" si="20"/>
        <v>start /low /b %USERPROFILE%\Documents\GitHub\eaglep3\Utilities\DownloadLogsFromS3.py --loco 4039 --day 2017-02-05</v>
      </c>
      <c r="AN70" s="167" t="str">
        <f>"grep -SE -B400 ""CHR.+\|PRM\|1\|D.+(SWITCH|SIGNAL).+UNKNOWN"" "&amp;search_path&amp;"\RTDC"&amp;B70&amp;"\*"&amp;B70&amp;"*"&amp;TEXT(AVERAGE(F70,I70)-utc_offset/24,"YYYYMMDD")&amp;"* | grep -SE ""(Enforcement Action)|(\[TIMEOUT)|(CHR.+\|PRM\|1\|D.+(SWITCH|SIGNAL).+UNKNOWN)"" - &gt;&gt; "&amp;TEXT(Variables!$A$2,"YYYY-MM-DD")&amp;"-UncaughtWiMAX.txt"</f>
        <v>grep -SE -B400 "CHR.+\|PRM\|1\|D.+(SWITCH|SIGNAL).+UNKNOWN" "%USERPROFILE%\AppData\Local\Temp\OnboardLogs"\RTDC4039\*4039*20170205* | grep -SE "(Enforcement Action)|(\[TIMEOUT)|(CHR.+\|PRM\|1\|D.+(SWITCH|SIGNAL).+UNKNOWN)" - &gt;&gt; 2017-02-05-UncaughtWiMAX.txt</v>
      </c>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 customFormat="1" x14ac:dyDescent="0.25">
      <c r="A71" s="33" t="s">
        <v>610</v>
      </c>
      <c r="B71" s="7">
        <v>4025</v>
      </c>
      <c r="C71" s="21" t="s">
        <v>193</v>
      </c>
      <c r="D71" s="21" t="s">
        <v>410</v>
      </c>
      <c r="E71" s="13">
        <v>42771.453113425923</v>
      </c>
      <c r="F71" s="13">
        <v>42771.45857638889</v>
      </c>
      <c r="G71" s="7">
        <v>2</v>
      </c>
      <c r="H71" s="21" t="s">
        <v>748</v>
      </c>
      <c r="I71" s="13">
        <v>42771.483958333331</v>
      </c>
      <c r="J71" s="7">
        <v>0</v>
      </c>
      <c r="K71" s="98" t="str">
        <f t="shared" si="0"/>
        <v>4025/4026</v>
      </c>
      <c r="L71" s="21" t="str">
        <f>VLOOKUP(A71,'Trips&amp;Operators'!$C$1:$G$99999,5,FALSE)</f>
        <v>STEWART MICHAEL</v>
      </c>
      <c r="M71" s="6">
        <f t="shared" si="1"/>
        <v>2.5381944440596271E-2</v>
      </c>
      <c r="N71" s="7">
        <f t="shared" si="23"/>
        <v>36.549999994458631</v>
      </c>
      <c r="O71" s="7"/>
      <c r="P71" s="7"/>
      <c r="Q71" s="22"/>
      <c r="R71" s="22"/>
      <c r="S71" s="31">
        <f t="shared" si="3"/>
        <v>1</v>
      </c>
      <c r="T71" s="46" t="str">
        <f t="shared" si="4"/>
        <v>NorthBound</v>
      </c>
      <c r="U71" s="190">
        <f>IF(AG71="EC",COUNTIFS(Variables!$M$2:$M$19,IF(T71="NorthBound","&gt;=","&lt;=")&amp;Y71,Variables!$M$2:$M$19,IF(T71="NorthBound","&lt;=","&gt;=")&amp;Z71),COUNTIFS(Variables!$P$2:$P$19,IF(T71="NorthBound","&gt;=","&lt;=")&amp;Y71,Variables!$P$2:$P$19,IF(T71="NorthBound","&lt;=","&gt;=")&amp;Z71))</f>
        <v>12</v>
      </c>
      <c r="V71" s="191" t="str">
        <f t="shared" si="5"/>
        <v>https://d0f6bd738d7f1b3e5a7ca70fe4ff75f0.us-east-1.aws.found.io/app/kibana#/discover/Steve-Slow-Train-Analysis-(2080s-and-2083s)?_g=(refreshInterval:(display:Off,pause:!f,section:0,value:0),time:(from:'2017-02-05T09:52:29-0700',mode:absolute,to:'2017-02-05T12:36:54-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71" s="192" t="str">
        <f t="shared" si="6"/>
        <v>N</v>
      </c>
      <c r="X71" s="192">
        <f t="shared" si="26"/>
        <v>1</v>
      </c>
      <c r="Y71" s="62">
        <f t="shared" si="24"/>
        <v>4.3499999999999997E-2</v>
      </c>
      <c r="Z71" s="62">
        <f t="shared" si="25"/>
        <v>23.329699999999999</v>
      </c>
      <c r="AA71" s="62">
        <f t="shared" si="10"/>
        <v>23.286199999999997</v>
      </c>
      <c r="AB71" s="59" t="e">
        <f>VLOOKUP(A71,Enforcements!$C$7:$K$16,8,0)</f>
        <v>#N/A</v>
      </c>
      <c r="AC71" s="55" t="e">
        <f>VLOOKUP(A71,Enforcements!$C$7:$E$16,3,0)</f>
        <v>#N/A</v>
      </c>
      <c r="AD71" s="56" t="str">
        <f t="shared" si="11"/>
        <v>0159-05</v>
      </c>
      <c r="AE71" s="85" t="str">
        <f t="shared" si="12"/>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71" s="82" t="str">
        <f t="shared" si="13"/>
        <v>"C:\Program Files (x86)\AstroGrep\AstroGrep.exe" /spath="%USERPROFILE%\AppData\Local\Temp\OnboardLogs" /stypes="app*4025*20170205*" /stext=" 18:.+((SYSTEM_STATE.+slice.+state.+changed )|(ment ac)|(multiple cpu faults)|(system.+state.+changed )|(\[timeout)|(PRM\|1\|D)|(kpr)|(kdp)|(\|lc)|(penalty))" /e /r /s</v>
      </c>
      <c r="AG71" s="1" t="str">
        <f t="shared" si="14"/>
        <v>EC</v>
      </c>
      <c r="AH71" s="86" t="str">
        <f t="shared" si="18"/>
        <v>"%USERPROFILE%\Documents\GitHub\eaglep3\Utilities\RefineRTDCRunTimes.py" --tripid 159-05 --locoid 4025 --swversion DE.1.0.8.0 --startMP 204:435 --initTime 2017-02-05T10:52:29 --startdatetime 2017-02-05T11:00:21 --delay 2 --endMP 204:233297 --enddatetime 2017-02-05T11:36:54 --enforcementcount 0 &gt;&gt;C:\Users\stu\Documents\GitHub\eaglep3-reporting\EC\2017-02-05-refined-times.txt</v>
      </c>
      <c r="AI71" s="108" t="str">
        <f t="shared" si="19"/>
        <v>echo {"issue":{"subject":"","project_id":79,"tracker_id":40,"status_id":1,"priority_id":2,"assigned_to_id":23,"start_date":"2017-02-05","description":"","custom_fields":[{"id":1,"name":"Subdivision","value":"EC"},{"id":4,"name":"Milepost","value":"23.3297"},{"id":17,"name":"Train ID","value":"159-05"},{"id":16,"name":"Locomotive ID","value":"4025"},{"id":130,"name":"Impact","value":""},{"id":150,"name":"Time of Event (Mountain Time)","value":"11:36:54"},{"id":151,"name":"Denver Issue ID","value":""},{"id":178,"name":"Operational Impact","value":"Yes"},{"id":179,"name":"Denver Segment Assigned","value":""}]}} | curl -X POST -H "Content-Type: application/json" -H "X-Redmine-API-Key: d6333d4a04012a730768444271f8ca06482dae87" https://secure.xorail.net/redmine/issues.json --data @-</v>
      </c>
      <c r="AJ71" s="48"/>
      <c r="AK71" s="48"/>
      <c r="AL71" s="48"/>
      <c r="AM71" s="158" t="str">
        <f t="shared" si="20"/>
        <v>start /low /b %USERPROFILE%\Documents\GitHub\eaglep3\Utilities\DownloadLogsFromS3.py --loco 4025 --day 2017-02-05</v>
      </c>
      <c r="AN71" s="167" t="str">
        <f>"grep -SE -B400 ""CHR.+\|PRM\|1\|D.+(SWITCH|SIGNAL).+UNKNOWN"" "&amp;search_path&amp;"\RTDC"&amp;B71&amp;"\*"&amp;B71&amp;"*"&amp;TEXT(AVERAGE(F71,I71)-utc_offset/24,"YYYYMMDD")&amp;"*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 customFormat="1" x14ac:dyDescent="0.25">
      <c r="A72" s="33" t="s">
        <v>623</v>
      </c>
      <c r="B72" s="7">
        <v>4026</v>
      </c>
      <c r="C72" s="21" t="s">
        <v>193</v>
      </c>
      <c r="D72" s="21" t="s">
        <v>412</v>
      </c>
      <c r="E72" s="13">
        <v>42771.492743055554</v>
      </c>
      <c r="F72" s="13">
        <v>42771.497581018521</v>
      </c>
      <c r="G72" s="7">
        <v>1</v>
      </c>
      <c r="H72" s="21" t="s">
        <v>403</v>
      </c>
      <c r="I72" s="13">
        <v>42771.523993055554</v>
      </c>
      <c r="J72" s="7">
        <v>0</v>
      </c>
      <c r="K72" s="98" t="str">
        <f t="shared" si="0"/>
        <v>4025/4026</v>
      </c>
      <c r="L72" s="21" t="str">
        <f>VLOOKUP(A72,'Trips&amp;Operators'!$C$1:$G$99999,5,FALSE)</f>
        <v>STEWART MICHAEL</v>
      </c>
      <c r="M72" s="6">
        <f t="shared" si="1"/>
        <v>2.6412037033878732E-2</v>
      </c>
      <c r="N72" s="7">
        <f t="shared" si="23"/>
        <v>38.033333328785375</v>
      </c>
      <c r="O72" s="7"/>
      <c r="P72" s="7"/>
      <c r="Q72" s="22"/>
      <c r="R72" s="22"/>
      <c r="S72" s="31">
        <f t="shared" si="3"/>
        <v>1</v>
      </c>
      <c r="T72" s="46" t="str">
        <f t="shared" si="4"/>
        <v>Southbound</v>
      </c>
      <c r="U72" s="190">
        <f>IF(AG72="EC",COUNTIFS(Variables!$M$2:$M$19,IF(T72="NorthBound","&gt;=","&lt;=")&amp;Y72,Variables!$M$2:$M$19,IF(T72="NorthBound","&lt;=","&gt;=")&amp;Z72),COUNTIFS(Variables!$P$2:$P$19,IF(T72="NorthBound","&gt;=","&lt;=")&amp;Y72,Variables!$P$2:$P$19,IF(T72="NorthBound","&lt;=","&gt;=")&amp;Z72))</f>
        <v>12</v>
      </c>
      <c r="V72" s="191" t="str">
        <f t="shared" si="5"/>
        <v>https://d0f6bd738d7f1b3e5a7ca70fe4ff75f0.us-east-1.aws.found.io/app/kibana#/discover/Steve-Slow-Train-Analysis-(2080s-and-2083s)?_g=(refreshInterval:(display:Off,pause:!f,section:0,value:0),time:(from:'2017-02-05T10:49:33-0700',mode:absolute,to:'2017-02-05T13:34: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72" s="192" t="str">
        <f t="shared" si="6"/>
        <v>N</v>
      </c>
      <c r="X72" s="192">
        <f t="shared" si="26"/>
        <v>1</v>
      </c>
      <c r="Y72" s="62">
        <f t="shared" si="24"/>
        <v>23.2971</v>
      </c>
      <c r="Z72" s="62">
        <f t="shared" si="25"/>
        <v>1.6500000000000001E-2</v>
      </c>
      <c r="AA72" s="62">
        <f t="shared" si="10"/>
        <v>23.2806</v>
      </c>
      <c r="AB72" s="59" t="e">
        <f>VLOOKUP(A72,Enforcements!$C$7:$K$16,8,0)</f>
        <v>#N/A</v>
      </c>
      <c r="AC72" s="55" t="e">
        <f>VLOOKUP(A72,Enforcements!$C$7:$E$16,3,0)</f>
        <v>#N/A</v>
      </c>
      <c r="AD72" s="56" t="str">
        <f t="shared" si="11"/>
        <v>0160-05</v>
      </c>
      <c r="AE72" s="85" t="str">
        <f t="shared" si="12"/>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72" s="82" t="str">
        <f t="shared" si="13"/>
        <v>"C:\Program Files (x86)\AstroGrep\AstroGrep.exe" /spath="%USERPROFILE%\AppData\Local\Temp\OnboardLogs" /stypes="app*4026*20170205*" /stext=" 19:.+((SYSTEM_STATE.+slice.+state.+changed )|(ment ac)|(multiple cpu faults)|(system.+state.+changed )|(\[timeout)|(PRM\|1\|D)|(kpr)|(kdp)|(\|lc)|(penalty))" /e /r /s</v>
      </c>
      <c r="AG72" s="1" t="str">
        <f t="shared" si="14"/>
        <v>EC</v>
      </c>
      <c r="AH72" s="86" t="str">
        <f t="shared" si="18"/>
        <v>"%USERPROFILE%\Documents\GitHub\eaglep3\Utilities\RefineRTDCRunTimes.py" --tripid 160-05 --locoid 4026 --swversion DE.1.0.8.0 --startMP 204:232971 --initTime 2017-02-05T11:49:33 --startdatetime 2017-02-05T11:56:31 --delay 1 --endMP 204:165 --enddatetime 2017-02-05T12:34:33 --enforcementcount 0 &gt;&gt;C:\Users\stu\Documents\GitHub\eaglep3-reporting\EC\2017-02-05-refined-times.txt</v>
      </c>
      <c r="AI72" s="108" t="str">
        <f t="shared" si="19"/>
        <v>echo {"issue":{"subject":"","project_id":79,"tracker_id":40,"status_id":1,"priority_id":2,"assigned_to_id":23,"start_date":"2017-02-05","description":"","custom_fields":[{"id":1,"name":"Subdivision","value":"EC"},{"id":4,"name":"Milepost","value":"0.0165"},{"id":17,"name":"Train ID","value":"160-05"},{"id":16,"name":"Locomotive ID","value":"4026"},{"id":130,"name":"Impact","value":""},{"id":150,"name":"Time of Event (Mountain Time)","value":"12:34:33"},{"id":151,"name":"Denver Issue ID","value":""},{"id":178,"name":"Operational Impact","value":"Yes"},{"id":179,"name":"Denver Segment Assigned","value":""}]}} | curl -X POST -H "Content-Type: application/json" -H "X-Redmine-API-Key: d6333d4a04012a730768444271f8ca06482dae87" https://secure.xorail.net/redmine/issues.json --data @-</v>
      </c>
      <c r="AJ72" s="48"/>
      <c r="AK72" s="48"/>
      <c r="AL72" s="48"/>
      <c r="AM72" s="158" t="str">
        <f t="shared" si="20"/>
        <v>start /low /b %USERPROFILE%\Documents\GitHub\eaglep3\Utilities\DownloadLogsFromS3.py --loco 4026 --day 2017-02-05</v>
      </c>
      <c r="AN72" s="167" t="str">
        <f>"grep -SE -B400 ""CHR.+\|PRM\|1\|D.+(SWITCH|SIGNAL).+UNKNOWN"" "&amp;search_path&amp;"\RTDC"&amp;B72&amp;"\*"&amp;B72&amp;"*"&amp;TEXT(AVERAGE(F72,I72)-utc_offset/24,"YYYYMMDD")&amp;"*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20" customFormat="1" x14ac:dyDescent="0.25">
      <c r="A73" s="33" t="s">
        <v>615</v>
      </c>
      <c r="B73" s="7">
        <v>4016</v>
      </c>
      <c r="C73" s="21" t="s">
        <v>193</v>
      </c>
      <c r="D73" s="21" t="s">
        <v>241</v>
      </c>
      <c r="E73" s="13">
        <v>42771.465902777774</v>
      </c>
      <c r="F73" s="13">
        <v>42771.469108796293</v>
      </c>
      <c r="G73" s="7">
        <v>2</v>
      </c>
      <c r="H73" s="21" t="s">
        <v>313</v>
      </c>
      <c r="I73" s="13">
        <v>42771.496145833335</v>
      </c>
      <c r="J73" s="7">
        <v>0</v>
      </c>
      <c r="K73" s="98" t="str">
        <f t="shared" si="0"/>
        <v>4015/4016</v>
      </c>
      <c r="L73" s="21" t="str">
        <f>VLOOKUP(A73,'Trips&amp;Operators'!$C$1:$G$99999,5,FALSE)</f>
        <v>DAVIS MICHAEL</v>
      </c>
      <c r="M73" s="6">
        <f t="shared" si="1"/>
        <v>2.7037037041736767E-2</v>
      </c>
      <c r="N73" s="7">
        <f t="shared" si="23"/>
        <v>38.933333340100944</v>
      </c>
      <c r="O73" s="7"/>
      <c r="P73" s="7"/>
      <c r="Q73" s="22"/>
      <c r="R73" s="22"/>
      <c r="S73" s="31">
        <f t="shared" si="3"/>
        <v>1</v>
      </c>
      <c r="T73" s="46" t="str">
        <f t="shared" si="4"/>
        <v>NorthBound</v>
      </c>
      <c r="U73" s="190">
        <f>IF(AG73="EC",COUNTIFS(Variables!$M$2:$M$19,IF(T73="NorthBound","&gt;=","&lt;=")&amp;Y73,Variables!$M$2:$M$19,IF(T73="NorthBound","&lt;=","&gt;=")&amp;Z73),COUNTIFS(Variables!$P$2:$P$19,IF(T73="NorthBound","&gt;=","&lt;=")&amp;Y73,Variables!$P$2:$P$19,IF(T73="NorthBound","&lt;=","&gt;=")&amp;Z73))</f>
        <v>12</v>
      </c>
      <c r="V73" s="191" t="str">
        <f t="shared" si="5"/>
        <v>https://d0f6bd738d7f1b3e5a7ca70fe4ff75f0.us-east-1.aws.found.io/app/kibana#/discover/Steve-Slow-Train-Analysis-(2080s-and-2083s)?_g=(refreshInterval:(display:Off,pause:!f,section:0,value:0),time:(from:'2017-02-05T10:10:54-0700',mode:absolute,to:'2017-02-05T12:54:27-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73" s="192" t="str">
        <f t="shared" si="6"/>
        <v>N</v>
      </c>
      <c r="X73" s="192">
        <f t="shared" si="26"/>
        <v>1</v>
      </c>
      <c r="Y73" s="62">
        <f t="shared" si="24"/>
        <v>4.5699999999999998E-2</v>
      </c>
      <c r="Z73" s="62">
        <f t="shared" si="25"/>
        <v>23.3278</v>
      </c>
      <c r="AA73" s="62">
        <f t="shared" si="10"/>
        <v>23.2821</v>
      </c>
      <c r="AB73" s="59" t="e">
        <f>VLOOKUP(A73,Enforcements!$C$7:$K$16,8,0)</f>
        <v>#N/A</v>
      </c>
      <c r="AC73" s="55" t="e">
        <f>VLOOKUP(A73,Enforcements!$C$7:$E$16,3,0)</f>
        <v>#N/A</v>
      </c>
      <c r="AD73" s="56" t="str">
        <f t="shared" si="11"/>
        <v>0161-05</v>
      </c>
      <c r="AE73" s="85" t="str">
        <f t="shared" si="12"/>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73" s="82" t="str">
        <f t="shared" si="13"/>
        <v>"C:\Program Files (x86)\AstroGrep\AstroGrep.exe" /spath="%USERPROFILE%\AppData\Local\Temp\OnboardLogs" /stypes="app*4016*20170205*" /stext=" 18:.+((SYSTEM_STATE.+slice.+state.+changed )|(ment ac)|(multiple cpu faults)|(system.+state.+changed )|(\[timeout)|(PRM\|1\|D)|(kpr)|(kdp)|(\|lc)|(penalty))" /e /r /s</v>
      </c>
      <c r="AG73" s="1" t="str">
        <f t="shared" si="14"/>
        <v>EC</v>
      </c>
      <c r="AH73" s="86" t="str">
        <f t="shared" si="18"/>
        <v>"%USERPROFILE%\Documents\GitHub\eaglep3\Utilities\RefineRTDCRunTimes.py" --tripid 161-05 --locoid 4016 --swversion DE.1.0.8.0 --startMP 204:457 --initTime 2017-02-05T11:10:54 --startdatetime 2017-02-05T11:15:31 --delay 2 --endMP 204:233278 --enddatetime 2017-02-05T11:54:27 --enforcementcount 0 &gt;&gt;C:\Users\stu\Documents\GitHub\eaglep3-reporting\EC\2017-02-05-refined-times.txt</v>
      </c>
      <c r="AI73" s="108" t="str">
        <f t="shared" si="19"/>
        <v>echo {"issue":{"subject":"","project_id":79,"tracker_id":40,"status_id":1,"priority_id":2,"assigned_to_id":23,"start_date":"2017-02-05","description":"","custom_fields":[{"id":1,"name":"Subdivision","value":"EC"},{"id":4,"name":"Milepost","value":"23.3278"},{"id":17,"name":"Train ID","value":"161-05"},{"id":16,"name":"Locomotive ID","value":"4016"},{"id":130,"name":"Impact","value":""},{"id":150,"name":"Time of Event (Mountain Time)","value":"11:54:27"},{"id":151,"name":"Denver Issue ID","value":""},{"id":178,"name":"Operational Impact","value":"Yes"},{"id":179,"name":"Denver Segment Assigned","value":""}]}} | curl -X POST -H "Content-Type: application/json" -H "X-Redmine-API-Key: d6333d4a04012a730768444271f8ca06482dae87" https://secure.xorail.net/redmine/issues.json --data @-</v>
      </c>
      <c r="AJ73" s="48"/>
      <c r="AK73" s="48"/>
      <c r="AL73" s="48"/>
      <c r="AM73" s="158" t="str">
        <f t="shared" si="20"/>
        <v>start /low /b %USERPROFILE%\Documents\GitHub\eaglep3\Utilities\DownloadLogsFromS3.py --loco 4016 --day 2017-02-05</v>
      </c>
      <c r="AN73" s="167" t="str">
        <f>"grep -SE -B400 ""CHR.+\|PRM\|1\|D.+(SWITCH|SIGNAL).+UNKNOWN"" "&amp;search_path&amp;"\RTDC"&amp;B73&amp;"\*"&amp;B73&amp;"*"&amp;TEXT(AVERAGE(F73,I73)-utc_offset/24,"YYYYMMDD")&amp;"*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20" customFormat="1" x14ac:dyDescent="0.25">
      <c r="A74" s="33" t="s">
        <v>629</v>
      </c>
      <c r="B74" s="7">
        <v>4015</v>
      </c>
      <c r="C74" s="21" t="s">
        <v>193</v>
      </c>
      <c r="D74" s="21" t="s">
        <v>285</v>
      </c>
      <c r="E74" s="13">
        <v>42771.504282407404</v>
      </c>
      <c r="F74" s="13">
        <v>42771.508009259262</v>
      </c>
      <c r="G74" s="7">
        <v>1</v>
      </c>
      <c r="H74" s="21" t="s">
        <v>325</v>
      </c>
      <c r="I74" s="13">
        <v>42771.53570601852</v>
      </c>
      <c r="J74" s="7">
        <v>0</v>
      </c>
      <c r="K74" s="98" t="str">
        <f t="shared" si="0"/>
        <v>4015/4016</v>
      </c>
      <c r="L74" s="21" t="str">
        <f>VLOOKUP(A74,'Trips&amp;Operators'!$C$1:$G$99999,5,FALSE)</f>
        <v>DAVIS MICHAEL</v>
      </c>
      <c r="M74" s="6">
        <f t="shared" si="1"/>
        <v>2.7696759258105885E-2</v>
      </c>
      <c r="N74" s="7">
        <f t="shared" si="23"/>
        <v>39.883333331672475</v>
      </c>
      <c r="O74" s="7"/>
      <c r="P74" s="7"/>
      <c r="Q74" s="22"/>
      <c r="R74" s="22"/>
      <c r="S74" s="31">
        <f t="shared" si="3"/>
        <v>1</v>
      </c>
      <c r="T74" s="46" t="str">
        <f t="shared" si="4"/>
        <v>Southbound</v>
      </c>
      <c r="U74" s="190">
        <f>IF(AG74="EC",COUNTIFS(Variables!$M$2:$M$19,IF(T74="NorthBound","&gt;=","&lt;=")&amp;Y74,Variables!$M$2:$M$19,IF(T74="NorthBound","&lt;=","&gt;=")&amp;Z74),COUNTIFS(Variables!$P$2:$P$19,IF(T74="NorthBound","&gt;=","&lt;=")&amp;Y74,Variables!$P$2:$P$19,IF(T74="NorthBound","&lt;=","&gt;=")&amp;Z74))</f>
        <v>12</v>
      </c>
      <c r="V74" s="191" t="str">
        <f t="shared" si="5"/>
        <v>https://d0f6bd738d7f1b3e5a7ca70fe4ff75f0.us-east-1.aws.found.io/app/kibana#/discover/Steve-Slow-Train-Analysis-(2080s-and-2083s)?_g=(refreshInterval:(display:Off,pause:!f,section:0,value:0),time:(from:'2017-02-05T11:06:10-0700',mode:absolute,to:'2017-02-05T13:51: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74" s="192" t="str">
        <f t="shared" si="6"/>
        <v>N</v>
      </c>
      <c r="X74" s="192">
        <f t="shared" si="26"/>
        <v>1</v>
      </c>
      <c r="Y74" s="62">
        <f t="shared" si="24"/>
        <v>23.299399999999999</v>
      </c>
      <c r="Z74" s="62">
        <f t="shared" si="25"/>
        <v>1.38E-2</v>
      </c>
      <c r="AA74" s="62">
        <f t="shared" si="10"/>
        <v>23.285599999999999</v>
      </c>
      <c r="AB74" s="59" t="e">
        <f>VLOOKUP(A74,Enforcements!$C$7:$K$16,8,0)</f>
        <v>#N/A</v>
      </c>
      <c r="AC74" s="55" t="e">
        <f>VLOOKUP(A74,Enforcements!$C$7:$E$16,3,0)</f>
        <v>#N/A</v>
      </c>
      <c r="AD74" s="56" t="str">
        <f t="shared" si="11"/>
        <v>0162-05</v>
      </c>
      <c r="AE74" s="85" t="str">
        <f t="shared" si="12"/>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74" s="82" t="str">
        <f t="shared" si="13"/>
        <v>"C:\Program Files (x86)\AstroGrep\AstroGrep.exe" /spath="%USERPROFILE%\AppData\Local\Temp\OnboardLogs" /stypes="app*4015*20170205*" /stext=" 19:.+((SYSTEM_STATE.+slice.+state.+changed )|(ment ac)|(multiple cpu faults)|(system.+state.+changed )|(\[timeout)|(PRM\|1\|D)|(kpr)|(kdp)|(\|lc)|(penalty))" /e /r /s</v>
      </c>
      <c r="AG74" s="1" t="str">
        <f t="shared" si="14"/>
        <v>EC</v>
      </c>
      <c r="AH74" s="86" t="str">
        <f t="shared" si="18"/>
        <v>"%USERPROFILE%\Documents\GitHub\eaglep3\Utilities\RefineRTDCRunTimes.py" --tripid 162-05 --locoid 4015 --swversion DE.1.0.8.0 --startMP 204:232994 --initTime 2017-02-05T12:06:10 --startdatetime 2017-02-05T12:11:32 --delay 1 --endMP 204:138 --enddatetime 2017-02-05T12:51:25 --enforcementcount 0 &gt;&gt;C:\Users\stu\Documents\GitHub\eaglep3-reporting\EC\2017-02-05-refined-times.txt</v>
      </c>
      <c r="AI74" s="108" t="str">
        <f t="shared" si="19"/>
        <v>echo {"issue":{"subject":"","project_id":79,"tracker_id":40,"status_id":1,"priority_id":2,"assigned_to_id":23,"start_date":"2017-02-05","description":"","custom_fields":[{"id":1,"name":"Subdivision","value":"EC"},{"id":4,"name":"Milepost","value":"0.0138"},{"id":17,"name":"Train ID","value":"162-05"},{"id":16,"name":"Locomotive ID","value":"4015"},{"id":130,"name":"Impact","value":""},{"id":150,"name":"Time of Event (Mountain Time)","value":"12:51:25"},{"id":151,"name":"Denver Issue ID","value":""},{"id":178,"name":"Operational Impact","value":"Yes"},{"id":179,"name":"Denver Segment Assigned","value":""}]}} | curl -X POST -H "Content-Type: application/json" -H "X-Redmine-API-Key: d6333d4a04012a730768444271f8ca06482dae87" https://secure.xorail.net/redmine/issues.json --data @-</v>
      </c>
      <c r="AJ74" s="48"/>
      <c r="AK74" s="48"/>
      <c r="AL74" s="48"/>
      <c r="AM74" s="158" t="str">
        <f t="shared" si="20"/>
        <v>start /low /b %USERPROFILE%\Documents\GitHub\eaglep3\Utilities\DownloadLogsFromS3.py --loco 4015 --day 2017-02-05</v>
      </c>
      <c r="AN74" s="167" t="str">
        <f>"grep -SE -B400 ""CHR.+\|PRM\|1\|D.+(SWITCH|SIGNAL).+UNKNOWN"" "&amp;search_path&amp;"\RTDC"&amp;B74&amp;"\*"&amp;B74&amp;"*"&amp;TEXT(AVERAGE(F74,I74)-utc_offset/24,"YYYYMMDD")&amp;"* | grep -SE ""(Enforcement Action)|(\[TIMEOUT)|(CHR.+\|PRM\|1\|D.+(SWITCH|SIGNAL).+UNKNOWN)"" - &gt;&gt; "&amp;TEXT(Variables!$A$2,"YYYY-MM-DD")&amp;"-UncaughtWiMAX.txt"</f>
        <v>grep -SE -B400 "CHR.+\|PRM\|1\|D.+(SWITCH|SIGNAL).+UNKNOWN" "%USERPROFILE%\AppData\Local\Temp\OnboardLogs"\RTDC4015\*4015*20170205* | grep -SE "(Enforcement Action)|(\[TIMEOUT)|(CHR.+\|PRM\|1\|D.+(SWITCH|SIGNAL).+UNKNOWN)" - &gt;&gt; 2017-02-05-UncaughtWiMAX.txt</v>
      </c>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20" customFormat="1" x14ac:dyDescent="0.25">
      <c r="A75" s="33" t="s">
        <v>616</v>
      </c>
      <c r="B75" s="7">
        <v>4022</v>
      </c>
      <c r="C75" s="21" t="s">
        <v>193</v>
      </c>
      <c r="D75" s="21" t="s">
        <v>318</v>
      </c>
      <c r="E75" s="13">
        <v>42771.474456018521</v>
      </c>
      <c r="F75" s="13">
        <v>42771.479502314818</v>
      </c>
      <c r="G75" s="7">
        <v>1</v>
      </c>
      <c r="H75" s="21" t="s">
        <v>321</v>
      </c>
      <c r="I75" s="13">
        <v>42771.503888888888</v>
      </c>
      <c r="J75" s="7">
        <v>0</v>
      </c>
      <c r="K75" s="98" t="str">
        <f t="shared" si="0"/>
        <v>4021/4022</v>
      </c>
      <c r="L75" s="21" t="str">
        <f>VLOOKUP(A75,'Trips&amp;Operators'!$C$1:$G$99999,5,FALSE)</f>
        <v>LEVIN SCOTT</v>
      </c>
      <c r="M75" s="6">
        <f t="shared" si="1"/>
        <v>2.438657407037681E-2</v>
      </c>
      <c r="N75" s="7">
        <f t="shared" si="23"/>
        <v>35.116666661342606</v>
      </c>
      <c r="O75" s="7"/>
      <c r="P75" s="7"/>
      <c r="Q75" s="22"/>
      <c r="R75" s="22"/>
      <c r="S75" s="31">
        <f t="shared" si="3"/>
        <v>1</v>
      </c>
      <c r="T75" s="46" t="str">
        <f t="shared" si="4"/>
        <v>NorthBound</v>
      </c>
      <c r="U75" s="190">
        <f>IF(AG75="EC",COUNTIFS(Variables!$M$2:$M$19,IF(T75="NorthBound","&gt;=","&lt;=")&amp;Y75,Variables!$M$2:$M$19,IF(T75="NorthBound","&lt;=","&gt;=")&amp;Z75),COUNTIFS(Variables!$P$2:$P$19,IF(T75="NorthBound","&gt;=","&lt;=")&amp;Y75,Variables!$P$2:$P$19,IF(T75="NorthBound","&lt;=","&gt;=")&amp;Z75))</f>
        <v>12</v>
      </c>
      <c r="V75" s="191" t="str">
        <f t="shared" si="5"/>
        <v>https://d0f6bd738d7f1b3e5a7ca70fe4ff75f0.us-east-1.aws.found.io/app/kibana#/discover/Steve-Slow-Train-Analysis-(2080s-and-2083s)?_g=(refreshInterval:(display:Off,pause:!f,section:0,value:0),time:(from:'2017-02-05T10:23:13-0700',mode:absolute,to:'2017-02-05T13:05:36-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75" s="192" t="str">
        <f t="shared" si="6"/>
        <v>N</v>
      </c>
      <c r="X75" s="192">
        <f t="shared" si="26"/>
        <v>1</v>
      </c>
      <c r="Y75" s="62">
        <f t="shared" si="24"/>
        <v>4.4699999999999997E-2</v>
      </c>
      <c r="Z75" s="62">
        <f t="shared" si="25"/>
        <v>23.3291</v>
      </c>
      <c r="AA75" s="62">
        <f t="shared" si="10"/>
        <v>23.284400000000002</v>
      </c>
      <c r="AB75" s="59" t="e">
        <f>VLOOKUP(A75,Enforcements!$C$7:$K$16,8,0)</f>
        <v>#N/A</v>
      </c>
      <c r="AC75" s="55" t="e">
        <f>VLOOKUP(A75,Enforcements!$C$7:$E$16,3,0)</f>
        <v>#N/A</v>
      </c>
      <c r="AD75" s="56" t="str">
        <f t="shared" si="11"/>
        <v>0163-05</v>
      </c>
      <c r="AE75" s="85" t="str">
        <f t="shared" si="12"/>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75" s="82" t="str">
        <f t="shared" si="13"/>
        <v>"C:\Program Files (x86)\AstroGrep\AstroGrep.exe" /spath="%USERPROFILE%\AppData\Local\Temp\OnboardLogs" /stypes="app*4022*20170205*" /stext=" 19:.+((SYSTEM_STATE.+slice.+state.+changed )|(ment ac)|(multiple cpu faults)|(system.+state.+changed )|(\[timeout)|(PRM\|1\|D)|(kpr)|(kdp)|(\|lc)|(penalty))" /e /r /s</v>
      </c>
      <c r="AG75" s="1" t="str">
        <f t="shared" si="14"/>
        <v>EC</v>
      </c>
      <c r="AH75" s="86" t="str">
        <f t="shared" si="18"/>
        <v>"%USERPROFILE%\Documents\GitHub\eaglep3\Utilities\RefineRTDCRunTimes.py" --tripid 163-05 --locoid 4022 --swversion DE.1.0.8.0 --startMP 204:447 --initTime 2017-02-05T11:23:13 --startdatetime 2017-02-05T11:30:29 --delay 1 --endMP 204:233291 --enddatetime 2017-02-05T12:05:36 --enforcementcount 0 &gt;&gt;C:\Users\stu\Documents\GitHub\eaglep3-reporting\EC\2017-02-05-refined-times.txt</v>
      </c>
      <c r="AI75" s="108" t="str">
        <f t="shared" si="19"/>
        <v>echo {"issue":{"subject":"","project_id":79,"tracker_id":40,"status_id":1,"priority_id":2,"assigned_to_id":23,"start_date":"2017-02-05","description":"","custom_fields":[{"id":1,"name":"Subdivision","value":"EC"},{"id":4,"name":"Milepost","value":"23.3291"},{"id":17,"name":"Train ID","value":"163-05"},{"id":16,"name":"Locomotive ID","value":"4022"},{"id":130,"name":"Impact","value":""},{"id":150,"name":"Time of Event (Mountain Time)","value":"12:05:36"},{"id":151,"name":"Denver Issue ID","value":""},{"id":178,"name":"Operational Impact","value":"Yes"},{"id":179,"name":"Denver Segment Assigned","value":""}]}} | curl -X POST -H "Content-Type: application/json" -H "X-Redmine-API-Key: d6333d4a04012a730768444271f8ca06482dae87" https://secure.xorail.net/redmine/issues.json --data @-</v>
      </c>
      <c r="AJ75" s="48"/>
      <c r="AK75" s="48"/>
      <c r="AL75" s="48"/>
      <c r="AM75" s="158" t="str">
        <f t="shared" si="20"/>
        <v>start /low /b %USERPROFILE%\Documents\GitHub\eaglep3\Utilities\DownloadLogsFromS3.py --loco 4022 --day 2017-02-05</v>
      </c>
      <c r="AN75" s="167" t="str">
        <f>"grep -SE -B400 ""CHR.+\|PRM\|1\|D.+(SWITCH|SIGNAL).+UNKNOWN"" "&amp;search_path&amp;"\RTDC"&amp;B75&amp;"\*"&amp;B75&amp;"*"&amp;TEXT(AVERAGE(F75,I75)-utc_offset/24,"YYYYMMDD")&amp;"*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20" customFormat="1" x14ac:dyDescent="0.25">
      <c r="A76" s="33" t="s">
        <v>633</v>
      </c>
      <c r="B76" s="7">
        <v>4021</v>
      </c>
      <c r="C76" s="21" t="s">
        <v>193</v>
      </c>
      <c r="D76" s="21" t="s">
        <v>354</v>
      </c>
      <c r="E76" s="13">
        <v>42771.516550925924</v>
      </c>
      <c r="F76" s="13">
        <v>42771.518576388888</v>
      </c>
      <c r="G76" s="7">
        <v>1</v>
      </c>
      <c r="H76" s="21" t="s">
        <v>212</v>
      </c>
      <c r="I76" s="13">
        <v>42771.54451388889</v>
      </c>
      <c r="J76" s="7">
        <v>0</v>
      </c>
      <c r="K76" s="98" t="str">
        <f t="shared" si="0"/>
        <v>4021/4022</v>
      </c>
      <c r="L76" s="21" t="str">
        <f>VLOOKUP(A76,'Trips&amp;Operators'!$C$1:$G$99999,5,FALSE)</f>
        <v>LEVIN SCOTT</v>
      </c>
      <c r="M76" s="6">
        <f t="shared" si="1"/>
        <v>2.5937500002328306E-2</v>
      </c>
      <c r="N76" s="7">
        <f t="shared" si="23"/>
        <v>37.350000003352761</v>
      </c>
      <c r="O76" s="7"/>
      <c r="P76" s="7"/>
      <c r="Q76" s="22"/>
      <c r="R76" s="22"/>
      <c r="S76" s="31">
        <f t="shared" si="3"/>
        <v>1</v>
      </c>
      <c r="T76" s="46" t="str">
        <f t="shared" si="4"/>
        <v>Southbound</v>
      </c>
      <c r="U76" s="190">
        <f>IF(AG76="EC",COUNTIFS(Variables!$M$2:$M$19,IF(T76="NorthBound","&gt;=","&lt;=")&amp;Y76,Variables!$M$2:$M$19,IF(T76="NorthBound","&lt;=","&gt;=")&amp;Z76),COUNTIFS(Variables!$P$2:$P$19,IF(T76="NorthBound","&gt;=","&lt;=")&amp;Y76,Variables!$P$2:$P$19,IF(T76="NorthBound","&lt;=","&gt;=")&amp;Z76))</f>
        <v>12</v>
      </c>
      <c r="V76" s="191" t="str">
        <f t="shared" si="5"/>
        <v>https://d0f6bd738d7f1b3e5a7ca70fe4ff75f0.us-east-1.aws.found.io/app/kibana#/discover/Steve-Slow-Train-Analysis-(2080s-and-2083s)?_g=(refreshInterval:(display:Off,pause:!f,section:0,value:0),time:(from:'2017-02-05T11:23:50-0700',mode:absolute,to:'2017-02-05T14:04:06-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76" s="192" t="str">
        <f t="shared" si="6"/>
        <v>N</v>
      </c>
      <c r="X76" s="192">
        <f t="shared" si="26"/>
        <v>1</v>
      </c>
      <c r="Y76" s="62">
        <f t="shared" si="24"/>
        <v>23.297799999999999</v>
      </c>
      <c r="Z76" s="62">
        <f t="shared" si="25"/>
        <v>1.52E-2</v>
      </c>
      <c r="AA76" s="62">
        <f t="shared" si="10"/>
        <v>23.282599999999999</v>
      </c>
      <c r="AB76" s="59" t="e">
        <f>VLOOKUP(A76,Enforcements!$C$7:$K$16,8,0)</f>
        <v>#N/A</v>
      </c>
      <c r="AC76" s="55" t="e">
        <f>VLOOKUP(A76,Enforcements!$C$7:$E$16,3,0)</f>
        <v>#N/A</v>
      </c>
      <c r="AD76" s="56" t="str">
        <f t="shared" si="11"/>
        <v>0164-05</v>
      </c>
      <c r="AE76" s="85" t="str">
        <f t="shared" si="12"/>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76" s="82" t="str">
        <f t="shared" si="13"/>
        <v>"C:\Program Files (x86)\AstroGrep\AstroGrep.exe" /spath="%USERPROFILE%\AppData\Local\Temp\OnboardLogs" /stypes="app*4021*20170205*" /stext=" 20:.+((SYSTEM_STATE.+slice.+state.+changed )|(ment ac)|(multiple cpu faults)|(system.+state.+changed )|(\[timeout)|(PRM\|1\|D)|(kpr)|(kdp)|(\|lc)|(penalty))" /e /r /s</v>
      </c>
      <c r="AG76" s="1" t="str">
        <f t="shared" si="14"/>
        <v>EC</v>
      </c>
      <c r="AH76" s="86" t="str">
        <f t="shared" si="18"/>
        <v>"%USERPROFILE%\Documents\GitHub\eaglep3\Utilities\RefineRTDCRunTimes.py" --tripid 164-05 --locoid 4021 --swversion DE.1.0.8.0 --startMP 204:232978 --initTime 2017-02-05T12:23:50 --startdatetime 2017-02-05T12:26:45 --delay 1 --endMP 204:152 --enddatetime 2017-02-05T13:04:06 --enforcementcount 0 &gt;&gt;C:\Users\stu\Documents\GitHub\eaglep3-reporting\EC\2017-02-05-refined-times.txt</v>
      </c>
      <c r="AI76" s="108" t="str">
        <f t="shared" si="19"/>
        <v>echo {"issue":{"subject":"","project_id":79,"tracker_id":40,"status_id":1,"priority_id":2,"assigned_to_id":23,"start_date":"2017-02-05","description":"","custom_fields":[{"id":1,"name":"Subdivision","value":"EC"},{"id":4,"name":"Milepost","value":"0.0152"},{"id":17,"name":"Train ID","value":"164-05"},{"id":16,"name":"Locomotive ID","value":"4021"},{"id":130,"name":"Impact","value":""},{"id":150,"name":"Time of Event (Mountain Time)","value":"13:04:06"},{"id":151,"name":"Denver Issue ID","value":""},{"id":178,"name":"Operational Impact","value":"Yes"},{"id":179,"name":"Denver Segment Assigned","value":""}]}} | curl -X POST -H "Content-Type: application/json" -H "X-Redmine-API-Key: d6333d4a04012a730768444271f8ca06482dae87" https://secure.xorail.net/redmine/issues.json --data @-</v>
      </c>
      <c r="AJ76" s="48"/>
      <c r="AK76" s="48"/>
      <c r="AL76" s="48"/>
      <c r="AM76" s="158" t="str">
        <f t="shared" si="20"/>
        <v>start /low /b %USERPROFILE%\Documents\GitHub\eaglep3\Utilities\DownloadLogsFromS3.py --loco 4021 --day 2017-02-05</v>
      </c>
      <c r="AN76" s="167" t="str">
        <f>"grep -SE -B400 ""CHR.+\|PRM\|1\|D.+(SWITCH|SIGNAL).+UNKNOWN"" "&amp;search_path&amp;"\RTDC"&amp;B76&amp;"\*"&amp;B76&amp;"*"&amp;TEXT(AVERAGE(F76,I76)-utc_offset/24,"YYYYMMDD")&amp;"*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x14ac:dyDescent="0.25">
      <c r="A77" s="33" t="s">
        <v>622</v>
      </c>
      <c r="B77" s="7">
        <v>4002</v>
      </c>
      <c r="C77" s="21" t="s">
        <v>193</v>
      </c>
      <c r="D77" s="21" t="s">
        <v>774</v>
      </c>
      <c r="E77" s="13">
        <v>42771.484965277778</v>
      </c>
      <c r="F77" s="13">
        <v>42771.489756944444</v>
      </c>
      <c r="G77" s="7">
        <v>1</v>
      </c>
      <c r="H77" s="21" t="s">
        <v>306</v>
      </c>
      <c r="I77" s="13">
        <v>42771.515844907408</v>
      </c>
      <c r="J77" s="7">
        <v>0</v>
      </c>
      <c r="K77" s="98" t="str">
        <f t="shared" ref="K77:K140" si="27">IF(ISEVEN(B77),(B77-1)&amp;"/"&amp;B77,B77&amp;"/"&amp;(B77+1))</f>
        <v>4001/4002</v>
      </c>
      <c r="L77" s="21" t="str">
        <f>VLOOKUP(A77,'Trips&amp;Operators'!$C$1:$G$99999,5,FALSE)</f>
        <v>WHITED DUSTIN</v>
      </c>
      <c r="M77" s="6">
        <f t="shared" ref="M77:M140" si="28">I77-F77</f>
        <v>2.6087962964083999E-2</v>
      </c>
      <c r="N77" s="7">
        <f t="shared" ref="N77:N83" si="29">24*60*SUM($M77:$M77)</f>
        <v>37.566666668280959</v>
      </c>
      <c r="O77" s="7"/>
      <c r="P77" s="7"/>
      <c r="Q77" s="22"/>
      <c r="R77" s="22"/>
      <c r="S77" s="31">
        <f t="shared" ref="S77:S140" si="30">SUM(U77:U77)/IF(AG77="EC",12,1)</f>
        <v>1</v>
      </c>
      <c r="T77" s="46" t="str">
        <f t="shared" ref="T77:T140" si="31">IF(ISEVEN(LEFT(AD77,4)),"Southbound","NorthBound")</f>
        <v>NorthBound</v>
      </c>
      <c r="U77" s="190">
        <f>IF(AG77="EC",COUNTIFS(Variables!$M$2:$M$19,IF(T77="NorthBound","&gt;=","&lt;=")&amp;Y77,Variables!$M$2:$M$19,IF(T77="NorthBound","&lt;=","&gt;=")&amp;Z77),COUNTIFS(Variables!$P$2:$P$19,IF(T77="NorthBound","&gt;=","&lt;=")&amp;Y77,Variables!$P$2:$P$19,IF(T77="NorthBound","&lt;=","&gt;=")&amp;Z77))</f>
        <v>12</v>
      </c>
      <c r="V77" s="191" t="str">
        <f t="shared" ref="V77:V140" si="32">"https://d0f6bd738d7f1b3e5a7ca70fe4ff75f0.us-east-1.aws.found.io/app/kibana#/discover/Steve-Slow-Train-Analysis-(2080s-and-2083s)?_g="&amp;"(refreshInterval:(display:Off,pause:!f,section:0,value:0),time:(from:'"&amp;TEXT(E77-1/24,"yyyy-MM-DDThh:mm:ss")&amp;utc_offset&amp;"00"&amp;"',mode:absolute,to:'"&amp;TEXT(I77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77&amp;"%22')),sort:!(Time.ISO8601,asc))"</f>
        <v>https://d0f6bd738d7f1b3e5a7ca70fe4ff75f0.us-east-1.aws.found.io/app/kibana#/discover/Steve-Slow-Train-Analysis-(2080s-and-2083s)?_g=(refreshInterval:(display:Off,pause:!f,section:0,value:0),time:(from:'2017-02-05T10:38:21-0700',mode:absolute,to:'2017-02-05T13:22:49-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77" s="192" t="str">
        <f t="shared" ref="W77:W140" si="33">IF(AA77&lt;IF(AG77="EC",23,5.65),"Y","N")</f>
        <v>N</v>
      </c>
      <c r="X77" s="192">
        <f t="shared" si="26"/>
        <v>1</v>
      </c>
      <c r="Y77" s="62">
        <f t="shared" ref="Y77:Y108" si="34">RIGHT(D77,LEN(D77)-4)/10000</f>
        <v>4.2900000000000001E-2</v>
      </c>
      <c r="Z77" s="62">
        <f t="shared" ref="Z77:Z108" si="35">RIGHT(H77,LEN(H77)-4)/10000</f>
        <v>23.3308</v>
      </c>
      <c r="AA77" s="62">
        <f t="shared" ref="AA77:AA140" si="36">ABS(Z77-Y77)</f>
        <v>23.2879</v>
      </c>
      <c r="AB77" s="59" t="e">
        <f>VLOOKUP(A77,Enforcements!$C$7:$K$16,8,0)</f>
        <v>#N/A</v>
      </c>
      <c r="AC77" s="55" t="e">
        <f>VLOOKUP(A77,Enforcements!$C$7:$E$16,3,0)</f>
        <v>#N/A</v>
      </c>
      <c r="AD77" s="56" t="str">
        <f t="shared" ref="AD77:AD140" si="37">IF(LEN(A77)=6,"0"&amp;A77,A77)</f>
        <v>0165-05</v>
      </c>
      <c r="AE77" s="85" t="str">
        <f t="shared" ref="AE77:AE140" si="38">"aws s3 cp "&amp;s3_bucket&amp;"/RTDC"&amp;B77&amp;"/ "&amp;search_path&amp;"\RTDC"&amp;B77&amp;"\"&amp;TEXT(F77,"YYYY-MM-DD")&amp;" --exclude ""*"" --recursive --include ""*"&amp;TEXT(F77,"YYYYMMDD")&amp;"*"" &amp; """&amp;walkandungz&amp;""" "&amp;search_path&amp;"\RTDC"&amp;B77&amp;"\"&amp;TEXT(F77,"YYYY-MM-DD")
&amp;" &amp; "&amp;"aws s3 cp "&amp;s3_bucket&amp;"/RTDC"&amp;B77&amp;"/ "&amp;search_path&amp;"\RTDC"&amp;B77&amp;"\"&amp;TEXT(F77+1,"YYYY-MM-DD")&amp;" --exclude ""*"" --recursive --include ""*"&amp;TEXT(F77+1,"YYYYMMDD")&amp;"*"" &amp; """&amp;walkandungz&amp;""" "&amp;search_path&amp;"\RTDC"&amp;B77&amp;"\"&amp;TEXT(F77+1,"YYYY-MM-DD")</f>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77" s="82" t="str">
        <f t="shared" ref="AF77:AF140" si="39">astrogrep_path&amp;" /spath="&amp;search_path&amp;" /stypes=""app*"&amp;B77&amp;"*"&amp;TEXT(I77-utc_offset/24,"YYYYMMDD")&amp;"*"" /stext="" "&amp;TEXT(I77-utc_offset/24,"HH")&amp;search_regexp&amp;""" /e /r /s"</f>
        <v>"C:\Program Files (x86)\AstroGrep\AstroGrep.exe" /spath="%USERPROFILE%\AppData\Local\Temp\OnboardLogs" /stypes="app*4002*20170205*" /stext=" 19:.+((SYSTEM_STATE.+slice.+state.+changed )|(ment ac)|(multiple cpu faults)|(system.+state.+changed )|(\[timeout)|(PRM\|1\|D)|(kpr)|(kdp)|(\|lc)|(penalty))" /e /r /s</v>
      </c>
      <c r="AG77" s="1" t="str">
        <f t="shared" ref="AG77:AG140" si="40">IFERROR(IF(VALUE(LEFT(AD77,2))&lt;=2,"EC",IF(OR(VALUE(LEFT(AD77,2))=8,VALUE(LEFT(AD77,2))=18),"NW","Other")),"Other")</f>
        <v>EC</v>
      </c>
      <c r="AH77" s="86" t="str">
        <f t="shared" ref="AH77:AH139" si="41">refinertdcruntimes&amp;" --tripid "&amp;A77&amp;" --locoid "&amp;B77&amp;" --swversion "&amp;C77&amp;" --startMP "&amp;D77&amp;" --initTime "&amp;TEXT(E77,"yyyy-mm-ddTHH:MM:SS")&amp;" --startdatetime "&amp;TEXT(F77,"yyyy-mm-ddTHH:MM:SS")&amp;" --delay "&amp;G77&amp;" --endMP "&amp;H77&amp;" --enddatetime "&amp;TEXT(I77,"yyyy-mm-ddTHH:MM:SS")&amp;" --enforcementcount "&amp;J77&amp;IF(outputrefinedruntimes," &gt;&gt;"&amp;RefinedRTDCRunTimesOutputFile,"")</f>
        <v>"%USERPROFILE%\Documents\GitHub\eaglep3\Utilities\RefineRTDCRunTimes.py" --tripid 165-05 --locoid 4002 --swversion DE.1.0.8.0 --startMP 204:429 --initTime 2017-02-05T11:38:21 --startdatetime 2017-02-05T11:45:15 --delay 1 --endMP 204:233308 --enddatetime 2017-02-05T12:22:49 --enforcementcount 0 &gt;&gt;C:\Users\stu\Documents\GitHub\eaglep3-reporting\EC\2017-02-05-refined-times.txt</v>
      </c>
      <c r="AI77" s="108" t="str">
        <f t="shared" ref="AI77:AI139" si="42">"echo {""issue"":{""subject"":"""&amp;R77&amp;""",""project_id"":79,""tracker_id"":40,""status_id"":"&amp;redmine_status&amp;",""priority_id"":"&amp;redmine_priority&amp;",""assigned_to_id"":"&amp;redmine_assignee&amp;",""start_date"":"""&amp;TEXT(I77,"YYYY-mm-dd")&amp;""",""description"":"""&amp;AJ77&amp;""",""custom_fields"":[{""id"":1,""name"":""Subdivision"",""value"":"""&amp;AG77&amp;"""},{""id"":4,""name"":""Milepost"",""value"":"""&amp;Z77&amp;"""},{""id"":17,""name"":""Train ID"",""value"":"""&amp;A77&amp;"""},{""id"":16,""name"":""Locomotive ID"",""value"":"""&amp;B77&amp;"""},{""id"":130,""name"":""Impact"",""value"":"""&amp;AK77&amp;"""},{""id"":150,""name"":""Time of Event (Mountain Time)"",""value"":"""&amp;TEXT(I77,"hh:mm:ss")&amp;"""},{""id"":151,""name"":""Denver Issue ID"",""value"":"""&amp;"""},{""id"":178,""name"":""Operational Impact"",""value"":"""&amp;redmine_op_impact&amp;"""},{""id"":179,""name"":""Denver Segment Assigned"",""value"":"""&amp;AL77&amp;"""}]}}"&amp;" | curl -X POST -H ""Content-Type: application/json"" -H ""X-Redmine-API-Key: "&amp;redm_api_key&amp;""" "&amp;redm_url&amp;" --data @-"</f>
        <v>echo {"issue":{"subject":"","project_id":79,"tracker_id":40,"status_id":1,"priority_id":2,"assigned_to_id":23,"start_date":"2017-02-05","description":"","custom_fields":[{"id":1,"name":"Subdivision","value":"EC"},{"id":4,"name":"Milepost","value":"23.3308"},{"id":17,"name":"Train ID","value":"165-05"},{"id":16,"name":"Locomotive ID","value":"4002"},{"id":130,"name":"Impact","value":""},{"id":150,"name":"Time of Event (Mountain Time)","value":"12:22:49"},{"id":151,"name":"Denver Issue ID","value":""},{"id":178,"name":"Operational Impact","value":"Yes"},{"id":179,"name":"Denver Segment Assigned","value":""}]}} | curl -X POST -H "Content-Type: application/json" -H "X-Redmine-API-Key: d6333d4a04012a730768444271f8ca06482dae87" https://secure.xorail.net/redmine/issues.json --data @-</v>
      </c>
      <c r="AJ77" s="48"/>
      <c r="AK77" s="48"/>
      <c r="AL77" s="48"/>
      <c r="AM77" s="158" t="str">
        <f t="shared" ref="AM77:AM139" si="43">"start /low /b "&amp;dls3logs&amp;" --loco "&amp;B77&amp;" --day "&amp;TEXT(F77,"YYYY-MM-DD")</f>
        <v>start /low /b %USERPROFILE%\Documents\GitHub\eaglep3\Utilities\DownloadLogsFromS3.py --loco 4002 --day 2017-02-05</v>
      </c>
      <c r="AN77" s="167" t="str">
        <f>"grep -SE -B400 ""CHR.+\|PRM\|1\|D.+(SWITCH|SIGNAL).+UNKNOWN"" "&amp;search_path&amp;"\RTDC"&amp;B77&amp;"\*"&amp;B77&amp;"*"&amp;TEXT(AVERAGE(F77,I77)-utc_offset/24,"YYYYMMDD")&amp;"*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row>
    <row r="78" spans="1:91" x14ac:dyDescent="0.25">
      <c r="A78" s="33" t="s">
        <v>634</v>
      </c>
      <c r="B78" s="7">
        <v>4001</v>
      </c>
      <c r="C78" s="21" t="s">
        <v>193</v>
      </c>
      <c r="D78" s="21" t="s">
        <v>768</v>
      </c>
      <c r="E78" s="13">
        <v>42771.522789351853</v>
      </c>
      <c r="F78" s="13">
        <v>42771.528726851851</v>
      </c>
      <c r="G78" s="7">
        <v>1</v>
      </c>
      <c r="H78" s="21" t="s">
        <v>206</v>
      </c>
      <c r="I78" s="13">
        <v>42771.555949074071</v>
      </c>
      <c r="J78" s="7">
        <v>0</v>
      </c>
      <c r="K78" s="98" t="str">
        <f t="shared" si="27"/>
        <v>4001/4002</v>
      </c>
      <c r="L78" s="21" t="str">
        <f>VLOOKUP(A78,'Trips&amp;Operators'!$C$1:$G$99999,5,FALSE)</f>
        <v>WHITED DUSTIN</v>
      </c>
      <c r="M78" s="6">
        <f t="shared" si="28"/>
        <v>2.7222222219279502E-2</v>
      </c>
      <c r="N78" s="7">
        <f t="shared" si="29"/>
        <v>39.199999995762482</v>
      </c>
      <c r="O78" s="7"/>
      <c r="P78" s="7"/>
      <c r="Q78" s="22"/>
      <c r="R78" s="22"/>
      <c r="S78" s="31">
        <f t="shared" si="30"/>
        <v>1</v>
      </c>
      <c r="T78" s="46" t="str">
        <f t="shared" si="31"/>
        <v>Southbound</v>
      </c>
      <c r="U78" s="190">
        <f>IF(AG78="EC",COUNTIFS(Variables!$M$2:$M$19,IF(T78="NorthBound","&gt;=","&lt;=")&amp;Y78,Variables!$M$2:$M$19,IF(T78="NorthBound","&lt;=","&gt;=")&amp;Z78),COUNTIFS(Variables!$P$2:$P$19,IF(T78="NorthBound","&gt;=","&lt;=")&amp;Y78,Variables!$P$2:$P$19,IF(T78="NorthBound","&lt;=","&gt;=")&amp;Z78))</f>
        <v>12</v>
      </c>
      <c r="V78" s="191" t="str">
        <f t="shared" si="32"/>
        <v>https://d0f6bd738d7f1b3e5a7ca70fe4ff75f0.us-east-1.aws.found.io/app/kibana#/discover/Steve-Slow-Train-Analysis-(2080s-and-2083s)?_g=(refreshInterval:(display:Off,pause:!f,section:0,value:0),time:(from:'2017-02-05T11:32:49-0700',mode:absolute,to:'2017-02-05T14:20:34-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78" s="192" t="str">
        <f t="shared" si="33"/>
        <v>N</v>
      </c>
      <c r="X78" s="192">
        <f t="shared" si="26"/>
        <v>1</v>
      </c>
      <c r="Y78" s="62">
        <f t="shared" si="34"/>
        <v>23.3</v>
      </c>
      <c r="Z78" s="62">
        <f t="shared" si="35"/>
        <v>1.47E-2</v>
      </c>
      <c r="AA78" s="62">
        <f t="shared" si="36"/>
        <v>23.285299999999999</v>
      </c>
      <c r="AB78" s="59" t="e">
        <f>VLOOKUP(A78,Enforcements!$C$7:$K$16,8,0)</f>
        <v>#N/A</v>
      </c>
      <c r="AC78" s="55" t="e">
        <f>VLOOKUP(A78,Enforcements!$C$7:$E$16,3,0)</f>
        <v>#N/A</v>
      </c>
      <c r="AD78" s="56" t="str">
        <f t="shared" si="37"/>
        <v>0166-05</v>
      </c>
      <c r="AE78" s="85" t="str">
        <f t="shared" si="38"/>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78" s="82" t="str">
        <f t="shared" si="39"/>
        <v>"C:\Program Files (x86)\AstroGrep\AstroGrep.exe" /spath="%USERPROFILE%\AppData\Local\Temp\OnboardLogs" /stypes="app*4001*20170205*" /stext=" 20:.+((SYSTEM_STATE.+slice.+state.+changed )|(ment ac)|(multiple cpu faults)|(system.+state.+changed )|(\[timeout)|(PRM\|1\|D)|(kpr)|(kdp)|(\|lc)|(penalty))" /e /r /s</v>
      </c>
      <c r="AG78" s="1" t="str">
        <f t="shared" si="40"/>
        <v>EC</v>
      </c>
      <c r="AH78" s="86" t="str">
        <f t="shared" si="41"/>
        <v>"%USERPROFILE%\Documents\GitHub\eaglep3\Utilities\RefineRTDCRunTimes.py" --tripid 166-05 --locoid 4001 --swversion DE.1.0.8.0 --startMP 204:233000 --initTime 2017-02-05T12:32:49 --startdatetime 2017-02-05T12:41:22 --delay 1 --endMP 204:147 --enddatetime 2017-02-05T13:20:34 --enforcementcount 0 &gt;&gt;C:\Users\stu\Documents\GitHub\eaglep3-reporting\EC\2017-02-05-refined-times.txt</v>
      </c>
      <c r="AI78" s="108" t="str">
        <f t="shared" si="42"/>
        <v>echo {"issue":{"subject":"","project_id":79,"tracker_id":40,"status_id":1,"priority_id":2,"assigned_to_id":23,"start_date":"2017-02-05","description":"","custom_fields":[{"id":1,"name":"Subdivision","value":"EC"},{"id":4,"name":"Milepost","value":"0.0147"},{"id":17,"name":"Train ID","value":"166-05"},{"id":16,"name":"Locomotive ID","value":"4001"},{"id":130,"name":"Impact","value":""},{"id":150,"name":"Time of Event (Mountain Time)","value":"13:20:34"},{"id":151,"name":"Denver Issue ID","value":""},{"id":178,"name":"Operational Impact","value":"Yes"},{"id":179,"name":"Denver Segment Assigned","value":""}]}} | curl -X POST -H "Content-Type: application/json" -H "X-Redmine-API-Key: d6333d4a04012a730768444271f8ca06482dae87" https://secure.xorail.net/redmine/issues.json --data @-</v>
      </c>
      <c r="AJ78" s="48"/>
      <c r="AK78" s="48"/>
      <c r="AL78" s="48"/>
      <c r="AM78" s="158" t="str">
        <f t="shared" si="43"/>
        <v>start /low /b %USERPROFILE%\Documents\GitHub\eaglep3\Utilities\DownloadLogsFromS3.py --loco 4001 --day 2017-02-05</v>
      </c>
      <c r="AN78" s="167" t="str">
        <f>"grep -SE -B400 ""CHR.+\|PRM\|1\|D.+(SWITCH|SIGNAL).+UNKNOWN"" "&amp;search_path&amp;"\RTDC"&amp;B78&amp;"\*"&amp;B78&amp;"*"&amp;TEXT(AVERAGE(F78,I78)-utc_offset/24,"YYYYMMDD")&amp;"*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row>
    <row r="79" spans="1:91" s="20" customFormat="1" x14ac:dyDescent="0.25">
      <c r="A79" s="33" t="s">
        <v>624</v>
      </c>
      <c r="B79" s="7">
        <v>4031</v>
      </c>
      <c r="C79" s="21" t="s">
        <v>193</v>
      </c>
      <c r="D79" s="21" t="s">
        <v>778</v>
      </c>
      <c r="E79" s="13">
        <v>42771.493541666663</v>
      </c>
      <c r="F79" s="13">
        <v>42771.500173611108</v>
      </c>
      <c r="G79" s="7">
        <v>2</v>
      </c>
      <c r="H79" s="21" t="s">
        <v>284</v>
      </c>
      <c r="I79" s="13">
        <v>42771.524918981479</v>
      </c>
      <c r="J79" s="7">
        <v>0</v>
      </c>
      <c r="K79" s="98" t="str">
        <f t="shared" si="27"/>
        <v>4031/4032</v>
      </c>
      <c r="L79" s="21" t="str">
        <f>VLOOKUP(A79,'Trips&amp;Operators'!$C$1:$G$99999,5,FALSE)</f>
        <v>CRAYTON QUNTRELL</v>
      </c>
      <c r="M79" s="6">
        <f t="shared" si="28"/>
        <v>2.47453703705105E-2</v>
      </c>
      <c r="N79" s="7">
        <f t="shared" si="29"/>
        <v>35.63333333353512</v>
      </c>
      <c r="O79" s="7"/>
      <c r="P79" s="7"/>
      <c r="Q79" s="22"/>
      <c r="R79" s="22"/>
      <c r="S79" s="31">
        <f t="shared" si="30"/>
        <v>1</v>
      </c>
      <c r="T79" s="46" t="str">
        <f t="shared" si="31"/>
        <v>NorthBound</v>
      </c>
      <c r="U79" s="190">
        <f>IF(AG79="EC",COUNTIFS(Variables!$M$2:$M$19,IF(T79="NorthBound","&gt;=","&lt;=")&amp;Y79,Variables!$M$2:$M$19,IF(T79="NorthBound","&lt;=","&gt;=")&amp;Z79),COUNTIFS(Variables!$P$2:$P$19,IF(T79="NorthBound","&gt;=","&lt;=")&amp;Y79,Variables!$P$2:$P$19,IF(T79="NorthBound","&lt;=","&gt;=")&amp;Z79))</f>
        <v>12</v>
      </c>
      <c r="V79" s="191" t="str">
        <f t="shared" si="32"/>
        <v>https://d0f6bd738d7f1b3e5a7ca70fe4ff75f0.us-east-1.aws.found.io/app/kibana#/discover/Steve-Slow-Train-Analysis-(2080s-and-2083s)?_g=(refreshInterval:(display:Off,pause:!f,section:0,value:0),time:(from:'2017-02-05T10:50:42-0700',mode:absolute,to:'2017-02-05T13:35:53-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79" s="192" t="str">
        <f t="shared" si="33"/>
        <v>N</v>
      </c>
      <c r="X79" s="192">
        <f t="shared" si="26"/>
        <v>1</v>
      </c>
      <c r="Y79" s="62">
        <f t="shared" si="34"/>
        <v>4.9299999999999997E-2</v>
      </c>
      <c r="Z79" s="62">
        <f t="shared" si="35"/>
        <v>23.330100000000002</v>
      </c>
      <c r="AA79" s="62">
        <f t="shared" si="36"/>
        <v>23.280800000000003</v>
      </c>
      <c r="AB79" s="59" t="e">
        <f>VLOOKUP(A79,Enforcements!$C$7:$K$16,8,0)</f>
        <v>#N/A</v>
      </c>
      <c r="AC79" s="55" t="e">
        <f>VLOOKUP(A79,Enforcements!$C$7:$E$16,3,0)</f>
        <v>#N/A</v>
      </c>
      <c r="AD79" s="56" t="str">
        <f t="shared" si="37"/>
        <v>0167-05</v>
      </c>
      <c r="AE79" s="85" t="str">
        <f t="shared" si="38"/>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79" s="82" t="str">
        <f t="shared" si="39"/>
        <v>"C:\Program Files (x86)\AstroGrep\AstroGrep.exe" /spath="%USERPROFILE%\AppData\Local\Temp\OnboardLogs" /stypes="app*4031*20170205*" /stext=" 19:.+((SYSTEM_STATE.+slice.+state.+changed )|(ment ac)|(multiple cpu faults)|(system.+state.+changed )|(\[timeout)|(PRM\|1\|D)|(kpr)|(kdp)|(\|lc)|(penalty))" /e /r /s</v>
      </c>
      <c r="AG79" s="1" t="str">
        <f t="shared" si="40"/>
        <v>EC</v>
      </c>
      <c r="AH79" s="86" t="str">
        <f t="shared" si="41"/>
        <v>"%USERPROFILE%\Documents\GitHub\eaglep3\Utilities\RefineRTDCRunTimes.py" --tripid 167-05 --locoid 4031 --swversion DE.1.0.8.0 --startMP 204:493 --initTime 2017-02-05T11:50:42 --startdatetime 2017-02-05T12:00:15 --delay 2 --endMP 204:233301 --enddatetime 2017-02-05T12:35:53 --enforcementcount 0 &gt;&gt;C:\Users\stu\Documents\GitHub\eaglep3-reporting\EC\2017-02-05-refined-times.txt</v>
      </c>
      <c r="AI79" s="108" t="str">
        <f t="shared" si="42"/>
        <v>echo {"issue":{"subject":"","project_id":79,"tracker_id":40,"status_id":1,"priority_id":2,"assigned_to_id":23,"start_date":"2017-02-05","description":"","custom_fields":[{"id":1,"name":"Subdivision","value":"EC"},{"id":4,"name":"Milepost","value":"23.3301"},{"id":17,"name":"Train ID","value":"167-05"},{"id":16,"name":"Locomotive ID","value":"4031"},{"id":130,"name":"Impact","value":""},{"id":150,"name":"Time of Event (Mountain Time)","value":"12:35:53"},{"id":151,"name":"Denver Issue ID","value":""},{"id":178,"name":"Operational Impact","value":"Yes"},{"id":179,"name":"Denver Segment Assigned","value":""}]}} | curl -X POST -H "Content-Type: application/json" -H "X-Redmine-API-Key: d6333d4a04012a730768444271f8ca06482dae87" https://secure.xorail.net/redmine/issues.json --data @-</v>
      </c>
      <c r="AJ79" s="48"/>
      <c r="AK79" s="48"/>
      <c r="AL79" s="48"/>
      <c r="AM79" s="158" t="str">
        <f t="shared" si="43"/>
        <v>start /low /b %USERPROFILE%\Documents\GitHub\eaglep3\Utilities\DownloadLogsFromS3.py --loco 4031 --day 2017-02-05</v>
      </c>
      <c r="AN79" s="167" t="str">
        <f>"grep -SE -B400 ""CHR.+\|PRM\|1\|D.+(SWITCH|SIGNAL).+UNKNOWN"" "&amp;search_path&amp;"\RTDC"&amp;B79&amp;"\*"&amp;B79&amp;"*"&amp;TEXT(AVERAGE(F79,I79)-utc_offset/24,"YYYYMMDD")&amp;"*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20" customFormat="1" x14ac:dyDescent="0.25">
      <c r="A80" s="33" t="s">
        <v>639</v>
      </c>
      <c r="B80" s="7">
        <v>4032</v>
      </c>
      <c r="C80" s="21" t="s">
        <v>193</v>
      </c>
      <c r="D80" s="21" t="s">
        <v>326</v>
      </c>
      <c r="E80" s="13">
        <v>42771.531851851854</v>
      </c>
      <c r="F80" s="13">
        <v>42771.539085648146</v>
      </c>
      <c r="G80" s="7">
        <v>1</v>
      </c>
      <c r="H80" s="21" t="s">
        <v>206</v>
      </c>
      <c r="I80" s="13">
        <v>42771.565625000003</v>
      </c>
      <c r="J80" s="7">
        <v>0</v>
      </c>
      <c r="K80" s="98" t="str">
        <f t="shared" si="27"/>
        <v>4031/4032</v>
      </c>
      <c r="L80" s="21" t="str">
        <f>VLOOKUP(A80,'Trips&amp;Operators'!$C$1:$G$99999,5,FALSE)</f>
        <v>CRAYTON QUNTRELL</v>
      </c>
      <c r="M80" s="6">
        <f t="shared" si="28"/>
        <v>2.6539351856627036E-2</v>
      </c>
      <c r="N80" s="7">
        <f t="shared" si="29"/>
        <v>38.216666673542932</v>
      </c>
      <c r="O80" s="7"/>
      <c r="P80" s="7"/>
      <c r="Q80" s="22"/>
      <c r="R80" s="22"/>
      <c r="S80" s="31">
        <f t="shared" si="30"/>
        <v>1</v>
      </c>
      <c r="T80" s="46" t="str">
        <f t="shared" si="31"/>
        <v>Southbound</v>
      </c>
      <c r="U80" s="190">
        <f>IF(AG80="EC",COUNTIFS(Variables!$M$2:$M$19,IF(T80="NorthBound","&gt;=","&lt;=")&amp;Y80,Variables!$M$2:$M$19,IF(T80="NorthBound","&lt;=","&gt;=")&amp;Z80),COUNTIFS(Variables!$P$2:$P$19,IF(T80="NorthBound","&gt;=","&lt;=")&amp;Y80,Variables!$P$2:$P$19,IF(T80="NorthBound","&lt;=","&gt;=")&amp;Z80))</f>
        <v>12</v>
      </c>
      <c r="V80" s="191" t="str">
        <f t="shared" si="32"/>
        <v>https://d0f6bd738d7f1b3e5a7ca70fe4ff75f0.us-east-1.aws.found.io/app/kibana#/discover/Steve-Slow-Train-Analysis-(2080s-and-2083s)?_g=(refreshInterval:(display:Off,pause:!f,section:0,value:0),time:(from:'2017-02-05T11:45:52-0700',mode:absolute,to:'2017-02-05T14:34:30-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80" s="192" t="str">
        <f t="shared" si="33"/>
        <v>N</v>
      </c>
      <c r="X80" s="192">
        <f t="shared" si="26"/>
        <v>1</v>
      </c>
      <c r="Y80" s="62">
        <f t="shared" si="34"/>
        <v>23.2986</v>
      </c>
      <c r="Z80" s="62">
        <f t="shared" si="35"/>
        <v>1.47E-2</v>
      </c>
      <c r="AA80" s="62">
        <f t="shared" si="36"/>
        <v>23.283899999999999</v>
      </c>
      <c r="AB80" s="59" t="e">
        <f>VLOOKUP(A80,Enforcements!$C$7:$K$16,8,0)</f>
        <v>#N/A</v>
      </c>
      <c r="AC80" s="55" t="e">
        <f>VLOOKUP(A80,Enforcements!$C$7:$E$16,3,0)</f>
        <v>#N/A</v>
      </c>
      <c r="AD80" s="56" t="str">
        <f t="shared" si="37"/>
        <v>0168-05</v>
      </c>
      <c r="AE80" s="85" t="str">
        <f t="shared" si="38"/>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80" s="82" t="str">
        <f t="shared" si="39"/>
        <v>"C:\Program Files (x86)\AstroGrep\AstroGrep.exe" /spath="%USERPROFILE%\AppData\Local\Temp\OnboardLogs" /stypes="app*4032*20170205*" /stext=" 20:.+((SYSTEM_STATE.+slice.+state.+changed )|(ment ac)|(multiple cpu faults)|(system.+state.+changed )|(\[timeout)|(PRM\|1\|D)|(kpr)|(kdp)|(\|lc)|(penalty))" /e /r /s</v>
      </c>
      <c r="AG80" s="1" t="str">
        <f t="shared" si="40"/>
        <v>EC</v>
      </c>
      <c r="AH80" s="86" t="str">
        <f t="shared" si="41"/>
        <v>"%USERPROFILE%\Documents\GitHub\eaglep3\Utilities\RefineRTDCRunTimes.py" --tripid 168-05 --locoid 4032 --swversion DE.1.0.8.0 --startMP 204:232986 --initTime 2017-02-05T12:45:52 --startdatetime 2017-02-05T12:56:17 --delay 1 --endMP 204:147 --enddatetime 2017-02-05T13:34:30 --enforcementcount 0 &gt;&gt;C:\Users\stu\Documents\GitHub\eaglep3-reporting\EC\2017-02-05-refined-times.txt</v>
      </c>
      <c r="AI80" s="108" t="str">
        <f t="shared" si="42"/>
        <v>echo {"issue":{"subject":"","project_id":79,"tracker_id":40,"status_id":1,"priority_id":2,"assigned_to_id":23,"start_date":"2017-02-05","description":"","custom_fields":[{"id":1,"name":"Subdivision","value":"EC"},{"id":4,"name":"Milepost","value":"0.0147"},{"id":17,"name":"Train ID","value":"168-05"},{"id":16,"name":"Locomotive ID","value":"4032"},{"id":130,"name":"Impact","value":""},{"id":150,"name":"Time of Event (Mountain Time)","value":"13:34:30"},{"id":151,"name":"Denver Issue ID","value":""},{"id":178,"name":"Operational Impact","value":"Yes"},{"id":179,"name":"Denver Segment Assigned","value":""}]}} | curl -X POST -H "Content-Type: application/json" -H "X-Redmine-API-Key: d6333d4a04012a730768444271f8ca06482dae87" https://secure.xorail.net/redmine/issues.json --data @-</v>
      </c>
      <c r="AJ80" s="48"/>
      <c r="AK80" s="48"/>
      <c r="AL80" s="48"/>
      <c r="AM80" s="158" t="str">
        <f t="shared" si="43"/>
        <v>start /low /b %USERPROFILE%\Documents\GitHub\eaglep3\Utilities\DownloadLogsFromS3.py --loco 4032 --day 2017-02-05</v>
      </c>
      <c r="AN80" s="167" t="str">
        <f>"grep -SE -B400 ""CHR.+\|PRM\|1\|D.+(SWITCH|SIGNAL).+UNKNOWN"" "&amp;search_path&amp;"\RTDC"&amp;B80&amp;"\*"&amp;B80&amp;"*"&amp;TEXT(AVERAGE(F80,I80)-utc_offset/24,"YYYYMMDD")&amp;"*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20" customFormat="1" x14ac:dyDescent="0.25">
      <c r="A81" s="33" t="s">
        <v>628</v>
      </c>
      <c r="B81" s="7">
        <v>4009</v>
      </c>
      <c r="C81" s="21" t="s">
        <v>193</v>
      </c>
      <c r="D81" s="21" t="s">
        <v>240</v>
      </c>
      <c r="E81" s="13">
        <v>42771.504710648151</v>
      </c>
      <c r="F81" s="13">
        <v>42771.510555555556</v>
      </c>
      <c r="G81" s="7">
        <v>1</v>
      </c>
      <c r="H81" s="21" t="s">
        <v>779</v>
      </c>
      <c r="I81" s="13">
        <v>42771.536030092589</v>
      </c>
      <c r="J81" s="7">
        <v>0</v>
      </c>
      <c r="K81" s="98" t="str">
        <f t="shared" si="27"/>
        <v>4009/4010</v>
      </c>
      <c r="L81" s="21" t="str">
        <f>VLOOKUP(A81,'Trips&amp;Operators'!$C$1:$G$99999,5,FALSE)</f>
        <v>ROMERO CHAD</v>
      </c>
      <c r="M81" s="6">
        <f t="shared" si="28"/>
        <v>2.5474537033005618E-2</v>
      </c>
      <c r="N81" s="7">
        <f t="shared" si="29"/>
        <v>36.683333327528089</v>
      </c>
      <c r="O81" s="7"/>
      <c r="P81" s="7"/>
      <c r="Q81" s="22"/>
      <c r="R81" s="22"/>
      <c r="S81" s="31">
        <f t="shared" si="30"/>
        <v>1</v>
      </c>
      <c r="T81" s="46" t="str">
        <f t="shared" si="31"/>
        <v>NorthBound</v>
      </c>
      <c r="U81" s="190">
        <f>IF(AG81="EC",COUNTIFS(Variables!$M$2:$M$19,IF(T81="NorthBound","&gt;=","&lt;=")&amp;Y81,Variables!$M$2:$M$19,IF(T81="NorthBound","&lt;=","&gt;=")&amp;Z81),COUNTIFS(Variables!$P$2:$P$19,IF(T81="NorthBound","&gt;=","&lt;=")&amp;Y81,Variables!$P$2:$P$19,IF(T81="NorthBound","&lt;=","&gt;=")&amp;Z81))</f>
        <v>12</v>
      </c>
      <c r="V81" s="191" t="str">
        <f t="shared" si="32"/>
        <v>https://d0f6bd738d7f1b3e5a7ca70fe4ff75f0.us-east-1.aws.found.io/app/kibana#/discover/Steve-Slow-Train-Analysis-(2080s-and-2083s)?_g=(refreshInterval:(display:Off,pause:!f,section:0,value:0),time:(from:'2017-02-05T11:06:47-0700',mode:absolute,to:'2017-02-05T13:51:53-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81" s="192" t="str">
        <f t="shared" si="33"/>
        <v>N</v>
      </c>
      <c r="X81" s="192">
        <f t="shared" si="26"/>
        <v>1</v>
      </c>
      <c r="Y81" s="62">
        <f t="shared" si="34"/>
        <v>4.5100000000000001E-2</v>
      </c>
      <c r="Z81" s="62">
        <f t="shared" si="35"/>
        <v>23.333600000000001</v>
      </c>
      <c r="AA81" s="62">
        <f t="shared" si="36"/>
        <v>23.288499999999999</v>
      </c>
      <c r="AB81" s="59" t="e">
        <f>VLOOKUP(A81,Enforcements!$C$7:$K$16,8,0)</f>
        <v>#N/A</v>
      </c>
      <c r="AC81" s="55" t="e">
        <f>VLOOKUP(A81,Enforcements!$C$7:$E$16,3,0)</f>
        <v>#N/A</v>
      </c>
      <c r="AD81" s="56" t="str">
        <f t="shared" si="37"/>
        <v>0169-05</v>
      </c>
      <c r="AE81" s="85" t="str">
        <f t="shared" si="38"/>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81" s="82" t="str">
        <f t="shared" si="39"/>
        <v>"C:\Program Files (x86)\AstroGrep\AstroGrep.exe" /spath="%USERPROFILE%\AppData\Local\Temp\OnboardLogs" /stypes="app*4009*20170205*" /stext=" 19:.+((SYSTEM_STATE.+slice.+state.+changed )|(ment ac)|(multiple cpu faults)|(system.+state.+changed )|(\[timeout)|(PRM\|1\|D)|(kpr)|(kdp)|(\|lc)|(penalty))" /e /r /s</v>
      </c>
      <c r="AG81" s="1" t="str">
        <f t="shared" si="40"/>
        <v>EC</v>
      </c>
      <c r="AH81" s="86" t="str">
        <f t="shared" si="41"/>
        <v>"%USERPROFILE%\Documents\GitHub\eaglep3\Utilities\RefineRTDCRunTimes.py" --tripid 169-05 --locoid 4009 --swversion DE.1.0.8.0 --startMP 204:451 --initTime 2017-02-05T12:06:47 --startdatetime 2017-02-05T12:15:12 --delay 1 --endMP 204:233336 --enddatetime 2017-02-05T12:51:53 --enforcementcount 0 &gt;&gt;C:\Users\stu\Documents\GitHub\eaglep3-reporting\EC\2017-02-05-refined-times.txt</v>
      </c>
      <c r="AI81" s="108" t="str">
        <f t="shared" si="42"/>
        <v>echo {"issue":{"subject":"","project_id":79,"tracker_id":40,"status_id":1,"priority_id":2,"assigned_to_id":23,"start_date":"2017-02-05","description":"","custom_fields":[{"id":1,"name":"Subdivision","value":"EC"},{"id":4,"name":"Milepost","value":"23.3336"},{"id":17,"name":"Train ID","value":"169-05"},{"id":16,"name":"Locomotive ID","value":"4009"},{"id":130,"name":"Impact","value":""},{"id":150,"name":"Time of Event (Mountain Time)","value":"12:51:53"},{"id":151,"name":"Denver Issue ID","value":""},{"id":178,"name":"Operational Impact","value":"Yes"},{"id":179,"name":"Denver Segment Assigned","value":""}]}} | curl -X POST -H "Content-Type: application/json" -H "X-Redmine-API-Key: d6333d4a04012a730768444271f8ca06482dae87" https://secure.xorail.net/redmine/issues.json --data @-</v>
      </c>
      <c r="AJ81" s="48"/>
      <c r="AK81" s="48"/>
      <c r="AL81" s="48"/>
      <c r="AM81" s="158" t="str">
        <f t="shared" si="43"/>
        <v>start /low /b %USERPROFILE%\Documents\GitHub\eaglep3\Utilities\DownloadLogsFromS3.py --loco 4009 --day 2017-02-05</v>
      </c>
      <c r="AN81" s="167" t="str">
        <f>"grep -SE -B400 ""CHR.+\|PRM\|1\|D.+(SWITCH|SIGNAL).+UNKNOWN"" "&amp;search_path&amp;"\RTDC"&amp;B81&amp;"\*"&amp;B81&amp;"*"&amp;TEXT(AVERAGE(F81,I81)-utc_offset/24,"YYYYMMDD")&amp;"*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20" customFormat="1" x14ac:dyDescent="0.25">
      <c r="A82" s="33" t="s">
        <v>642</v>
      </c>
      <c r="B82" s="7">
        <v>4010</v>
      </c>
      <c r="C82" s="21" t="s">
        <v>193</v>
      </c>
      <c r="D82" s="21" t="s">
        <v>759</v>
      </c>
      <c r="E82" s="13">
        <v>42771.538634259261</v>
      </c>
      <c r="F82" s="13">
        <v>42771.549837962964</v>
      </c>
      <c r="G82" s="7">
        <v>1</v>
      </c>
      <c r="H82" s="21" t="s">
        <v>780</v>
      </c>
      <c r="I82" s="13">
        <v>42771.575601851851</v>
      </c>
      <c r="J82" s="7">
        <v>0</v>
      </c>
      <c r="K82" s="98" t="str">
        <f t="shared" si="27"/>
        <v>4009/4010</v>
      </c>
      <c r="L82" s="21" t="str">
        <f>VLOOKUP(A82,'Trips&amp;Operators'!$C$1:$G$99999,5,FALSE)</f>
        <v>ROMERO CHAD</v>
      </c>
      <c r="M82" s="6">
        <f t="shared" si="28"/>
        <v>2.5763888887013309E-2</v>
      </c>
      <c r="N82" s="7">
        <f t="shared" si="29"/>
        <v>37.099999997299165</v>
      </c>
      <c r="O82" s="7"/>
      <c r="P82" s="7"/>
      <c r="Q82" s="22"/>
      <c r="R82" s="22"/>
      <c r="S82" s="31">
        <f t="shared" si="30"/>
        <v>1</v>
      </c>
      <c r="T82" s="46" t="str">
        <f t="shared" si="31"/>
        <v>Southbound</v>
      </c>
      <c r="U82" s="190">
        <f>IF(AG82="EC",COUNTIFS(Variables!$M$2:$M$19,IF(T82="NorthBound","&gt;=","&lt;=")&amp;Y82,Variables!$M$2:$M$19,IF(T82="NorthBound","&lt;=","&gt;=")&amp;Z82),COUNTIFS(Variables!$P$2:$P$19,IF(T82="NorthBound","&gt;=","&lt;=")&amp;Y82,Variables!$P$2:$P$19,IF(T82="NorthBound","&lt;=","&gt;=")&amp;Z82))</f>
        <v>12</v>
      </c>
      <c r="V82" s="191" t="str">
        <f t="shared" si="32"/>
        <v>https://d0f6bd738d7f1b3e5a7ca70fe4ff75f0.us-east-1.aws.found.io/app/kibana#/discover/Steve-Slow-Train-Analysis-(2080s-and-2083s)?_g=(refreshInterval:(display:Off,pause:!f,section:0,value:0),time:(from:'2017-02-05T11:55:38-0700',mode:absolute,to:'2017-02-05T14:48:52-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82" s="192" t="str">
        <f t="shared" si="33"/>
        <v>N</v>
      </c>
      <c r="X82" s="192">
        <f t="shared" si="26"/>
        <v>1</v>
      </c>
      <c r="Y82" s="62">
        <f t="shared" si="34"/>
        <v>23.301100000000002</v>
      </c>
      <c r="Z82" s="62">
        <f t="shared" si="35"/>
        <v>1.32E-2</v>
      </c>
      <c r="AA82" s="62">
        <f t="shared" si="36"/>
        <v>23.2879</v>
      </c>
      <c r="AB82" s="59" t="e">
        <f>VLOOKUP(A82,Enforcements!$C$7:$K$16,8,0)</f>
        <v>#N/A</v>
      </c>
      <c r="AC82" s="55" t="e">
        <f>VLOOKUP(A82,Enforcements!$C$7:$E$16,3,0)</f>
        <v>#N/A</v>
      </c>
      <c r="AD82" s="56" t="str">
        <f t="shared" si="37"/>
        <v>0170-05</v>
      </c>
      <c r="AE82" s="85" t="str">
        <f t="shared" si="38"/>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82" s="82" t="str">
        <f t="shared" si="39"/>
        <v>"C:\Program Files (x86)\AstroGrep\AstroGrep.exe" /spath="%USERPROFILE%\AppData\Local\Temp\OnboardLogs" /stypes="app*4010*20170205*" /stext=" 20:.+((SYSTEM_STATE.+slice.+state.+changed )|(ment ac)|(multiple cpu faults)|(system.+state.+changed )|(\[timeout)|(PRM\|1\|D)|(kpr)|(kdp)|(\|lc)|(penalty))" /e /r /s</v>
      </c>
      <c r="AG82" s="1" t="str">
        <f t="shared" si="40"/>
        <v>EC</v>
      </c>
      <c r="AH82" s="86" t="str">
        <f t="shared" si="41"/>
        <v>"%USERPROFILE%\Documents\GitHub\eaglep3\Utilities\RefineRTDCRunTimes.py" --tripid 170-05 --locoid 4010 --swversion DE.1.0.8.0 --startMP 204:233011 --initTime 2017-02-05T12:55:38 --startdatetime 2017-02-05T13:11:46 --delay 1 --endMP 204:132 --enddatetime 2017-02-05T13:48:52 --enforcementcount 0 &gt;&gt;C:\Users\stu\Documents\GitHub\eaglep3-reporting\EC\2017-02-05-refined-times.txt</v>
      </c>
      <c r="AI82" s="108" t="str">
        <f t="shared" si="42"/>
        <v>echo {"issue":{"subject":"","project_id":79,"tracker_id":40,"status_id":1,"priority_id":2,"assigned_to_id":23,"start_date":"2017-02-05","description":"","custom_fields":[{"id":1,"name":"Subdivision","value":"EC"},{"id":4,"name":"Milepost","value":"0.0132"},{"id":17,"name":"Train ID","value":"170-05"},{"id":16,"name":"Locomotive ID","value":"4010"},{"id":130,"name":"Impact","value":""},{"id":150,"name":"Time of Event (Mountain Time)","value":"13:48:52"},{"id":151,"name":"Denver Issue ID","value":""},{"id":178,"name":"Operational Impact","value":"Yes"},{"id":179,"name":"Denver Segment Assigned","value":""}]}} | curl -X POST -H "Content-Type: application/json" -H "X-Redmine-API-Key: d6333d4a04012a730768444271f8ca06482dae87" https://secure.xorail.net/redmine/issues.json --data @-</v>
      </c>
      <c r="AJ82" s="48"/>
      <c r="AK82" s="48"/>
      <c r="AL82" s="48"/>
      <c r="AM82" s="158" t="str">
        <f t="shared" si="43"/>
        <v>start /low /b %USERPROFILE%\Documents\GitHub\eaglep3\Utilities\DownloadLogsFromS3.py --loco 4010 --day 2017-02-05</v>
      </c>
      <c r="AN82" s="167" t="str">
        <f>"grep -SE -B400 ""CHR.+\|PRM\|1\|D.+(SWITCH|SIGNAL).+UNKNOWN"" "&amp;search_path&amp;"\RTDC"&amp;B82&amp;"\*"&amp;B82&amp;"*"&amp;TEXT(AVERAGE(F82,I82)-utc_offset/24,"YYYYMMDD")&amp;"*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20" customFormat="1" x14ac:dyDescent="0.25">
      <c r="A83" s="33" t="s">
        <v>630</v>
      </c>
      <c r="B83" s="7">
        <v>4040</v>
      </c>
      <c r="C83" s="21" t="s">
        <v>193</v>
      </c>
      <c r="D83" s="21" t="s">
        <v>760</v>
      </c>
      <c r="E83" s="13">
        <v>42771.516481481478</v>
      </c>
      <c r="F83" s="13">
        <v>42771.521018518521</v>
      </c>
      <c r="G83" s="7">
        <v>1</v>
      </c>
      <c r="H83" s="21" t="s">
        <v>321</v>
      </c>
      <c r="I83" s="13">
        <v>42771.546249999999</v>
      </c>
      <c r="J83" s="7">
        <v>0</v>
      </c>
      <c r="K83" s="98" t="str">
        <f t="shared" si="27"/>
        <v>4039/4040</v>
      </c>
      <c r="L83" s="21" t="str">
        <f>VLOOKUP(A83,'Trips&amp;Operators'!$C$1:$G$99999,5,FALSE)</f>
        <v>KILLION DAVID</v>
      </c>
      <c r="M83" s="6">
        <f t="shared" si="28"/>
        <v>2.5231481478840578E-2</v>
      </c>
      <c r="N83" s="7">
        <f t="shared" si="29"/>
        <v>36.333333329530433</v>
      </c>
      <c r="O83" s="7"/>
      <c r="P83" s="7"/>
      <c r="Q83" s="22"/>
      <c r="R83" s="22"/>
      <c r="S83" s="31">
        <f t="shared" si="30"/>
        <v>1</v>
      </c>
      <c r="T83" s="46" t="str">
        <f t="shared" si="31"/>
        <v>NorthBound</v>
      </c>
      <c r="U83" s="190">
        <f>IF(AG83="EC",COUNTIFS(Variables!$M$2:$M$19,IF(T83="NorthBound","&gt;=","&lt;=")&amp;Y83,Variables!$M$2:$M$19,IF(T83="NorthBound","&lt;=","&gt;=")&amp;Z83),COUNTIFS(Variables!$P$2:$P$19,IF(T83="NorthBound","&gt;=","&lt;=")&amp;Y83,Variables!$P$2:$P$19,IF(T83="NorthBound","&lt;=","&gt;=")&amp;Z83))</f>
        <v>12</v>
      </c>
      <c r="V83" s="191" t="str">
        <f t="shared" si="32"/>
        <v>https://d0f6bd738d7f1b3e5a7ca70fe4ff75f0.us-east-1.aws.found.io/app/kibana#/discover/Steve-Slow-Train-Analysis-(2080s-and-2083s)?_g=(refreshInterval:(display:Off,pause:!f,section:0,value:0),time:(from:'2017-02-05T11:23:44-0700',mode:absolute,to:'2017-02-05T14:06:36-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83" s="192" t="str">
        <f t="shared" si="33"/>
        <v>N</v>
      </c>
      <c r="X83" s="192">
        <f t="shared" si="26"/>
        <v>1</v>
      </c>
      <c r="Y83" s="62">
        <f t="shared" si="34"/>
        <v>4.3999999999999997E-2</v>
      </c>
      <c r="Z83" s="62">
        <f t="shared" si="35"/>
        <v>23.3291</v>
      </c>
      <c r="AA83" s="62">
        <f t="shared" si="36"/>
        <v>23.2851</v>
      </c>
      <c r="AB83" s="59" t="e">
        <f>VLOOKUP(A83,Enforcements!$C$7:$K$16,8,0)</f>
        <v>#N/A</v>
      </c>
      <c r="AC83" s="55" t="e">
        <f>VLOOKUP(A83,Enforcements!$C$7:$E$16,3,0)</f>
        <v>#N/A</v>
      </c>
      <c r="AD83" s="56" t="str">
        <f t="shared" si="37"/>
        <v>0171-05</v>
      </c>
      <c r="AE83" s="85" t="str">
        <f t="shared" si="38"/>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83" s="82" t="str">
        <f t="shared" si="39"/>
        <v>"C:\Program Files (x86)\AstroGrep\AstroGrep.exe" /spath="%USERPROFILE%\AppData\Local\Temp\OnboardLogs" /stypes="app*4040*20170205*" /stext=" 20:.+((SYSTEM_STATE.+slice.+state.+changed )|(ment ac)|(multiple cpu faults)|(system.+state.+changed )|(\[timeout)|(PRM\|1\|D)|(kpr)|(kdp)|(\|lc)|(penalty))" /e /r /s</v>
      </c>
      <c r="AG83" s="1" t="str">
        <f t="shared" si="40"/>
        <v>EC</v>
      </c>
      <c r="AH83" s="86" t="str">
        <f t="shared" si="41"/>
        <v>"%USERPROFILE%\Documents\GitHub\eaglep3\Utilities\RefineRTDCRunTimes.py" --tripid 171-05 --locoid 4040 --swversion DE.1.0.8.0 --startMP 204:440 --initTime 2017-02-05T12:23:44 --startdatetime 2017-02-05T12:30:16 --delay 1 --endMP 204:233291 --enddatetime 2017-02-05T13:06:36 --enforcementcount 0 &gt;&gt;C:\Users\stu\Documents\GitHub\eaglep3-reporting\EC\2017-02-05-refined-times.txt</v>
      </c>
      <c r="AI83" s="108" t="str">
        <f t="shared" si="42"/>
        <v>echo {"issue":{"subject":"","project_id":79,"tracker_id":40,"status_id":1,"priority_id":2,"assigned_to_id":23,"start_date":"2017-02-05","description":"","custom_fields":[{"id":1,"name":"Subdivision","value":"EC"},{"id":4,"name":"Milepost","value":"23.3291"},{"id":17,"name":"Train ID","value":"171-05"},{"id":16,"name":"Locomotive ID","value":"4040"},{"id":130,"name":"Impact","value":""},{"id":150,"name":"Time of Event (Mountain Time)","value":"13:06:36"},{"id":151,"name":"Denver Issue ID","value":""},{"id":178,"name":"Operational Impact","value":"Yes"},{"id":179,"name":"Denver Segment Assigned","value":""}]}} | curl -X POST -H "Content-Type: application/json" -H "X-Redmine-API-Key: d6333d4a04012a730768444271f8ca06482dae87" https://secure.xorail.net/redmine/issues.json --data @-</v>
      </c>
      <c r="AJ83" s="48"/>
      <c r="AK83" s="48"/>
      <c r="AL83" s="48"/>
      <c r="AM83" s="158" t="str">
        <f t="shared" si="43"/>
        <v>start /low /b %USERPROFILE%\Documents\GitHub\eaglep3\Utilities\DownloadLogsFromS3.py --loco 4040 --day 2017-02-05</v>
      </c>
      <c r="AN83" s="167" t="str">
        <f>"grep -SE -B400 ""CHR.+\|PRM\|1\|D.+(SWITCH|SIGNAL).+UNKNOWN"" "&amp;search_path&amp;"\RTDC"&amp;B83&amp;"\*"&amp;B83&amp;"*"&amp;TEXT(AVERAGE(F83,I83)-utc_offset/24,"YYYYMMDD")&amp;"* | grep -SE ""(Enforcement Action)|(\[TIMEOUT)|(CHR.+\|PRM\|1\|D.+(SWITCH|SIGNAL).+UNKNOWN)"" - &gt;&gt; "&amp;TEXT(Variables!$A$2,"YYYY-MM-DD")&amp;"-UncaughtWiMAX.txt"</f>
        <v>grep -SE -B400 "CHR.+\|PRM\|1\|D.+(SWITCH|SIGNAL).+UNKNOWN" "%USERPROFILE%\AppData\Local\Temp\OnboardLogs"\RTDC4040\*4040*20170205* | grep -SE "(Enforcement Action)|(\[TIMEOUT)|(CHR.+\|PRM\|1\|D.+(SWITCH|SIGNAL).+UNKNOWN)" - &gt;&gt; 2017-02-05-UncaughtWiMAX.txt</v>
      </c>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x14ac:dyDescent="0.25">
      <c r="A84" s="33" t="s">
        <v>644</v>
      </c>
      <c r="B84" s="7">
        <v>4039</v>
      </c>
      <c r="C84" s="21" t="s">
        <v>193</v>
      </c>
      <c r="D84" s="21" t="s">
        <v>324</v>
      </c>
      <c r="E84" s="13">
        <v>42771.552511574075</v>
      </c>
      <c r="F84" s="13">
        <v>42771.560057870367</v>
      </c>
      <c r="G84" s="7">
        <v>1</v>
      </c>
      <c r="H84" s="21" t="s">
        <v>781</v>
      </c>
      <c r="I84" s="13">
        <v>42771.583773148152</v>
      </c>
      <c r="J84" s="7">
        <v>0</v>
      </c>
      <c r="K84" s="98" t="str">
        <f t="shared" si="27"/>
        <v>4039/4040</v>
      </c>
      <c r="L84" s="21" t="str">
        <f>VLOOKUP(A84,'Trips&amp;Operators'!$C$1:$G$99999,5,FALSE)</f>
        <v>KILLION DAVID</v>
      </c>
      <c r="M84" s="6">
        <f t="shared" si="28"/>
        <v>2.3715277784503996E-2</v>
      </c>
      <c r="N84" s="7"/>
      <c r="O84" s="7"/>
      <c r="P84" s="7">
        <f>24*60*SUM($M84:$M84)</f>
        <v>34.150000009685755</v>
      </c>
      <c r="Q84" s="22"/>
      <c r="R84" s="22" t="s">
        <v>903</v>
      </c>
      <c r="S84" s="31">
        <f t="shared" si="30"/>
        <v>1</v>
      </c>
      <c r="T84" s="46" t="str">
        <f t="shared" si="31"/>
        <v>Southbound</v>
      </c>
      <c r="U84" s="190">
        <f>IF(AG84="EC",COUNTIFS(Variables!$M$2:$M$19,IF(T84="NorthBound","&gt;=","&lt;=")&amp;Y84,Variables!$M$2:$M$19,IF(T84="NorthBound","&lt;=","&gt;=")&amp;Z84),COUNTIFS(Variables!$P$2:$P$19,IF(T84="NorthBound","&gt;=","&lt;=")&amp;Y84,Variables!$P$2:$P$19,IF(T84="NorthBound","&lt;=","&gt;=")&amp;Z84))</f>
        <v>12</v>
      </c>
      <c r="V84" s="191" t="str">
        <f t="shared" si="32"/>
        <v>https://d0f6bd738d7f1b3e5a7ca70fe4ff75f0.us-east-1.aws.found.io/app/kibana#/discover/Steve-Slow-Train-Analysis-(2080s-and-2083s)?_g=(refreshInterval:(display:Off,pause:!f,section:0,value:0),time:(from:'2017-02-05T12:15:37-0700',mode:absolute,to:'2017-02-05T15:00:38-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84" s="192" t="str">
        <f t="shared" si="33"/>
        <v>Y</v>
      </c>
      <c r="X84" s="192">
        <f t="shared" si="26"/>
        <v>1</v>
      </c>
      <c r="Y84" s="62">
        <f t="shared" si="34"/>
        <v>23.297699999999999</v>
      </c>
      <c r="Z84" s="62">
        <f t="shared" si="35"/>
        <v>1.877</v>
      </c>
      <c r="AA84" s="62">
        <f t="shared" si="36"/>
        <v>21.4207</v>
      </c>
      <c r="AB84" s="59" t="e">
        <f>VLOOKUP(A84,Enforcements!$C$7:$K$16,8,0)</f>
        <v>#N/A</v>
      </c>
      <c r="AC84" s="55" t="e">
        <f>VLOOKUP(A84,Enforcements!$C$7:$E$16,3,0)</f>
        <v>#N/A</v>
      </c>
      <c r="AD84" s="56" t="str">
        <f t="shared" si="37"/>
        <v>0172-05</v>
      </c>
      <c r="AE84" s="85" t="str">
        <f t="shared" si="38"/>
        <v>aws s3 cp s3://rtdc.mdm.uploadarchive.raw/RTDC4039/ "%USERPROFILE%\AppData\Local\Temp\OnboardLogs"\RTDC4039\2017-02-05 --exclude "*" --recursive --include "*20170205*" &amp; "%USERPROFILE%\Documents\GitHub\mrs-test-scripts\Headless Mode &amp; Sideloading\WalkAndUnGZ.bat" "%USERPROFILE%\AppData\Local\Temp\OnboardLogs"\RTDC4039\2017-02-05 &amp; aws s3 cp s3://rtdc.mdm.uploadarchive.raw/RTDC4039/ "%USERPROFILE%\AppData\Local\Temp\OnboardLogs"\RTDC4039\2017-02-06 --exclude "*" --recursive --include "*20170206*" &amp; "%USERPROFILE%\Documents\GitHub\mrs-test-scripts\Headless Mode &amp; Sideloading\WalkAndUnGZ.bat" "%USERPROFILE%\AppData\Local\Temp\OnboardLogs"\RTDC4039\2017-02-06</v>
      </c>
      <c r="AF84" s="82" t="str">
        <f t="shared" si="39"/>
        <v>"C:\Program Files (x86)\AstroGrep\AstroGrep.exe" /spath="%USERPROFILE%\AppData\Local\Temp\OnboardLogs" /stypes="app*4039*20170205*" /stext=" 21:.+((SYSTEM_STATE.+slice.+state.+changed )|(ment ac)|(multiple cpu faults)|(system.+state.+changed )|(\[timeout)|(PRM\|1\|D)|(kpr)|(kdp)|(\|lc)|(penalty))" /e /r /s</v>
      </c>
      <c r="AG84" s="1" t="str">
        <f t="shared" si="40"/>
        <v>EC</v>
      </c>
      <c r="AH84" s="86" t="str">
        <f t="shared" si="41"/>
        <v>"%USERPROFILE%\Documents\GitHub\eaglep3\Utilities\RefineRTDCRunTimes.py" --tripid 172-05 --locoid 4039 --swversion DE.1.0.8.0 --startMP 204:232977 --initTime 2017-02-05T13:15:37 --startdatetime 2017-02-05T13:26:29 --delay 1 --endMP 204:18770 --enddatetime 2017-02-05T14:00:38 --enforcementcount 0 &gt;&gt;C:\Users\stu\Documents\GitHub\eaglep3-reporting\EC\2017-02-05-refined-times.txt</v>
      </c>
      <c r="AI84" s="108" t="str">
        <f t="shared" si="42"/>
        <v>echo {"issue":{"subject":"Onboard in-route failure","project_id":79,"tracker_id":40,"status_id":1,"priority_id":2,"assigned_to_id":23,"start_date":"2017-02-05","description":"","custom_fields":[{"id":1,"name":"Subdivision","value":"EC"},{"id":4,"name":"Milepost","value":"1.877"},{"id":17,"name":"Train ID","value":"172-05"},{"id":16,"name":"Locomotive ID","value":"4039"},{"id":130,"name":"Impact","value":""},{"id":150,"name":"Time of Event (Mountain Time)","value":"14:00:38"},{"id":151,"name":"Denver Issue ID","value":""},{"id":178,"name":"Operational Impact","value":"Yes"},{"id":179,"name":"Denver Segment Assigned","value":""}]}} | curl -X POST -H "Content-Type: application/json" -H "X-Redmine-API-Key: d6333d4a04012a730768444271f8ca06482dae87" https://secure.xorail.net/redmine/issues.json --data @-</v>
      </c>
      <c r="AJ84" s="48"/>
      <c r="AK84" s="48"/>
      <c r="AL84" s="48"/>
      <c r="AM84" s="158" t="str">
        <f t="shared" si="43"/>
        <v>start /low /b %USERPROFILE%\Documents\GitHub\eaglep3\Utilities\DownloadLogsFromS3.py --loco 4039 --day 2017-02-05</v>
      </c>
      <c r="AN84" s="167" t="str">
        <f>"grep -SE -B400 ""CHR.+\|PRM\|1\|D.+(SWITCH|SIGNAL).+UNKNOWN"" "&amp;search_path&amp;"\RTDC"&amp;B84&amp;"\*"&amp;B84&amp;"*"&amp;TEXT(AVERAGE(F84,I84)-utc_offset/24,"YYYYMMDD")&amp;"* | grep -SE ""(Enforcement Action)|(\[TIMEOUT)|(CHR.+\|PRM\|1\|D.+(SWITCH|SIGNAL).+UNKNOWN)"" - &gt;&gt; "&amp;TEXT(Variables!$A$2,"YYYY-MM-DD")&amp;"-UncaughtWiMAX.txt"</f>
        <v>grep -SE -B400 "CHR.+\|PRM\|1\|D.+(SWITCH|SIGNAL).+UNKNOWN" "%USERPROFILE%\AppData\Local\Temp\OnboardLogs"\RTDC4039\*4039*20170205* | grep -SE "(Enforcement Action)|(\[TIMEOUT)|(CHR.+\|PRM\|1\|D.+(SWITCH|SIGNAL).+UNKNOWN)" - &gt;&gt; 2017-02-05-UncaughtWiMAX.txt</v>
      </c>
    </row>
    <row r="85" spans="1:91" s="20" customFormat="1" x14ac:dyDescent="0.25">
      <c r="A85" s="33" t="s">
        <v>636</v>
      </c>
      <c r="B85" s="7">
        <v>4025</v>
      </c>
      <c r="C85" s="21" t="s">
        <v>193</v>
      </c>
      <c r="D85" s="21" t="s">
        <v>411</v>
      </c>
      <c r="E85" s="13">
        <v>42771.526678240742</v>
      </c>
      <c r="F85" s="13">
        <v>42771.531423611108</v>
      </c>
      <c r="G85" s="7">
        <v>2</v>
      </c>
      <c r="H85" s="21" t="s">
        <v>409</v>
      </c>
      <c r="I85" s="13">
        <v>42771.556203703702</v>
      </c>
      <c r="J85" s="7">
        <v>0</v>
      </c>
      <c r="K85" s="98" t="str">
        <f t="shared" si="27"/>
        <v>4025/4026</v>
      </c>
      <c r="L85" s="21" t="str">
        <f>VLOOKUP(A85,'Trips&amp;Operators'!$C$1:$G$99999,5,FALSE)</f>
        <v>LALONDE GREGORY</v>
      </c>
      <c r="M85" s="6">
        <f t="shared" si="28"/>
        <v>2.4780092593573499E-2</v>
      </c>
      <c r="N85" s="7">
        <f t="shared" ref="N85:N96" si="44">24*60*SUM($M85:$M85)</f>
        <v>35.683333334745839</v>
      </c>
      <c r="O85" s="7"/>
      <c r="P85" s="7"/>
      <c r="Q85" s="22"/>
      <c r="R85" s="22"/>
      <c r="S85" s="31">
        <f t="shared" si="30"/>
        <v>1</v>
      </c>
      <c r="T85" s="46" t="str">
        <f t="shared" si="31"/>
        <v>NorthBound</v>
      </c>
      <c r="U85" s="190">
        <f>IF(AG85="EC",COUNTIFS(Variables!$M$2:$M$19,IF(T85="NorthBound","&gt;=","&lt;=")&amp;Y85,Variables!$M$2:$M$19,IF(T85="NorthBound","&lt;=","&gt;=")&amp;Z85),COUNTIFS(Variables!$P$2:$P$19,IF(T85="NorthBound","&gt;=","&lt;=")&amp;Y85,Variables!$P$2:$P$19,IF(T85="NorthBound","&lt;=","&gt;=")&amp;Z85))</f>
        <v>12</v>
      </c>
      <c r="V85" s="191" t="str">
        <f t="shared" si="32"/>
        <v>https://d0f6bd738d7f1b3e5a7ca70fe4ff75f0.us-east-1.aws.found.io/app/kibana#/discover/Steve-Slow-Train-Analysis-(2080s-and-2083s)?_g=(refreshInterval:(display:Off,pause:!f,section:0,value:0),time:(from:'2017-02-05T11:38:25-0700',mode:absolute,to:'2017-02-05T14:20:56-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85" s="192" t="str">
        <f t="shared" si="33"/>
        <v>N</v>
      </c>
      <c r="X85" s="192">
        <f t="shared" si="26"/>
        <v>1</v>
      </c>
      <c r="Y85" s="62">
        <f t="shared" si="34"/>
        <v>4.7800000000000002E-2</v>
      </c>
      <c r="Z85" s="62">
        <f t="shared" si="35"/>
        <v>23.33</v>
      </c>
      <c r="AA85" s="62">
        <f t="shared" si="36"/>
        <v>23.2822</v>
      </c>
      <c r="AB85" s="59" t="e">
        <f>VLOOKUP(A85,Enforcements!$C$7:$K$16,8,0)</f>
        <v>#N/A</v>
      </c>
      <c r="AC85" s="55" t="e">
        <f>VLOOKUP(A85,Enforcements!$C$7:$E$16,3,0)</f>
        <v>#N/A</v>
      </c>
      <c r="AD85" s="56" t="str">
        <f t="shared" si="37"/>
        <v>0173-05</v>
      </c>
      <c r="AE85" s="85" t="str">
        <f t="shared" si="38"/>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85" s="82" t="str">
        <f t="shared" si="39"/>
        <v>"C:\Program Files (x86)\AstroGrep\AstroGrep.exe" /spath="%USERPROFILE%\AppData\Local\Temp\OnboardLogs" /stypes="app*4025*20170205*" /stext=" 20:.+((SYSTEM_STATE.+slice.+state.+changed )|(ment ac)|(multiple cpu faults)|(system.+state.+changed )|(\[timeout)|(PRM\|1\|D)|(kpr)|(kdp)|(\|lc)|(penalty))" /e /r /s</v>
      </c>
      <c r="AG85" s="1" t="str">
        <f t="shared" si="40"/>
        <v>EC</v>
      </c>
      <c r="AH85" s="86" t="str">
        <f t="shared" si="41"/>
        <v>"%USERPROFILE%\Documents\GitHub\eaglep3\Utilities\RefineRTDCRunTimes.py" --tripid 173-05 --locoid 4025 --swversion DE.1.0.8.0 --startMP 204:478 --initTime 2017-02-05T12:38:25 --startdatetime 2017-02-05T12:45:15 --delay 2 --endMP 204:233300 --enddatetime 2017-02-05T13:20:56 --enforcementcount 0 &gt;&gt;C:\Users\stu\Documents\GitHub\eaglep3-reporting\EC\2017-02-05-refined-times.txt</v>
      </c>
      <c r="AI85" s="108" t="str">
        <f t="shared" si="42"/>
        <v>echo {"issue":{"subject":"","project_id":79,"tracker_id":40,"status_id":1,"priority_id":2,"assigned_to_id":23,"start_date":"2017-02-05","description":"","custom_fields":[{"id":1,"name":"Subdivision","value":"EC"},{"id":4,"name":"Milepost","value":"23.33"},{"id":17,"name":"Train ID","value":"173-05"},{"id":16,"name":"Locomotive ID","value":"4025"},{"id":130,"name":"Impact","value":""},{"id":150,"name":"Time of Event (Mountain Time)","value":"13:20:56"},{"id":151,"name":"Denver Issue ID","value":""},{"id":178,"name":"Operational Impact","value":"Yes"},{"id":179,"name":"Denver Segment Assigned","value":""}]}} | curl -X POST -H "Content-Type: application/json" -H "X-Redmine-API-Key: d6333d4a04012a730768444271f8ca06482dae87" https://secure.xorail.net/redmine/issues.json --data @-</v>
      </c>
      <c r="AJ85" s="48"/>
      <c r="AK85" s="48"/>
      <c r="AL85" s="48"/>
      <c r="AM85" s="158" t="str">
        <f t="shared" si="43"/>
        <v>start /low /b %USERPROFILE%\Documents\GitHub\eaglep3\Utilities\DownloadLogsFromS3.py --loco 4025 --day 2017-02-05</v>
      </c>
      <c r="AN85" s="167" t="str">
        <f>"grep -SE -B400 ""CHR.+\|PRM\|1\|D.+(SWITCH|SIGNAL).+UNKNOWN"" "&amp;search_path&amp;"\RTDC"&amp;B85&amp;"\*"&amp;B85&amp;"*"&amp;TEXT(AVERAGE(F85,I85)-utc_offset/24,"YYYYMMDD")&amp;"*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20" customFormat="1" x14ac:dyDescent="0.25">
      <c r="A86" s="33" t="s">
        <v>646</v>
      </c>
      <c r="B86" s="7">
        <v>4026</v>
      </c>
      <c r="C86" s="21" t="s">
        <v>193</v>
      </c>
      <c r="D86" s="21" t="s">
        <v>356</v>
      </c>
      <c r="E86" s="13">
        <v>42771.559363425928</v>
      </c>
      <c r="F86" s="13">
        <v>42771.570462962962</v>
      </c>
      <c r="G86" s="7">
        <v>1</v>
      </c>
      <c r="H86" s="21" t="s">
        <v>200</v>
      </c>
      <c r="I86" s="13">
        <v>42771.599687499998</v>
      </c>
      <c r="J86" s="7">
        <v>0</v>
      </c>
      <c r="K86" s="98" t="str">
        <f t="shared" si="27"/>
        <v>4025/4026</v>
      </c>
      <c r="L86" s="21" t="str">
        <f>VLOOKUP(A86,'Trips&amp;Operators'!$C$1:$G$99999,5,FALSE)</f>
        <v>LALONDE GREGORY</v>
      </c>
      <c r="M86" s="6">
        <f t="shared" si="28"/>
        <v>2.9224537036498077E-2</v>
      </c>
      <c r="N86" s="7">
        <f t="shared" si="44"/>
        <v>42.083333332557231</v>
      </c>
      <c r="O86" s="7"/>
      <c r="P86" s="7"/>
      <c r="Q86" s="22"/>
      <c r="R86" s="22"/>
      <c r="S86" s="31">
        <f t="shared" si="30"/>
        <v>1</v>
      </c>
      <c r="T86" s="46" t="str">
        <f t="shared" si="31"/>
        <v>Southbound</v>
      </c>
      <c r="U86" s="190">
        <f>IF(AG86="EC",COUNTIFS(Variables!$M$2:$M$19,IF(T86="NorthBound","&gt;=","&lt;=")&amp;Y86,Variables!$M$2:$M$19,IF(T86="NorthBound","&lt;=","&gt;=")&amp;Z86),COUNTIFS(Variables!$P$2:$P$19,IF(T86="NorthBound","&gt;=","&lt;=")&amp;Y86,Variables!$P$2:$P$19,IF(T86="NorthBound","&lt;=","&gt;=")&amp;Z86))</f>
        <v>12</v>
      </c>
      <c r="V86" s="191" t="str">
        <f t="shared" si="32"/>
        <v>https://d0f6bd738d7f1b3e5a7ca70fe4ff75f0.us-east-1.aws.found.io/app/kibana#/discover/Steve-Slow-Train-Analysis-(2080s-and-2083s)?_g=(refreshInterval:(display:Off,pause:!f,section:0,value:0),time:(from:'2017-02-05T12:25:29-0700',mode:absolute,to:'2017-02-05T15:23: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86" s="192" t="str">
        <f t="shared" si="33"/>
        <v>N</v>
      </c>
      <c r="X86" s="192">
        <f t="shared" si="26"/>
        <v>1</v>
      </c>
      <c r="Y86" s="62">
        <f t="shared" si="34"/>
        <v>23.299099999999999</v>
      </c>
      <c r="Z86" s="62">
        <f t="shared" si="35"/>
        <v>1.4500000000000001E-2</v>
      </c>
      <c r="AA86" s="62">
        <f t="shared" si="36"/>
        <v>23.284599999999998</v>
      </c>
      <c r="AB86" s="59" t="e">
        <f>VLOOKUP(A86,Enforcements!$C$7:$K$16,8,0)</f>
        <v>#N/A</v>
      </c>
      <c r="AC86" s="55" t="e">
        <f>VLOOKUP(A86,Enforcements!$C$7:$E$16,3,0)</f>
        <v>#N/A</v>
      </c>
      <c r="AD86" s="56" t="str">
        <f t="shared" si="37"/>
        <v>0174-05</v>
      </c>
      <c r="AE86" s="85" t="str">
        <f t="shared" si="38"/>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86" s="82" t="str">
        <f t="shared" si="39"/>
        <v>"C:\Program Files (x86)\AstroGrep\AstroGrep.exe" /spath="%USERPROFILE%\AppData\Local\Temp\OnboardLogs" /stypes="app*4026*20170205*" /stext=" 21:.+((SYSTEM_STATE.+slice.+state.+changed )|(ment ac)|(multiple cpu faults)|(system.+state.+changed )|(\[timeout)|(PRM\|1\|D)|(kpr)|(kdp)|(\|lc)|(penalty))" /e /r /s</v>
      </c>
      <c r="AG86" s="1" t="str">
        <f t="shared" si="40"/>
        <v>EC</v>
      </c>
      <c r="AH86" s="86" t="str">
        <f t="shared" si="41"/>
        <v>"%USERPROFILE%\Documents\GitHub\eaglep3\Utilities\RefineRTDCRunTimes.py" --tripid 174-05 --locoid 4026 --swversion DE.1.0.8.0 --startMP 204:232991 --initTime 2017-02-05T13:25:29 --startdatetime 2017-02-05T13:41:28 --delay 1 --endMP 204:145 --enddatetime 2017-02-05T14:23:33 --enforcementcount 0 &gt;&gt;C:\Users\stu\Documents\GitHub\eaglep3-reporting\EC\2017-02-05-refined-times.txt</v>
      </c>
      <c r="AI86" s="108" t="str">
        <f t="shared" si="42"/>
        <v>echo {"issue":{"subject":"","project_id":79,"tracker_id":40,"status_id":1,"priority_id":2,"assigned_to_id":23,"start_date":"2017-02-05","description":"","custom_fields":[{"id":1,"name":"Subdivision","value":"EC"},{"id":4,"name":"Milepost","value":"0.0145"},{"id":17,"name":"Train ID","value":"174-05"},{"id":16,"name":"Locomotive ID","value":"4026"},{"id":130,"name":"Impact","value":""},{"id":150,"name":"Time of Event (Mountain Time)","value":"14:23:33"},{"id":151,"name":"Denver Issue ID","value":""},{"id":178,"name":"Operational Impact","value":"Yes"},{"id":179,"name":"Denver Segment Assigned","value":""}]}} | curl -X POST -H "Content-Type: application/json" -H "X-Redmine-API-Key: d6333d4a04012a730768444271f8ca06482dae87" https://secure.xorail.net/redmine/issues.json --data @-</v>
      </c>
      <c r="AJ86" s="48"/>
      <c r="AK86" s="48"/>
      <c r="AL86" s="48"/>
      <c r="AM86" s="158" t="str">
        <f t="shared" si="43"/>
        <v>start /low /b %USERPROFILE%\Documents\GitHub\eaglep3\Utilities\DownloadLogsFromS3.py --loco 4026 --day 2017-02-05</v>
      </c>
      <c r="AN86" s="167" t="str">
        <f>"grep -SE -B400 ""CHR.+\|PRM\|1\|D.+(SWITCH|SIGNAL).+UNKNOWN"" "&amp;search_path&amp;"\RTDC"&amp;B86&amp;"\*"&amp;B86&amp;"*"&amp;TEXT(AVERAGE(F86,I86)-utc_offset/24,"YYYYMMDD")&amp;"*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20" customFormat="1" x14ac:dyDescent="0.25">
      <c r="A87" s="33" t="s">
        <v>640</v>
      </c>
      <c r="B87" s="7">
        <v>4016</v>
      </c>
      <c r="C87" s="21" t="s">
        <v>193</v>
      </c>
      <c r="D87" s="21" t="s">
        <v>209</v>
      </c>
      <c r="E87" s="13">
        <v>42771.538194444445</v>
      </c>
      <c r="F87" s="13">
        <v>42771.542013888888</v>
      </c>
      <c r="G87" s="7">
        <v>1</v>
      </c>
      <c r="H87" s="21" t="s">
        <v>401</v>
      </c>
      <c r="I87" s="13">
        <v>42771.56863425926</v>
      </c>
      <c r="J87" s="7">
        <v>0</v>
      </c>
      <c r="K87" s="98" t="str">
        <f t="shared" si="27"/>
        <v>4015/4016</v>
      </c>
      <c r="L87" s="21" t="str">
        <f>VLOOKUP(A87,'Trips&amp;Operators'!$C$1:$G$99999,5,FALSE)</f>
        <v>DAVIS MICHAEL</v>
      </c>
      <c r="M87" s="6">
        <f t="shared" si="28"/>
        <v>2.662037037225673E-2</v>
      </c>
      <c r="N87" s="7">
        <f t="shared" si="44"/>
        <v>38.333333336049691</v>
      </c>
      <c r="O87" s="7"/>
      <c r="P87" s="7"/>
      <c r="Q87" s="22"/>
      <c r="R87" s="22"/>
      <c r="S87" s="31">
        <f t="shared" si="30"/>
        <v>1</v>
      </c>
      <c r="T87" s="46" t="str">
        <f t="shared" si="31"/>
        <v>NorthBound</v>
      </c>
      <c r="U87" s="190">
        <f>IF(AG87="EC",COUNTIFS(Variables!$M$2:$M$19,IF(T87="NorthBound","&gt;=","&lt;=")&amp;Y87,Variables!$M$2:$M$19,IF(T87="NorthBound","&lt;=","&gt;=")&amp;Z87),COUNTIFS(Variables!$P$2:$P$19,IF(T87="NorthBound","&gt;=","&lt;=")&amp;Y87,Variables!$P$2:$P$19,IF(T87="NorthBound","&lt;=","&gt;=")&amp;Z87))</f>
        <v>12</v>
      </c>
      <c r="V87" s="191" t="str">
        <f t="shared" si="32"/>
        <v>https://d0f6bd738d7f1b3e5a7ca70fe4ff75f0.us-east-1.aws.found.io/app/kibana#/discover/Steve-Slow-Train-Analysis-(2080s-and-2083s)?_g=(refreshInterval:(display:Off,pause:!f,section:0,value:0),time:(from:'2017-02-05T11:55:00-0700',mode:absolute,to:'2017-02-05T14:38:50-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87" s="192" t="str">
        <f t="shared" si="33"/>
        <v>N</v>
      </c>
      <c r="X87" s="192">
        <f t="shared" si="26"/>
        <v>1</v>
      </c>
      <c r="Y87" s="62">
        <f t="shared" si="34"/>
        <v>4.6199999999999998E-2</v>
      </c>
      <c r="Z87" s="62">
        <f t="shared" si="35"/>
        <v>23.331199999999999</v>
      </c>
      <c r="AA87" s="62">
        <f t="shared" si="36"/>
        <v>23.285</v>
      </c>
      <c r="AB87" s="59" t="e">
        <f>VLOOKUP(A87,Enforcements!$C$7:$K$16,8,0)</f>
        <v>#N/A</v>
      </c>
      <c r="AC87" s="55" t="e">
        <f>VLOOKUP(A87,Enforcements!$C$7:$E$16,3,0)</f>
        <v>#N/A</v>
      </c>
      <c r="AD87" s="56" t="str">
        <f t="shared" si="37"/>
        <v>0175-05</v>
      </c>
      <c r="AE87" s="85" t="str">
        <f t="shared" si="38"/>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87" s="82" t="str">
        <f t="shared" si="39"/>
        <v>"C:\Program Files (x86)\AstroGrep\AstroGrep.exe" /spath="%USERPROFILE%\AppData\Local\Temp\OnboardLogs" /stypes="app*4016*20170205*" /stext=" 20:.+((SYSTEM_STATE.+slice.+state.+changed )|(ment ac)|(multiple cpu faults)|(system.+state.+changed )|(\[timeout)|(PRM\|1\|D)|(kpr)|(kdp)|(\|lc)|(penalty))" /e /r /s</v>
      </c>
      <c r="AG87" s="1" t="str">
        <f t="shared" si="40"/>
        <v>EC</v>
      </c>
      <c r="AH87" s="86" t="str">
        <f t="shared" si="41"/>
        <v>"%USERPROFILE%\Documents\GitHub\eaglep3\Utilities\RefineRTDCRunTimes.py" --tripid 175-05 --locoid 4016 --swversion DE.1.0.8.0 --startMP 204:462 --initTime 2017-02-05T12:55:00 --startdatetime 2017-02-05T13:00:30 --delay 1 --endMP 204:233312 --enddatetime 2017-02-05T13:38:50 --enforcementcount 0 &gt;&gt;C:\Users\stu\Documents\GitHub\eaglep3-reporting\EC\2017-02-05-refined-times.txt</v>
      </c>
      <c r="AI87" s="108" t="str">
        <f t="shared" si="42"/>
        <v>echo {"issue":{"subject":"","project_id":79,"tracker_id":40,"status_id":1,"priority_id":2,"assigned_to_id":23,"start_date":"2017-02-05","description":"","custom_fields":[{"id":1,"name":"Subdivision","value":"EC"},{"id":4,"name":"Milepost","value":"23.3312"},{"id":17,"name":"Train ID","value":"175-05"},{"id":16,"name":"Locomotive ID","value":"4016"},{"id":130,"name":"Impact","value":""},{"id":150,"name":"Time of Event (Mountain Time)","value":"13:38:50"},{"id":151,"name":"Denver Issue ID","value":""},{"id":178,"name":"Operational Impact","value":"Yes"},{"id":179,"name":"Denver Segment Assigned","value":""}]}} | curl -X POST -H "Content-Type: application/json" -H "X-Redmine-API-Key: d6333d4a04012a730768444271f8ca06482dae87" https://secure.xorail.net/redmine/issues.json --data @-</v>
      </c>
      <c r="AJ87" s="48"/>
      <c r="AK87" s="48"/>
      <c r="AL87" s="48"/>
      <c r="AM87" s="158" t="str">
        <f t="shared" si="43"/>
        <v>start /low /b %USERPROFILE%\Documents\GitHub\eaglep3\Utilities\DownloadLogsFromS3.py --loco 4016 --day 2017-02-05</v>
      </c>
      <c r="AN87" s="167" t="str">
        <f>"grep -SE -B400 ""CHR.+\|PRM\|1\|D.+(SWITCH|SIGNAL).+UNKNOWN"" "&amp;search_path&amp;"\RTDC"&amp;B87&amp;"\*"&amp;B87&amp;"*"&amp;TEXT(AVERAGE(F87,I87)-utc_offset/24,"YYYYMMDD")&amp;"*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20" customFormat="1" x14ac:dyDescent="0.25">
      <c r="A88" s="33" t="s">
        <v>649</v>
      </c>
      <c r="B88" s="7">
        <v>4015</v>
      </c>
      <c r="C88" s="21" t="s">
        <v>193</v>
      </c>
      <c r="D88" s="21" t="s">
        <v>366</v>
      </c>
      <c r="E88" s="13">
        <v>42771.577581018515</v>
      </c>
      <c r="F88" s="13">
        <v>42771.580995370372</v>
      </c>
      <c r="G88" s="7">
        <v>1</v>
      </c>
      <c r="H88" s="21" t="s">
        <v>184</v>
      </c>
      <c r="I88" s="13">
        <v>42771.609502314815</v>
      </c>
      <c r="J88" s="7">
        <v>0</v>
      </c>
      <c r="K88" s="98" t="str">
        <f t="shared" si="27"/>
        <v>4015/4016</v>
      </c>
      <c r="L88" s="21" t="str">
        <f>VLOOKUP(A88,'Trips&amp;Operators'!$C$1:$G$99999,5,FALSE)</f>
        <v>DAVIS MICHAEL</v>
      </c>
      <c r="M88" s="6">
        <f t="shared" si="28"/>
        <v>2.8506944443506654E-2</v>
      </c>
      <c r="N88" s="7">
        <f t="shared" si="44"/>
        <v>41.049999998649582</v>
      </c>
      <c r="O88" s="7"/>
      <c r="P88" s="7"/>
      <c r="Q88" s="22"/>
      <c r="R88" s="22"/>
      <c r="S88" s="31">
        <f t="shared" si="30"/>
        <v>1</v>
      </c>
      <c r="T88" s="46" t="str">
        <f t="shared" si="31"/>
        <v>Southbound</v>
      </c>
      <c r="U88" s="190">
        <f>IF(AG88="EC",COUNTIFS(Variables!$M$2:$M$19,IF(T88="NorthBound","&gt;=","&lt;=")&amp;Y88,Variables!$M$2:$M$19,IF(T88="NorthBound","&lt;=","&gt;=")&amp;Z88),COUNTIFS(Variables!$P$2:$P$19,IF(T88="NorthBound","&gt;=","&lt;=")&amp;Y88,Variables!$P$2:$P$19,IF(T88="NorthBound","&lt;=","&gt;=")&amp;Z88))</f>
        <v>12</v>
      </c>
      <c r="V88" s="191" t="str">
        <f t="shared" si="32"/>
        <v>https://d0f6bd738d7f1b3e5a7ca70fe4ff75f0.us-east-1.aws.found.io/app/kibana#/discover/Steve-Slow-Train-Analysis-(2080s-and-2083s)?_g=(refreshInterval:(display:Off,pause:!f,section:0,value:0),time:(from:'2017-02-05T12:51:43-0700',mode:absolute,to:'2017-02-05T15:37:41-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88" s="192" t="str">
        <f t="shared" si="33"/>
        <v>N</v>
      </c>
      <c r="X88" s="192">
        <f t="shared" si="26"/>
        <v>1</v>
      </c>
      <c r="Y88" s="62">
        <f t="shared" si="34"/>
        <v>23.299600000000002</v>
      </c>
      <c r="Z88" s="62">
        <f t="shared" si="35"/>
        <v>1.49E-2</v>
      </c>
      <c r="AA88" s="62">
        <f t="shared" si="36"/>
        <v>23.284700000000001</v>
      </c>
      <c r="AB88" s="59" t="e">
        <f>VLOOKUP(A88,Enforcements!$C$7:$K$16,8,0)</f>
        <v>#N/A</v>
      </c>
      <c r="AC88" s="55" t="e">
        <f>VLOOKUP(A88,Enforcements!$C$7:$E$16,3,0)</f>
        <v>#N/A</v>
      </c>
      <c r="AD88" s="56" t="str">
        <f t="shared" si="37"/>
        <v>0176-05</v>
      </c>
      <c r="AE88" s="85" t="str">
        <f t="shared" si="38"/>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88" s="82" t="str">
        <f t="shared" si="39"/>
        <v>"C:\Program Files (x86)\AstroGrep\AstroGrep.exe" /spath="%USERPROFILE%\AppData\Local\Temp\OnboardLogs" /stypes="app*4015*20170205*" /stext=" 21:.+((SYSTEM_STATE.+slice.+state.+changed )|(ment ac)|(multiple cpu faults)|(system.+state.+changed )|(\[timeout)|(PRM\|1\|D)|(kpr)|(kdp)|(\|lc)|(penalty))" /e /r /s</v>
      </c>
      <c r="AG88" s="1" t="str">
        <f t="shared" si="40"/>
        <v>EC</v>
      </c>
      <c r="AH88" s="86" t="str">
        <f t="shared" si="41"/>
        <v>"%USERPROFILE%\Documents\GitHub\eaglep3\Utilities\RefineRTDCRunTimes.py" --tripid 176-05 --locoid 4015 --swversion DE.1.0.8.0 --startMP 204:232996 --initTime 2017-02-05T13:51:43 --startdatetime 2017-02-05T13:56:38 --delay 1 --endMP 204:149 --enddatetime 2017-02-05T14:37:41 --enforcementcount 0 &gt;&gt;C:\Users\stu\Documents\GitHub\eaglep3-reporting\EC\2017-02-05-refined-times.txt</v>
      </c>
      <c r="AI88" s="108" t="str">
        <f t="shared" si="42"/>
        <v>echo {"issue":{"subject":"","project_id":79,"tracker_id":40,"status_id":1,"priority_id":2,"assigned_to_id":23,"start_date":"2017-02-05","description":"","custom_fields":[{"id":1,"name":"Subdivision","value":"EC"},{"id":4,"name":"Milepost","value":"0.0149"},{"id":17,"name":"Train ID","value":"176-05"},{"id":16,"name":"Locomotive ID","value":"4015"},{"id":130,"name":"Impact","value":""},{"id":150,"name":"Time of Event (Mountain Time)","value":"14:37:41"},{"id":151,"name":"Denver Issue ID","value":""},{"id":178,"name":"Operational Impact","value":"Yes"},{"id":179,"name":"Denver Segment Assigned","value":""}]}} | curl -X POST -H "Content-Type: application/json" -H "X-Redmine-API-Key: d6333d4a04012a730768444271f8ca06482dae87" https://secure.xorail.net/redmine/issues.json --data @-</v>
      </c>
      <c r="AJ88" s="48"/>
      <c r="AK88" s="48"/>
      <c r="AL88" s="48"/>
      <c r="AM88" s="158" t="str">
        <f t="shared" si="43"/>
        <v>start /low /b %USERPROFILE%\Documents\GitHub\eaglep3\Utilities\DownloadLogsFromS3.py --loco 4015 --day 2017-02-05</v>
      </c>
      <c r="AN88" s="167" t="str">
        <f>"grep -SE -B400 ""CHR.+\|PRM\|1\|D.+(SWITCH|SIGNAL).+UNKNOWN"" "&amp;search_path&amp;"\RTDC"&amp;B88&amp;"\*"&amp;B88&amp;"*"&amp;TEXT(AVERAGE(F88,I88)-utc_offset/24,"YYYYMMDD")&amp;"* | grep -SE ""(Enforcement Action)|(\[TIMEOUT)|(CHR.+\|PRM\|1\|D.+(SWITCH|SIGNAL).+UNKNOWN)"" - &gt;&gt; "&amp;TEXT(Variables!$A$2,"YYYY-MM-DD")&amp;"-UncaughtWiMAX.txt"</f>
        <v>grep -SE -B400 "CHR.+\|PRM\|1\|D.+(SWITCH|SIGNAL).+UNKNOWN" "%USERPROFILE%\AppData\Local\Temp\OnboardLogs"\RTDC4015\*4015*20170205* | grep -SE "(Enforcement Action)|(\[TIMEOUT)|(CHR.+\|PRM\|1\|D.+(SWITCH|SIGNAL).+UNKNOWN)" - &gt;&gt; 2017-02-05-UncaughtWiMAX.txt</v>
      </c>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20" customFormat="1" x14ac:dyDescent="0.25">
      <c r="A89" s="33" t="s">
        <v>643</v>
      </c>
      <c r="B89" s="7">
        <v>4022</v>
      </c>
      <c r="C89" s="21" t="s">
        <v>193</v>
      </c>
      <c r="D89" s="21" t="s">
        <v>318</v>
      </c>
      <c r="E89" s="13">
        <v>42771.547511574077</v>
      </c>
      <c r="F89" s="13">
        <v>42771.552256944444</v>
      </c>
      <c r="G89" s="7">
        <v>1</v>
      </c>
      <c r="H89" s="21" t="s">
        <v>782</v>
      </c>
      <c r="I89" s="13">
        <v>42771.577789351853</v>
      </c>
      <c r="J89" s="7">
        <v>0</v>
      </c>
      <c r="K89" s="98" t="str">
        <f t="shared" si="27"/>
        <v>4021/4022</v>
      </c>
      <c r="L89" s="21" t="str">
        <f>VLOOKUP(A89,'Trips&amp;Operators'!$C$1:$G$99999,5,FALSE)</f>
        <v>LEVIN SCOTT</v>
      </c>
      <c r="M89" s="6">
        <f t="shared" si="28"/>
        <v>2.5532407409627922E-2</v>
      </c>
      <c r="N89" s="7">
        <f t="shared" si="44"/>
        <v>36.766666669864208</v>
      </c>
      <c r="O89" s="7"/>
      <c r="P89" s="7"/>
      <c r="Q89" s="22"/>
      <c r="R89" s="22"/>
      <c r="S89" s="31">
        <f t="shared" si="30"/>
        <v>1</v>
      </c>
      <c r="T89" s="46" t="str">
        <f t="shared" si="31"/>
        <v>NorthBound</v>
      </c>
      <c r="U89" s="190">
        <f>IF(AG89="EC",COUNTIFS(Variables!$M$2:$M$19,IF(T89="NorthBound","&gt;=","&lt;=")&amp;Y89,Variables!$M$2:$M$19,IF(T89="NorthBound","&lt;=","&gt;=")&amp;Z89),COUNTIFS(Variables!$P$2:$P$19,IF(T89="NorthBound","&gt;=","&lt;=")&amp;Y89,Variables!$P$2:$P$19,IF(T89="NorthBound","&lt;=","&gt;=")&amp;Z89))</f>
        <v>12</v>
      </c>
      <c r="V89" s="191" t="str">
        <f t="shared" si="32"/>
        <v>https://d0f6bd738d7f1b3e5a7ca70fe4ff75f0.us-east-1.aws.found.io/app/kibana#/discover/Steve-Slow-Train-Analysis-(2080s-and-2083s)?_g=(refreshInterval:(display:Off,pause:!f,section:0,value:0),time:(from:'2017-02-05T12:08:25-0700',mode:absolute,to:'2017-02-05T14:52:01-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89" s="192" t="str">
        <f t="shared" si="33"/>
        <v>N</v>
      </c>
      <c r="X89" s="192">
        <f t="shared" si="26"/>
        <v>1</v>
      </c>
      <c r="Y89" s="62">
        <f t="shared" si="34"/>
        <v>4.4699999999999997E-2</v>
      </c>
      <c r="Z89" s="62">
        <f t="shared" si="35"/>
        <v>23.3383</v>
      </c>
      <c r="AA89" s="62">
        <f t="shared" si="36"/>
        <v>23.293600000000001</v>
      </c>
      <c r="AB89" s="59" t="e">
        <f>VLOOKUP(A89,Enforcements!$C$7:$K$16,8,0)</f>
        <v>#N/A</v>
      </c>
      <c r="AC89" s="55" t="e">
        <f>VLOOKUP(A89,Enforcements!$C$7:$E$16,3,0)</f>
        <v>#N/A</v>
      </c>
      <c r="AD89" s="56" t="str">
        <f t="shared" si="37"/>
        <v>0177-05</v>
      </c>
      <c r="AE89" s="85" t="str">
        <f t="shared" si="38"/>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89" s="82" t="str">
        <f t="shared" si="39"/>
        <v>"C:\Program Files (x86)\AstroGrep\AstroGrep.exe" /spath="%USERPROFILE%\AppData\Local\Temp\OnboardLogs" /stypes="app*4022*20170205*" /stext=" 20:.+((SYSTEM_STATE.+slice.+state.+changed )|(ment ac)|(multiple cpu faults)|(system.+state.+changed )|(\[timeout)|(PRM\|1\|D)|(kpr)|(kdp)|(\|lc)|(penalty))" /e /r /s</v>
      </c>
      <c r="AG89" s="1" t="str">
        <f t="shared" si="40"/>
        <v>EC</v>
      </c>
      <c r="AH89" s="86" t="str">
        <f t="shared" si="41"/>
        <v>"%USERPROFILE%\Documents\GitHub\eaglep3\Utilities\RefineRTDCRunTimes.py" --tripid 177-05 --locoid 4022 --swversion DE.1.0.8.0 --startMP 204:447 --initTime 2017-02-05T13:08:25 --startdatetime 2017-02-05T13:15:15 --delay 1 --endMP 204:233383 --enddatetime 2017-02-05T13:52:01 --enforcementcount 0 &gt;&gt;C:\Users\stu\Documents\GitHub\eaglep3-reporting\EC\2017-02-05-refined-times.txt</v>
      </c>
      <c r="AI89" s="108" t="str">
        <f t="shared" si="42"/>
        <v>echo {"issue":{"subject":"","project_id":79,"tracker_id":40,"status_id":1,"priority_id":2,"assigned_to_id":23,"start_date":"2017-02-05","description":"","custom_fields":[{"id":1,"name":"Subdivision","value":"EC"},{"id":4,"name":"Milepost","value":"23.3383"},{"id":17,"name":"Train ID","value":"177-05"},{"id":16,"name":"Locomotive ID","value":"4022"},{"id":130,"name":"Impact","value":""},{"id":150,"name":"Time of Event (Mountain Time)","value":"13:52:01"},{"id":151,"name":"Denver Issue ID","value":""},{"id":178,"name":"Operational Impact","value":"Yes"},{"id":179,"name":"Denver Segment Assigned","value":""}]}} | curl -X POST -H "Content-Type: application/json" -H "X-Redmine-API-Key: d6333d4a04012a730768444271f8ca06482dae87" https://secure.xorail.net/redmine/issues.json --data @-</v>
      </c>
      <c r="AJ89" s="48"/>
      <c r="AK89" s="48"/>
      <c r="AL89" s="48"/>
      <c r="AM89" s="158" t="str">
        <f t="shared" si="43"/>
        <v>start /low /b %USERPROFILE%\Documents\GitHub\eaglep3\Utilities\DownloadLogsFromS3.py --loco 4022 --day 2017-02-05</v>
      </c>
      <c r="AN89" s="167" t="str">
        <f>"grep -SE -B400 ""CHR.+\|PRM\|1\|D.+(SWITCH|SIGNAL).+UNKNOWN"" "&amp;search_path&amp;"\RTDC"&amp;B89&amp;"\*"&amp;B89&amp;"*"&amp;TEXT(AVERAGE(F89,I89)-utc_offset/24,"YYYYMMDD")&amp;"*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20" customFormat="1" x14ac:dyDescent="0.25">
      <c r="A90" s="33" t="s">
        <v>653</v>
      </c>
      <c r="B90" s="7">
        <v>4021</v>
      </c>
      <c r="C90" s="21" t="s">
        <v>193</v>
      </c>
      <c r="D90" s="21" t="s">
        <v>783</v>
      </c>
      <c r="E90" s="13">
        <v>42771.588368055556</v>
      </c>
      <c r="F90" s="13">
        <v>42771.591145833336</v>
      </c>
      <c r="G90" s="7">
        <v>1</v>
      </c>
      <c r="H90" s="21" t="s">
        <v>325</v>
      </c>
      <c r="I90" s="13">
        <v>42771.617164351854</v>
      </c>
      <c r="J90" s="7">
        <v>0</v>
      </c>
      <c r="K90" s="98" t="str">
        <f t="shared" si="27"/>
        <v>4021/4022</v>
      </c>
      <c r="L90" s="21" t="str">
        <f>VLOOKUP(A90,'Trips&amp;Operators'!$C$1:$G$99999,5,FALSE)</f>
        <v>LEVIN SCOTT</v>
      </c>
      <c r="M90" s="6">
        <f t="shared" si="28"/>
        <v>2.6018518517958E-2</v>
      </c>
      <c r="N90" s="7">
        <f t="shared" si="44"/>
        <v>37.46666666585952</v>
      </c>
      <c r="O90" s="7"/>
      <c r="P90" s="7"/>
      <c r="Q90" s="22"/>
      <c r="R90" s="22"/>
      <c r="S90" s="31">
        <f t="shared" si="30"/>
        <v>1</v>
      </c>
      <c r="T90" s="46" t="str">
        <f t="shared" si="31"/>
        <v>Southbound</v>
      </c>
      <c r="U90" s="190">
        <f>IF(AG90="EC",COUNTIFS(Variables!$M$2:$M$19,IF(T90="NorthBound","&gt;=","&lt;=")&amp;Y90,Variables!$M$2:$M$19,IF(T90="NorthBound","&lt;=","&gt;=")&amp;Z90),COUNTIFS(Variables!$P$2:$P$19,IF(T90="NorthBound","&gt;=","&lt;=")&amp;Y90,Variables!$P$2:$P$19,IF(T90="NorthBound","&lt;=","&gt;=")&amp;Z90))</f>
        <v>12</v>
      </c>
      <c r="V90" s="191" t="str">
        <f t="shared" si="32"/>
        <v>https://d0f6bd738d7f1b3e5a7ca70fe4ff75f0.us-east-1.aws.found.io/app/kibana#/discover/Steve-Slow-Train-Analysis-(2080s-and-2083s)?_g=(refreshInterval:(display:Off,pause:!f,section:0,value:0),time:(from:'2017-02-05T13:07:15-0700',mode:absolute,to:'2017-02-05T15:48:43-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90" s="192" t="str">
        <f t="shared" si="33"/>
        <v>N</v>
      </c>
      <c r="X90" s="192">
        <f t="shared" si="26"/>
        <v>1</v>
      </c>
      <c r="Y90" s="62">
        <f t="shared" si="34"/>
        <v>23.306799999999999</v>
      </c>
      <c r="Z90" s="62">
        <f t="shared" si="35"/>
        <v>1.38E-2</v>
      </c>
      <c r="AA90" s="62">
        <f t="shared" si="36"/>
        <v>23.292999999999999</v>
      </c>
      <c r="AB90" s="59" t="e">
        <f>VLOOKUP(A90,Enforcements!$C$7:$K$16,8,0)</f>
        <v>#N/A</v>
      </c>
      <c r="AC90" s="55" t="e">
        <f>VLOOKUP(A90,Enforcements!$C$7:$E$16,3,0)</f>
        <v>#N/A</v>
      </c>
      <c r="AD90" s="56" t="str">
        <f t="shared" si="37"/>
        <v>0178-05</v>
      </c>
      <c r="AE90" s="85" t="str">
        <f t="shared" si="38"/>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90" s="82" t="str">
        <f t="shared" si="39"/>
        <v>"C:\Program Files (x86)\AstroGrep\AstroGrep.exe" /spath="%USERPROFILE%\AppData\Local\Temp\OnboardLogs" /stypes="app*4021*20170205*" /stext=" 21:.+((SYSTEM_STATE.+slice.+state.+changed )|(ment ac)|(multiple cpu faults)|(system.+state.+changed )|(\[timeout)|(PRM\|1\|D)|(kpr)|(kdp)|(\|lc)|(penalty))" /e /r /s</v>
      </c>
      <c r="AG90" s="1" t="str">
        <f t="shared" si="40"/>
        <v>EC</v>
      </c>
      <c r="AH90" s="86" t="str">
        <f t="shared" si="41"/>
        <v>"%USERPROFILE%\Documents\GitHub\eaglep3\Utilities\RefineRTDCRunTimes.py" --tripid 178-05 --locoid 4021 --swversion DE.1.0.8.0 --startMP 204:233068 --initTime 2017-02-05T14:07:15 --startdatetime 2017-02-05T14:11:15 --delay 1 --endMP 204:138 --enddatetime 2017-02-05T14:48:43 --enforcementcount 0 &gt;&gt;C:\Users\stu\Documents\GitHub\eaglep3-reporting\EC\2017-02-05-refined-times.txt</v>
      </c>
      <c r="AI90" s="108" t="str">
        <f t="shared" si="42"/>
        <v>echo {"issue":{"subject":"","project_id":79,"tracker_id":40,"status_id":1,"priority_id":2,"assigned_to_id":23,"start_date":"2017-02-05","description":"","custom_fields":[{"id":1,"name":"Subdivision","value":"EC"},{"id":4,"name":"Milepost","value":"0.0138"},{"id":17,"name":"Train ID","value":"178-05"},{"id":16,"name":"Locomotive ID","value":"4021"},{"id":130,"name":"Impact","value":""},{"id":150,"name":"Time of Event (Mountain Time)","value":"14:48:43"},{"id":151,"name":"Denver Issue ID","value":""},{"id":178,"name":"Operational Impact","value":"Yes"},{"id":179,"name":"Denver Segment Assigned","value":""}]}} | curl -X POST -H "Content-Type: application/json" -H "X-Redmine-API-Key: d6333d4a04012a730768444271f8ca06482dae87" https://secure.xorail.net/redmine/issues.json --data @-</v>
      </c>
      <c r="AJ90" s="48"/>
      <c r="AK90" s="48"/>
      <c r="AL90" s="48"/>
      <c r="AM90" s="158" t="str">
        <f t="shared" si="43"/>
        <v>start /low /b %USERPROFILE%\Documents\GitHub\eaglep3\Utilities\DownloadLogsFromS3.py --loco 4021 --day 2017-02-05</v>
      </c>
      <c r="AN90" s="167" t="str">
        <f>"grep -SE -B400 ""CHR.+\|PRM\|1\|D.+(SWITCH|SIGNAL).+UNKNOWN"" "&amp;search_path&amp;"\RTDC"&amp;B90&amp;"\*"&amp;B90&amp;"*"&amp;TEXT(AVERAGE(F90,I90)-utc_offset/24,"YYYYMMDD")&amp;"*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20" customFormat="1" x14ac:dyDescent="0.25">
      <c r="A91" s="33" t="s">
        <v>645</v>
      </c>
      <c r="B91" s="7">
        <v>4002</v>
      </c>
      <c r="C91" s="21" t="s">
        <v>193</v>
      </c>
      <c r="D91" s="21" t="s">
        <v>240</v>
      </c>
      <c r="E91" s="13">
        <v>42771.558159722219</v>
      </c>
      <c r="F91" s="13">
        <v>42771.562789351854</v>
      </c>
      <c r="G91" s="7">
        <v>1</v>
      </c>
      <c r="H91" s="21" t="s">
        <v>784</v>
      </c>
      <c r="I91" s="13">
        <v>42771.587731481479</v>
      </c>
      <c r="J91" s="7">
        <v>0</v>
      </c>
      <c r="K91" s="98" t="str">
        <f t="shared" si="27"/>
        <v>4001/4002</v>
      </c>
      <c r="L91" s="21" t="str">
        <f>VLOOKUP(A91,'Trips&amp;Operators'!$C$1:$G$99999,5,FALSE)</f>
        <v>WHITED DUSTIN</v>
      </c>
      <c r="M91" s="6">
        <f t="shared" si="28"/>
        <v>2.4942129624832887E-2</v>
      </c>
      <c r="N91" s="7">
        <f t="shared" si="44"/>
        <v>35.916666659759358</v>
      </c>
      <c r="O91" s="7"/>
      <c r="P91" s="7"/>
      <c r="Q91" s="22"/>
      <c r="R91" s="22"/>
      <c r="S91" s="31">
        <f t="shared" si="30"/>
        <v>1</v>
      </c>
      <c r="T91" s="46" t="str">
        <f t="shared" si="31"/>
        <v>NorthBound</v>
      </c>
      <c r="U91" s="190">
        <f>IF(AG91="EC",COUNTIFS(Variables!$M$2:$M$19,IF(T91="NorthBound","&gt;=","&lt;=")&amp;Y91,Variables!$M$2:$M$19,IF(T91="NorthBound","&lt;=","&gt;=")&amp;Z91),COUNTIFS(Variables!$P$2:$P$19,IF(T91="NorthBound","&gt;=","&lt;=")&amp;Y91,Variables!$P$2:$P$19,IF(T91="NorthBound","&lt;=","&gt;=")&amp;Z91))</f>
        <v>12</v>
      </c>
      <c r="V91" s="191" t="str">
        <f t="shared" si="32"/>
        <v>https://d0f6bd738d7f1b3e5a7ca70fe4ff75f0.us-east-1.aws.found.io/app/kibana#/discover/Steve-Slow-Train-Analysis-(2080s-and-2083s)?_g=(refreshInterval:(display:Off,pause:!f,section:0,value:0),time:(from:'2017-02-05T12:23:45-0700',mode:absolute,to:'2017-02-05T15:06:20-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91" s="192" t="str">
        <f t="shared" si="33"/>
        <v>N</v>
      </c>
      <c r="X91" s="192">
        <f t="shared" si="26"/>
        <v>1</v>
      </c>
      <c r="Y91" s="62">
        <f t="shared" si="34"/>
        <v>4.5100000000000001E-2</v>
      </c>
      <c r="Z91" s="62">
        <f t="shared" si="35"/>
        <v>23.334700000000002</v>
      </c>
      <c r="AA91" s="62">
        <f t="shared" si="36"/>
        <v>23.2896</v>
      </c>
      <c r="AB91" s="59" t="e">
        <f>VLOOKUP(A91,Enforcements!$C$7:$K$16,8,0)</f>
        <v>#N/A</v>
      </c>
      <c r="AC91" s="55" t="e">
        <f>VLOOKUP(A91,Enforcements!$C$7:$E$16,3,0)</f>
        <v>#N/A</v>
      </c>
      <c r="AD91" s="56" t="str">
        <f t="shared" si="37"/>
        <v>0179-05</v>
      </c>
      <c r="AE91" s="85" t="str">
        <f t="shared" si="38"/>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91" s="82" t="str">
        <f t="shared" si="39"/>
        <v>"C:\Program Files (x86)\AstroGrep\AstroGrep.exe" /spath="%USERPROFILE%\AppData\Local\Temp\OnboardLogs" /stypes="app*4002*20170205*" /stext=" 21:.+((SYSTEM_STATE.+slice.+state.+changed )|(ment ac)|(multiple cpu faults)|(system.+state.+changed )|(\[timeout)|(PRM\|1\|D)|(kpr)|(kdp)|(\|lc)|(penalty))" /e /r /s</v>
      </c>
      <c r="AG91" s="1" t="str">
        <f t="shared" si="40"/>
        <v>EC</v>
      </c>
      <c r="AH91" s="86" t="str">
        <f t="shared" si="41"/>
        <v>"%USERPROFILE%\Documents\GitHub\eaglep3\Utilities\RefineRTDCRunTimes.py" --tripid 179-05 --locoid 4002 --swversion DE.1.0.8.0 --startMP 204:451 --initTime 2017-02-05T13:23:45 --startdatetime 2017-02-05T13:30:25 --delay 1 --endMP 204:233347 --enddatetime 2017-02-05T14:06:20 --enforcementcount 0 &gt;&gt;C:\Users\stu\Documents\GitHub\eaglep3-reporting\EC\2017-02-05-refined-times.txt</v>
      </c>
      <c r="AI91" s="108" t="str">
        <f t="shared" si="42"/>
        <v>echo {"issue":{"subject":"","project_id":79,"tracker_id":40,"status_id":1,"priority_id":2,"assigned_to_id":23,"start_date":"2017-02-05","description":"","custom_fields":[{"id":1,"name":"Subdivision","value":"EC"},{"id":4,"name":"Milepost","value":"23.3347"},{"id":17,"name":"Train ID","value":"179-05"},{"id":16,"name":"Locomotive ID","value":"4002"},{"id":130,"name":"Impact","value":""},{"id":150,"name":"Time of Event (Mountain Time)","value":"14:06:20"},{"id":151,"name":"Denver Issue ID","value":""},{"id":178,"name":"Operational Impact","value":"Yes"},{"id":179,"name":"Denver Segment Assigned","value":""}]}} | curl -X POST -H "Content-Type: application/json" -H "X-Redmine-API-Key: d6333d4a04012a730768444271f8ca06482dae87" https://secure.xorail.net/redmine/issues.json --data @-</v>
      </c>
      <c r="AJ91" s="48"/>
      <c r="AK91" s="48"/>
      <c r="AL91" s="48"/>
      <c r="AM91" s="158" t="str">
        <f t="shared" si="43"/>
        <v>start /low /b %USERPROFILE%\Documents\GitHub\eaglep3\Utilities\DownloadLogsFromS3.py --loco 4002 --day 2017-02-05</v>
      </c>
      <c r="AN91" s="167" t="str">
        <f>"grep -SE -B400 ""CHR.+\|PRM\|1\|D.+(SWITCH|SIGNAL).+UNKNOWN"" "&amp;search_path&amp;"\RTDC"&amp;B91&amp;"\*"&amp;B91&amp;"*"&amp;TEXT(AVERAGE(F91,I91)-utc_offset/24,"YYYYMMDD")&amp;"*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20" customFormat="1" x14ac:dyDescent="0.25">
      <c r="A92" s="33" t="s">
        <v>655</v>
      </c>
      <c r="B92" s="7">
        <v>4001</v>
      </c>
      <c r="C92" s="21" t="s">
        <v>193</v>
      </c>
      <c r="D92" s="21" t="s">
        <v>366</v>
      </c>
      <c r="E92" s="13">
        <v>42771.594421296293</v>
      </c>
      <c r="F92" s="13">
        <v>42771.601724537039</v>
      </c>
      <c r="G92" s="7">
        <v>1</v>
      </c>
      <c r="H92" s="21" t="s">
        <v>405</v>
      </c>
      <c r="I92" s="13">
        <v>42771.629525462966</v>
      </c>
      <c r="J92" s="7">
        <v>0</v>
      </c>
      <c r="K92" s="98" t="str">
        <f t="shared" si="27"/>
        <v>4001/4002</v>
      </c>
      <c r="L92" s="21" t="str">
        <f>VLOOKUP(A92,'Trips&amp;Operators'!$C$1:$G$99999,5,FALSE)</f>
        <v>WHITED DUSTIN</v>
      </c>
      <c r="M92" s="6">
        <f t="shared" si="28"/>
        <v>2.7800925927294884E-2</v>
      </c>
      <c r="N92" s="7">
        <f t="shared" si="44"/>
        <v>40.033333335304633</v>
      </c>
      <c r="O92" s="7"/>
      <c r="P92" s="7"/>
      <c r="Q92" s="22"/>
      <c r="R92" s="22"/>
      <c r="S92" s="31">
        <f t="shared" si="30"/>
        <v>1</v>
      </c>
      <c r="T92" s="46" t="str">
        <f t="shared" si="31"/>
        <v>Southbound</v>
      </c>
      <c r="U92" s="190">
        <f>IF(AG92="EC",COUNTIFS(Variables!$M$2:$M$19,IF(T92="NorthBound","&gt;=","&lt;=")&amp;Y92,Variables!$M$2:$M$19,IF(T92="NorthBound","&lt;=","&gt;=")&amp;Z92),COUNTIFS(Variables!$P$2:$P$19,IF(T92="NorthBound","&gt;=","&lt;=")&amp;Y92,Variables!$P$2:$P$19,IF(T92="NorthBound","&lt;=","&gt;=")&amp;Z92))</f>
        <v>12</v>
      </c>
      <c r="V92" s="191" t="str">
        <f t="shared" si="32"/>
        <v>https://d0f6bd738d7f1b3e5a7ca70fe4ff75f0.us-east-1.aws.found.io/app/kibana#/discover/Steve-Slow-Train-Analysis-(2080s-and-2083s)?_g=(refreshInterval:(display:Off,pause:!f,section:0,value:0),time:(from:'2017-02-05T13:15:58-0700',mode:absolute,to:'2017-02-05T16:06:31-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92" s="192" t="str">
        <f t="shared" si="33"/>
        <v>N</v>
      </c>
      <c r="X92" s="192">
        <f t="shared" si="26"/>
        <v>1</v>
      </c>
      <c r="Y92" s="62">
        <f t="shared" si="34"/>
        <v>23.299600000000002</v>
      </c>
      <c r="Z92" s="62">
        <f t="shared" si="35"/>
        <v>1.6899999999999998E-2</v>
      </c>
      <c r="AA92" s="62">
        <f t="shared" si="36"/>
        <v>23.282700000000002</v>
      </c>
      <c r="AB92" s="59" t="e">
        <f>VLOOKUP(A92,Enforcements!$C$7:$K$16,8,0)</f>
        <v>#N/A</v>
      </c>
      <c r="AC92" s="55" t="e">
        <f>VLOOKUP(A92,Enforcements!$C$7:$E$16,3,0)</f>
        <v>#N/A</v>
      </c>
      <c r="AD92" s="56" t="str">
        <f t="shared" si="37"/>
        <v>0180-05</v>
      </c>
      <c r="AE92" s="85" t="str">
        <f t="shared" si="38"/>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92" s="82" t="str">
        <f t="shared" si="39"/>
        <v>"C:\Program Files (x86)\AstroGrep\AstroGrep.exe" /spath="%USERPROFILE%\AppData\Local\Temp\OnboardLogs" /stypes="app*4001*20170205*" /stext=" 22:.+((SYSTEM_STATE.+slice.+state.+changed )|(ment ac)|(multiple cpu faults)|(system.+state.+changed )|(\[timeout)|(PRM\|1\|D)|(kpr)|(kdp)|(\|lc)|(penalty))" /e /r /s</v>
      </c>
      <c r="AG92" s="1" t="str">
        <f t="shared" si="40"/>
        <v>EC</v>
      </c>
      <c r="AH92" s="86" t="str">
        <f t="shared" si="41"/>
        <v>"%USERPROFILE%\Documents\GitHub\eaglep3\Utilities\RefineRTDCRunTimes.py" --tripid 180-05 --locoid 4001 --swversion DE.1.0.8.0 --startMP 204:232996 --initTime 2017-02-05T14:15:58 --startdatetime 2017-02-05T14:26:29 --delay 1 --endMP 204:169 --enddatetime 2017-02-05T15:06:31 --enforcementcount 0 &gt;&gt;C:\Users\stu\Documents\GitHub\eaglep3-reporting\EC\2017-02-05-refined-times.txt</v>
      </c>
      <c r="AI92" s="108" t="str">
        <f t="shared" si="42"/>
        <v>echo {"issue":{"subject":"","project_id":79,"tracker_id":40,"status_id":1,"priority_id":2,"assigned_to_id":23,"start_date":"2017-02-05","description":"","custom_fields":[{"id":1,"name":"Subdivision","value":"EC"},{"id":4,"name":"Milepost","value":"0.0169"},{"id":17,"name":"Train ID","value":"180-05"},{"id":16,"name":"Locomotive ID","value":"4001"},{"id":130,"name":"Impact","value":""},{"id":150,"name":"Time of Event (Mountain Time)","value":"15:06:31"},{"id":151,"name":"Denver Issue ID","value":""},{"id":178,"name":"Operational Impact","value":"Yes"},{"id":179,"name":"Denver Segment Assigned","value":""}]}} | curl -X POST -H "Content-Type: application/json" -H "X-Redmine-API-Key: d6333d4a04012a730768444271f8ca06482dae87" https://secure.xorail.net/redmine/issues.json --data @-</v>
      </c>
      <c r="AJ92" s="48"/>
      <c r="AK92" s="48"/>
      <c r="AL92" s="48"/>
      <c r="AM92" s="158" t="str">
        <f t="shared" si="43"/>
        <v>start /low /b %USERPROFILE%\Documents\GitHub\eaglep3\Utilities\DownloadLogsFromS3.py --loco 4001 --day 2017-02-05</v>
      </c>
      <c r="AN92" s="167" t="str">
        <f>"grep -SE -B400 ""CHR.+\|PRM\|1\|D.+(SWITCH|SIGNAL).+UNKNOWN"" "&amp;search_path&amp;"\RTDC"&amp;B92&amp;"\*"&amp;B92&amp;"*"&amp;TEXT(AVERAGE(F92,I92)-utc_offset/24,"YYYYMMDD")&amp;"*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20" customFormat="1" x14ac:dyDescent="0.25">
      <c r="A93" s="33" t="s">
        <v>648</v>
      </c>
      <c r="B93" s="7">
        <v>4031</v>
      </c>
      <c r="C93" s="21" t="s">
        <v>193</v>
      </c>
      <c r="D93" s="21" t="s">
        <v>799</v>
      </c>
      <c r="E93" s="13">
        <v>42771.56726851852</v>
      </c>
      <c r="F93" s="13">
        <v>42771.573240740741</v>
      </c>
      <c r="G93" s="7">
        <v>0</v>
      </c>
      <c r="H93" s="21" t="s">
        <v>320</v>
      </c>
      <c r="I93" s="13">
        <v>42771.598773148151</v>
      </c>
      <c r="J93" s="7">
        <v>0</v>
      </c>
      <c r="K93" s="98" t="str">
        <f t="shared" si="27"/>
        <v>4031/4032</v>
      </c>
      <c r="L93" s="21" t="str">
        <f>VLOOKUP(A93,'Trips&amp;Operators'!$C$1:$G$99999,5,FALSE)</f>
        <v>CRAYTON QUNTRELL</v>
      </c>
      <c r="M93" s="6">
        <f t="shared" si="28"/>
        <v>2.5532407409627922E-2</v>
      </c>
      <c r="N93" s="7">
        <f t="shared" si="44"/>
        <v>36.766666669864208</v>
      </c>
      <c r="O93" s="7"/>
      <c r="P93" s="7"/>
      <c r="Q93" s="22"/>
      <c r="R93" s="22"/>
      <c r="S93" s="31">
        <f t="shared" si="30"/>
        <v>1</v>
      </c>
      <c r="T93" s="46" t="str">
        <f t="shared" si="31"/>
        <v>NorthBound</v>
      </c>
      <c r="U93" s="190">
        <f>IF(AG93="EC",COUNTIFS(Variables!$M$2:$M$19,IF(T93="NorthBound","&gt;=","&lt;=")&amp;Y93,Variables!$M$2:$M$19,IF(T93="NorthBound","&lt;=","&gt;=")&amp;Z93),COUNTIFS(Variables!$P$2:$P$19,IF(T93="NorthBound","&gt;=","&lt;=")&amp;Y93,Variables!$P$2:$P$19,IF(T93="NorthBound","&lt;=","&gt;=")&amp;Z93))</f>
        <v>12</v>
      </c>
      <c r="V93" s="191" t="str">
        <f t="shared" si="32"/>
        <v>https://d0f6bd738d7f1b3e5a7ca70fe4ff75f0.us-east-1.aws.found.io/app/kibana#/discover/Steve-Slow-Train-Analysis-(2080s-and-2083s)?_g=(refreshInterval:(display:Off,pause:!f,section:0,value:0),time:(from:'2017-02-05T12:36:52-0700',mode:absolute,to:'2017-02-05T15:22:14-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93" s="192" t="str">
        <f t="shared" si="33"/>
        <v>N</v>
      </c>
      <c r="X93" s="192">
        <f t="shared" si="26"/>
        <v>1</v>
      </c>
      <c r="Y93" s="62">
        <f t="shared" si="34"/>
        <v>4.2700000000000002E-2</v>
      </c>
      <c r="Z93" s="62">
        <f t="shared" si="35"/>
        <v>23.331700000000001</v>
      </c>
      <c r="AA93" s="62">
        <f t="shared" si="36"/>
        <v>23.289000000000001</v>
      </c>
      <c r="AB93" s="59" t="e">
        <f>VLOOKUP(A93,Enforcements!$C$7:$K$16,8,0)</f>
        <v>#N/A</v>
      </c>
      <c r="AC93" s="55" t="e">
        <f>VLOOKUP(A93,Enforcements!$C$7:$E$16,3,0)</f>
        <v>#N/A</v>
      </c>
      <c r="AD93" s="56" t="str">
        <f t="shared" si="37"/>
        <v>0181-05</v>
      </c>
      <c r="AE93" s="85" t="str">
        <f t="shared" si="38"/>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93" s="82" t="str">
        <f t="shared" si="39"/>
        <v>"C:\Program Files (x86)\AstroGrep\AstroGrep.exe" /spath="%USERPROFILE%\AppData\Local\Temp\OnboardLogs" /stypes="app*4031*20170205*" /stext=" 21:.+((SYSTEM_STATE.+slice.+state.+changed )|(ment ac)|(multiple cpu faults)|(system.+state.+changed )|(\[timeout)|(PRM\|1\|D)|(kpr)|(kdp)|(\|lc)|(penalty))" /e /r /s</v>
      </c>
      <c r="AG93" s="1" t="str">
        <f t="shared" si="40"/>
        <v>EC</v>
      </c>
      <c r="AH93" s="86" t="str">
        <f t="shared" si="41"/>
        <v>"%USERPROFILE%\Documents\GitHub\eaglep3\Utilities\RefineRTDCRunTimes.py" --tripid 181-05 --locoid 4031 --swversion DE.1.0.8.0 --startMP 204:427 --initTime 2017-02-05T13:36:52 --startdatetime 2017-02-05T13:45:28 --delay 0 --endMP 204:233317 --enddatetime 2017-02-05T14:22:14 --enforcementcount 0 &gt;&gt;C:\Users\stu\Documents\GitHub\eaglep3-reporting\EC\2017-02-05-refined-times.txt</v>
      </c>
      <c r="AI93" s="108" t="str">
        <f t="shared" si="42"/>
        <v>echo {"issue":{"subject":"","project_id":79,"tracker_id":40,"status_id":1,"priority_id":2,"assigned_to_id":23,"start_date":"2017-02-05","description":"","custom_fields":[{"id":1,"name":"Subdivision","value":"EC"},{"id":4,"name":"Milepost","value":"23.3317"},{"id":17,"name":"Train ID","value":"181-05"},{"id":16,"name":"Locomotive ID","value":"4031"},{"id":130,"name":"Impact","value":""},{"id":150,"name":"Time of Event (Mountain Time)","value":"14:22:14"},{"id":151,"name":"Denver Issue ID","value":""},{"id":178,"name":"Operational Impact","value":"Yes"},{"id":179,"name":"Denver Segment Assigned","value":""}]}} | curl -X POST -H "Content-Type: application/json" -H "X-Redmine-API-Key: d6333d4a04012a730768444271f8ca06482dae87" https://secure.xorail.net/redmine/issues.json --data @-</v>
      </c>
      <c r="AJ93" s="48"/>
      <c r="AK93" s="48"/>
      <c r="AL93" s="48"/>
      <c r="AM93" s="158" t="str">
        <f t="shared" si="43"/>
        <v>start /low /b %USERPROFILE%\Documents\GitHub\eaglep3\Utilities\DownloadLogsFromS3.py --loco 4031 --day 2017-02-05</v>
      </c>
      <c r="AN93" s="167" t="str">
        <f>"grep -SE -B400 ""CHR.+\|PRM\|1\|D.+(SWITCH|SIGNAL).+UNKNOWN"" "&amp;search_path&amp;"\RTDC"&amp;B93&amp;"\*"&amp;B93&amp;"*"&amp;TEXT(AVERAGE(F93,I93)-utc_offset/24,"YYYYMMDD")&amp;"*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x14ac:dyDescent="0.25">
      <c r="A94" s="33" t="s">
        <v>657</v>
      </c>
      <c r="B94" s="7">
        <v>4032</v>
      </c>
      <c r="C94" s="21" t="s">
        <v>193</v>
      </c>
      <c r="D94" s="21" t="s">
        <v>395</v>
      </c>
      <c r="E94" s="13">
        <v>42771.605821759258</v>
      </c>
      <c r="F94" s="13">
        <v>42771.612175925926</v>
      </c>
      <c r="G94" s="7">
        <v>1</v>
      </c>
      <c r="H94" s="21" t="s">
        <v>810</v>
      </c>
      <c r="I94" s="13">
        <v>42771.643379629626</v>
      </c>
      <c r="J94" s="7">
        <v>0</v>
      </c>
      <c r="K94" s="98" t="str">
        <f t="shared" si="27"/>
        <v>4031/4032</v>
      </c>
      <c r="L94" s="21" t="str">
        <f>VLOOKUP(A94,'Trips&amp;Operators'!$C$1:$G$99999,5,FALSE)</f>
        <v>CRAYTON QUNTRELL</v>
      </c>
      <c r="M94" s="6">
        <f t="shared" si="28"/>
        <v>3.1203703700157348E-2</v>
      </c>
      <c r="N94" s="7">
        <f t="shared" si="44"/>
        <v>44.933333328226581</v>
      </c>
      <c r="O94" s="7"/>
      <c r="P94" s="7"/>
      <c r="Q94" s="22"/>
      <c r="R94" s="22"/>
      <c r="S94" s="31">
        <f t="shared" si="30"/>
        <v>1</v>
      </c>
      <c r="T94" s="46" t="str">
        <f t="shared" si="31"/>
        <v>Southbound</v>
      </c>
      <c r="U94" s="190">
        <f>IF(AG94="EC",COUNTIFS(Variables!$M$2:$M$19,IF(T94="NorthBound","&gt;=","&lt;=")&amp;Y94,Variables!$M$2:$M$19,IF(T94="NorthBound","&lt;=","&gt;=")&amp;Z94),COUNTIFS(Variables!$P$2:$P$19,IF(T94="NorthBound","&gt;=","&lt;=")&amp;Y94,Variables!$P$2:$P$19,IF(T94="NorthBound","&lt;=","&gt;=")&amp;Z94))</f>
        <v>12</v>
      </c>
      <c r="V94" s="191" t="str">
        <f t="shared" si="32"/>
        <v>https://d0f6bd738d7f1b3e5a7ca70fe4ff75f0.us-east-1.aws.found.io/app/kibana#/discover/Steve-Slow-Train-Analysis-(2080s-and-2083s)?_g=(refreshInterval:(display:Off,pause:!f,section:0,value:0),time:(from:'2017-02-05T13:32:23-0700',mode:absolute,to:'2017-02-05T16:26:28-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94" s="192" t="str">
        <f t="shared" si="33"/>
        <v>N</v>
      </c>
      <c r="X94" s="192">
        <f t="shared" si="26"/>
        <v>1</v>
      </c>
      <c r="Y94" s="62">
        <f t="shared" si="34"/>
        <v>23.300599999999999</v>
      </c>
      <c r="Z94" s="62">
        <f t="shared" si="35"/>
        <v>1.83E-2</v>
      </c>
      <c r="AA94" s="62">
        <f t="shared" si="36"/>
        <v>23.282299999999999</v>
      </c>
      <c r="AB94" s="59" t="e">
        <f>VLOOKUP(A94,Enforcements!$C$7:$K$16,8,0)</f>
        <v>#N/A</v>
      </c>
      <c r="AC94" s="55" t="e">
        <f>VLOOKUP(A94,Enforcements!$C$7:$E$16,3,0)</f>
        <v>#N/A</v>
      </c>
      <c r="AD94" s="56" t="str">
        <f t="shared" si="37"/>
        <v>0182-05</v>
      </c>
      <c r="AE94" s="85" t="str">
        <f t="shared" si="38"/>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94" s="82" t="str">
        <f t="shared" si="39"/>
        <v>"C:\Program Files (x86)\AstroGrep\AstroGrep.exe" /spath="%USERPROFILE%\AppData\Local\Temp\OnboardLogs" /stypes="app*4032*20170205*" /stext=" 22:.+((SYSTEM_STATE.+slice.+state.+changed )|(ment ac)|(multiple cpu faults)|(system.+state.+changed )|(\[timeout)|(PRM\|1\|D)|(kpr)|(kdp)|(\|lc)|(penalty))" /e /r /s</v>
      </c>
      <c r="AG94" s="1" t="str">
        <f t="shared" si="40"/>
        <v>EC</v>
      </c>
      <c r="AH94" s="86" t="str">
        <f t="shared" si="41"/>
        <v>"%USERPROFILE%\Documents\GitHub\eaglep3\Utilities\RefineRTDCRunTimes.py" --tripid 182-05 --locoid 4032 --swversion DE.1.0.8.0 --startMP 204:233006 --initTime 2017-02-05T14:32:23 --startdatetime 2017-02-05T14:41:32 --delay 1 --endMP 204:183 --enddatetime 2017-02-05T15:26:28 --enforcementcount 0 &gt;&gt;C:\Users\stu\Documents\GitHub\eaglep3-reporting\EC\2017-02-05-refined-times.txt</v>
      </c>
      <c r="AI94" s="108" t="str">
        <f t="shared" si="42"/>
        <v>echo {"issue":{"subject":"","project_id":79,"tracker_id":40,"status_id":1,"priority_id":2,"assigned_to_id":23,"start_date":"2017-02-05","description":"","custom_fields":[{"id":1,"name":"Subdivision","value":"EC"},{"id":4,"name":"Milepost","value":"0.0183"},{"id":17,"name":"Train ID","value":"182-05"},{"id":16,"name":"Locomotive ID","value":"4032"},{"id":130,"name":"Impact","value":""},{"id":150,"name":"Time of Event (Mountain Time)","value":"15:26:28"},{"id":151,"name":"Denver Issue ID","value":""},{"id":178,"name":"Operational Impact","value":"Yes"},{"id":179,"name":"Denver Segment Assigned","value":""}]}} | curl -X POST -H "Content-Type: application/json" -H "X-Redmine-API-Key: d6333d4a04012a730768444271f8ca06482dae87" https://secure.xorail.net/redmine/issues.json --data @-</v>
      </c>
      <c r="AJ94" s="48"/>
      <c r="AK94" s="48"/>
      <c r="AL94" s="48"/>
      <c r="AM94" s="158" t="str">
        <f t="shared" si="43"/>
        <v>start /low /b %USERPROFILE%\Documents\GitHub\eaglep3\Utilities\DownloadLogsFromS3.py --loco 4032 --day 2017-02-05</v>
      </c>
      <c r="AN94" s="167" t="str">
        <f>"grep -SE -B400 ""CHR.+\|PRM\|1\|D.+(SWITCH|SIGNAL).+UNKNOWN"" "&amp;search_path&amp;"\RTDC"&amp;B94&amp;"\*"&amp;B94&amp;"*"&amp;TEXT(AVERAGE(F94,I94)-utc_offset/24,"YYYYMMDD")&amp;"*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row>
    <row r="95" spans="1:91" s="20" customFormat="1" x14ac:dyDescent="0.25">
      <c r="A95" s="33" t="s">
        <v>650</v>
      </c>
      <c r="B95" s="7">
        <v>4009</v>
      </c>
      <c r="C95" s="21" t="s">
        <v>193</v>
      </c>
      <c r="D95" s="21" t="s">
        <v>760</v>
      </c>
      <c r="E95" s="13">
        <v>42771.577314814815</v>
      </c>
      <c r="F95" s="13">
        <v>42771.583495370367</v>
      </c>
      <c r="G95" s="7">
        <v>2</v>
      </c>
      <c r="H95" s="21" t="s">
        <v>820</v>
      </c>
      <c r="I95" s="13">
        <v>42771.609293981484</v>
      </c>
      <c r="J95" s="7">
        <v>0</v>
      </c>
      <c r="K95" s="98" t="str">
        <f t="shared" si="27"/>
        <v>4009/4010</v>
      </c>
      <c r="L95" s="21" t="str">
        <f>VLOOKUP(A95,'Trips&amp;Operators'!$C$1:$G$99999,5,FALSE)</f>
        <v>ROMERO CHAD</v>
      </c>
      <c r="M95" s="6">
        <f t="shared" si="28"/>
        <v>2.5798611117352266E-2</v>
      </c>
      <c r="N95" s="7">
        <f t="shared" si="44"/>
        <v>37.150000008987263</v>
      </c>
      <c r="O95" s="7"/>
      <c r="P95" s="7"/>
      <c r="Q95" s="22"/>
      <c r="R95" s="22"/>
      <c r="S95" s="31">
        <f t="shared" si="30"/>
        <v>1</v>
      </c>
      <c r="T95" s="46" t="str">
        <f t="shared" si="31"/>
        <v>NorthBound</v>
      </c>
      <c r="U95" s="190">
        <f>IF(AG95="EC",COUNTIFS(Variables!$M$2:$M$19,IF(T95="NorthBound","&gt;=","&lt;=")&amp;Y95,Variables!$M$2:$M$19,IF(T95="NorthBound","&lt;=","&gt;=")&amp;Z95),COUNTIFS(Variables!$P$2:$P$19,IF(T95="NorthBound","&gt;=","&lt;=")&amp;Y95,Variables!$P$2:$P$19,IF(T95="NorthBound","&lt;=","&gt;=")&amp;Z95))</f>
        <v>12</v>
      </c>
      <c r="V95" s="191" t="str">
        <f t="shared" si="32"/>
        <v>https://d0f6bd738d7f1b3e5a7ca70fe4ff75f0.us-east-1.aws.found.io/app/kibana#/discover/Steve-Slow-Train-Analysis-(2080s-and-2083s)?_g=(refreshInterval:(display:Off,pause:!f,section:0,value:0),time:(from:'2017-02-05T12:51:20-0700',mode:absolute,to:'2017-02-05T15:37:23-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95" s="192" t="str">
        <f t="shared" si="33"/>
        <v>N</v>
      </c>
      <c r="X95" s="192">
        <f t="shared" si="26"/>
        <v>1</v>
      </c>
      <c r="Y95" s="62">
        <f t="shared" si="34"/>
        <v>4.3999999999999997E-2</v>
      </c>
      <c r="Z95" s="62">
        <f t="shared" si="35"/>
        <v>23.339300000000001</v>
      </c>
      <c r="AA95" s="62">
        <f t="shared" si="36"/>
        <v>23.295300000000001</v>
      </c>
      <c r="AB95" s="59" t="e">
        <f>VLOOKUP(A95,Enforcements!$C$7:$K$16,8,0)</f>
        <v>#N/A</v>
      </c>
      <c r="AC95" s="55" t="e">
        <f>VLOOKUP(A95,Enforcements!$C$7:$E$16,3,0)</f>
        <v>#N/A</v>
      </c>
      <c r="AD95" s="56" t="str">
        <f t="shared" si="37"/>
        <v>0183-05</v>
      </c>
      <c r="AE95" s="85" t="str">
        <f t="shared" si="38"/>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95" s="82" t="str">
        <f t="shared" si="39"/>
        <v>"C:\Program Files (x86)\AstroGrep\AstroGrep.exe" /spath="%USERPROFILE%\AppData\Local\Temp\OnboardLogs" /stypes="app*4009*20170205*" /stext=" 21:.+((SYSTEM_STATE.+slice.+state.+changed )|(ment ac)|(multiple cpu faults)|(system.+state.+changed )|(\[timeout)|(PRM\|1\|D)|(kpr)|(kdp)|(\|lc)|(penalty))" /e /r /s</v>
      </c>
      <c r="AG95" s="1" t="str">
        <f t="shared" si="40"/>
        <v>EC</v>
      </c>
      <c r="AH95" s="86" t="str">
        <f t="shared" si="41"/>
        <v>"%USERPROFILE%\Documents\GitHub\eaglep3\Utilities\RefineRTDCRunTimes.py" --tripid 183-05 --locoid 4009 --swversion DE.1.0.8.0 --startMP 204:440 --initTime 2017-02-05T13:51:20 --startdatetime 2017-02-05T14:00:14 --delay 2 --endMP 204:233393 --enddatetime 2017-02-05T14:37:23 --enforcementcount 0 &gt;&gt;C:\Users\stu\Documents\GitHub\eaglep3-reporting\EC\2017-02-05-refined-times.txt</v>
      </c>
      <c r="AI95" s="108" t="str">
        <f t="shared" si="42"/>
        <v>echo {"issue":{"subject":"","project_id":79,"tracker_id":40,"status_id":1,"priority_id":2,"assigned_to_id":23,"start_date":"2017-02-05","description":"","custom_fields":[{"id":1,"name":"Subdivision","value":"EC"},{"id":4,"name":"Milepost","value":"23.3393"},{"id":17,"name":"Train ID","value":"183-05"},{"id":16,"name":"Locomotive ID","value":"4009"},{"id":130,"name":"Impact","value":""},{"id":150,"name":"Time of Event (Mountain Time)","value":"14:37:23"},{"id":151,"name":"Denver Issue ID","value":""},{"id":178,"name":"Operational Impact","value":"Yes"},{"id":179,"name":"Denver Segment Assigned","value":""}]}} | curl -X POST -H "Content-Type: application/json" -H "X-Redmine-API-Key: d6333d4a04012a730768444271f8ca06482dae87" https://secure.xorail.net/redmine/issues.json --data @-</v>
      </c>
      <c r="AJ95" s="48"/>
      <c r="AK95" s="48"/>
      <c r="AL95" s="48"/>
      <c r="AM95" s="158" t="str">
        <f t="shared" si="43"/>
        <v>start /low /b %USERPROFILE%\Documents\GitHub\eaglep3\Utilities\DownloadLogsFromS3.py --loco 4009 --day 2017-02-05</v>
      </c>
      <c r="AN95" s="167" t="str">
        <f>"grep -SE -B400 ""CHR.+\|PRM\|1\|D.+(SWITCH|SIGNAL).+UNKNOWN"" "&amp;search_path&amp;"\RTDC"&amp;B95&amp;"\*"&amp;B95&amp;"*"&amp;TEXT(AVERAGE(F95,I95)-utc_offset/24,"YYYYMMDD")&amp;"*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20" customFormat="1" x14ac:dyDescent="0.25">
      <c r="A96" s="33" t="s">
        <v>658</v>
      </c>
      <c r="B96" s="7">
        <v>4010</v>
      </c>
      <c r="C96" s="21" t="s">
        <v>193</v>
      </c>
      <c r="D96" s="21" t="s">
        <v>414</v>
      </c>
      <c r="E96" s="13">
        <v>42771.611087962963</v>
      </c>
      <c r="F96" s="13">
        <v>42771.622384259259</v>
      </c>
      <c r="G96" s="7">
        <v>1</v>
      </c>
      <c r="H96" s="21" t="s">
        <v>772</v>
      </c>
      <c r="I96" s="13">
        <v>42771.650057870371</v>
      </c>
      <c r="J96" s="7">
        <v>0</v>
      </c>
      <c r="K96" s="98" t="str">
        <f t="shared" si="27"/>
        <v>4009/4010</v>
      </c>
      <c r="L96" s="21" t="str">
        <f>VLOOKUP(A96,'Trips&amp;Operators'!$C$1:$G$99999,5,FALSE)</f>
        <v>ROMERO CHAD</v>
      </c>
      <c r="M96" s="6">
        <f t="shared" si="28"/>
        <v>2.7673611111822538E-2</v>
      </c>
      <c r="N96" s="7">
        <f t="shared" si="44"/>
        <v>39.850000001024455</v>
      </c>
      <c r="O96" s="7"/>
      <c r="P96" s="7"/>
      <c r="Q96" s="22"/>
      <c r="R96" s="22"/>
      <c r="S96" s="31">
        <f t="shared" si="30"/>
        <v>1</v>
      </c>
      <c r="T96" s="46" t="str">
        <f t="shared" si="31"/>
        <v>Southbound</v>
      </c>
      <c r="U96" s="190">
        <f>IF(AG96="EC",COUNTIFS(Variables!$M$2:$M$19,IF(T96="NorthBound","&gt;=","&lt;=")&amp;Y96,Variables!$M$2:$M$19,IF(T96="NorthBound","&lt;=","&gt;=")&amp;Z96),COUNTIFS(Variables!$P$2:$P$19,IF(T96="NorthBound","&gt;=","&lt;=")&amp;Y96,Variables!$P$2:$P$19,IF(T96="NorthBound","&lt;=","&gt;=")&amp;Z96))</f>
        <v>12</v>
      </c>
      <c r="V96" s="191" t="str">
        <f t="shared" si="32"/>
        <v>https://d0f6bd738d7f1b3e5a7ca70fe4ff75f0.us-east-1.aws.found.io/app/kibana#/discover/Steve-Slow-Train-Analysis-(2080s-and-2083s)?_g=(refreshInterval:(display:Off,pause:!f,section:0,value:0),time:(from:'2017-02-05T13:39:58-0700',mode:absolute,to:'2017-02-05T16:36:05-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96" s="192" t="str">
        <f t="shared" si="33"/>
        <v>N</v>
      </c>
      <c r="X96" s="192">
        <f t="shared" ref="X96:X127" si="45">VALUE(LEFT(AD96,4))-VALUE(LEFT(AD95,4))</f>
        <v>1</v>
      </c>
      <c r="Y96" s="62">
        <f t="shared" si="34"/>
        <v>23.3094</v>
      </c>
      <c r="Z96" s="62">
        <f t="shared" si="35"/>
        <v>1.34E-2</v>
      </c>
      <c r="AA96" s="62">
        <f t="shared" si="36"/>
        <v>23.295999999999999</v>
      </c>
      <c r="AB96" s="59" t="e">
        <f>VLOOKUP(A96,Enforcements!$C$7:$K$16,8,0)</f>
        <v>#N/A</v>
      </c>
      <c r="AC96" s="55" t="e">
        <f>VLOOKUP(A96,Enforcements!$C$7:$E$16,3,0)</f>
        <v>#N/A</v>
      </c>
      <c r="AD96" s="56" t="str">
        <f t="shared" si="37"/>
        <v>0184-05</v>
      </c>
      <c r="AE96" s="85" t="str">
        <f t="shared" si="38"/>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96" s="82" t="str">
        <f t="shared" si="39"/>
        <v>"C:\Program Files (x86)\AstroGrep\AstroGrep.exe" /spath="%USERPROFILE%\AppData\Local\Temp\OnboardLogs" /stypes="app*4010*20170205*" /stext=" 22:.+((SYSTEM_STATE.+slice.+state.+changed )|(ment ac)|(multiple cpu faults)|(system.+state.+changed )|(\[timeout)|(PRM\|1\|D)|(kpr)|(kdp)|(\|lc)|(penalty))" /e /r /s</v>
      </c>
      <c r="AG96" s="1" t="str">
        <f t="shared" si="40"/>
        <v>EC</v>
      </c>
      <c r="AH96" s="86" t="str">
        <f t="shared" si="41"/>
        <v>"%USERPROFILE%\Documents\GitHub\eaglep3\Utilities\RefineRTDCRunTimes.py" --tripid 184-05 --locoid 4010 --swversion DE.1.0.8.0 --startMP 204:233094 --initTime 2017-02-05T14:39:58 --startdatetime 2017-02-05T14:56:14 --delay 1 --endMP 204:134 --enddatetime 2017-02-05T15:36:05 --enforcementcount 0 &gt;&gt;C:\Users\stu\Documents\GitHub\eaglep3-reporting\EC\2017-02-05-refined-times.txt</v>
      </c>
      <c r="AI96" s="108" t="str">
        <f t="shared" si="42"/>
        <v>echo {"issue":{"subject":"","project_id":79,"tracker_id":40,"status_id":1,"priority_id":2,"assigned_to_id":23,"start_date":"2017-02-05","description":"","custom_fields":[{"id":1,"name":"Subdivision","value":"EC"},{"id":4,"name":"Milepost","value":"0.0134"},{"id":17,"name":"Train ID","value":"184-05"},{"id":16,"name":"Locomotive ID","value":"4010"},{"id":130,"name":"Impact","value":""},{"id":150,"name":"Time of Event (Mountain Time)","value":"15:36:05"},{"id":151,"name":"Denver Issue ID","value":""},{"id":178,"name":"Operational Impact","value":"Yes"},{"id":179,"name":"Denver Segment Assigned","value":""}]}} | curl -X POST -H "Content-Type: application/json" -H "X-Redmine-API-Key: d6333d4a04012a730768444271f8ca06482dae87" https://secure.xorail.net/redmine/issues.json --data @-</v>
      </c>
      <c r="AJ96" s="48"/>
      <c r="AK96" s="48"/>
      <c r="AL96" s="48"/>
      <c r="AM96" s="158" t="str">
        <f t="shared" si="43"/>
        <v>start /low /b %USERPROFILE%\Documents\GitHub\eaglep3\Utilities\DownloadLogsFromS3.py --loco 4010 --day 2017-02-05</v>
      </c>
      <c r="AN96" s="167" t="str">
        <f>"grep -SE -B400 ""CHR.+\|PRM\|1\|D.+(SWITCH|SIGNAL).+UNKNOWN"" "&amp;search_path&amp;"\RTDC"&amp;B96&amp;"\*"&amp;B96&amp;"*"&amp;TEXT(AVERAGE(F96,I96)-utc_offset/24,"YYYYMMDD")&amp;"*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20" customFormat="1" x14ac:dyDescent="0.25">
      <c r="A97" s="33" t="s">
        <v>508</v>
      </c>
      <c r="B97" s="7">
        <v>4038</v>
      </c>
      <c r="C97" s="21" t="s">
        <v>193</v>
      </c>
      <c r="D97" s="21" t="s">
        <v>824</v>
      </c>
      <c r="E97" s="13">
        <v>42771.585393518515</v>
      </c>
      <c r="F97" s="13">
        <v>42771.599722222221</v>
      </c>
      <c r="G97" s="7">
        <v>3</v>
      </c>
      <c r="H97" s="21" t="s">
        <v>825</v>
      </c>
      <c r="I97" s="13">
        <v>42771.621087962965</v>
      </c>
      <c r="J97" s="7">
        <v>0</v>
      </c>
      <c r="K97" s="98" t="str">
        <f t="shared" si="27"/>
        <v>4037/4038</v>
      </c>
      <c r="L97" s="21" t="str">
        <f>VLOOKUP(A97,'Trips&amp;Operators'!$C$1:$G$99999,5,FALSE)</f>
        <v>LOPES KIMBERLY</v>
      </c>
      <c r="M97" s="6">
        <f t="shared" si="28"/>
        <v>2.1365740743931383E-2</v>
      </c>
      <c r="N97" s="7"/>
      <c r="O97" s="7"/>
      <c r="P97" s="7"/>
      <c r="Q97" s="22"/>
      <c r="R97" s="22"/>
      <c r="S97" s="31">
        <f t="shared" si="30"/>
        <v>0</v>
      </c>
      <c r="T97" s="46" t="str">
        <f t="shared" si="31"/>
        <v>NorthBound</v>
      </c>
      <c r="U97" s="190">
        <f>IF(AG97="EC",COUNTIFS(Variables!$M$2:$M$19,IF(T97="NorthBound","&gt;=","&lt;=")&amp;Y97,Variables!$M$2:$M$19,IF(T97="NorthBound","&lt;=","&gt;=")&amp;Z97),COUNTIFS(Variables!$P$2:$P$19,IF(T97="NorthBound","&gt;=","&lt;=")&amp;Y97,Variables!$P$2:$P$19,IF(T97="NorthBound","&lt;=","&gt;=")&amp;Z97))</f>
        <v>0</v>
      </c>
      <c r="V97" s="191" t="str">
        <f t="shared" si="32"/>
        <v>https://d0f6bd738d7f1b3e5a7ca70fe4ff75f0.us-east-1.aws.found.io/app/kibana#/discover/Steve-Slow-Train-Analysis-(2080s-and-2083s)?_g=(refreshInterval:(display:Off,pause:!f,section:0,value:0),time:(from:'2017-02-05T13:02:58-0700',mode:absolute,to:'2017-02-05T15:54: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97" s="192" t="str">
        <f t="shared" si="33"/>
        <v>Y</v>
      </c>
      <c r="X97" s="192">
        <f t="shared" si="45"/>
        <v>1</v>
      </c>
      <c r="Y97" s="62">
        <f t="shared" si="34"/>
        <v>0.14879999999999999</v>
      </c>
      <c r="Z97" s="62">
        <f t="shared" si="35"/>
        <v>0.16839999999999999</v>
      </c>
      <c r="AA97" s="62">
        <f t="shared" si="36"/>
        <v>1.9600000000000006E-2</v>
      </c>
      <c r="AB97" s="59" t="str">
        <f>VLOOKUP(A97,Enforcements!$C$7:$K$16,8,0)</f>
        <v>Signal based authority (5)</v>
      </c>
      <c r="AC97" s="55" t="str">
        <f>VLOOKUP(A97,Enforcements!$C$7:$E$16,3,0)</f>
        <v>SIGNAL</v>
      </c>
      <c r="AD97" s="56" t="str">
        <f t="shared" si="37"/>
        <v>0185-05</v>
      </c>
      <c r="AE97" s="85" t="str">
        <f t="shared" si="38"/>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97" s="82" t="str">
        <f t="shared" si="39"/>
        <v>"C:\Program Files (x86)\AstroGrep\AstroGrep.exe" /spath="%USERPROFILE%\AppData\Local\Temp\OnboardLogs" /stypes="app*4038*20170205*" /stext=" 21:.+((SYSTEM_STATE.+slice.+state.+changed )|(ment ac)|(multiple cpu faults)|(system.+state.+changed )|(\[timeout)|(PRM\|1\|D)|(kpr)|(kdp)|(\|lc)|(penalty))" /e /r /s</v>
      </c>
      <c r="AG97" s="1" t="str">
        <f t="shared" si="40"/>
        <v>EC</v>
      </c>
      <c r="AH97" s="86" t="str">
        <f t="shared" si="41"/>
        <v>"%USERPROFILE%\Documents\GitHub\eaglep3\Utilities\RefineRTDCRunTimes.py" --tripid 185-05 --locoid 4038 --swversion DE.1.0.8.0 --startMP 204:1488 --initTime 2017-02-05T14:02:58 --startdatetime 2017-02-05T14:23:36 --delay 3 --endMP 204:1684 --enddatetime 2017-02-05T14:54:22 --enforcementcount 0 &gt;&gt;C:\Users\stu\Documents\GitHub\eaglep3-reporting\EC\2017-02-05-refined-times.txt</v>
      </c>
      <c r="AI97" s="108" t="str">
        <f t="shared" si="42"/>
        <v>echo {"issue":{"subject":"","project_id":79,"tracker_id":40,"status_id":1,"priority_id":2,"assigned_to_id":23,"start_date":"2017-02-05","description":"","custom_fields":[{"id":1,"name":"Subdivision","value":"EC"},{"id":4,"name":"Milepost","value":"0.1684"},{"id":17,"name":"Train ID","value":"185-05"},{"id":16,"name":"Locomotive ID","value":"4038"},{"id":130,"name":"Impact","value":""},{"id":150,"name":"Time of Event (Mountain Time)","value":"14:54:22"},{"id":151,"name":"Denver Issue ID","value":""},{"id":178,"name":"Operational Impact","value":"Yes"},{"id":179,"name":"Denver Segment Assigned","value":""}]}} | curl -X POST -H "Content-Type: application/json" -H "X-Redmine-API-Key: d6333d4a04012a730768444271f8ca06482dae87" https://secure.xorail.net/redmine/issues.json --data @-</v>
      </c>
      <c r="AJ97" s="48"/>
      <c r="AK97" s="48"/>
      <c r="AL97" s="48"/>
      <c r="AM97" s="158" t="str">
        <f t="shared" si="43"/>
        <v>start /low /b %USERPROFILE%\Documents\GitHub\eaglep3\Utilities\DownloadLogsFromS3.py --loco 4038 --day 2017-02-05</v>
      </c>
      <c r="AN97" s="167" t="str">
        <f>"grep -SE -B400 ""CHR.+\|PRM\|1\|D.+(SWITCH|SIGNAL).+UNKNOWN"" "&amp;search_path&amp;"\RTDC"&amp;B97&amp;"\*"&amp;B97&amp;"*"&amp;TEXT(AVERAGE(F97,I97)-utc_offset/24,"YYYYMMDD")&amp;"* | grep -SE ""(Enforcement Action)|(\[TIMEOUT)|(CHR.+\|PRM\|1\|D.+(SWITCH|SIGNAL).+UNKNOWN)"" - &gt;&gt; "&amp;TEXT(Variables!$A$2,"YYYY-MM-DD")&amp;"-UncaughtWiMAX.txt"</f>
        <v>grep -SE -B400 "CHR.+\|PRM\|1\|D.+(SWITCH|SIGNAL).+UNKNOWN" "%USERPROFILE%\AppData\Local\Temp\OnboardLogs"\RTDC4038\*4038*20170205* | grep -SE "(Enforcement Action)|(\[TIMEOUT)|(CHR.+\|PRM\|1\|D.+(SWITCH|SIGNAL).+UNKNOWN)" - &gt;&gt; 2017-02-05-UncaughtWiMAX.txt</v>
      </c>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20" customFormat="1" x14ac:dyDescent="0.25">
      <c r="A98" s="33" t="s">
        <v>508</v>
      </c>
      <c r="B98" s="7">
        <v>4038</v>
      </c>
      <c r="C98" s="21" t="s">
        <v>193</v>
      </c>
      <c r="D98" s="21" t="s">
        <v>826</v>
      </c>
      <c r="E98" s="13">
        <v>42771.598761574074</v>
      </c>
      <c r="F98" s="13">
        <v>42771.599722222221</v>
      </c>
      <c r="G98" s="7">
        <v>1</v>
      </c>
      <c r="H98" s="21" t="s">
        <v>827</v>
      </c>
      <c r="I98" s="13">
        <v>42771.621087962965</v>
      </c>
      <c r="J98" s="7">
        <v>0</v>
      </c>
      <c r="K98" s="98" t="str">
        <f t="shared" si="27"/>
        <v>4037/4038</v>
      </c>
      <c r="L98" s="21" t="str">
        <f>VLOOKUP(A98,'Trips&amp;Operators'!$C$1:$G$99999,5,FALSE)</f>
        <v>LOPES KIMBERLY</v>
      </c>
      <c r="M98" s="6">
        <f t="shared" si="28"/>
        <v>2.1365740743931383E-2</v>
      </c>
      <c r="N98" s="7"/>
      <c r="O98" s="7"/>
      <c r="P98" s="7">
        <f>24*60*SUM($M98:$M98)</f>
        <v>30.766666671261191</v>
      </c>
      <c r="Q98" s="22"/>
      <c r="R98" s="22" t="s">
        <v>904</v>
      </c>
      <c r="S98" s="31">
        <f t="shared" si="30"/>
        <v>1</v>
      </c>
      <c r="T98" s="46" t="str">
        <f t="shared" si="31"/>
        <v>NorthBound</v>
      </c>
      <c r="U98" s="190">
        <f>IF(AG98="EC",COUNTIFS(Variables!$M$2:$M$19,IF(T98="NorthBound","&gt;=","&lt;=")&amp;Y98,Variables!$M$2:$M$19,IF(T98="NorthBound","&lt;=","&gt;=")&amp;Z98),COUNTIFS(Variables!$P$2:$P$19,IF(T98="NorthBound","&gt;=","&lt;=")&amp;Y98,Variables!$P$2:$P$19,IF(T98="NorthBound","&lt;=","&gt;=")&amp;Z98))</f>
        <v>12</v>
      </c>
      <c r="V98" s="191" t="str">
        <f t="shared" si="32"/>
        <v>https://d0f6bd738d7f1b3e5a7ca70fe4ff75f0.us-east-1.aws.found.io/app/kibana#/discover/Steve-Slow-Train-Analysis-(2080s-and-2083s)?_g=(refreshInterval:(display:Off,pause:!f,section:0,value:0),time:(from:'2017-02-05T13:22:13-0700',mode:absolute,to:'2017-02-05T15:54: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98" s="192" t="str">
        <f t="shared" si="33"/>
        <v>Y</v>
      </c>
      <c r="X98" s="192">
        <f t="shared" si="45"/>
        <v>0</v>
      </c>
      <c r="Y98" s="62">
        <f t="shared" si="34"/>
        <v>1.913</v>
      </c>
      <c r="Z98" s="62">
        <f t="shared" si="35"/>
        <v>23.331900000000001</v>
      </c>
      <c r="AA98" s="62">
        <f t="shared" si="36"/>
        <v>21.418900000000001</v>
      </c>
      <c r="AB98" s="59" t="str">
        <f>VLOOKUP(A98,Enforcements!$C$7:$K$16,8,0)</f>
        <v>Signal based authority (5)</v>
      </c>
      <c r="AC98" s="55" t="str">
        <f>VLOOKUP(A98,Enforcements!$C$7:$E$16,3,0)</f>
        <v>SIGNAL</v>
      </c>
      <c r="AD98" s="56" t="str">
        <f t="shared" si="37"/>
        <v>0185-05</v>
      </c>
      <c r="AE98" s="85" t="str">
        <f t="shared" si="38"/>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98" s="82" t="str">
        <f t="shared" si="39"/>
        <v>"C:\Program Files (x86)\AstroGrep\AstroGrep.exe" /spath="%USERPROFILE%\AppData\Local\Temp\OnboardLogs" /stypes="app*4038*20170205*" /stext=" 21:.+((SYSTEM_STATE.+slice.+state.+changed )|(ment ac)|(multiple cpu faults)|(system.+state.+changed )|(\[timeout)|(PRM\|1\|D)|(kpr)|(kdp)|(\|lc)|(penalty))" /e /r /s</v>
      </c>
      <c r="AG98" s="1" t="str">
        <f t="shared" si="40"/>
        <v>EC</v>
      </c>
      <c r="AH98" s="86" t="str">
        <f t="shared" si="41"/>
        <v>"%USERPROFILE%\Documents\GitHub\eaglep3\Utilities\RefineRTDCRunTimes.py" --tripid 185-05 --locoid 4038 --swversion DE.1.0.8.0 --startMP 204:19130 --initTime 2017-02-05T14:22:13 --startdatetime 2017-02-05T14:23:36 --delay 1 --endMP 204:233319 --enddatetime 2017-02-05T14:54:22 --enforcementcount 0 &gt;&gt;C:\Users\stu\Documents\GitHub\eaglep3-reporting\EC\2017-02-05-refined-times.txt</v>
      </c>
      <c r="AI98" s="108" t="str">
        <f t="shared" si="42"/>
        <v>echo {"issue":{"subject":"Main 3 departure","project_id":79,"tracker_id":40,"status_id":1,"priority_id":2,"assigned_to_id":23,"start_date":"2017-02-05","description":"","custom_fields":[{"id":1,"name":"Subdivision","value":"EC"},{"id":4,"name":"Milepost","value":"23.3319"},{"id":17,"name":"Train ID","value":"185-05"},{"id":16,"name":"Locomotive ID","value":"4038"},{"id":130,"name":"Impact","value":""},{"id":150,"name":"Time of Event (Mountain Time)","value":"14:54:22"},{"id":151,"name":"Denver Issue ID","value":""},{"id":178,"name":"Operational Impact","value":"Yes"},{"id":179,"name":"Denver Segment Assigned","value":""}]}} | curl -X POST -H "Content-Type: application/json" -H "X-Redmine-API-Key: d6333d4a04012a730768444271f8ca06482dae87" https://secure.xorail.net/redmine/issues.json --data @-</v>
      </c>
      <c r="AJ98" s="48"/>
      <c r="AK98" s="48"/>
      <c r="AL98" s="48"/>
      <c r="AM98" s="158" t="str">
        <f t="shared" si="43"/>
        <v>start /low /b %USERPROFILE%\Documents\GitHub\eaglep3\Utilities\DownloadLogsFromS3.py --loco 4038 --day 2017-02-05</v>
      </c>
      <c r="AN98" s="167" t="str">
        <f>"grep -SE -B400 ""CHR.+\|PRM\|1\|D.+(SWITCH|SIGNAL).+UNKNOWN"" "&amp;search_path&amp;"\RTDC"&amp;B98&amp;"\*"&amp;B98&amp;"*"&amp;TEXT(AVERAGE(F98,I98)-utc_offset/24,"YYYYMMDD")&amp;"* | grep -SE ""(Enforcement Action)|(\[TIMEOUT)|(CHR.+\|PRM\|1\|D.+(SWITCH|SIGNAL).+UNKNOWN)"" - &gt;&gt; "&amp;TEXT(Variables!$A$2,"YYYY-MM-DD")&amp;"-UncaughtWiMAX.txt"</f>
        <v>grep -SE -B400 "CHR.+\|PRM\|1\|D.+(SWITCH|SIGNAL).+UNKNOWN" "%USERPROFILE%\AppData\Local\Temp\OnboardLogs"\RTDC4038\*4038*20170205* | grep -SE "(Enforcement Action)|(\[TIMEOUT)|(CHR.+\|PRM\|1\|D.+(SWITCH|SIGNAL).+UNKNOWN)" - &gt;&gt; 2017-02-05-UncaughtWiMAX.txt</v>
      </c>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s="20" customFormat="1" x14ac:dyDescent="0.25">
      <c r="A99" s="33" t="s">
        <v>659</v>
      </c>
      <c r="B99" s="7">
        <v>4037</v>
      </c>
      <c r="C99" s="21" t="s">
        <v>193</v>
      </c>
      <c r="D99" s="21" t="s">
        <v>768</v>
      </c>
      <c r="E99" s="13">
        <v>42771.623310185183</v>
      </c>
      <c r="F99" s="13">
        <v>42771.633125</v>
      </c>
      <c r="G99" s="7">
        <v>1</v>
      </c>
      <c r="H99" s="21" t="s">
        <v>200</v>
      </c>
      <c r="I99" s="13">
        <v>42771.660949074074</v>
      </c>
      <c r="J99" s="7">
        <v>0</v>
      </c>
      <c r="K99" s="98" t="str">
        <f t="shared" si="27"/>
        <v>4037/4038</v>
      </c>
      <c r="L99" s="21" t="str">
        <f>VLOOKUP(A99,'Trips&amp;Operators'!$C$1:$G$99999,5,FALSE)</f>
        <v>LOPES KIMBERLY</v>
      </c>
      <c r="M99" s="6">
        <f t="shared" si="28"/>
        <v>2.7824074073578231E-2</v>
      </c>
      <c r="N99" s="7">
        <f t="shared" ref="N99:N130" si="46">24*60*SUM($M99:$M99)</f>
        <v>40.066666665952653</v>
      </c>
      <c r="O99" s="7"/>
      <c r="P99" s="7"/>
      <c r="Q99" s="22"/>
      <c r="R99" s="22"/>
      <c r="S99" s="31">
        <f t="shared" si="30"/>
        <v>1</v>
      </c>
      <c r="T99" s="46" t="str">
        <f t="shared" si="31"/>
        <v>Southbound</v>
      </c>
      <c r="U99" s="190">
        <f>IF(AG99="EC",COUNTIFS(Variables!$M$2:$M$19,IF(T99="NorthBound","&gt;=","&lt;=")&amp;Y99,Variables!$M$2:$M$19,IF(T99="NorthBound","&lt;=","&gt;=")&amp;Z99),COUNTIFS(Variables!$P$2:$P$19,IF(T99="NorthBound","&gt;=","&lt;=")&amp;Y99,Variables!$P$2:$P$19,IF(T99="NorthBound","&lt;=","&gt;=")&amp;Z99))</f>
        <v>12</v>
      </c>
      <c r="V99" s="191" t="str">
        <f t="shared" si="32"/>
        <v>https://d0f6bd738d7f1b3e5a7ca70fe4ff75f0.us-east-1.aws.found.io/app/kibana#/discover/Steve-Slow-Train-Analysis-(2080s-and-2083s)?_g=(refreshInterval:(display:Off,pause:!f,section:0,value:0),time:(from:'2017-02-05T13:57:34-0700',mode:absolute,to:'2017-02-05T16:51:46-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99" s="192" t="str">
        <f t="shared" si="33"/>
        <v>N</v>
      </c>
      <c r="X99" s="192">
        <f t="shared" si="45"/>
        <v>1</v>
      </c>
      <c r="Y99" s="62">
        <f t="shared" si="34"/>
        <v>23.3</v>
      </c>
      <c r="Z99" s="62">
        <f t="shared" si="35"/>
        <v>1.4500000000000001E-2</v>
      </c>
      <c r="AA99" s="62">
        <f t="shared" si="36"/>
        <v>23.285499999999999</v>
      </c>
      <c r="AB99" s="59" t="e">
        <f>VLOOKUP(A99,Enforcements!$C$7:$K$16,8,0)</f>
        <v>#N/A</v>
      </c>
      <c r="AC99" s="55" t="e">
        <f>VLOOKUP(A99,Enforcements!$C$7:$E$16,3,0)</f>
        <v>#N/A</v>
      </c>
      <c r="AD99" s="56" t="str">
        <f t="shared" si="37"/>
        <v>0186-05</v>
      </c>
      <c r="AE99" s="85" t="str">
        <f t="shared" si="38"/>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99" s="82" t="str">
        <f t="shared" si="39"/>
        <v>"C:\Program Files (x86)\AstroGrep\AstroGrep.exe" /spath="%USERPROFILE%\AppData\Local\Temp\OnboardLogs" /stypes="app*4037*20170205*" /stext=" 22:.+((SYSTEM_STATE.+slice.+state.+changed )|(ment ac)|(multiple cpu faults)|(system.+state.+changed )|(\[timeout)|(PRM\|1\|D)|(kpr)|(kdp)|(\|lc)|(penalty))" /e /r /s</v>
      </c>
      <c r="AG99" s="1" t="str">
        <f t="shared" si="40"/>
        <v>EC</v>
      </c>
      <c r="AH99" s="86" t="str">
        <f t="shared" si="41"/>
        <v>"%USERPROFILE%\Documents\GitHub\eaglep3\Utilities\RefineRTDCRunTimes.py" --tripid 186-05 --locoid 4037 --swversion DE.1.0.8.0 --startMP 204:233000 --initTime 2017-02-05T14:57:34 --startdatetime 2017-02-05T15:11:42 --delay 1 --endMP 204:145 --enddatetime 2017-02-05T15:51:46 --enforcementcount 0 &gt;&gt;C:\Users\stu\Documents\GitHub\eaglep3-reporting\EC\2017-02-05-refined-times.txt</v>
      </c>
      <c r="AI99" s="108" t="str">
        <f t="shared" si="42"/>
        <v>echo {"issue":{"subject":"","project_id":79,"tracker_id":40,"status_id":1,"priority_id":2,"assigned_to_id":23,"start_date":"2017-02-05","description":"","custom_fields":[{"id":1,"name":"Subdivision","value":"EC"},{"id":4,"name":"Milepost","value":"0.0145"},{"id":17,"name":"Train ID","value":"186-05"},{"id":16,"name":"Locomotive ID","value":"4037"},{"id":130,"name":"Impact","value":""},{"id":150,"name":"Time of Event (Mountain Time)","value":"15:51:46"},{"id":151,"name":"Denver Issue ID","value":""},{"id":178,"name":"Operational Impact","value":"Yes"},{"id":179,"name":"Denver Segment Assigned","value":""}]}} | curl -X POST -H "Content-Type: application/json" -H "X-Redmine-API-Key: d6333d4a04012a730768444271f8ca06482dae87" https://secure.xorail.net/redmine/issues.json --data @-</v>
      </c>
      <c r="AJ99" s="48"/>
      <c r="AK99" s="48"/>
      <c r="AL99" s="48"/>
      <c r="AM99" s="158" t="str">
        <f t="shared" si="43"/>
        <v>start /low /b %USERPROFILE%\Documents\GitHub\eaglep3\Utilities\DownloadLogsFromS3.py --loco 4037 --day 2017-02-05</v>
      </c>
      <c r="AN99" s="167" t="str">
        <f>"grep -SE -B400 ""CHR.+\|PRM\|1\|D.+(SWITCH|SIGNAL).+UNKNOWN"" "&amp;search_path&amp;"\RTDC"&amp;B99&amp;"\*"&amp;B99&amp;"*"&amp;TEXT(AVERAGE(F99,I99)-utc_offset/24,"YYYYMMDD")&amp;"* | grep -SE ""(Enforcement Action)|(\[TIMEOUT)|(CHR.+\|PRM\|1\|D.+(SWITCH|SIGNAL).+UNKNOWN)"" - &gt;&gt; "&amp;TEXT(Variables!$A$2,"YYYY-MM-DD")&amp;"-UncaughtWiMAX.txt"</f>
        <v>grep -SE -B400 "CHR.+\|PRM\|1\|D.+(SWITCH|SIGNAL).+UNKNOWN" "%USERPROFILE%\AppData\Local\Temp\OnboardLogs"\RTDC4037\*4037*20170205* | grep -SE "(Enforcement Action)|(\[TIMEOUT)|(CHR.+\|PRM\|1\|D.+(SWITCH|SIGNAL).+UNKNOWN)" - &gt;&gt; 2017-02-05-UncaughtWiMAX.txt</v>
      </c>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row>
    <row r="100" spans="1:91" s="20" customFormat="1" x14ac:dyDescent="0.25">
      <c r="A100" s="33" t="s">
        <v>656</v>
      </c>
      <c r="B100" s="7">
        <v>4025</v>
      </c>
      <c r="C100" s="21" t="s">
        <v>193</v>
      </c>
      <c r="D100" s="21" t="s">
        <v>241</v>
      </c>
      <c r="E100" s="13">
        <v>42771.6012962963</v>
      </c>
      <c r="F100" s="13">
        <v>42771.604409722226</v>
      </c>
      <c r="G100" s="7">
        <v>2</v>
      </c>
      <c r="H100" s="21" t="s">
        <v>288</v>
      </c>
      <c r="I100" s="13">
        <v>42771.630740740744</v>
      </c>
      <c r="J100" s="7">
        <v>0</v>
      </c>
      <c r="K100" s="98" t="str">
        <f t="shared" si="27"/>
        <v>4025/4026</v>
      </c>
      <c r="L100" s="21" t="str">
        <f>VLOOKUP(A100,'Trips&amp;Operators'!$C$1:$G$99999,5,FALSE)</f>
        <v>STEWART MICHAEL</v>
      </c>
      <c r="M100" s="6">
        <f t="shared" si="28"/>
        <v>2.6331018518249039E-2</v>
      </c>
      <c r="N100" s="7">
        <f t="shared" si="46"/>
        <v>37.916666666278616</v>
      </c>
      <c r="O100" s="7"/>
      <c r="P100" s="7"/>
      <c r="Q100" s="22"/>
      <c r="R100" s="22"/>
      <c r="S100" s="31">
        <f t="shared" si="30"/>
        <v>1</v>
      </c>
      <c r="T100" s="46" t="str">
        <f t="shared" si="31"/>
        <v>NorthBound</v>
      </c>
      <c r="U100" s="190">
        <f>IF(AG100="EC",COUNTIFS(Variables!$M$2:$M$19,IF(T100="NorthBound","&gt;=","&lt;=")&amp;Y100,Variables!$M$2:$M$19,IF(T100="NorthBound","&lt;=","&gt;=")&amp;Z100),COUNTIFS(Variables!$P$2:$P$19,IF(T100="NorthBound","&gt;=","&lt;=")&amp;Y100,Variables!$P$2:$P$19,IF(T100="NorthBound","&lt;=","&gt;=")&amp;Z100))</f>
        <v>12</v>
      </c>
      <c r="V100" s="191" t="str">
        <f t="shared" si="32"/>
        <v>https://d0f6bd738d7f1b3e5a7ca70fe4ff75f0.us-east-1.aws.found.io/app/kibana#/discover/Steve-Slow-Train-Analysis-(2080s-and-2083s)?_g=(refreshInterval:(display:Off,pause:!f,section:0,value:0),time:(from:'2017-02-05T13:25:52-0700',mode:absolute,to:'2017-02-05T16:08:16-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100" s="192" t="str">
        <f t="shared" si="33"/>
        <v>N</v>
      </c>
      <c r="X100" s="192">
        <f t="shared" si="45"/>
        <v>1</v>
      </c>
      <c r="Y100" s="62">
        <f t="shared" si="34"/>
        <v>4.5699999999999998E-2</v>
      </c>
      <c r="Z100" s="62">
        <f t="shared" si="35"/>
        <v>23.3307</v>
      </c>
      <c r="AA100" s="62">
        <f t="shared" si="36"/>
        <v>23.285</v>
      </c>
      <c r="AB100" s="59" t="e">
        <f>VLOOKUP(A100,Enforcements!$C$7:$K$16,8,0)</f>
        <v>#N/A</v>
      </c>
      <c r="AC100" s="55" t="e">
        <f>VLOOKUP(A100,Enforcements!$C$7:$E$16,3,0)</f>
        <v>#N/A</v>
      </c>
      <c r="AD100" s="56" t="str">
        <f t="shared" si="37"/>
        <v>0187-05</v>
      </c>
      <c r="AE100" s="85" t="str">
        <f t="shared" si="38"/>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100" s="82" t="str">
        <f t="shared" si="39"/>
        <v>"C:\Program Files (x86)\AstroGrep\AstroGrep.exe" /spath="%USERPROFILE%\AppData\Local\Temp\OnboardLogs" /stypes="app*4025*20170205*" /stext=" 22:.+((SYSTEM_STATE.+slice.+state.+changed )|(ment ac)|(multiple cpu faults)|(system.+state.+changed )|(\[timeout)|(PRM\|1\|D)|(kpr)|(kdp)|(\|lc)|(penalty))" /e /r /s</v>
      </c>
      <c r="AG100" s="1" t="str">
        <f t="shared" si="40"/>
        <v>EC</v>
      </c>
      <c r="AH100" s="86" t="str">
        <f t="shared" si="41"/>
        <v>"%USERPROFILE%\Documents\GitHub\eaglep3\Utilities\RefineRTDCRunTimes.py" --tripid 187-05 --locoid 4025 --swversion DE.1.0.8.0 --startMP 204:457 --initTime 2017-02-05T14:25:52 --startdatetime 2017-02-05T14:30:21 --delay 2 --endMP 204:233307 --enddatetime 2017-02-05T15:08:16 --enforcementcount 0 &gt;&gt;C:\Users\stu\Documents\GitHub\eaglep3-reporting\EC\2017-02-05-refined-times.txt</v>
      </c>
      <c r="AI100" s="108" t="str">
        <f t="shared" si="42"/>
        <v>echo {"issue":{"subject":"","project_id":79,"tracker_id":40,"status_id":1,"priority_id":2,"assigned_to_id":23,"start_date":"2017-02-05","description":"","custom_fields":[{"id":1,"name":"Subdivision","value":"EC"},{"id":4,"name":"Milepost","value":"23.3307"},{"id":17,"name":"Train ID","value":"187-05"},{"id":16,"name":"Locomotive ID","value":"4025"},{"id":130,"name":"Impact","value":""},{"id":150,"name":"Time of Event (Mountain Time)","value":"15:08:16"},{"id":151,"name":"Denver Issue ID","value":""},{"id":178,"name":"Operational Impact","value":"Yes"},{"id":179,"name":"Denver Segment Assigned","value":""}]}} | curl -X POST -H "Content-Type: application/json" -H "X-Redmine-API-Key: d6333d4a04012a730768444271f8ca06482dae87" https://secure.xorail.net/redmine/issues.json --data @-</v>
      </c>
      <c r="AJ100" s="48"/>
      <c r="AK100" s="48"/>
      <c r="AL100" s="48"/>
      <c r="AM100" s="158" t="str">
        <f t="shared" si="43"/>
        <v>start /low /b %USERPROFILE%\Documents\GitHub\eaglep3\Utilities\DownloadLogsFromS3.py --loco 4025 --day 2017-02-05</v>
      </c>
      <c r="AN100" s="167" t="str">
        <f>"grep -SE -B400 ""CHR.+\|PRM\|1\|D.+(SWITCH|SIGNAL).+UNKNOWN"" "&amp;search_path&amp;"\RTDC"&amp;B100&amp;"\*"&amp;B100&amp;"*"&amp;TEXT(AVERAGE(F100,I100)-utc_offset/24,"YYYYMMDD")&amp;"*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spans="1:91" s="20" customFormat="1" x14ac:dyDescent="0.25">
      <c r="A101" s="33" t="s">
        <v>662</v>
      </c>
      <c r="B101" s="7">
        <v>4026</v>
      </c>
      <c r="C101" s="21" t="s">
        <v>193</v>
      </c>
      <c r="D101" s="21" t="s">
        <v>828</v>
      </c>
      <c r="E101" s="13">
        <v>42771.640694444446</v>
      </c>
      <c r="F101" s="13">
        <v>42771.643240740741</v>
      </c>
      <c r="G101" s="7">
        <v>2</v>
      </c>
      <c r="H101" s="21" t="s">
        <v>403</v>
      </c>
      <c r="I101" s="13">
        <v>42771.673043981478</v>
      </c>
      <c r="J101" s="7">
        <v>0</v>
      </c>
      <c r="K101" s="98" t="str">
        <f t="shared" si="27"/>
        <v>4025/4026</v>
      </c>
      <c r="L101" s="21" t="str">
        <f>VLOOKUP(A101,'Trips&amp;Operators'!$C$1:$G$99999,5,FALSE)</f>
        <v>STEWART MICHAEL</v>
      </c>
      <c r="M101" s="6">
        <f t="shared" si="28"/>
        <v>2.9803240737237502E-2</v>
      </c>
      <c r="N101" s="7">
        <f t="shared" si="46"/>
        <v>42.916666661622003</v>
      </c>
      <c r="O101" s="7"/>
      <c r="P101" s="7"/>
      <c r="Q101" s="22"/>
      <c r="R101" s="22"/>
      <c r="S101" s="31">
        <f t="shared" si="30"/>
        <v>1</v>
      </c>
      <c r="T101" s="46" t="str">
        <f t="shared" si="31"/>
        <v>Southbound</v>
      </c>
      <c r="U101" s="190">
        <f>IF(AG101="EC",COUNTIFS(Variables!$M$2:$M$19,IF(T101="NorthBound","&gt;=","&lt;=")&amp;Y101,Variables!$M$2:$M$19,IF(T101="NorthBound","&lt;=","&gt;=")&amp;Z101),COUNTIFS(Variables!$P$2:$P$19,IF(T101="NorthBound","&gt;=","&lt;=")&amp;Y101,Variables!$P$2:$P$19,IF(T101="NorthBound","&lt;=","&gt;=")&amp;Z101))</f>
        <v>12</v>
      </c>
      <c r="V101" s="191" t="str">
        <f t="shared" si="32"/>
        <v>https://d0f6bd738d7f1b3e5a7ca70fe4ff75f0.us-east-1.aws.found.io/app/kibana#/discover/Steve-Slow-Train-Analysis-(2080s-and-2083s)?_g=(refreshInterval:(display:Off,pause:!f,section:0,value:0),time:(from:'2017-02-05T14:22:36-0700',mode:absolute,to:'2017-02-05T17:09:11-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101" s="192" t="str">
        <f t="shared" si="33"/>
        <v>N</v>
      </c>
      <c r="X101" s="192">
        <f t="shared" si="45"/>
        <v>1</v>
      </c>
      <c r="Y101" s="62">
        <f t="shared" si="34"/>
        <v>23.298400000000001</v>
      </c>
      <c r="Z101" s="62">
        <f t="shared" si="35"/>
        <v>1.6500000000000001E-2</v>
      </c>
      <c r="AA101" s="62">
        <f t="shared" si="36"/>
        <v>23.2819</v>
      </c>
      <c r="AB101" s="59" t="e">
        <f>VLOOKUP(A101,Enforcements!$C$7:$K$16,8,0)</f>
        <v>#N/A</v>
      </c>
      <c r="AC101" s="55" t="e">
        <f>VLOOKUP(A101,Enforcements!$C$7:$E$16,3,0)</f>
        <v>#N/A</v>
      </c>
      <c r="AD101" s="56" t="str">
        <f t="shared" si="37"/>
        <v>0188-05</v>
      </c>
      <c r="AE101" s="85" t="str">
        <f t="shared" si="38"/>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101" s="82" t="str">
        <f t="shared" si="39"/>
        <v>"C:\Program Files (x86)\AstroGrep\AstroGrep.exe" /spath="%USERPROFILE%\AppData\Local\Temp\OnboardLogs" /stypes="app*4026*20170205*" /stext=" 23:.+((SYSTEM_STATE.+slice.+state.+changed )|(ment ac)|(multiple cpu faults)|(system.+state.+changed )|(\[timeout)|(PRM\|1\|D)|(kpr)|(kdp)|(\|lc)|(penalty))" /e /r /s</v>
      </c>
      <c r="AG101" s="1" t="str">
        <f t="shared" si="40"/>
        <v>EC</v>
      </c>
      <c r="AH101" s="86" t="str">
        <f t="shared" si="41"/>
        <v>"%USERPROFILE%\Documents\GitHub\eaglep3\Utilities\RefineRTDCRunTimes.py" --tripid 188-05 --locoid 4026 --swversion DE.1.0.8.0 --startMP 204:232984 --initTime 2017-02-05T15:22:36 --startdatetime 2017-02-05T15:26:16 --delay 2 --endMP 204:165 --enddatetime 2017-02-05T16:09:11 --enforcementcount 0 &gt;&gt;C:\Users\stu\Documents\GitHub\eaglep3-reporting\EC\2017-02-05-refined-times.txt</v>
      </c>
      <c r="AI101" s="108" t="str">
        <f t="shared" si="42"/>
        <v>echo {"issue":{"subject":"","project_id":79,"tracker_id":40,"status_id":1,"priority_id":2,"assigned_to_id":23,"start_date":"2017-02-05","description":"","custom_fields":[{"id":1,"name":"Subdivision","value":"EC"},{"id":4,"name":"Milepost","value":"0.0165"},{"id":17,"name":"Train ID","value":"188-05"},{"id":16,"name":"Locomotive ID","value":"4026"},{"id":130,"name":"Impact","value":""},{"id":150,"name":"Time of Event (Mountain Time)","value":"16:09:11"},{"id":151,"name":"Denver Issue ID","value":""},{"id":178,"name":"Operational Impact","value":"Yes"},{"id":179,"name":"Denver Segment Assigned","value":""}]}} | curl -X POST -H "Content-Type: application/json" -H "X-Redmine-API-Key: d6333d4a04012a730768444271f8ca06482dae87" https://secure.xorail.net/redmine/issues.json --data @-</v>
      </c>
      <c r="AJ101" s="48"/>
      <c r="AK101" s="48"/>
      <c r="AL101" s="48"/>
      <c r="AM101" s="158" t="str">
        <f t="shared" si="43"/>
        <v>start /low /b %USERPROFILE%\Documents\GitHub\eaglep3\Utilities\DownloadLogsFromS3.py --loco 4026 --day 2017-02-05</v>
      </c>
      <c r="AN101" s="167" t="str">
        <f>"grep -SE -B400 ""CHR.+\|PRM\|1\|D.+(SWITCH|SIGNAL).+UNKNOWN"" "&amp;search_path&amp;"\RTDC"&amp;B101&amp;"\*"&amp;B101&amp;"*"&amp;TEXT(AVERAGE(F101,I101)-utc_offset/24,"YYYYMMDD")&amp;"*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s="20" customFormat="1" x14ac:dyDescent="0.25">
      <c r="A102" s="33" t="s">
        <v>510</v>
      </c>
      <c r="B102" s="7">
        <v>4016</v>
      </c>
      <c r="C102" s="21" t="s">
        <v>193</v>
      </c>
      <c r="D102" s="21" t="s">
        <v>404</v>
      </c>
      <c r="E102" s="13">
        <v>42771.611284722225</v>
      </c>
      <c r="F102" s="13">
        <v>42771.615162037036</v>
      </c>
      <c r="G102" s="7">
        <v>1</v>
      </c>
      <c r="H102" s="21" t="s">
        <v>829</v>
      </c>
      <c r="I102" s="13">
        <v>42771.649733796294</v>
      </c>
      <c r="J102" s="7">
        <v>0</v>
      </c>
      <c r="K102" s="98" t="str">
        <f t="shared" si="27"/>
        <v>4015/4016</v>
      </c>
      <c r="L102" s="21" t="str">
        <f>VLOOKUP(A102,'Trips&amp;Operators'!$C$1:$G$99999,5,FALSE)</f>
        <v>DAVIS MICHAEL</v>
      </c>
      <c r="M102" s="6">
        <f t="shared" si="28"/>
        <v>3.457175925723277E-2</v>
      </c>
      <c r="N102" s="7">
        <f t="shared" si="46"/>
        <v>49.783333330415189</v>
      </c>
      <c r="O102" s="7"/>
      <c r="P102" s="7"/>
      <c r="Q102" s="22"/>
      <c r="R102" s="22"/>
      <c r="S102" s="31">
        <f t="shared" si="30"/>
        <v>1</v>
      </c>
      <c r="T102" s="46" t="str">
        <f t="shared" si="31"/>
        <v>NorthBound</v>
      </c>
      <c r="U102" s="190">
        <f>IF(AG102="EC",COUNTIFS(Variables!$M$2:$M$19,IF(T102="NorthBound","&gt;=","&lt;=")&amp;Y102,Variables!$M$2:$M$19,IF(T102="NorthBound","&lt;=","&gt;=")&amp;Z102),COUNTIFS(Variables!$P$2:$P$19,IF(T102="NorthBound","&gt;=","&lt;=")&amp;Y102,Variables!$P$2:$P$19,IF(T102="NorthBound","&lt;=","&gt;=")&amp;Z102))</f>
        <v>12</v>
      </c>
      <c r="V102" s="191" t="str">
        <f t="shared" si="32"/>
        <v>https://d0f6bd738d7f1b3e5a7ca70fe4ff75f0.us-east-1.aws.found.io/app/kibana#/discover/Steve-Slow-Train-Analysis-(2080s-and-2083s)?_g=(refreshInterval:(display:Off,pause:!f,section:0,value:0),time:(from:'2017-02-05T13:40:15-0700',mode:absolute,to:'2017-02-05T16:35:37-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02" s="192" t="str">
        <f t="shared" si="33"/>
        <v>N</v>
      </c>
      <c r="X102" s="192">
        <f t="shared" si="45"/>
        <v>1</v>
      </c>
      <c r="Y102" s="62">
        <f t="shared" si="34"/>
        <v>4.3099999999999999E-2</v>
      </c>
      <c r="Z102" s="62">
        <f t="shared" si="35"/>
        <v>23.338699999999999</v>
      </c>
      <c r="AA102" s="62">
        <f t="shared" si="36"/>
        <v>23.2956</v>
      </c>
      <c r="AB102" s="59" t="e">
        <f>VLOOKUP(A102,Enforcements!$C$7:$K$16,8,0)</f>
        <v>#N/A</v>
      </c>
      <c r="AC102" s="55" t="e">
        <f>VLOOKUP(A102,Enforcements!$C$7:$E$16,3,0)</f>
        <v>#N/A</v>
      </c>
      <c r="AD102" s="56" t="str">
        <f t="shared" si="37"/>
        <v>0189-05</v>
      </c>
      <c r="AE102" s="85" t="str">
        <f t="shared" si="38"/>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102" s="82" t="str">
        <f t="shared" si="39"/>
        <v>"C:\Program Files (x86)\AstroGrep\AstroGrep.exe" /spath="%USERPROFILE%\AppData\Local\Temp\OnboardLogs" /stypes="app*4016*20170205*" /stext=" 22:.+((SYSTEM_STATE.+slice.+state.+changed )|(ment ac)|(multiple cpu faults)|(system.+state.+changed )|(\[timeout)|(PRM\|1\|D)|(kpr)|(kdp)|(\|lc)|(penalty))" /e /r /s</v>
      </c>
      <c r="AG102" s="1" t="str">
        <f t="shared" si="40"/>
        <v>EC</v>
      </c>
      <c r="AH102" s="86" t="str">
        <f t="shared" si="41"/>
        <v>"%USERPROFILE%\Documents\GitHub\eaglep3\Utilities\RefineRTDCRunTimes.py" --tripid 189-05 --locoid 4016 --swversion DE.1.0.8.0 --startMP 204:431 --initTime 2017-02-05T14:40:15 --startdatetime 2017-02-05T14:45:50 --delay 1 --endMP 204:233387 --enddatetime 2017-02-05T15:35:37 --enforcementcount 0 &gt;&gt;C:\Users\stu\Documents\GitHub\eaglep3-reporting\EC\2017-02-05-refined-times.txt</v>
      </c>
      <c r="AI102" s="108" t="str">
        <f t="shared" si="42"/>
        <v>echo {"issue":{"subject":"","project_id":79,"tracker_id":40,"status_id":1,"priority_id":2,"assigned_to_id":23,"start_date":"2017-02-05","description":"","custom_fields":[{"id":1,"name":"Subdivision","value":"EC"},{"id":4,"name":"Milepost","value":"23.3387"},{"id":17,"name":"Train ID","value":"189-05"},{"id":16,"name":"Locomotive ID","value":"4016"},{"id":130,"name":"Impact","value":""},{"id":150,"name":"Time of Event (Mountain Time)","value":"15:35:37"},{"id":151,"name":"Denver Issue ID","value":""},{"id":178,"name":"Operational Impact","value":"Yes"},{"id":179,"name":"Denver Segment Assigned","value":""}]}} | curl -X POST -H "Content-Type: application/json" -H "X-Redmine-API-Key: d6333d4a04012a730768444271f8ca06482dae87" https://secure.xorail.net/redmine/issues.json --data @-</v>
      </c>
      <c r="AJ102" s="48"/>
      <c r="AK102" s="48"/>
      <c r="AL102" s="48"/>
      <c r="AM102" s="158" t="str">
        <f t="shared" si="43"/>
        <v>start /low /b %USERPROFILE%\Documents\GitHub\eaglep3\Utilities\DownloadLogsFromS3.py --loco 4016 --day 2017-02-05</v>
      </c>
      <c r="AN102" s="167" t="str">
        <f>"grep -SE -B400 ""CHR.+\|PRM\|1\|D.+(SWITCH|SIGNAL).+UNKNOWN"" "&amp;search_path&amp;"\RTDC"&amp;B102&amp;"\*"&amp;B102&amp;"*"&amp;TEXT(AVERAGE(F102,I102)-utc_offset/24,"YYYYMMDD")&amp;"*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s="20" customFormat="1" x14ac:dyDescent="0.25">
      <c r="A103" s="33" t="s">
        <v>665</v>
      </c>
      <c r="B103" s="7">
        <v>4015</v>
      </c>
      <c r="C103" s="21" t="s">
        <v>193</v>
      </c>
      <c r="D103" s="21" t="s">
        <v>830</v>
      </c>
      <c r="E103" s="13">
        <v>42771.651620370372</v>
      </c>
      <c r="F103" s="13">
        <v>42771.654039351852</v>
      </c>
      <c r="G103" s="7">
        <v>1</v>
      </c>
      <c r="H103" s="21" t="s">
        <v>184</v>
      </c>
      <c r="I103" s="13">
        <v>42771.683287037034</v>
      </c>
      <c r="J103" s="7">
        <v>0</v>
      </c>
      <c r="K103" s="98" t="str">
        <f t="shared" si="27"/>
        <v>4015/4016</v>
      </c>
      <c r="L103" s="21" t="str">
        <f>VLOOKUP(A103,'Trips&amp;Operators'!$C$1:$G$99999,5,FALSE)</f>
        <v>DAVIS MICHAEL</v>
      </c>
      <c r="M103" s="6">
        <f t="shared" si="28"/>
        <v>2.9247685182781424E-2</v>
      </c>
      <c r="N103" s="7">
        <f t="shared" si="46"/>
        <v>42.116666663205251</v>
      </c>
      <c r="O103" s="7"/>
      <c r="P103" s="7"/>
      <c r="Q103" s="22"/>
      <c r="R103" s="22"/>
      <c r="S103" s="31">
        <f t="shared" si="30"/>
        <v>1</v>
      </c>
      <c r="T103" s="46" t="str">
        <f t="shared" si="31"/>
        <v>Southbound</v>
      </c>
      <c r="U103" s="190">
        <f>IF(AG103="EC",COUNTIFS(Variables!$M$2:$M$19,IF(T103="NorthBound","&gt;=","&lt;=")&amp;Y103,Variables!$M$2:$M$19,IF(T103="NorthBound","&lt;=","&gt;=")&amp;Z103),COUNTIFS(Variables!$P$2:$P$19,IF(T103="NorthBound","&gt;=","&lt;=")&amp;Y103,Variables!$P$2:$P$19,IF(T103="NorthBound","&lt;=","&gt;=")&amp;Z103))</f>
        <v>12</v>
      </c>
      <c r="V103" s="191" t="str">
        <f t="shared" si="32"/>
        <v>https://d0f6bd738d7f1b3e5a7ca70fe4ff75f0.us-east-1.aws.found.io/app/kibana#/discover/Steve-Slow-Train-Analysis-(2080s-and-2083s)?_g=(refreshInterval:(display:Off,pause:!f,section:0,value:0),time:(from:'2017-02-05T14:38:20-0700',mode:absolute,to:'2017-02-05T17:23:56-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03" s="192" t="str">
        <f t="shared" si="33"/>
        <v>N</v>
      </c>
      <c r="X103" s="192">
        <f t="shared" si="45"/>
        <v>1</v>
      </c>
      <c r="Y103" s="62">
        <f t="shared" si="34"/>
        <v>23.307600000000001</v>
      </c>
      <c r="Z103" s="62">
        <f t="shared" si="35"/>
        <v>1.49E-2</v>
      </c>
      <c r="AA103" s="62">
        <f t="shared" si="36"/>
        <v>23.2927</v>
      </c>
      <c r="AB103" s="59" t="e">
        <f>VLOOKUP(A103,Enforcements!$C$7:$K$16,8,0)</f>
        <v>#N/A</v>
      </c>
      <c r="AC103" s="55" t="e">
        <f>VLOOKUP(A103,Enforcements!$C$7:$E$16,3,0)</f>
        <v>#N/A</v>
      </c>
      <c r="AD103" s="56" t="str">
        <f t="shared" si="37"/>
        <v>0190-05</v>
      </c>
      <c r="AE103" s="85" t="str">
        <f t="shared" si="38"/>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103" s="82" t="str">
        <f t="shared" si="39"/>
        <v>"C:\Program Files (x86)\AstroGrep\AstroGrep.exe" /spath="%USERPROFILE%\AppData\Local\Temp\OnboardLogs" /stypes="app*4015*20170205*" /stext=" 23:.+((SYSTEM_STATE.+slice.+state.+changed )|(ment ac)|(multiple cpu faults)|(system.+state.+changed )|(\[timeout)|(PRM\|1\|D)|(kpr)|(kdp)|(\|lc)|(penalty))" /e /r /s</v>
      </c>
      <c r="AG103" s="1" t="str">
        <f t="shared" si="40"/>
        <v>EC</v>
      </c>
      <c r="AH103" s="86" t="str">
        <f t="shared" si="41"/>
        <v>"%USERPROFILE%\Documents\GitHub\eaglep3\Utilities\RefineRTDCRunTimes.py" --tripid 190-05 --locoid 4015 --swversion DE.1.0.8.0 --startMP 204:233076 --initTime 2017-02-05T15:38:20 --startdatetime 2017-02-05T15:41:49 --delay 1 --endMP 204:149 --enddatetime 2017-02-05T16:23:56 --enforcementcount 0 &gt;&gt;C:\Users\stu\Documents\GitHub\eaglep3-reporting\EC\2017-02-05-refined-times.txt</v>
      </c>
      <c r="AI103" s="108" t="str">
        <f t="shared" si="42"/>
        <v>echo {"issue":{"subject":"","project_id":79,"tracker_id":40,"status_id":1,"priority_id":2,"assigned_to_id":23,"start_date":"2017-02-05","description":"","custom_fields":[{"id":1,"name":"Subdivision","value":"EC"},{"id":4,"name":"Milepost","value":"0.0149"},{"id":17,"name":"Train ID","value":"190-05"},{"id":16,"name":"Locomotive ID","value":"4015"},{"id":130,"name":"Impact","value":""},{"id":150,"name":"Time of Event (Mountain Time)","value":"16:23:56"},{"id":151,"name":"Denver Issue ID","value":""},{"id":178,"name":"Operational Impact","value":"Yes"},{"id":179,"name":"Denver Segment Assigned","value":""}]}} | curl -X POST -H "Content-Type: application/json" -H "X-Redmine-API-Key: d6333d4a04012a730768444271f8ca06482dae87" https://secure.xorail.net/redmine/issues.json --data @-</v>
      </c>
      <c r="AJ103" s="48"/>
      <c r="AK103" s="48"/>
      <c r="AL103" s="48"/>
      <c r="AM103" s="158" t="str">
        <f t="shared" si="43"/>
        <v>start /low /b %USERPROFILE%\Documents\GitHub\eaglep3\Utilities\DownloadLogsFromS3.py --loco 4015 --day 2017-02-05</v>
      </c>
      <c r="AN103" s="167" t="str">
        <f>"grep -SE -B400 ""CHR.+\|PRM\|1\|D.+(SWITCH|SIGNAL).+UNKNOWN"" "&amp;search_path&amp;"\RTDC"&amp;B103&amp;"\*"&amp;B103&amp;"*"&amp;TEXT(AVERAGE(F103,I103)-utc_offset/24,"YYYYMMDD")&amp;"* | grep -SE ""(Enforcement Action)|(\[TIMEOUT)|(CHR.+\|PRM\|1\|D.+(SWITCH|SIGNAL).+UNKNOWN)"" - &gt;&gt; "&amp;TEXT(Variables!$A$2,"YYYY-MM-DD")&amp;"-UncaughtWiMAX.txt"</f>
        <v>grep -SE -B400 "CHR.+\|PRM\|1\|D.+(SWITCH|SIGNAL).+UNKNOWN" "%USERPROFILE%\AppData\Local\Temp\OnboardLogs"\RTDC4015\*4015*20170205* | grep -SE "(Enforcement Action)|(\[TIMEOUT)|(CHR.+\|PRM\|1\|D.+(SWITCH|SIGNAL).+UNKNOWN)" - &gt;&gt; 2017-02-05-UncaughtWiMAX.txt</v>
      </c>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20" customFormat="1" x14ac:dyDescent="0.25">
      <c r="A104" s="33" t="s">
        <v>511</v>
      </c>
      <c r="B104" s="7">
        <v>4022</v>
      </c>
      <c r="C104" s="21" t="s">
        <v>193</v>
      </c>
      <c r="D104" s="21" t="s">
        <v>358</v>
      </c>
      <c r="E104" s="13">
        <v>42771.621631944443</v>
      </c>
      <c r="F104" s="13">
        <v>42771.625358796293</v>
      </c>
      <c r="G104" s="7">
        <v>1</v>
      </c>
      <c r="H104" s="21" t="s">
        <v>320</v>
      </c>
      <c r="I104" s="13">
        <v>42771.652777777781</v>
      </c>
      <c r="J104" s="7">
        <v>0</v>
      </c>
      <c r="K104" s="98" t="str">
        <f t="shared" si="27"/>
        <v>4021/4022</v>
      </c>
      <c r="L104" s="21" t="str">
        <f>VLOOKUP(A104,'Trips&amp;Operators'!$C$1:$G$99999,5,FALSE)</f>
        <v>LEVIN SCOTT</v>
      </c>
      <c r="M104" s="6">
        <f t="shared" si="28"/>
        <v>2.7418981488153804E-2</v>
      </c>
      <c r="N104" s="7">
        <f t="shared" si="46"/>
        <v>39.483333342941478</v>
      </c>
      <c r="O104" s="7"/>
      <c r="P104" s="7"/>
      <c r="Q104" s="22"/>
      <c r="R104" s="22"/>
      <c r="S104" s="31">
        <f t="shared" si="30"/>
        <v>1</v>
      </c>
      <c r="T104" s="46" t="str">
        <f t="shared" si="31"/>
        <v>NorthBound</v>
      </c>
      <c r="U104" s="190">
        <f>IF(AG104="EC",COUNTIFS(Variables!$M$2:$M$19,IF(T104="NorthBound","&gt;=","&lt;=")&amp;Y104,Variables!$M$2:$M$19,IF(T104="NorthBound","&lt;=","&gt;=")&amp;Z104),COUNTIFS(Variables!$P$2:$P$19,IF(T104="NorthBound","&gt;=","&lt;=")&amp;Y104,Variables!$P$2:$P$19,IF(T104="NorthBound","&lt;=","&gt;=")&amp;Z104))</f>
        <v>12</v>
      </c>
      <c r="V104" s="191" t="str">
        <f t="shared" si="32"/>
        <v>https://d0f6bd738d7f1b3e5a7ca70fe4ff75f0.us-east-1.aws.found.io/app/kibana#/discover/Steve-Slow-Train-Analysis-(2080s-and-2083s)?_g=(refreshInterval:(display:Off,pause:!f,section:0,value:0),time:(from:'2017-02-05T13:55:09-0700',mode:absolute,to:'2017-02-05T16:40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04" s="192" t="str">
        <f t="shared" si="33"/>
        <v>N</v>
      </c>
      <c r="X104" s="192">
        <f t="shared" si="45"/>
        <v>1</v>
      </c>
      <c r="Y104" s="62">
        <f t="shared" si="34"/>
        <v>4.3799999999999999E-2</v>
      </c>
      <c r="Z104" s="62">
        <f t="shared" si="35"/>
        <v>23.331700000000001</v>
      </c>
      <c r="AA104" s="62">
        <f t="shared" si="36"/>
        <v>23.2879</v>
      </c>
      <c r="AB104" s="59" t="e">
        <f>VLOOKUP(A104,Enforcements!$C$7:$K$16,8,0)</f>
        <v>#N/A</v>
      </c>
      <c r="AC104" s="55" t="e">
        <f>VLOOKUP(A104,Enforcements!$C$7:$E$16,3,0)</f>
        <v>#N/A</v>
      </c>
      <c r="AD104" s="56" t="str">
        <f t="shared" si="37"/>
        <v>0191-05</v>
      </c>
      <c r="AE104" s="85" t="str">
        <f t="shared" si="38"/>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104" s="82" t="str">
        <f t="shared" si="39"/>
        <v>"C:\Program Files (x86)\AstroGrep\AstroGrep.exe" /spath="%USERPROFILE%\AppData\Local\Temp\OnboardLogs" /stypes="app*4022*20170205*" /stext=" 22:.+((SYSTEM_STATE.+slice.+state.+changed )|(ment ac)|(multiple cpu faults)|(system.+state.+changed )|(\[timeout)|(PRM\|1\|D)|(kpr)|(kdp)|(\|lc)|(penalty))" /e /r /s</v>
      </c>
      <c r="AG104" s="1" t="str">
        <f t="shared" si="40"/>
        <v>EC</v>
      </c>
      <c r="AH104" s="86" t="str">
        <f t="shared" si="41"/>
        <v>"%USERPROFILE%\Documents\GitHub\eaglep3\Utilities\RefineRTDCRunTimes.py" --tripid 191-05 --locoid 4022 --swversion DE.1.0.8.0 --startMP 204:438 --initTime 2017-02-05T14:55:09 --startdatetime 2017-02-05T15:00:31 --delay 1 --endMP 204:233317 --enddatetime 2017-02-05T15:40:00 --enforcementcount 0 &gt;&gt;C:\Users\stu\Documents\GitHub\eaglep3-reporting\EC\2017-02-05-refined-times.txt</v>
      </c>
      <c r="AI104" s="108" t="str">
        <f t="shared" si="42"/>
        <v>echo {"issue":{"subject":"","project_id":79,"tracker_id":40,"status_id":1,"priority_id":2,"assigned_to_id":23,"start_date":"2017-02-05","description":"","custom_fields":[{"id":1,"name":"Subdivision","value":"EC"},{"id":4,"name":"Milepost","value":"23.3317"},{"id":17,"name":"Train ID","value":"191-05"},{"id":16,"name":"Locomotive ID","value":"4022"},{"id":130,"name":"Impact","value":""},{"id":150,"name":"Time of Event (Mountain Time)","value":"15:40:00"},{"id":151,"name":"Denver Issue ID","value":""},{"id":178,"name":"Operational Impact","value":"Yes"},{"id":179,"name":"Denver Segment Assigned","value":""}]}} | curl -X POST -H "Content-Type: application/json" -H "X-Redmine-API-Key: d6333d4a04012a730768444271f8ca06482dae87" https://secure.xorail.net/redmine/issues.json --data @-</v>
      </c>
      <c r="AJ104" s="48"/>
      <c r="AK104" s="48"/>
      <c r="AL104" s="48"/>
      <c r="AM104" s="158" t="str">
        <f t="shared" si="43"/>
        <v>start /low /b %USERPROFILE%\Documents\GitHub\eaglep3\Utilities\DownloadLogsFromS3.py --loco 4022 --day 2017-02-05</v>
      </c>
      <c r="AN104" s="167" t="str">
        <f>"grep -SE -B400 ""CHR.+\|PRM\|1\|D.+(SWITCH|SIGNAL).+UNKNOWN"" "&amp;search_path&amp;"\RTDC"&amp;B104&amp;"\*"&amp;B104&amp;"*"&amp;TEXT(AVERAGE(F104,I104)-utc_offset/24,"YYYYMMDD")&amp;"*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s="20" customFormat="1" x14ac:dyDescent="0.25">
      <c r="A105" s="33" t="s">
        <v>667</v>
      </c>
      <c r="B105" s="7">
        <v>4021</v>
      </c>
      <c r="C105" s="21" t="s">
        <v>193</v>
      </c>
      <c r="D105" s="21" t="s">
        <v>308</v>
      </c>
      <c r="E105" s="13">
        <v>42771.66033564815</v>
      </c>
      <c r="F105" s="13">
        <v>42771.664050925923</v>
      </c>
      <c r="G105" s="7">
        <v>1</v>
      </c>
      <c r="H105" s="21" t="s">
        <v>417</v>
      </c>
      <c r="I105" s="13">
        <v>42771.690243055556</v>
      </c>
      <c r="J105" s="7">
        <v>0</v>
      </c>
      <c r="K105" s="98" t="str">
        <f t="shared" si="27"/>
        <v>4021/4022</v>
      </c>
      <c r="L105" s="21" t="str">
        <f>VLOOKUP(A105,'Trips&amp;Operators'!$C$1:$G$99999,5,FALSE)</f>
        <v>LEVIN SCOTT</v>
      </c>
      <c r="M105" s="6">
        <f t="shared" si="28"/>
        <v>2.6192129633272998E-2</v>
      </c>
      <c r="N105" s="7">
        <f t="shared" si="46"/>
        <v>37.716666671913117</v>
      </c>
      <c r="O105" s="7"/>
      <c r="P105" s="7"/>
      <c r="Q105" s="22"/>
      <c r="R105" s="22"/>
      <c r="S105" s="31">
        <f t="shared" si="30"/>
        <v>1</v>
      </c>
      <c r="T105" s="46" t="str">
        <f t="shared" si="31"/>
        <v>Southbound</v>
      </c>
      <c r="U105" s="190">
        <f>IF(AG105="EC",COUNTIFS(Variables!$M$2:$M$19,IF(T105="NorthBound","&gt;=","&lt;=")&amp;Y105,Variables!$M$2:$M$19,IF(T105="NorthBound","&lt;=","&gt;=")&amp;Z105),COUNTIFS(Variables!$P$2:$P$19,IF(T105="NorthBound","&gt;=","&lt;=")&amp;Y105,Variables!$P$2:$P$19,IF(T105="NorthBound","&lt;=","&gt;=")&amp;Z105))</f>
        <v>12</v>
      </c>
      <c r="V105" s="191" t="str">
        <f t="shared" si="32"/>
        <v>https://d0f6bd738d7f1b3e5a7ca70fe4ff75f0.us-east-1.aws.found.io/app/kibana#/discover/Steve-Slow-Train-Analysis-(2080s-and-2083s)?_g=(refreshInterval:(display:Off,pause:!f,section:0,value:0),time:(from:'2017-02-05T14:50:53-0700',mode:absolute,to:'2017-02-05T17:33:57-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05" s="192" t="str">
        <f t="shared" si="33"/>
        <v>N</v>
      </c>
      <c r="X105" s="192">
        <f t="shared" si="45"/>
        <v>1</v>
      </c>
      <c r="Y105" s="62">
        <f t="shared" si="34"/>
        <v>23.299800000000001</v>
      </c>
      <c r="Z105" s="62">
        <f t="shared" si="35"/>
        <v>1.1900000000000001E-2</v>
      </c>
      <c r="AA105" s="62">
        <f t="shared" si="36"/>
        <v>23.2879</v>
      </c>
      <c r="AB105" s="59" t="e">
        <f>VLOOKUP(A105,Enforcements!$C$7:$K$16,8,0)</f>
        <v>#N/A</v>
      </c>
      <c r="AC105" s="55" t="e">
        <f>VLOOKUP(A105,Enforcements!$C$7:$E$16,3,0)</f>
        <v>#N/A</v>
      </c>
      <c r="AD105" s="56" t="str">
        <f t="shared" si="37"/>
        <v>0192-05</v>
      </c>
      <c r="AE105" s="85" t="str">
        <f t="shared" si="38"/>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105" s="82" t="str">
        <f t="shared" si="39"/>
        <v>"C:\Program Files (x86)\AstroGrep\AstroGrep.exe" /spath="%USERPROFILE%\AppData\Local\Temp\OnboardLogs" /stypes="app*4021*20170205*" /stext=" 23:.+((SYSTEM_STATE.+slice.+state.+changed )|(ment ac)|(multiple cpu faults)|(system.+state.+changed )|(\[timeout)|(PRM\|1\|D)|(kpr)|(kdp)|(\|lc)|(penalty))" /e /r /s</v>
      </c>
      <c r="AG105" s="1" t="str">
        <f t="shared" si="40"/>
        <v>EC</v>
      </c>
      <c r="AH105" s="86" t="str">
        <f t="shared" si="41"/>
        <v>"%USERPROFILE%\Documents\GitHub\eaglep3\Utilities\RefineRTDCRunTimes.py" --tripid 192-05 --locoid 4021 --swversion DE.1.0.8.0 --startMP 204:232998 --initTime 2017-02-05T15:50:53 --startdatetime 2017-02-05T15:56:14 --delay 1 --endMP 204:119 --enddatetime 2017-02-05T16:33:57 --enforcementcount 0 &gt;&gt;C:\Users\stu\Documents\GitHub\eaglep3-reporting\EC\2017-02-05-refined-times.txt</v>
      </c>
      <c r="AI105" s="108" t="str">
        <f t="shared" si="42"/>
        <v>echo {"issue":{"subject":"","project_id":79,"tracker_id":40,"status_id":1,"priority_id":2,"assigned_to_id":23,"start_date":"2017-02-05","description":"","custom_fields":[{"id":1,"name":"Subdivision","value":"EC"},{"id":4,"name":"Milepost","value":"0.0119"},{"id":17,"name":"Train ID","value":"192-05"},{"id":16,"name":"Locomotive ID","value":"4021"},{"id":130,"name":"Impact","value":""},{"id":150,"name":"Time of Event (Mountain Time)","value":"16:33:57"},{"id":151,"name":"Denver Issue ID","value":""},{"id":178,"name":"Operational Impact","value":"Yes"},{"id":179,"name":"Denver Segment Assigned","value":""}]}} | curl -X POST -H "Content-Type: application/json" -H "X-Redmine-API-Key: d6333d4a04012a730768444271f8ca06482dae87" https://secure.xorail.net/redmine/issues.json --data @-</v>
      </c>
      <c r="AJ105" s="48"/>
      <c r="AK105" s="48"/>
      <c r="AL105" s="48"/>
      <c r="AM105" s="158" t="str">
        <f t="shared" si="43"/>
        <v>start /low /b %USERPROFILE%\Documents\GitHub\eaglep3\Utilities\DownloadLogsFromS3.py --loco 4021 --day 2017-02-05</v>
      </c>
      <c r="AN105" s="167" t="str">
        <f>"grep -SE -B400 ""CHR.+\|PRM\|1\|D.+(SWITCH|SIGNAL).+UNKNOWN"" "&amp;search_path&amp;"\RTDC"&amp;B105&amp;"\*"&amp;B105&amp;"*"&amp;TEXT(AVERAGE(F105,I105)-utc_offset/24,"YYYYMMDD")&amp;"*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spans="1:91" s="20" customFormat="1" x14ac:dyDescent="0.25">
      <c r="A106" s="33" t="s">
        <v>660</v>
      </c>
      <c r="B106" s="7">
        <v>4002</v>
      </c>
      <c r="C106" s="21" t="s">
        <v>193</v>
      </c>
      <c r="D106" s="21" t="s">
        <v>834</v>
      </c>
      <c r="E106" s="13">
        <v>42771.632939814815</v>
      </c>
      <c r="F106" s="13">
        <v>42771.635706018518</v>
      </c>
      <c r="G106" s="7">
        <v>1</v>
      </c>
      <c r="H106" s="21" t="s">
        <v>329</v>
      </c>
      <c r="I106" s="13">
        <v>42771.662152777775</v>
      </c>
      <c r="J106" s="7">
        <v>0</v>
      </c>
      <c r="K106" s="98" t="str">
        <f t="shared" si="27"/>
        <v>4001/4002</v>
      </c>
      <c r="L106" s="21" t="str">
        <f>VLOOKUP(A106,'Trips&amp;Operators'!$C$1:$G$99999,5,FALSE)</f>
        <v>WHITED DUSTIN</v>
      </c>
      <c r="M106" s="6">
        <f t="shared" si="28"/>
        <v>2.6446759256941732E-2</v>
      </c>
      <c r="N106" s="7">
        <f t="shared" si="46"/>
        <v>38.083333329996094</v>
      </c>
      <c r="O106" s="7"/>
      <c r="P106" s="7"/>
      <c r="Q106" s="22"/>
      <c r="R106" s="22"/>
      <c r="S106" s="31">
        <f t="shared" si="30"/>
        <v>1</v>
      </c>
      <c r="T106" s="46" t="str">
        <f t="shared" si="31"/>
        <v>NorthBound</v>
      </c>
      <c r="U106" s="190">
        <f>IF(AG106="EC",COUNTIFS(Variables!$M$2:$M$19,IF(T106="NorthBound","&gt;=","&lt;=")&amp;Y106,Variables!$M$2:$M$19,IF(T106="NorthBound","&lt;=","&gt;=")&amp;Z106),COUNTIFS(Variables!$P$2:$P$19,IF(T106="NorthBound","&gt;=","&lt;=")&amp;Y106,Variables!$P$2:$P$19,IF(T106="NorthBound","&lt;=","&gt;=")&amp;Z106))</f>
        <v>12</v>
      </c>
      <c r="V106" s="191" t="str">
        <f t="shared" si="32"/>
        <v>https://d0f6bd738d7f1b3e5a7ca70fe4ff75f0.us-east-1.aws.found.io/app/kibana#/discover/Steve-Slow-Train-Analysis-(2080s-and-2083s)?_g=(refreshInterval:(display:Off,pause:!f,section:0,value:0),time:(from:'2017-02-05T14:11:26-0700',mode:absolute,to:'2017-02-05T16:53:30-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06" s="192" t="str">
        <f t="shared" si="33"/>
        <v>N</v>
      </c>
      <c r="X106" s="192">
        <f t="shared" si="45"/>
        <v>1</v>
      </c>
      <c r="Y106" s="62">
        <f t="shared" si="34"/>
        <v>5.0599999999999999E-2</v>
      </c>
      <c r="Z106" s="62">
        <f t="shared" si="35"/>
        <v>23.3309</v>
      </c>
      <c r="AA106" s="62">
        <f t="shared" si="36"/>
        <v>23.2803</v>
      </c>
      <c r="AB106" s="59" t="e">
        <f>VLOOKUP(A106,Enforcements!$C$7:$K$16,8,0)</f>
        <v>#N/A</v>
      </c>
      <c r="AC106" s="55" t="e">
        <f>VLOOKUP(A106,Enforcements!$C$7:$E$16,3,0)</f>
        <v>#N/A</v>
      </c>
      <c r="AD106" s="56" t="str">
        <f t="shared" si="37"/>
        <v>0193-05</v>
      </c>
      <c r="AE106" s="85" t="str">
        <f t="shared" si="38"/>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106" s="82" t="str">
        <f t="shared" si="39"/>
        <v>"C:\Program Files (x86)\AstroGrep\AstroGrep.exe" /spath="%USERPROFILE%\AppData\Local\Temp\OnboardLogs" /stypes="app*4002*20170205*" /stext=" 22:.+((SYSTEM_STATE.+slice.+state.+changed )|(ment ac)|(multiple cpu faults)|(system.+state.+changed )|(\[timeout)|(PRM\|1\|D)|(kpr)|(kdp)|(\|lc)|(penalty))" /e /r /s</v>
      </c>
      <c r="AG106" s="1" t="str">
        <f t="shared" si="40"/>
        <v>EC</v>
      </c>
      <c r="AH106" s="86" t="str">
        <f t="shared" si="41"/>
        <v>"%USERPROFILE%\Documents\GitHub\eaglep3\Utilities\RefineRTDCRunTimes.py" --tripid 193-05 --locoid 4002 --swversion DE.1.0.8.0 --startMP 204:506 --initTime 2017-02-05T15:11:26 --startdatetime 2017-02-05T15:15:25 --delay 1 --endMP 204:233309 --enddatetime 2017-02-05T15:53:30 --enforcementcount 0 &gt;&gt;C:\Users\stu\Documents\GitHub\eaglep3-reporting\EC\2017-02-05-refined-times.txt</v>
      </c>
      <c r="AI106" s="108" t="str">
        <f t="shared" si="42"/>
        <v>echo {"issue":{"subject":"","project_id":79,"tracker_id":40,"status_id":1,"priority_id":2,"assigned_to_id":23,"start_date":"2017-02-05","description":"","custom_fields":[{"id":1,"name":"Subdivision","value":"EC"},{"id":4,"name":"Milepost","value":"23.3309"},{"id":17,"name":"Train ID","value":"193-05"},{"id":16,"name":"Locomotive ID","value":"4002"},{"id":130,"name":"Impact","value":""},{"id":150,"name":"Time of Event (Mountain Time)","value":"15:53:30"},{"id":151,"name":"Denver Issue ID","value":""},{"id":178,"name":"Operational Impact","value":"Yes"},{"id":179,"name":"Denver Segment Assigned","value":""}]}} | curl -X POST -H "Content-Type: application/json" -H "X-Redmine-API-Key: d6333d4a04012a730768444271f8ca06482dae87" https://secure.xorail.net/redmine/issues.json --data @-</v>
      </c>
      <c r="AJ106" s="48"/>
      <c r="AK106" s="48"/>
      <c r="AL106" s="48"/>
      <c r="AM106" s="158" t="str">
        <f t="shared" si="43"/>
        <v>start /low /b %USERPROFILE%\Documents\GitHub\eaglep3\Utilities\DownloadLogsFromS3.py --loco 4002 --day 2017-02-05</v>
      </c>
      <c r="AN106" s="167" t="str">
        <f>"grep -SE -B400 ""CHR.+\|PRM\|1\|D.+(SWITCH|SIGNAL).+UNKNOWN"" "&amp;search_path&amp;"\RTDC"&amp;B106&amp;"\*"&amp;B106&amp;"*"&amp;TEXT(AVERAGE(F106,I106)-utc_offset/24,"YYYYMMDD")&amp;"*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row>
    <row r="107" spans="1:91" s="20" customFormat="1" x14ac:dyDescent="0.25">
      <c r="A107" s="33" t="s">
        <v>669</v>
      </c>
      <c r="B107" s="7">
        <v>4001</v>
      </c>
      <c r="C107" s="21" t="s">
        <v>193</v>
      </c>
      <c r="D107" s="21" t="s">
        <v>283</v>
      </c>
      <c r="E107" s="13">
        <v>42771.66605324074</v>
      </c>
      <c r="F107" s="13">
        <v>42771.674756944441</v>
      </c>
      <c r="G107" s="7">
        <v>1</v>
      </c>
      <c r="H107" s="21" t="s">
        <v>835</v>
      </c>
      <c r="I107" s="13">
        <v>42771.702106481483</v>
      </c>
      <c r="J107" s="7">
        <v>0</v>
      </c>
      <c r="K107" s="98" t="str">
        <f t="shared" si="27"/>
        <v>4001/4002</v>
      </c>
      <c r="L107" s="21" t="str">
        <f>VLOOKUP(A107,'Trips&amp;Operators'!$C$1:$G$99999,5,FALSE)</f>
        <v>LALONDE GREGORY</v>
      </c>
      <c r="M107" s="6">
        <f t="shared" si="28"/>
        <v>2.7349537042027805E-2</v>
      </c>
      <c r="N107" s="7">
        <f t="shared" si="46"/>
        <v>39.383333340520039</v>
      </c>
      <c r="O107" s="7"/>
      <c r="P107" s="7"/>
      <c r="Q107" s="22"/>
      <c r="R107" s="22"/>
      <c r="S107" s="31">
        <f t="shared" si="30"/>
        <v>1</v>
      </c>
      <c r="T107" s="46" t="str">
        <f t="shared" si="31"/>
        <v>Southbound</v>
      </c>
      <c r="U107" s="190">
        <f>IF(AG107="EC",COUNTIFS(Variables!$M$2:$M$19,IF(T107="NorthBound","&gt;=","&lt;=")&amp;Y107,Variables!$M$2:$M$19,IF(T107="NorthBound","&lt;=","&gt;=")&amp;Z107),COUNTIFS(Variables!$P$2:$P$19,IF(T107="NorthBound","&gt;=","&lt;=")&amp;Y107,Variables!$P$2:$P$19,IF(T107="NorthBound","&lt;=","&gt;=")&amp;Z107))</f>
        <v>12</v>
      </c>
      <c r="V107" s="191" t="str">
        <f t="shared" si="32"/>
        <v>https://d0f6bd738d7f1b3e5a7ca70fe4ff75f0.us-east-1.aws.found.io/app/kibana#/discover/Steve-Slow-Train-Analysis-(2080s-and-2083s)?_g=(refreshInterval:(display:Off,pause:!f,section:0,value:0),time:(from:'2017-02-05T14:59:07-0700',mode:absolute,to:'2017-02-05T17:51:02-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07" s="192" t="str">
        <f t="shared" si="33"/>
        <v>N</v>
      </c>
      <c r="X107" s="192">
        <f t="shared" si="45"/>
        <v>1</v>
      </c>
      <c r="Y107" s="62">
        <f t="shared" si="34"/>
        <v>23.298200000000001</v>
      </c>
      <c r="Z107" s="62">
        <f t="shared" si="35"/>
        <v>9.6199999999999994E-2</v>
      </c>
      <c r="AA107" s="62">
        <f t="shared" si="36"/>
        <v>23.202000000000002</v>
      </c>
      <c r="AB107" s="59" t="e">
        <f>VLOOKUP(A107,Enforcements!$C$7:$K$16,8,0)</f>
        <v>#N/A</v>
      </c>
      <c r="AC107" s="55" t="e">
        <f>VLOOKUP(A107,Enforcements!$C$7:$E$16,3,0)</f>
        <v>#N/A</v>
      </c>
      <c r="AD107" s="56" t="str">
        <f t="shared" si="37"/>
        <v>0194-05</v>
      </c>
      <c r="AE107" s="85" t="str">
        <f t="shared" si="38"/>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107" s="82" t="str">
        <f t="shared" si="39"/>
        <v>"C:\Program Files (x86)\AstroGrep\AstroGrep.exe" /spath="%USERPROFILE%\AppData\Local\Temp\OnboardLogs" /stypes="app*4001*20170205*" /stext=" 23:.+((SYSTEM_STATE.+slice.+state.+changed )|(ment ac)|(multiple cpu faults)|(system.+state.+changed )|(\[timeout)|(PRM\|1\|D)|(kpr)|(kdp)|(\|lc)|(penalty))" /e /r /s</v>
      </c>
      <c r="AG107" s="1" t="str">
        <f t="shared" si="40"/>
        <v>EC</v>
      </c>
      <c r="AH107" s="86" t="str">
        <f t="shared" si="41"/>
        <v>"%USERPROFILE%\Documents\GitHub\eaglep3\Utilities\RefineRTDCRunTimes.py" --tripid 194-05 --locoid 4001 --swversion DE.1.0.8.0 --startMP 204:232982 --initTime 2017-02-05T15:59:07 --startdatetime 2017-02-05T16:11:39 --delay 1 --endMP 204:962 --enddatetime 2017-02-05T16:51:02 --enforcementcount 0 &gt;&gt;C:\Users\stu\Documents\GitHub\eaglep3-reporting\EC\2017-02-05-refined-times.txt</v>
      </c>
      <c r="AI107" s="108" t="str">
        <f t="shared" si="42"/>
        <v>echo {"issue":{"subject":"","project_id":79,"tracker_id":40,"status_id":1,"priority_id":2,"assigned_to_id":23,"start_date":"2017-02-05","description":"","custom_fields":[{"id":1,"name":"Subdivision","value":"EC"},{"id":4,"name":"Milepost","value":"0.0962"},{"id":17,"name":"Train ID","value":"194-05"},{"id":16,"name":"Locomotive ID","value":"4001"},{"id":130,"name":"Impact","value":""},{"id":150,"name":"Time of Event (Mountain Time)","value":"16:51:02"},{"id":151,"name":"Denver Issue ID","value":""},{"id":178,"name":"Operational Impact","value":"Yes"},{"id":179,"name":"Denver Segment Assigned","value":""}]}} | curl -X POST -H "Content-Type: application/json" -H "X-Redmine-API-Key: d6333d4a04012a730768444271f8ca06482dae87" https://secure.xorail.net/redmine/issues.json --data @-</v>
      </c>
      <c r="AJ107" s="48"/>
      <c r="AK107" s="48"/>
      <c r="AL107" s="48"/>
      <c r="AM107" s="158" t="str">
        <f t="shared" si="43"/>
        <v>start /low /b %USERPROFILE%\Documents\GitHub\eaglep3\Utilities\DownloadLogsFromS3.py --loco 4001 --day 2017-02-05</v>
      </c>
      <c r="AN107" s="167" t="str">
        <f>"grep -SE -B400 ""CHR.+\|PRM\|1\|D.+(SWITCH|SIGNAL).+UNKNOWN"" "&amp;search_path&amp;"\RTDC"&amp;B107&amp;"\*"&amp;B107&amp;"*"&amp;TEXT(AVERAGE(F107,I107)-utc_offset/24,"YYYYMMDD")&amp;"*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spans="1:91" s="20" customFormat="1" x14ac:dyDescent="0.25">
      <c r="A108" s="33" t="s">
        <v>663</v>
      </c>
      <c r="B108" s="7">
        <v>4031</v>
      </c>
      <c r="C108" s="21" t="s">
        <v>193</v>
      </c>
      <c r="D108" s="21" t="s">
        <v>836</v>
      </c>
      <c r="E108" s="13">
        <v>42771.64435185185</v>
      </c>
      <c r="F108" s="13">
        <v>42771.646018518521</v>
      </c>
      <c r="G108" s="7">
        <v>1</v>
      </c>
      <c r="H108" s="21" t="s">
        <v>837</v>
      </c>
      <c r="I108" s="13">
        <v>42771.671469907407</v>
      </c>
      <c r="J108" s="7">
        <v>0</v>
      </c>
      <c r="K108" s="98" t="str">
        <f t="shared" si="27"/>
        <v>4031/4032</v>
      </c>
      <c r="L108" s="21" t="str">
        <f>VLOOKUP(A108,'Trips&amp;Operators'!$C$1:$G$99999,5,FALSE)</f>
        <v>CRAYTON QUNTRELL</v>
      </c>
      <c r="M108" s="6">
        <f t="shared" si="28"/>
        <v>2.545138888672227E-2</v>
      </c>
      <c r="N108" s="7">
        <f t="shared" si="46"/>
        <v>36.649999996880069</v>
      </c>
      <c r="O108" s="7"/>
      <c r="P108" s="7"/>
      <c r="Q108" s="22"/>
      <c r="R108" s="22"/>
      <c r="S108" s="31">
        <f t="shared" si="30"/>
        <v>1</v>
      </c>
      <c r="T108" s="46" t="str">
        <f t="shared" si="31"/>
        <v>NorthBound</v>
      </c>
      <c r="U108" s="190">
        <f>IF(AG108="EC",COUNTIFS(Variables!$M$2:$M$19,IF(T108="NorthBound","&gt;=","&lt;=")&amp;Y108,Variables!$M$2:$M$19,IF(T108="NorthBound","&lt;=","&gt;=")&amp;Z108),COUNTIFS(Variables!$P$2:$P$19,IF(T108="NorthBound","&gt;=","&lt;=")&amp;Y108,Variables!$P$2:$P$19,IF(T108="NorthBound","&lt;=","&gt;=")&amp;Z108))</f>
        <v>12</v>
      </c>
      <c r="V108" s="191" t="str">
        <f t="shared" si="32"/>
        <v>https://d0f6bd738d7f1b3e5a7ca70fe4ff75f0.us-east-1.aws.found.io/app/kibana#/discover/Steve-Slow-Train-Analysis-(2080s-and-2083s)?_g=(refreshInterval:(display:Off,pause:!f,section:0,value:0),time:(from:'2017-02-05T14:27:52-0700',mode:absolute,to:'2017-02-05T17:06:55-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08" s="192" t="str">
        <f t="shared" si="33"/>
        <v>N</v>
      </c>
      <c r="X108" s="192">
        <f t="shared" si="45"/>
        <v>1</v>
      </c>
      <c r="Y108" s="62">
        <f t="shared" si="34"/>
        <v>4.9099999999999998E-2</v>
      </c>
      <c r="Z108" s="62">
        <f t="shared" si="35"/>
        <v>23.329499999999999</v>
      </c>
      <c r="AA108" s="62">
        <f t="shared" si="36"/>
        <v>23.2804</v>
      </c>
      <c r="AB108" s="59" t="e">
        <f>VLOOKUP(A108,Enforcements!$C$7:$K$16,8,0)</f>
        <v>#N/A</v>
      </c>
      <c r="AC108" s="55" t="e">
        <f>VLOOKUP(A108,Enforcements!$C$7:$E$16,3,0)</f>
        <v>#N/A</v>
      </c>
      <c r="AD108" s="56" t="str">
        <f t="shared" si="37"/>
        <v>0195-05</v>
      </c>
      <c r="AE108" s="85" t="str">
        <f t="shared" si="38"/>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108" s="82" t="str">
        <f t="shared" si="39"/>
        <v>"C:\Program Files (x86)\AstroGrep\AstroGrep.exe" /spath="%USERPROFILE%\AppData\Local\Temp\OnboardLogs" /stypes="app*4031*20170205*" /stext=" 23:.+((SYSTEM_STATE.+slice.+state.+changed )|(ment ac)|(multiple cpu faults)|(system.+state.+changed )|(\[timeout)|(PRM\|1\|D)|(kpr)|(kdp)|(\|lc)|(penalty))" /e /r /s</v>
      </c>
      <c r="AG108" s="1" t="str">
        <f t="shared" si="40"/>
        <v>EC</v>
      </c>
      <c r="AH108" s="86" t="str">
        <f t="shared" si="41"/>
        <v>"%USERPROFILE%\Documents\GitHub\eaglep3\Utilities\RefineRTDCRunTimes.py" --tripid 195-05 --locoid 4031 --swversion DE.1.0.8.0 --startMP 204:491 --initTime 2017-02-05T15:27:52 --startdatetime 2017-02-05T15:30:16 --delay 1 --endMP 204:233295 --enddatetime 2017-02-05T16:06:55 --enforcementcount 0 &gt;&gt;C:\Users\stu\Documents\GitHub\eaglep3-reporting\EC\2017-02-05-refined-times.txt</v>
      </c>
      <c r="AI108" s="108" t="str">
        <f t="shared" si="42"/>
        <v>echo {"issue":{"subject":"","project_id":79,"tracker_id":40,"status_id":1,"priority_id":2,"assigned_to_id":23,"start_date":"2017-02-05","description":"","custom_fields":[{"id":1,"name":"Subdivision","value":"EC"},{"id":4,"name":"Milepost","value":"23.3295"},{"id":17,"name":"Train ID","value":"195-05"},{"id":16,"name":"Locomotive ID","value":"4031"},{"id":130,"name":"Impact","value":""},{"id":150,"name":"Time of Event (Mountain Time)","value":"16:06:55"},{"id":151,"name":"Denver Issue ID","value":""},{"id":178,"name":"Operational Impact","value":"Yes"},{"id":179,"name":"Denver Segment Assigned","value":""}]}} | curl -X POST -H "Content-Type: application/json" -H "X-Redmine-API-Key: d6333d4a04012a730768444271f8ca06482dae87" https://secure.xorail.net/redmine/issues.json --data @-</v>
      </c>
      <c r="AJ108" s="48"/>
      <c r="AK108" s="48"/>
      <c r="AL108" s="48"/>
      <c r="AM108" s="158" t="str">
        <f t="shared" si="43"/>
        <v>start /low /b %USERPROFILE%\Documents\GitHub\eaglep3\Utilities\DownloadLogsFromS3.py --loco 4031 --day 2017-02-05</v>
      </c>
      <c r="AN108" s="167" t="str">
        <f>"grep -SE -B400 ""CHR.+\|PRM\|1\|D.+(SWITCH|SIGNAL).+UNKNOWN"" "&amp;search_path&amp;"\RTDC"&amp;B108&amp;"\*"&amp;B108&amp;"*"&amp;TEXT(AVERAGE(F108,I108)-utc_offset/24,"YYYYMMDD")&amp;"*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row>
    <row r="109" spans="1:91" s="20" customFormat="1" x14ac:dyDescent="0.25">
      <c r="A109" s="33" t="s">
        <v>670</v>
      </c>
      <c r="B109" s="7">
        <v>4032</v>
      </c>
      <c r="C109" s="21" t="s">
        <v>193</v>
      </c>
      <c r="D109" s="21" t="s">
        <v>308</v>
      </c>
      <c r="E109" s="13">
        <v>42771.67628472222</v>
      </c>
      <c r="F109" s="13">
        <v>42771.684907407405</v>
      </c>
      <c r="G109" s="7">
        <v>1</v>
      </c>
      <c r="H109" s="21" t="s">
        <v>212</v>
      </c>
      <c r="I109" s="13">
        <v>42771.711736111109</v>
      </c>
      <c r="J109" s="7">
        <v>0</v>
      </c>
      <c r="K109" s="98" t="str">
        <f t="shared" si="27"/>
        <v>4031/4032</v>
      </c>
      <c r="L109" s="21" t="str">
        <f>VLOOKUP(A109,'Trips&amp;Operators'!$C$1:$G$99999,5,FALSE)</f>
        <v>CRAYTON QUNTRELL</v>
      </c>
      <c r="M109" s="6">
        <f t="shared" si="28"/>
        <v>2.6828703703358769E-2</v>
      </c>
      <c r="N109" s="7">
        <f t="shared" si="46"/>
        <v>38.633333332836628</v>
      </c>
      <c r="O109" s="7"/>
      <c r="P109" s="7"/>
      <c r="Q109" s="22"/>
      <c r="R109" s="22"/>
      <c r="S109" s="31">
        <f t="shared" si="30"/>
        <v>1</v>
      </c>
      <c r="T109" s="46" t="str">
        <f t="shared" si="31"/>
        <v>Southbound</v>
      </c>
      <c r="U109" s="190">
        <f>IF(AG109="EC",COUNTIFS(Variables!$M$2:$M$19,IF(T109="NorthBound","&gt;=","&lt;=")&amp;Y109,Variables!$M$2:$M$19,IF(T109="NorthBound","&lt;=","&gt;=")&amp;Z109),COUNTIFS(Variables!$P$2:$P$19,IF(T109="NorthBound","&gt;=","&lt;=")&amp;Y109,Variables!$P$2:$P$19,IF(T109="NorthBound","&lt;=","&gt;=")&amp;Z109))</f>
        <v>12</v>
      </c>
      <c r="V109" s="191" t="str">
        <f t="shared" si="32"/>
        <v>https://d0f6bd738d7f1b3e5a7ca70fe4ff75f0.us-east-1.aws.found.io/app/kibana#/discover/Steve-Slow-Train-Analysis-(2080s-and-2083s)?_g=(refreshInterval:(display:Off,pause:!f,section:0,value:0),time:(from:'2017-02-05T15:13:51-0700',mode:absolute,to:'2017-02-05T18:04:54-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109" s="192" t="str">
        <f t="shared" si="33"/>
        <v>N</v>
      </c>
      <c r="X109" s="192">
        <f t="shared" si="45"/>
        <v>1</v>
      </c>
      <c r="Y109" s="62">
        <f t="shared" ref="Y109:Y140" si="47">RIGHT(D109,LEN(D109)-4)/10000</f>
        <v>23.299800000000001</v>
      </c>
      <c r="Z109" s="62">
        <f t="shared" ref="Z109:Z140" si="48">RIGHT(H109,LEN(H109)-4)/10000</f>
        <v>1.52E-2</v>
      </c>
      <c r="AA109" s="62">
        <f t="shared" si="36"/>
        <v>23.284600000000001</v>
      </c>
      <c r="AB109" s="59" t="e">
        <f>VLOOKUP(A109,Enforcements!$C$7:$K$16,8,0)</f>
        <v>#N/A</v>
      </c>
      <c r="AC109" s="55" t="e">
        <f>VLOOKUP(A109,Enforcements!$C$7:$E$16,3,0)</f>
        <v>#N/A</v>
      </c>
      <c r="AD109" s="56" t="str">
        <f t="shared" si="37"/>
        <v>0196-05</v>
      </c>
      <c r="AE109" s="85" t="str">
        <f t="shared" si="38"/>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109" s="82" t="str">
        <f t="shared" si="39"/>
        <v>"C:\Program Files (x86)\AstroGrep\AstroGrep.exe" /spath="%USERPROFILE%\AppData\Local\Temp\OnboardLogs" /stypes="app*4032*20170206*" /stext=" 00:.+((SYSTEM_STATE.+slice.+state.+changed )|(ment ac)|(multiple cpu faults)|(system.+state.+changed )|(\[timeout)|(PRM\|1\|D)|(kpr)|(kdp)|(\|lc)|(penalty))" /e /r /s</v>
      </c>
      <c r="AG109" s="1" t="str">
        <f t="shared" si="40"/>
        <v>EC</v>
      </c>
      <c r="AH109" s="86" t="str">
        <f t="shared" si="41"/>
        <v>"%USERPROFILE%\Documents\GitHub\eaglep3\Utilities\RefineRTDCRunTimes.py" --tripid 196-05 --locoid 4032 --swversion DE.1.0.8.0 --startMP 204:232998 --initTime 2017-02-05T16:13:51 --startdatetime 2017-02-05T16:26:16 --delay 1 --endMP 204:152 --enddatetime 2017-02-05T17:04:54 --enforcementcount 0 &gt;&gt;C:\Users\stu\Documents\GitHub\eaglep3-reporting\EC\2017-02-05-refined-times.txt</v>
      </c>
      <c r="AI109" s="108" t="str">
        <f t="shared" si="42"/>
        <v>echo {"issue":{"subject":"","project_id":79,"tracker_id":40,"status_id":1,"priority_id":2,"assigned_to_id":23,"start_date":"2017-02-05","description":"","custom_fields":[{"id":1,"name":"Subdivision","value":"EC"},{"id":4,"name":"Milepost","value":"0.0152"},{"id":17,"name":"Train ID","value":"196-05"},{"id":16,"name":"Locomotive ID","value":"4032"},{"id":130,"name":"Impact","value":""},{"id":150,"name":"Time of Event (Mountain Time)","value":"17:04:54"},{"id":151,"name":"Denver Issue ID","value":""},{"id":178,"name":"Operational Impact","value":"Yes"},{"id":179,"name":"Denver Segment Assigned","value":""}]}} | curl -X POST -H "Content-Type: application/json" -H "X-Redmine-API-Key: d6333d4a04012a730768444271f8ca06482dae87" https://secure.xorail.net/redmine/issues.json --data @-</v>
      </c>
      <c r="AJ109" s="48"/>
      <c r="AK109" s="48"/>
      <c r="AL109" s="48"/>
      <c r="AM109" s="158" t="str">
        <f t="shared" si="43"/>
        <v>start /low /b %USERPROFILE%\Documents\GitHub\eaglep3\Utilities\DownloadLogsFromS3.py --loco 4032 --day 2017-02-05</v>
      </c>
      <c r="AN109" s="167" t="str">
        <f>"grep -SE -B400 ""CHR.+\|PRM\|1\|D.+(SWITCH|SIGNAL).+UNKNOWN"" "&amp;search_path&amp;"\RTDC"&amp;B109&amp;"\*"&amp;B109&amp;"*"&amp;TEXT(AVERAGE(F109,I109)-utc_offset/24,"YYYYMMDD")&amp;"*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spans="1:91" x14ac:dyDescent="0.25">
      <c r="A110" s="33" t="s">
        <v>666</v>
      </c>
      <c r="B110" s="7">
        <v>4009</v>
      </c>
      <c r="C110" s="21" t="s">
        <v>193</v>
      </c>
      <c r="D110" s="21" t="s">
        <v>360</v>
      </c>
      <c r="E110" s="13">
        <v>42771.651875000003</v>
      </c>
      <c r="F110" s="13">
        <v>42771.656493055554</v>
      </c>
      <c r="G110" s="7">
        <v>1</v>
      </c>
      <c r="H110" s="21" t="s">
        <v>418</v>
      </c>
      <c r="I110" s="13">
        <v>42771.681793981479</v>
      </c>
      <c r="J110" s="7">
        <v>0</v>
      </c>
      <c r="K110" s="98" t="str">
        <f t="shared" si="27"/>
        <v>4009/4010</v>
      </c>
      <c r="L110" s="21" t="str">
        <f>VLOOKUP(A110,'Trips&amp;Operators'!$C$1:$G$99999,5,FALSE)</f>
        <v>ROMERO CHAD</v>
      </c>
      <c r="M110" s="6">
        <f t="shared" si="28"/>
        <v>2.5300925924966577E-2</v>
      </c>
      <c r="N110" s="7">
        <f t="shared" si="46"/>
        <v>36.433333331951872</v>
      </c>
      <c r="O110" s="7"/>
      <c r="P110" s="7"/>
      <c r="Q110" s="22"/>
      <c r="R110" s="22"/>
      <c r="S110" s="31">
        <f t="shared" si="30"/>
        <v>1</v>
      </c>
      <c r="T110" s="46" t="str">
        <f t="shared" si="31"/>
        <v>NorthBound</v>
      </c>
      <c r="U110" s="190">
        <f>IF(AG110="EC",COUNTIFS(Variables!$M$2:$M$19,IF(T110="NorthBound","&gt;=","&lt;=")&amp;Y110,Variables!$M$2:$M$19,IF(T110="NorthBound","&lt;=","&gt;=")&amp;Z110),COUNTIFS(Variables!$P$2:$P$19,IF(T110="NorthBound","&gt;=","&lt;=")&amp;Y110,Variables!$P$2:$P$19,IF(T110="NorthBound","&lt;=","&gt;=")&amp;Z110))</f>
        <v>12</v>
      </c>
      <c r="V110" s="191" t="str">
        <f t="shared" si="32"/>
        <v>https://d0f6bd738d7f1b3e5a7ca70fe4ff75f0.us-east-1.aws.found.io/app/kibana#/discover/Steve-Slow-Train-Analysis-(2080s-and-2083s)?_g=(refreshInterval:(display:Off,pause:!f,section:0,value:0),time:(from:'2017-02-05T14:38:42-0700',mode:absolute,to:'2017-02-05T17:21:47-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10" s="192" t="str">
        <f t="shared" si="33"/>
        <v>N</v>
      </c>
      <c r="X110" s="192">
        <f t="shared" si="45"/>
        <v>1</v>
      </c>
      <c r="Y110" s="62">
        <f t="shared" si="47"/>
        <v>4.4200000000000003E-2</v>
      </c>
      <c r="Z110" s="62">
        <f t="shared" si="48"/>
        <v>23.3339</v>
      </c>
      <c r="AA110" s="62">
        <f t="shared" si="36"/>
        <v>23.2897</v>
      </c>
      <c r="AB110" s="59" t="e">
        <f>VLOOKUP(A110,Enforcements!$C$7:$K$16,8,0)</f>
        <v>#N/A</v>
      </c>
      <c r="AC110" s="55" t="e">
        <f>VLOOKUP(A110,Enforcements!$C$7:$E$16,3,0)</f>
        <v>#N/A</v>
      </c>
      <c r="AD110" s="56" t="str">
        <f t="shared" si="37"/>
        <v>0197-05</v>
      </c>
      <c r="AE110" s="85" t="str">
        <f t="shared" si="38"/>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110" s="82" t="str">
        <f t="shared" si="39"/>
        <v>"C:\Program Files (x86)\AstroGrep\AstroGrep.exe" /spath="%USERPROFILE%\AppData\Local\Temp\OnboardLogs" /stypes="app*4009*20170205*" /stext=" 23:.+((SYSTEM_STATE.+slice.+state.+changed )|(ment ac)|(multiple cpu faults)|(system.+state.+changed )|(\[timeout)|(PRM\|1\|D)|(kpr)|(kdp)|(\|lc)|(penalty))" /e /r /s</v>
      </c>
      <c r="AG110" s="1" t="str">
        <f t="shared" si="40"/>
        <v>EC</v>
      </c>
      <c r="AH110" s="86" t="str">
        <f t="shared" si="41"/>
        <v>"%USERPROFILE%\Documents\GitHub\eaglep3\Utilities\RefineRTDCRunTimes.py" --tripid 197-05 --locoid 4009 --swversion DE.1.0.8.0 --startMP 204:442 --initTime 2017-02-05T15:38:42 --startdatetime 2017-02-05T15:45:21 --delay 1 --endMP 204:233339 --enddatetime 2017-02-05T16:21:47 --enforcementcount 0 &gt;&gt;C:\Users\stu\Documents\GitHub\eaglep3-reporting\EC\2017-02-05-refined-times.txt</v>
      </c>
      <c r="AI110" s="108" t="str">
        <f t="shared" si="42"/>
        <v>echo {"issue":{"subject":"","project_id":79,"tracker_id":40,"status_id":1,"priority_id":2,"assigned_to_id":23,"start_date":"2017-02-05","description":"","custom_fields":[{"id":1,"name":"Subdivision","value":"EC"},{"id":4,"name":"Milepost","value":"23.3339"},{"id":17,"name":"Train ID","value":"197-05"},{"id":16,"name":"Locomotive ID","value":"4009"},{"id":130,"name":"Impact","value":""},{"id":150,"name":"Time of Event (Mountain Time)","value":"16:21:47"},{"id":151,"name":"Denver Issue ID","value":""},{"id":178,"name":"Operational Impact","value":"Yes"},{"id":179,"name":"Denver Segment Assigned","value":""}]}} | curl -X POST -H "Content-Type: application/json" -H "X-Redmine-API-Key: d6333d4a04012a730768444271f8ca06482dae87" https://secure.xorail.net/redmine/issues.json --data @-</v>
      </c>
      <c r="AJ110" s="48"/>
      <c r="AK110" s="48"/>
      <c r="AL110" s="48"/>
      <c r="AM110" s="158" t="str">
        <f t="shared" si="43"/>
        <v>start /low /b %USERPROFILE%\Documents\GitHub\eaglep3\Utilities\DownloadLogsFromS3.py --loco 4009 --day 2017-02-05</v>
      </c>
      <c r="AN110" s="167" t="str">
        <f>"grep -SE -B400 ""CHR.+\|PRM\|1\|D.+(SWITCH|SIGNAL).+UNKNOWN"" "&amp;search_path&amp;"\RTDC"&amp;B110&amp;"\*"&amp;B110&amp;"*"&amp;TEXT(AVERAGE(F110,I110)-utc_offset/24,"YYYYMMDD")&amp;"*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row>
    <row r="111" spans="1:91" s="20" customFormat="1" x14ac:dyDescent="0.25">
      <c r="A111" s="33" t="s">
        <v>671</v>
      </c>
      <c r="B111" s="7">
        <v>4010</v>
      </c>
      <c r="C111" s="21" t="s">
        <v>193</v>
      </c>
      <c r="D111" s="21" t="s">
        <v>838</v>
      </c>
      <c r="E111" s="13">
        <v>42771.683368055557</v>
      </c>
      <c r="F111" s="13">
        <v>42771.695462962962</v>
      </c>
      <c r="G111" s="7">
        <v>1</v>
      </c>
      <c r="H111" s="21" t="s">
        <v>208</v>
      </c>
      <c r="I111" s="13">
        <v>42771.720625000002</v>
      </c>
      <c r="J111" s="7">
        <v>0</v>
      </c>
      <c r="K111" s="98" t="str">
        <f t="shared" si="27"/>
        <v>4009/4010</v>
      </c>
      <c r="L111" s="21" t="str">
        <f>VLOOKUP(A111,'Trips&amp;Operators'!$C$1:$G$99999,5,FALSE)</f>
        <v>ROMERO CHAD</v>
      </c>
      <c r="M111" s="6">
        <f t="shared" si="28"/>
        <v>2.5162037039990537E-2</v>
      </c>
      <c r="N111" s="7">
        <f t="shared" si="46"/>
        <v>36.233333337586373</v>
      </c>
      <c r="O111" s="7"/>
      <c r="P111" s="7"/>
      <c r="Q111" s="22"/>
      <c r="R111" s="22"/>
      <c r="S111" s="31">
        <f t="shared" si="30"/>
        <v>1</v>
      </c>
      <c r="T111" s="46" t="str">
        <f t="shared" si="31"/>
        <v>Southbound</v>
      </c>
      <c r="U111" s="190">
        <f>IF(AG111="EC",COUNTIFS(Variables!$M$2:$M$19,IF(T111="NorthBound","&gt;=","&lt;=")&amp;Y111,Variables!$M$2:$M$19,IF(T111="NorthBound","&lt;=","&gt;=")&amp;Z111),COUNTIFS(Variables!$P$2:$P$19,IF(T111="NorthBound","&gt;=","&lt;=")&amp;Y111,Variables!$P$2:$P$19,IF(T111="NorthBound","&lt;=","&gt;=")&amp;Z111))</f>
        <v>12</v>
      </c>
      <c r="V111" s="191" t="str">
        <f t="shared" si="32"/>
        <v>https://d0f6bd738d7f1b3e5a7ca70fe4ff75f0.us-east-1.aws.found.io/app/kibana#/discover/Steve-Slow-Train-Analysis-(2080s-and-2083s)?_g=(refreshInterval:(display:Off,pause:!f,section:0,value:0),time:(from:'2017-02-05T15:24:03-0700',mode:absolute,to:'2017-02-05T18:17:42-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11" s="192" t="str">
        <f t="shared" si="33"/>
        <v>N</v>
      </c>
      <c r="X111" s="192">
        <f t="shared" si="45"/>
        <v>1</v>
      </c>
      <c r="Y111" s="62">
        <f t="shared" si="47"/>
        <v>23.302499999999998</v>
      </c>
      <c r="Z111" s="62">
        <f t="shared" si="48"/>
        <v>1.6E-2</v>
      </c>
      <c r="AA111" s="62">
        <f t="shared" si="36"/>
        <v>23.2865</v>
      </c>
      <c r="AB111" s="59" t="e">
        <f>VLOOKUP(A111,Enforcements!$C$7:$K$16,8,0)</f>
        <v>#N/A</v>
      </c>
      <c r="AC111" s="55" t="e">
        <f>VLOOKUP(A111,Enforcements!$C$7:$E$16,3,0)</f>
        <v>#N/A</v>
      </c>
      <c r="AD111" s="56" t="str">
        <f t="shared" si="37"/>
        <v>0198-05</v>
      </c>
      <c r="AE111" s="85" t="str">
        <f t="shared" si="38"/>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111" s="82" t="str">
        <f t="shared" si="39"/>
        <v>"C:\Program Files (x86)\AstroGrep\AstroGrep.exe" /spath="%USERPROFILE%\AppData\Local\Temp\OnboardLogs" /stypes="app*4010*20170206*" /stext=" 00:.+((SYSTEM_STATE.+slice.+state.+changed )|(ment ac)|(multiple cpu faults)|(system.+state.+changed )|(\[timeout)|(PRM\|1\|D)|(kpr)|(kdp)|(\|lc)|(penalty))" /e /r /s</v>
      </c>
      <c r="AG111" s="1" t="str">
        <f t="shared" si="40"/>
        <v>EC</v>
      </c>
      <c r="AH111" s="86" t="str">
        <f t="shared" si="41"/>
        <v>"%USERPROFILE%\Documents\GitHub\eaglep3\Utilities\RefineRTDCRunTimes.py" --tripid 198-05 --locoid 4010 --swversion DE.1.0.8.0 --startMP 204:233025 --initTime 2017-02-05T16:24:03 --startdatetime 2017-02-05T16:41:28 --delay 1 --endMP 204:160 --enddatetime 2017-02-05T17:17:42 --enforcementcount 0 &gt;&gt;C:\Users\stu\Documents\GitHub\eaglep3-reporting\EC\2017-02-05-refined-times.txt</v>
      </c>
      <c r="AI111" s="108" t="str">
        <f t="shared" si="42"/>
        <v>echo {"issue":{"subject":"","project_id":79,"tracker_id":40,"status_id":1,"priority_id":2,"assigned_to_id":23,"start_date":"2017-02-05","description":"","custom_fields":[{"id":1,"name":"Subdivision","value":"EC"},{"id":4,"name":"Milepost","value":"0.016"},{"id":17,"name":"Train ID","value":"198-05"},{"id":16,"name":"Locomotive ID","value":"4010"},{"id":130,"name":"Impact","value":""},{"id":150,"name":"Time of Event (Mountain Time)","value":"17:17:42"},{"id":151,"name":"Denver Issue ID","value":""},{"id":178,"name":"Operational Impact","value":"Yes"},{"id":179,"name":"Denver Segment Assigned","value":""}]}} | curl -X POST -H "Content-Type: application/json" -H "X-Redmine-API-Key: d6333d4a04012a730768444271f8ca06482dae87" https://secure.xorail.net/redmine/issues.json --data @-</v>
      </c>
      <c r="AJ111" s="48"/>
      <c r="AK111" s="48"/>
      <c r="AL111" s="48"/>
      <c r="AM111" s="158" t="str">
        <f t="shared" si="43"/>
        <v>start /low /b %USERPROFILE%\Documents\GitHub\eaglep3\Utilities\DownloadLogsFromS3.py --loco 4010 --day 2017-02-05</v>
      </c>
      <c r="AN111" s="167" t="str">
        <f>"grep -SE -B400 ""CHR.+\|PRM\|1\|D.+(SWITCH|SIGNAL).+UNKNOWN"" "&amp;search_path&amp;"\RTDC"&amp;B111&amp;"\*"&amp;B111&amp;"*"&amp;TEXT(AVERAGE(F111,I111)-utc_offset/24,"YYYYMMDD")&amp;"*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x14ac:dyDescent="0.25">
      <c r="A112" s="33" t="s">
        <v>668</v>
      </c>
      <c r="B112" s="7">
        <v>4038</v>
      </c>
      <c r="C112" s="21" t="s">
        <v>193</v>
      </c>
      <c r="D112" s="21" t="s">
        <v>399</v>
      </c>
      <c r="E112" s="13">
        <v>42771.662152777775</v>
      </c>
      <c r="F112" s="13">
        <v>42771.666875000003</v>
      </c>
      <c r="G112" s="7">
        <v>1</v>
      </c>
      <c r="H112" s="21" t="s">
        <v>355</v>
      </c>
      <c r="I112" s="13">
        <v>42771.692442129628</v>
      </c>
      <c r="J112" s="7">
        <v>0</v>
      </c>
      <c r="K112" s="98" t="str">
        <f t="shared" si="27"/>
        <v>4037/4038</v>
      </c>
      <c r="L112" s="21" t="str">
        <f>VLOOKUP(A112,'Trips&amp;Operators'!$C$1:$G$99999,5,FALSE)</f>
        <v>KILLION DAVID</v>
      </c>
      <c r="M112" s="6">
        <f t="shared" si="28"/>
        <v>2.5567129625414964E-2</v>
      </c>
      <c r="N112" s="7">
        <f t="shared" si="46"/>
        <v>36.816666660597548</v>
      </c>
      <c r="O112" s="7"/>
      <c r="P112" s="7"/>
      <c r="Q112" s="22"/>
      <c r="R112" s="22"/>
      <c r="S112" s="31">
        <f t="shared" si="30"/>
        <v>1</v>
      </c>
      <c r="T112" s="46" t="str">
        <f t="shared" si="31"/>
        <v>NorthBound</v>
      </c>
      <c r="U112" s="190">
        <f>IF(AG112="EC",COUNTIFS(Variables!$M$2:$M$19,IF(T112="NorthBound","&gt;=","&lt;=")&amp;Y112,Variables!$M$2:$M$19,IF(T112="NorthBound","&lt;=","&gt;=")&amp;Z112),COUNTIFS(Variables!$P$2:$P$19,IF(T112="NorthBound","&gt;=","&lt;=")&amp;Y112,Variables!$P$2:$P$19,IF(T112="NorthBound","&lt;=","&gt;=")&amp;Z112))</f>
        <v>12</v>
      </c>
      <c r="V112" s="191" t="str">
        <f t="shared" si="32"/>
        <v>https://d0f6bd738d7f1b3e5a7ca70fe4ff75f0.us-east-1.aws.found.io/app/kibana#/discover/Steve-Slow-Train-Analysis-(2080s-and-2083s)?_g=(refreshInterval:(display:Off,pause:!f,section:0,value:0),time:(from:'2017-02-05T14:53:30-0700',mode:absolute,to:'2017-02-05T17:37:07-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112" s="192" t="str">
        <f t="shared" si="33"/>
        <v>N</v>
      </c>
      <c r="X112" s="192">
        <f t="shared" si="45"/>
        <v>1</v>
      </c>
      <c r="Y112" s="62">
        <f t="shared" si="47"/>
        <v>4.6399999999999997E-2</v>
      </c>
      <c r="Z112" s="62">
        <f t="shared" si="48"/>
        <v>23.330200000000001</v>
      </c>
      <c r="AA112" s="62">
        <f t="shared" si="36"/>
        <v>23.283800000000003</v>
      </c>
      <c r="AB112" s="59" t="e">
        <f>VLOOKUP(A112,Enforcements!$C$7:$K$16,8,0)</f>
        <v>#N/A</v>
      </c>
      <c r="AC112" s="55" t="e">
        <f>VLOOKUP(A112,Enforcements!$C$7:$E$16,3,0)</f>
        <v>#N/A</v>
      </c>
      <c r="AD112" s="56" t="str">
        <f t="shared" si="37"/>
        <v>0199-05</v>
      </c>
      <c r="AE112" s="85" t="str">
        <f t="shared" si="38"/>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112" s="82" t="str">
        <f t="shared" si="39"/>
        <v>"C:\Program Files (x86)\AstroGrep\AstroGrep.exe" /spath="%USERPROFILE%\AppData\Local\Temp\OnboardLogs" /stypes="app*4038*20170205*" /stext=" 23:.+((SYSTEM_STATE.+slice.+state.+changed )|(ment ac)|(multiple cpu faults)|(system.+state.+changed )|(\[timeout)|(PRM\|1\|D)|(kpr)|(kdp)|(\|lc)|(penalty))" /e /r /s</v>
      </c>
      <c r="AG112" s="1" t="str">
        <f t="shared" si="40"/>
        <v>EC</v>
      </c>
      <c r="AH112" s="86" t="str">
        <f t="shared" si="41"/>
        <v>"%USERPROFILE%\Documents\GitHub\eaglep3\Utilities\RefineRTDCRunTimes.py" --tripid 199-05 --locoid 4038 --swversion DE.1.0.8.0 --startMP 204:464 --initTime 2017-02-05T15:53:30 --startdatetime 2017-02-05T16:00:18 --delay 1 --endMP 204:233302 --enddatetime 2017-02-05T16:37:07 --enforcementcount 0 &gt;&gt;C:\Users\stu\Documents\GitHub\eaglep3-reporting\EC\2017-02-05-refined-times.txt</v>
      </c>
      <c r="AI112" s="108" t="str">
        <f t="shared" si="42"/>
        <v>echo {"issue":{"subject":"","project_id":79,"tracker_id":40,"status_id":1,"priority_id":2,"assigned_to_id":23,"start_date":"2017-02-05","description":"","custom_fields":[{"id":1,"name":"Subdivision","value":"EC"},{"id":4,"name":"Milepost","value":"23.3302"},{"id":17,"name":"Train ID","value":"199-05"},{"id":16,"name":"Locomotive ID","value":"4038"},{"id":130,"name":"Impact","value":""},{"id":150,"name":"Time of Event (Mountain Time)","value":"16:37:07"},{"id":151,"name":"Denver Issue ID","value":""},{"id":178,"name":"Operational Impact","value":"Yes"},{"id":179,"name":"Denver Segment Assigned","value":""}]}} | curl -X POST -H "Content-Type: application/json" -H "X-Redmine-API-Key: d6333d4a04012a730768444271f8ca06482dae87" https://secure.xorail.net/redmine/issues.json --data @-</v>
      </c>
      <c r="AJ112" s="48"/>
      <c r="AK112" s="48"/>
      <c r="AL112" s="48"/>
      <c r="AM112" s="158" t="str">
        <f t="shared" si="43"/>
        <v>start /low /b %USERPROFILE%\Documents\GitHub\eaglep3\Utilities\DownloadLogsFromS3.py --loco 4038 --day 2017-02-05</v>
      </c>
      <c r="AN112" s="167" t="str">
        <f>"grep -SE -B400 ""CHR.+\|PRM\|1\|D.+(SWITCH|SIGNAL).+UNKNOWN"" "&amp;search_path&amp;"\RTDC"&amp;B112&amp;"\*"&amp;B112&amp;"*"&amp;TEXT(AVERAGE(F112,I112)-utc_offset/24,"YYYYMMDD")&amp;"* | grep -SE ""(Enforcement Action)|(\[TIMEOUT)|(CHR.+\|PRM\|1\|D.+(SWITCH|SIGNAL).+UNKNOWN)"" - &gt;&gt; "&amp;TEXT(Variables!$A$2,"YYYY-MM-DD")&amp;"-UncaughtWiMAX.txt"</f>
        <v>grep -SE -B400 "CHR.+\|PRM\|1\|D.+(SWITCH|SIGNAL).+UNKNOWN" "%USERPROFILE%\AppData\Local\Temp\OnboardLogs"\RTDC4038\*4038*20170205* | grep -SE "(Enforcement Action)|(\[TIMEOUT)|(CHR.+\|PRM\|1\|D.+(SWITCH|SIGNAL).+UNKNOWN)" - &gt;&gt; 2017-02-05-UncaughtWiMAX.txt</v>
      </c>
    </row>
    <row r="113" spans="1:91" s="20" customFormat="1" x14ac:dyDescent="0.25">
      <c r="A113" s="33" t="s">
        <v>674</v>
      </c>
      <c r="B113" s="7">
        <v>4037</v>
      </c>
      <c r="C113" s="21" t="s">
        <v>193</v>
      </c>
      <c r="D113" s="21" t="s">
        <v>315</v>
      </c>
      <c r="E113" s="13">
        <v>42771.698530092595</v>
      </c>
      <c r="F113" s="13">
        <v>42771.706030092595</v>
      </c>
      <c r="G113" s="7">
        <v>1</v>
      </c>
      <c r="H113" s="21" t="s">
        <v>184</v>
      </c>
      <c r="I113" s="13">
        <v>42771.735266203701</v>
      </c>
      <c r="J113" s="7">
        <v>0</v>
      </c>
      <c r="K113" s="98" t="str">
        <f t="shared" si="27"/>
        <v>4037/4038</v>
      </c>
      <c r="L113" s="21" t="str">
        <f>VLOOKUP(A113,'Trips&amp;Operators'!$C$1:$G$99999,5,FALSE)</f>
        <v>KILLION DAVID</v>
      </c>
      <c r="M113" s="6">
        <f t="shared" si="28"/>
        <v>2.9236111106001772E-2</v>
      </c>
      <c r="N113" s="7">
        <f t="shared" si="46"/>
        <v>42.099999992642552</v>
      </c>
      <c r="O113" s="7"/>
      <c r="P113" s="7"/>
      <c r="Q113" s="22"/>
      <c r="R113" s="22"/>
      <c r="S113" s="31">
        <f t="shared" si="30"/>
        <v>1</v>
      </c>
      <c r="T113" s="46" t="str">
        <f t="shared" si="31"/>
        <v>Southbound</v>
      </c>
      <c r="U113" s="190">
        <f>IF(AG113="EC",COUNTIFS(Variables!$M$2:$M$19,IF(T113="NorthBound","&gt;=","&lt;=")&amp;Y113,Variables!$M$2:$M$19,IF(T113="NorthBound","&lt;=","&gt;=")&amp;Z113),COUNTIFS(Variables!$P$2:$P$19,IF(T113="NorthBound","&gt;=","&lt;=")&amp;Y113,Variables!$P$2:$P$19,IF(T113="NorthBound","&lt;=","&gt;=")&amp;Z113))</f>
        <v>12</v>
      </c>
      <c r="V113" s="191" t="str">
        <f t="shared" si="32"/>
        <v>https://d0f6bd738d7f1b3e5a7ca70fe4ff75f0.us-east-1.aws.found.io/app/kibana#/discover/Steve-Slow-Train-Analysis-(2080s-and-2083s)?_g=(refreshInterval:(display:Off,pause:!f,section:0,value:0),time:(from:'2017-02-05T15:45:53-0700',mode:absolute,to:'2017-02-05T18:38:47-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113" s="192" t="str">
        <f t="shared" si="33"/>
        <v>N</v>
      </c>
      <c r="X113" s="192">
        <f t="shared" si="45"/>
        <v>1</v>
      </c>
      <c r="Y113" s="62">
        <f t="shared" si="47"/>
        <v>23.297599999999999</v>
      </c>
      <c r="Z113" s="62">
        <f t="shared" si="48"/>
        <v>1.49E-2</v>
      </c>
      <c r="AA113" s="62">
        <f t="shared" si="36"/>
        <v>23.282699999999998</v>
      </c>
      <c r="AB113" s="59" t="e">
        <f>VLOOKUP(A113,Enforcements!$C$7:$K$16,8,0)</f>
        <v>#N/A</v>
      </c>
      <c r="AC113" s="55" t="e">
        <f>VLOOKUP(A113,Enforcements!$C$7:$E$16,3,0)</f>
        <v>#N/A</v>
      </c>
      <c r="AD113" s="56" t="str">
        <f t="shared" si="37"/>
        <v>0200-05</v>
      </c>
      <c r="AE113" s="85" t="str">
        <f t="shared" si="38"/>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113" s="82" t="str">
        <f t="shared" si="39"/>
        <v>"C:\Program Files (x86)\AstroGrep\AstroGrep.exe" /spath="%USERPROFILE%\AppData\Local\Temp\OnboardLogs" /stypes="app*4037*20170206*" /stext=" 00:.+((SYSTEM_STATE.+slice.+state.+changed )|(ment ac)|(multiple cpu faults)|(system.+state.+changed )|(\[timeout)|(PRM\|1\|D)|(kpr)|(kdp)|(\|lc)|(penalty))" /e /r /s</v>
      </c>
      <c r="AG113" s="1" t="str">
        <f t="shared" si="40"/>
        <v>EC</v>
      </c>
      <c r="AH113" s="86" t="str">
        <f t="shared" si="41"/>
        <v>"%USERPROFILE%\Documents\GitHub\eaglep3\Utilities\RefineRTDCRunTimes.py" --tripid 200-05 --locoid 4037 --swversion DE.1.0.8.0 --startMP 204:232976 --initTime 2017-02-05T16:45:53 --startdatetime 2017-02-05T16:56:41 --delay 1 --endMP 204:149 --enddatetime 2017-02-05T17:38:47 --enforcementcount 0 &gt;&gt;C:\Users\stu\Documents\GitHub\eaglep3-reporting\EC\2017-02-05-refined-times.txt</v>
      </c>
      <c r="AI113" s="108" t="str">
        <f t="shared" si="42"/>
        <v>echo {"issue":{"subject":"","project_id":79,"tracker_id":40,"status_id":1,"priority_id":2,"assigned_to_id":23,"start_date":"2017-02-05","description":"","custom_fields":[{"id":1,"name":"Subdivision","value":"EC"},{"id":4,"name":"Milepost","value":"0.0149"},{"id":17,"name":"Train ID","value":"200-05"},{"id":16,"name":"Locomotive ID","value":"4037"},{"id":130,"name":"Impact","value":""},{"id":150,"name":"Time of Event (Mountain Time)","value":"17:38:47"},{"id":151,"name":"Denver Issue ID","value":""},{"id":178,"name":"Operational Impact","value":"Yes"},{"id":179,"name":"Denver Segment Assigned","value":""}]}} | curl -X POST -H "Content-Type: application/json" -H "X-Redmine-API-Key: d6333d4a04012a730768444271f8ca06482dae87" https://secure.xorail.net/redmine/issues.json --data @-</v>
      </c>
      <c r="AJ113" s="48"/>
      <c r="AK113" s="48"/>
      <c r="AL113" s="48"/>
      <c r="AM113" s="158" t="str">
        <f t="shared" si="43"/>
        <v>start /low /b %USERPROFILE%\Documents\GitHub\eaglep3\Utilities\DownloadLogsFromS3.py --loco 4037 --day 2017-02-05</v>
      </c>
      <c r="AN113" s="167" t="str">
        <f>"grep -SE -B400 ""CHR.+\|PRM\|1\|D.+(SWITCH|SIGNAL).+UNKNOWN"" "&amp;search_path&amp;"\RTDC"&amp;B113&amp;"\*"&amp;B113&amp;"*"&amp;TEXT(AVERAGE(F113,I113)-utc_offset/24,"YYYYMMDD")&amp;"* | grep -SE ""(Enforcement Action)|(\[TIMEOUT)|(CHR.+\|PRM\|1\|D.+(SWITCH|SIGNAL).+UNKNOWN)"" - &gt;&gt; "&amp;TEXT(Variables!$A$2,"YYYY-MM-DD")&amp;"-UncaughtWiMAX.txt"</f>
        <v>grep -SE -B400 "CHR.+\|PRM\|1\|D.+(SWITCH|SIGNAL).+UNKNOWN" "%USERPROFILE%\AppData\Local\Temp\OnboardLogs"\RTDC4037\*4037*20170206* | grep -SE "(Enforcement Action)|(\[TIMEOUT)|(CHR.+\|PRM\|1\|D.+(SWITCH|SIGNAL).+UNKNOWN)" - &gt;&gt; 2017-02-05-UncaughtWiMAX.txt</v>
      </c>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20" customFormat="1" x14ac:dyDescent="0.25">
      <c r="A114" s="33" t="s">
        <v>513</v>
      </c>
      <c r="B114" s="7">
        <v>4025</v>
      </c>
      <c r="C114" s="21" t="s">
        <v>193</v>
      </c>
      <c r="D114" s="21" t="s">
        <v>415</v>
      </c>
      <c r="E114" s="13">
        <v>42771.67459490741</v>
      </c>
      <c r="F114" s="13">
        <v>42771.67728009259</v>
      </c>
      <c r="G114" s="7">
        <v>1</v>
      </c>
      <c r="H114" s="21" t="s">
        <v>396</v>
      </c>
      <c r="I114" s="13">
        <v>42771.702326388891</v>
      </c>
      <c r="J114" s="7">
        <v>0</v>
      </c>
      <c r="K114" s="98" t="str">
        <f t="shared" si="27"/>
        <v>4025/4026</v>
      </c>
      <c r="L114" s="21" t="str">
        <f>VLOOKUP(A114,'Trips&amp;Operators'!$C$1:$G$99999,5,FALSE)</f>
        <v>STEWART MICHAEL</v>
      </c>
      <c r="M114" s="6">
        <f t="shared" si="28"/>
        <v>2.5046296301297843E-2</v>
      </c>
      <c r="N114" s="7">
        <f t="shared" si="46"/>
        <v>36.066666673868895</v>
      </c>
      <c r="O114" s="7"/>
      <c r="P114" s="7"/>
      <c r="Q114" s="22"/>
      <c r="R114" s="22"/>
      <c r="S114" s="31">
        <f t="shared" si="30"/>
        <v>1</v>
      </c>
      <c r="T114" s="46" t="str">
        <f t="shared" si="31"/>
        <v>NorthBound</v>
      </c>
      <c r="U114" s="190">
        <f>IF(AG114="EC",COUNTIFS(Variables!$M$2:$M$19,IF(T114="NorthBound","&gt;=","&lt;=")&amp;Y114,Variables!$M$2:$M$19,IF(T114="NorthBound","&lt;=","&gt;=")&amp;Z114),COUNTIFS(Variables!$P$2:$P$19,IF(T114="NorthBound","&gt;=","&lt;=")&amp;Y114,Variables!$P$2:$P$19,IF(T114="NorthBound","&lt;=","&gt;=")&amp;Z114))</f>
        <v>12</v>
      </c>
      <c r="V114" s="191" t="str">
        <f t="shared" si="32"/>
        <v>https://d0f6bd738d7f1b3e5a7ca70fe4ff75f0.us-east-1.aws.found.io/app/kibana#/discover/Steve-Slow-Train-Analysis-(2080s-and-2083s)?_g=(refreshInterval:(display:Off,pause:!f,section:0,value:0),time:(from:'2017-02-05T15:11:25-0700',mode:absolute,to:'2017-02-05T17:51:21-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114" s="192" t="str">
        <f t="shared" si="33"/>
        <v>N</v>
      </c>
      <c r="X114" s="192">
        <f t="shared" si="45"/>
        <v>1</v>
      </c>
      <c r="Y114" s="62">
        <f t="shared" si="47"/>
        <v>4.8800000000000003E-2</v>
      </c>
      <c r="Z114" s="62">
        <f t="shared" si="48"/>
        <v>23.328199999999999</v>
      </c>
      <c r="AA114" s="62">
        <f t="shared" si="36"/>
        <v>23.279399999999999</v>
      </c>
      <c r="AB114" s="59" t="e">
        <f>VLOOKUP(A114,Enforcements!$C$7:$K$16,8,0)</f>
        <v>#N/A</v>
      </c>
      <c r="AC114" s="55" t="e">
        <f>VLOOKUP(A114,Enforcements!$C$7:$E$16,3,0)</f>
        <v>#N/A</v>
      </c>
      <c r="AD114" s="56" t="str">
        <f t="shared" si="37"/>
        <v>0201-05</v>
      </c>
      <c r="AE114" s="85" t="str">
        <f t="shared" si="38"/>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114" s="82" t="str">
        <f t="shared" si="39"/>
        <v>"C:\Program Files (x86)\AstroGrep\AstroGrep.exe" /spath="%USERPROFILE%\AppData\Local\Temp\OnboardLogs" /stypes="app*4025*20170205*" /stext=" 23:.+((SYSTEM_STATE.+slice.+state.+changed )|(ment ac)|(multiple cpu faults)|(system.+state.+changed )|(\[timeout)|(PRM\|1\|D)|(kpr)|(kdp)|(\|lc)|(penalty))" /e /r /s</v>
      </c>
      <c r="AG114" s="1" t="str">
        <f t="shared" si="40"/>
        <v>EC</v>
      </c>
      <c r="AH114" s="86" t="str">
        <f t="shared" si="41"/>
        <v>"%USERPROFILE%\Documents\GitHub\eaglep3\Utilities\RefineRTDCRunTimes.py" --tripid 201-05 --locoid 4025 --swversion DE.1.0.8.0 --startMP 204:488 --initTime 2017-02-05T16:11:25 --startdatetime 2017-02-05T16:15:17 --delay 1 --endMP 204:233282 --enddatetime 2017-02-05T16:51:21 --enforcementcount 0 &gt;&gt;C:\Users\stu\Documents\GitHub\eaglep3-reporting\EC\2017-02-05-refined-times.txt</v>
      </c>
      <c r="AI114" s="108" t="str">
        <f t="shared" si="42"/>
        <v>echo {"issue":{"subject":"","project_id":79,"tracker_id":40,"status_id":1,"priority_id":2,"assigned_to_id":23,"start_date":"2017-02-05","description":"","custom_fields":[{"id":1,"name":"Subdivision","value":"EC"},{"id":4,"name":"Milepost","value":"23.3282"},{"id":17,"name":"Train ID","value":"201-05"},{"id":16,"name":"Locomotive ID","value":"4025"},{"id":130,"name":"Impact","value":""},{"id":150,"name":"Time of Event (Mountain Time)","value":"16:51:21"},{"id":151,"name":"Denver Issue ID","value":""},{"id":178,"name":"Operational Impact","value":"Yes"},{"id":179,"name":"Denver Segment Assigned","value":""}]}} | curl -X POST -H "Content-Type: application/json" -H "X-Redmine-API-Key: d6333d4a04012a730768444271f8ca06482dae87" https://secure.xorail.net/redmine/issues.json --data @-</v>
      </c>
      <c r="AJ114" s="48"/>
      <c r="AK114" s="48"/>
      <c r="AL114" s="48"/>
      <c r="AM114" s="158" t="str">
        <f t="shared" si="43"/>
        <v>start /low /b %USERPROFILE%\Documents\GitHub\eaglep3\Utilities\DownloadLogsFromS3.py --loco 4025 --day 2017-02-05</v>
      </c>
      <c r="AN114" s="167" t="str">
        <f>"grep -SE -B400 ""CHR.+\|PRM\|1\|D.+(SWITCH|SIGNAL).+UNKNOWN"" "&amp;search_path&amp;"\RTDC"&amp;B114&amp;"\*"&amp;B114&amp;"*"&amp;TEXT(AVERAGE(F114,I114)-utc_offset/24,"YYYYMMDD")&amp;"*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20" customFormat="1" x14ac:dyDescent="0.25">
      <c r="A115" s="33" t="s">
        <v>679</v>
      </c>
      <c r="B115" s="7">
        <v>4026</v>
      </c>
      <c r="C115" s="21" t="s">
        <v>193</v>
      </c>
      <c r="D115" s="21" t="s">
        <v>353</v>
      </c>
      <c r="E115" s="13">
        <v>42771.71193287037</v>
      </c>
      <c r="F115" s="13">
        <v>42771.716527777775</v>
      </c>
      <c r="G115" s="7">
        <v>1</v>
      </c>
      <c r="H115" s="21" t="s">
        <v>413</v>
      </c>
      <c r="I115" s="13">
        <v>42771.742546296293</v>
      </c>
      <c r="J115" s="7">
        <v>0</v>
      </c>
      <c r="K115" s="98" t="str">
        <f t="shared" si="27"/>
        <v>4025/4026</v>
      </c>
      <c r="L115" s="21" t="str">
        <f>VLOOKUP(A115,'Trips&amp;Operators'!$C$1:$G$99999,5,FALSE)</f>
        <v>STEWART MICHAEL</v>
      </c>
      <c r="M115" s="6">
        <f t="shared" si="28"/>
        <v>2.6018518517958E-2</v>
      </c>
      <c r="N115" s="7">
        <f t="shared" si="46"/>
        <v>37.46666666585952</v>
      </c>
      <c r="O115" s="7"/>
      <c r="P115" s="7"/>
      <c r="Q115" s="22"/>
      <c r="R115" s="22"/>
      <c r="S115" s="31">
        <f t="shared" si="30"/>
        <v>1</v>
      </c>
      <c r="T115" s="46" t="str">
        <f t="shared" si="31"/>
        <v>Southbound</v>
      </c>
      <c r="U115" s="190">
        <f>IF(AG115="EC",COUNTIFS(Variables!$M$2:$M$19,IF(T115="NorthBound","&gt;=","&lt;=")&amp;Y115,Variables!$M$2:$M$19,IF(T115="NorthBound","&lt;=","&gt;=")&amp;Z115),COUNTIFS(Variables!$P$2:$P$19,IF(T115="NorthBound","&gt;=","&lt;=")&amp;Y115,Variables!$P$2:$P$19,IF(T115="NorthBound","&lt;=","&gt;=")&amp;Z115))</f>
        <v>12</v>
      </c>
      <c r="V115" s="191" t="str">
        <f t="shared" si="32"/>
        <v>https://d0f6bd738d7f1b3e5a7ca70fe4ff75f0.us-east-1.aws.found.io/app/kibana#/discover/Steve-Slow-Train-Analysis-(2080s-and-2083s)?_g=(refreshInterval:(display:Off,pause:!f,section:0,value:0),time:(from:'2017-02-05T16:05:11-0700',mode:absolute,to:'2017-02-05T18:49:16-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115" s="192" t="str">
        <f t="shared" si="33"/>
        <v>N</v>
      </c>
      <c r="X115" s="192">
        <f t="shared" si="45"/>
        <v>1</v>
      </c>
      <c r="Y115" s="62">
        <f t="shared" si="47"/>
        <v>23.296299999999999</v>
      </c>
      <c r="Z115" s="62">
        <f t="shared" si="48"/>
        <v>1.72E-2</v>
      </c>
      <c r="AA115" s="62">
        <f t="shared" si="36"/>
        <v>23.2791</v>
      </c>
      <c r="AB115" s="59" t="e">
        <f>VLOOKUP(A115,Enforcements!$C$7:$K$16,8,0)</f>
        <v>#N/A</v>
      </c>
      <c r="AC115" s="55" t="e">
        <f>VLOOKUP(A115,Enforcements!$C$7:$E$16,3,0)</f>
        <v>#N/A</v>
      </c>
      <c r="AD115" s="56" t="str">
        <f t="shared" si="37"/>
        <v>0202-05</v>
      </c>
      <c r="AE115" s="85" t="str">
        <f t="shared" si="38"/>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115" s="82" t="str">
        <f t="shared" si="39"/>
        <v>"C:\Program Files (x86)\AstroGrep\AstroGrep.exe" /spath="%USERPROFILE%\AppData\Local\Temp\OnboardLogs" /stypes="app*4026*20170206*" /stext=" 00:.+((SYSTEM_STATE.+slice.+state.+changed )|(ment ac)|(multiple cpu faults)|(system.+state.+changed )|(\[timeout)|(PRM\|1\|D)|(kpr)|(kdp)|(\|lc)|(penalty))" /e /r /s</v>
      </c>
      <c r="AG115" s="1" t="str">
        <f t="shared" si="40"/>
        <v>EC</v>
      </c>
      <c r="AH115" s="86" t="str">
        <f t="shared" si="41"/>
        <v>"%USERPROFILE%\Documents\GitHub\eaglep3\Utilities\RefineRTDCRunTimes.py" --tripid 202-05 --locoid 4026 --swversion DE.1.0.8.0 --startMP 204:232963 --initTime 2017-02-05T17:05:11 --startdatetime 2017-02-05T17:11:48 --delay 1 --endMP 204:172 --enddatetime 2017-02-05T17:49:16 --enforcementcount 0 &gt;&gt;C:\Users\stu\Documents\GitHub\eaglep3-reporting\EC\2017-02-05-refined-times.txt</v>
      </c>
      <c r="AI115" s="108" t="str">
        <f t="shared" si="42"/>
        <v>echo {"issue":{"subject":"","project_id":79,"tracker_id":40,"status_id":1,"priority_id":2,"assigned_to_id":23,"start_date":"2017-02-05","description":"","custom_fields":[{"id":1,"name":"Subdivision","value":"EC"},{"id":4,"name":"Milepost","value":"0.0172"},{"id":17,"name":"Train ID","value":"202-05"},{"id":16,"name":"Locomotive ID","value":"4026"},{"id":130,"name":"Impact","value":""},{"id":150,"name":"Time of Event (Mountain Time)","value":"17:49:16"},{"id":151,"name":"Denver Issue ID","value":""},{"id":178,"name":"Operational Impact","value":"Yes"},{"id":179,"name":"Denver Segment Assigned","value":""}]}} | curl -X POST -H "Content-Type: application/json" -H "X-Redmine-API-Key: d6333d4a04012a730768444271f8ca06482dae87" https://secure.xorail.net/redmine/issues.json --data @-</v>
      </c>
      <c r="AJ115" s="48"/>
      <c r="AK115" s="48"/>
      <c r="AL115" s="48"/>
      <c r="AM115" s="158" t="str">
        <f t="shared" si="43"/>
        <v>start /low /b %USERPROFILE%\Documents\GitHub\eaglep3\Utilities\DownloadLogsFromS3.py --loco 4026 --day 2017-02-05</v>
      </c>
      <c r="AN115" s="167" t="str">
        <f>"grep -SE -B400 ""CHR.+\|PRM\|1\|D.+(SWITCH|SIGNAL).+UNKNOWN"" "&amp;search_path&amp;"\RTDC"&amp;B115&amp;"\*"&amp;B115&amp;"*"&amp;TEXT(AVERAGE(F115,I115)-utc_offset/24,"YYYYMMDD")&amp;"* | grep -SE ""(Enforcement Action)|(\[TIMEOUT)|(CHR.+\|PRM\|1\|D.+(SWITCH|SIGNAL).+UNKNOWN)"" - &gt;&gt; "&amp;TEXT(Variables!$A$2,"YYYY-MM-DD")&amp;"-UncaughtWiMAX.txt"</f>
        <v>grep -SE -B400 "CHR.+\|PRM\|1\|D.+(SWITCH|SIGNAL).+UNKNOWN" "%USERPROFILE%\AppData\Local\Temp\OnboardLogs"\RTDC4026\*4026*20170206* | grep -SE "(Enforcement Action)|(\[TIMEOUT)|(CHR.+\|PRM\|1\|D.+(SWITCH|SIGNAL).+UNKNOWN)" - &gt;&gt; 2017-02-05-UncaughtWiMAX.txt</v>
      </c>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20" customFormat="1" x14ac:dyDescent="0.25">
      <c r="A116" s="33" t="s">
        <v>514</v>
      </c>
      <c r="B116" s="7">
        <v>4016</v>
      </c>
      <c r="C116" s="21" t="s">
        <v>193</v>
      </c>
      <c r="D116" s="21" t="s">
        <v>291</v>
      </c>
      <c r="E116" s="13">
        <v>42771.686180555553</v>
      </c>
      <c r="F116" s="13">
        <v>42771.687777777777</v>
      </c>
      <c r="G116" s="7">
        <v>1</v>
      </c>
      <c r="H116" s="21" t="s">
        <v>362</v>
      </c>
      <c r="I116" s="13">
        <v>42771.714282407411</v>
      </c>
      <c r="J116" s="7">
        <v>0</v>
      </c>
      <c r="K116" s="98" t="str">
        <f t="shared" si="27"/>
        <v>4015/4016</v>
      </c>
      <c r="L116" s="21" t="str">
        <f>VLOOKUP(A116,'Trips&amp;Operators'!$C$1:$G$99999,5,FALSE)</f>
        <v>DAVIS MICHAEL</v>
      </c>
      <c r="M116" s="6">
        <f t="shared" si="28"/>
        <v>2.6504629633564036E-2</v>
      </c>
      <c r="N116" s="7">
        <f t="shared" si="46"/>
        <v>38.166666672332212</v>
      </c>
      <c r="O116" s="7"/>
      <c r="P116" s="7"/>
      <c r="Q116" s="22"/>
      <c r="R116" s="22"/>
      <c r="S116" s="31">
        <f t="shared" si="30"/>
        <v>1</v>
      </c>
      <c r="T116" s="46" t="str">
        <f t="shared" si="31"/>
        <v>NorthBound</v>
      </c>
      <c r="U116" s="190">
        <f>IF(AG116="EC",COUNTIFS(Variables!$M$2:$M$19,IF(T116="NorthBound","&gt;=","&lt;=")&amp;Y116,Variables!$M$2:$M$19,IF(T116="NorthBound","&lt;=","&gt;=")&amp;Z116),COUNTIFS(Variables!$P$2:$P$19,IF(T116="NorthBound","&gt;=","&lt;=")&amp;Y116,Variables!$P$2:$P$19,IF(T116="NorthBound","&lt;=","&gt;=")&amp;Z116))</f>
        <v>12</v>
      </c>
      <c r="V116" s="191" t="str">
        <f t="shared" si="32"/>
        <v>https://d0f6bd738d7f1b3e5a7ca70fe4ff75f0.us-east-1.aws.found.io/app/kibana#/discover/Steve-Slow-Train-Analysis-(2080s-and-2083s)?_g=(refreshInterval:(display:Off,pause:!f,section:0,value:0),time:(from:'2017-02-05T15:28:06-0700',mode:absolute,to:'2017-02-05T18:08:34-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16" s="192" t="str">
        <f t="shared" si="33"/>
        <v>N</v>
      </c>
      <c r="X116" s="192">
        <f t="shared" si="45"/>
        <v>1</v>
      </c>
      <c r="Y116" s="62">
        <f t="shared" si="47"/>
        <v>4.5499999999999999E-2</v>
      </c>
      <c r="Z116" s="62">
        <f t="shared" si="48"/>
        <v>23.327000000000002</v>
      </c>
      <c r="AA116" s="62">
        <f t="shared" si="36"/>
        <v>23.281500000000001</v>
      </c>
      <c r="AB116" s="59" t="e">
        <f>VLOOKUP(A116,Enforcements!$C$7:$K$16,8,0)</f>
        <v>#N/A</v>
      </c>
      <c r="AC116" s="55" t="e">
        <f>VLOOKUP(A116,Enforcements!$C$7:$E$16,3,0)</f>
        <v>#N/A</v>
      </c>
      <c r="AD116" s="56" t="str">
        <f t="shared" si="37"/>
        <v>0203-05</v>
      </c>
      <c r="AE116" s="85" t="str">
        <f t="shared" si="38"/>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116" s="82" t="str">
        <f t="shared" si="39"/>
        <v>"C:\Program Files (x86)\AstroGrep\AstroGrep.exe" /spath="%USERPROFILE%\AppData\Local\Temp\OnboardLogs" /stypes="app*4016*20170206*" /stext=" 00:.+((SYSTEM_STATE.+slice.+state.+changed )|(ment ac)|(multiple cpu faults)|(system.+state.+changed )|(\[timeout)|(PRM\|1\|D)|(kpr)|(kdp)|(\|lc)|(penalty))" /e /r /s</v>
      </c>
      <c r="AG116" s="1" t="str">
        <f t="shared" si="40"/>
        <v>EC</v>
      </c>
      <c r="AH116" s="86" t="str">
        <f t="shared" si="41"/>
        <v>"%USERPROFILE%\Documents\GitHub\eaglep3\Utilities\RefineRTDCRunTimes.py" --tripid 203-05 --locoid 4016 --swversion DE.1.0.8.0 --startMP 204:455 --initTime 2017-02-05T16:28:06 --startdatetime 2017-02-05T16:30:24 --delay 1 --endMP 204:233270 --enddatetime 2017-02-05T17:08:34 --enforcementcount 0 &gt;&gt;C:\Users\stu\Documents\GitHub\eaglep3-reporting\EC\2017-02-05-refined-times.txt</v>
      </c>
      <c r="AI116" s="108" t="str">
        <f t="shared" si="42"/>
        <v>echo {"issue":{"subject":"","project_id":79,"tracker_id":40,"status_id":1,"priority_id":2,"assigned_to_id":23,"start_date":"2017-02-05","description":"","custom_fields":[{"id":1,"name":"Subdivision","value":"EC"},{"id":4,"name":"Milepost","value":"23.327"},{"id":17,"name":"Train ID","value":"203-05"},{"id":16,"name":"Locomotive ID","value":"4016"},{"id":130,"name":"Impact","value":""},{"id":150,"name":"Time of Event (Mountain Time)","value":"17:08:34"},{"id":151,"name":"Denver Issue ID","value":""},{"id":178,"name":"Operational Impact","value":"Yes"},{"id":179,"name":"Denver Segment Assigned","value":""}]}} | curl -X POST -H "Content-Type: application/json" -H "X-Redmine-API-Key: d6333d4a04012a730768444271f8ca06482dae87" https://secure.xorail.net/redmine/issues.json --data @-</v>
      </c>
      <c r="AJ116" s="48"/>
      <c r="AK116" s="48"/>
      <c r="AL116" s="48"/>
      <c r="AM116" s="158" t="str">
        <f t="shared" si="43"/>
        <v>start /low /b %USERPROFILE%\Documents\GitHub\eaglep3\Utilities\DownloadLogsFromS3.py --loco 4016 --day 2017-02-05</v>
      </c>
      <c r="AN116" s="167" t="str">
        <f>"grep -SE -B400 ""CHR.+\|PRM\|1\|D.+(SWITCH|SIGNAL).+UNKNOWN"" "&amp;search_path&amp;"\RTDC"&amp;B116&amp;"\*"&amp;B116&amp;"*"&amp;TEXT(AVERAGE(F116,I116)-utc_offset/24,"YYYYMMDD")&amp;"*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s="20" customFormat="1" x14ac:dyDescent="0.25">
      <c r="A117" s="33" t="s">
        <v>516</v>
      </c>
      <c r="B117" s="7">
        <v>4015</v>
      </c>
      <c r="C117" s="21" t="s">
        <v>193</v>
      </c>
      <c r="D117" s="21" t="s">
        <v>361</v>
      </c>
      <c r="E117" s="13">
        <v>42771.724097222221</v>
      </c>
      <c r="F117" s="13">
        <v>42771.726689814815</v>
      </c>
      <c r="G117" s="7">
        <v>1</v>
      </c>
      <c r="H117" s="21" t="s">
        <v>200</v>
      </c>
      <c r="I117" s="13">
        <v>42771.755381944444</v>
      </c>
      <c r="J117" s="7">
        <v>0</v>
      </c>
      <c r="K117" s="98" t="str">
        <f t="shared" si="27"/>
        <v>4015/4016</v>
      </c>
      <c r="L117" s="21" t="str">
        <f>VLOOKUP(A117,'Trips&amp;Operators'!$C$1:$G$99999,5,FALSE)</f>
        <v>DAVIS MICHAEL</v>
      </c>
      <c r="M117" s="6">
        <f t="shared" si="28"/>
        <v>2.8692129628325347E-2</v>
      </c>
      <c r="N117" s="7">
        <f t="shared" si="46"/>
        <v>41.316666664788499</v>
      </c>
      <c r="O117" s="7"/>
      <c r="P117" s="7"/>
      <c r="Q117" s="22"/>
      <c r="R117" s="22"/>
      <c r="S117" s="31">
        <f t="shared" si="30"/>
        <v>1</v>
      </c>
      <c r="T117" s="46" t="str">
        <f t="shared" si="31"/>
        <v>Southbound</v>
      </c>
      <c r="U117" s="190">
        <f>IF(AG117="EC",COUNTIFS(Variables!$M$2:$M$19,IF(T117="NorthBound","&gt;=","&lt;=")&amp;Y117,Variables!$M$2:$M$19,IF(T117="NorthBound","&lt;=","&gt;=")&amp;Z117),COUNTIFS(Variables!$P$2:$P$19,IF(T117="NorthBound","&gt;=","&lt;=")&amp;Y117,Variables!$P$2:$P$19,IF(T117="NorthBound","&lt;=","&gt;=")&amp;Z117))</f>
        <v>12</v>
      </c>
      <c r="V117" s="191" t="str">
        <f t="shared" si="32"/>
        <v>https://d0f6bd738d7f1b3e5a7ca70fe4ff75f0.us-east-1.aws.found.io/app/kibana#/discover/Steve-Slow-Train-Analysis-(2080s-and-2083s)?_g=(refreshInterval:(display:Off,pause:!f,section:0,value:0),time:(from:'2017-02-05T16:22:42-0700',mode:absolute,to:'2017-02-05T19:07: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17" s="192" t="str">
        <f t="shared" si="33"/>
        <v>N</v>
      </c>
      <c r="X117" s="192">
        <f t="shared" si="45"/>
        <v>1</v>
      </c>
      <c r="Y117" s="62">
        <f t="shared" si="47"/>
        <v>23.2959</v>
      </c>
      <c r="Z117" s="62">
        <f t="shared" si="48"/>
        <v>1.4500000000000001E-2</v>
      </c>
      <c r="AA117" s="62">
        <f t="shared" si="36"/>
        <v>23.281399999999998</v>
      </c>
      <c r="AB117" s="59" t="str">
        <f>VLOOKUP(A117,Enforcements!$C$7:$K$16,8,0)</f>
        <v>Form based authority (4)</v>
      </c>
      <c r="AC117" s="55" t="str">
        <f>VLOOKUP(A117,Enforcements!$C$7:$E$16,3,0)</f>
        <v>TRACK WARRANT AUTHORITY</v>
      </c>
      <c r="AD117" s="56" t="str">
        <f t="shared" si="37"/>
        <v>0204-05</v>
      </c>
      <c r="AE117" s="85" t="str">
        <f t="shared" si="38"/>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117" s="82" t="str">
        <f t="shared" si="39"/>
        <v>"C:\Program Files (x86)\AstroGrep\AstroGrep.exe" /spath="%USERPROFILE%\AppData\Local\Temp\OnboardLogs" /stypes="app*4015*20170206*" /stext=" 01:.+((SYSTEM_STATE.+slice.+state.+changed )|(ment ac)|(multiple cpu faults)|(system.+state.+changed )|(\[timeout)|(PRM\|1\|D)|(kpr)|(kdp)|(\|lc)|(penalty))" /e /r /s</v>
      </c>
      <c r="AG117" s="1" t="str">
        <f t="shared" si="40"/>
        <v>EC</v>
      </c>
      <c r="AH117" s="86" t="str">
        <f t="shared" si="41"/>
        <v>"%USERPROFILE%\Documents\GitHub\eaglep3\Utilities\RefineRTDCRunTimes.py" --tripid 204-05 --locoid 4015 --swversion DE.1.0.8.0 --startMP 204:232959 --initTime 2017-02-05T17:22:42 --startdatetime 2017-02-05T17:26:26 --delay 1 --endMP 204:145 --enddatetime 2017-02-05T18:07:45 --enforcementcount 0 &gt;&gt;C:\Users\stu\Documents\GitHub\eaglep3-reporting\EC\2017-02-05-refined-times.txt</v>
      </c>
      <c r="AI117" s="108" t="str">
        <f t="shared" si="42"/>
        <v>echo {"issue":{"subject":"","project_id":79,"tracker_id":40,"status_id":1,"priority_id":2,"assigned_to_id":23,"start_date":"2017-02-05","description":"","custom_fields":[{"id":1,"name":"Subdivision","value":"EC"},{"id":4,"name":"Milepost","value":"0.0145"},{"id":17,"name":"Train ID","value":"204-05"},{"id":16,"name":"Locomotive ID","value":"4015"},{"id":130,"name":"Impact","value":""},{"id":150,"name":"Time of Event (Mountain Time)","value":"18:07:45"},{"id":151,"name":"Denver Issue ID","value":""},{"id":178,"name":"Operational Impact","value":"Yes"},{"id":179,"name":"Denver Segment Assigned","value":""}]}} | curl -X POST -H "Content-Type: application/json" -H "X-Redmine-API-Key: d6333d4a04012a730768444271f8ca06482dae87" https://secure.xorail.net/redmine/issues.json --data @-</v>
      </c>
      <c r="AJ117" s="48"/>
      <c r="AK117" s="48"/>
      <c r="AL117" s="48"/>
      <c r="AM117" s="158" t="str">
        <f t="shared" si="43"/>
        <v>start /low /b %USERPROFILE%\Documents\GitHub\eaglep3\Utilities\DownloadLogsFromS3.py --loco 4015 --day 2017-02-05</v>
      </c>
      <c r="AN117" s="167" t="str">
        <f>"grep -SE -B400 ""CHR.+\|PRM\|1\|D.+(SWITCH|SIGNAL).+UNKNOWN"" "&amp;search_path&amp;"\RTDC"&amp;B117&amp;"\*"&amp;B117&amp;"*"&amp;TEXT(AVERAGE(F117,I117)-utc_offset/24,"YYYYMMDD")&amp;"* | grep -SE ""(Enforcement Action)|(\[TIMEOUT)|(CHR.+\|PRM\|1\|D.+(SWITCH|SIGNAL).+UNKNOWN)"" - &gt;&gt; "&amp;TEXT(Variables!$A$2,"YYYY-MM-DD")&amp;"-UncaughtWiMAX.txt"</f>
        <v>grep -SE -B400 "CHR.+\|PRM\|1\|D.+(SWITCH|SIGNAL).+UNKNOWN" "%USERPROFILE%\AppData\Local\Temp\OnboardLogs"\RTDC4015\*4015*20170206* | grep -SE "(Enforcement Action)|(\[TIMEOUT)|(CHR.+\|PRM\|1\|D.+(SWITCH|SIGNAL).+UNKNOWN)" - &gt;&gt; 2017-02-05-UncaughtWiMAX.txt</v>
      </c>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spans="1:91" s="20" customFormat="1" x14ac:dyDescent="0.25">
      <c r="A118" s="33" t="s">
        <v>673</v>
      </c>
      <c r="B118" s="7">
        <v>4022</v>
      </c>
      <c r="C118" s="21" t="s">
        <v>193</v>
      </c>
      <c r="D118" s="21" t="s">
        <v>839</v>
      </c>
      <c r="E118" s="13">
        <v>42771.696851851855</v>
      </c>
      <c r="F118" s="13">
        <v>42771.698101851849</v>
      </c>
      <c r="G118" s="7">
        <v>1</v>
      </c>
      <c r="H118" s="21" t="s">
        <v>840</v>
      </c>
      <c r="I118" s="13">
        <v>42771.723321759258</v>
      </c>
      <c r="J118" s="7">
        <v>0</v>
      </c>
      <c r="K118" s="98" t="str">
        <f t="shared" si="27"/>
        <v>4021/4022</v>
      </c>
      <c r="L118" s="21" t="str">
        <f>VLOOKUP(A118,'Trips&amp;Operators'!$C$1:$G$99999,5,FALSE)</f>
        <v>LEVIN SCOTT</v>
      </c>
      <c r="M118" s="6">
        <f t="shared" si="28"/>
        <v>2.5219907409336884E-2</v>
      </c>
      <c r="N118" s="7">
        <f t="shared" si="46"/>
        <v>36.316666669445112</v>
      </c>
      <c r="O118" s="7"/>
      <c r="P118" s="7"/>
      <c r="Q118" s="22"/>
      <c r="R118" s="22"/>
      <c r="S118" s="31">
        <f t="shared" si="30"/>
        <v>1</v>
      </c>
      <c r="T118" s="46" t="str">
        <f t="shared" si="31"/>
        <v>NorthBound</v>
      </c>
      <c r="U118" s="190">
        <f>IF(AG118="EC",COUNTIFS(Variables!$M$2:$M$19,IF(T118="NorthBound","&gt;=","&lt;=")&amp;Y118,Variables!$M$2:$M$19,IF(T118="NorthBound","&lt;=","&gt;=")&amp;Z118),COUNTIFS(Variables!$P$2:$P$19,IF(T118="NorthBound","&gt;=","&lt;=")&amp;Y118,Variables!$P$2:$P$19,IF(T118="NorthBound","&lt;=","&gt;=")&amp;Z118))</f>
        <v>12</v>
      </c>
      <c r="V118" s="191" t="str">
        <f t="shared" si="32"/>
        <v>https://d0f6bd738d7f1b3e5a7ca70fe4ff75f0.us-east-1.aws.found.io/app/kibana#/discover/Steve-Slow-Train-Analysis-(2080s-and-2083s)?_g=(refreshInterval:(display:Off,pause:!f,section:0,value:0),time:(from:'2017-02-05T15:43:28-0700',mode:absolute,to:'2017-02-05T18:21:35-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18" s="192" t="str">
        <f t="shared" si="33"/>
        <v>N</v>
      </c>
      <c r="X118" s="192">
        <f t="shared" si="45"/>
        <v>1</v>
      </c>
      <c r="Y118" s="62">
        <f t="shared" si="47"/>
        <v>4.07E-2</v>
      </c>
      <c r="Z118" s="62">
        <f t="shared" si="48"/>
        <v>23.3337</v>
      </c>
      <c r="AA118" s="62">
        <f t="shared" si="36"/>
        <v>23.292999999999999</v>
      </c>
      <c r="AB118" s="59" t="e">
        <f>VLOOKUP(A118,Enforcements!$C$7:$K$16,8,0)</f>
        <v>#N/A</v>
      </c>
      <c r="AC118" s="55" t="e">
        <f>VLOOKUP(A118,Enforcements!$C$7:$E$16,3,0)</f>
        <v>#N/A</v>
      </c>
      <c r="AD118" s="56" t="str">
        <f t="shared" si="37"/>
        <v>0205-05</v>
      </c>
      <c r="AE118" s="85" t="str">
        <f t="shared" si="38"/>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118" s="82" t="str">
        <f t="shared" si="39"/>
        <v>"C:\Program Files (x86)\AstroGrep\AstroGrep.exe" /spath="%USERPROFILE%\AppData\Local\Temp\OnboardLogs" /stypes="app*4022*20170206*" /stext=" 00:.+((SYSTEM_STATE.+slice.+state.+changed )|(ment ac)|(multiple cpu faults)|(system.+state.+changed )|(\[timeout)|(PRM\|1\|D)|(kpr)|(kdp)|(\|lc)|(penalty))" /e /r /s</v>
      </c>
      <c r="AG118" s="1" t="str">
        <f t="shared" si="40"/>
        <v>EC</v>
      </c>
      <c r="AH118" s="86" t="str">
        <f t="shared" si="41"/>
        <v>"%USERPROFILE%\Documents\GitHub\eaglep3\Utilities\RefineRTDCRunTimes.py" --tripid 205-05 --locoid 4022 --swversion DE.1.0.8.0 --startMP 204:407 --initTime 2017-02-05T16:43:28 --startdatetime 2017-02-05T16:45:16 --delay 1 --endMP 204:233337 --enddatetime 2017-02-05T17:21:35 --enforcementcount 0 &gt;&gt;C:\Users\stu\Documents\GitHub\eaglep3-reporting\EC\2017-02-05-refined-times.txt</v>
      </c>
      <c r="AI118" s="108" t="str">
        <f t="shared" si="42"/>
        <v>echo {"issue":{"subject":"","project_id":79,"tracker_id":40,"status_id":1,"priority_id":2,"assigned_to_id":23,"start_date":"2017-02-05","description":"","custom_fields":[{"id":1,"name":"Subdivision","value":"EC"},{"id":4,"name":"Milepost","value":"23.3337"},{"id":17,"name":"Train ID","value":"205-05"},{"id":16,"name":"Locomotive ID","value":"4022"},{"id":130,"name":"Impact","value":""},{"id":150,"name":"Time of Event (Mountain Time)","value":"17:21:35"},{"id":151,"name":"Denver Issue ID","value":""},{"id":178,"name":"Operational Impact","value":"Yes"},{"id":179,"name":"Denver Segment Assigned","value":""}]}} | curl -X POST -H "Content-Type: application/json" -H "X-Redmine-API-Key: d6333d4a04012a730768444271f8ca06482dae87" https://secure.xorail.net/redmine/issues.json --data @-</v>
      </c>
      <c r="AJ118" s="48"/>
      <c r="AK118" s="48"/>
      <c r="AL118" s="48"/>
      <c r="AM118" s="158" t="str">
        <f t="shared" si="43"/>
        <v>start /low /b %USERPROFILE%\Documents\GitHub\eaglep3\Utilities\DownloadLogsFromS3.py --loco 4022 --day 2017-02-05</v>
      </c>
      <c r="AN118" s="167" t="str">
        <f>"grep -SE -B400 ""CHR.+\|PRM\|1\|D.+(SWITCH|SIGNAL).+UNKNOWN"" "&amp;search_path&amp;"\RTDC"&amp;B118&amp;"\*"&amp;B118&amp;"*"&amp;TEXT(AVERAGE(F118,I118)-utc_offset/24,"YYYYMMDD")&amp;"* | grep -SE ""(Enforcement Action)|(\[TIMEOUT)|(CHR.+\|PRM\|1\|D.+(SWITCH|SIGNAL).+UNKNOWN)"" - &gt;&gt; "&amp;TEXT(Variables!$A$2,"YYYY-MM-DD")&amp;"-UncaughtWiMAX.txt"</f>
        <v>grep -SE -B400 "CHR.+\|PRM\|1\|D.+(SWITCH|SIGNAL).+UNKNOWN" "%USERPROFILE%\AppData\Local\Temp\OnboardLogs"\RTDC4022\*4022*20170206* | grep -SE "(Enforcement Action)|(\[TIMEOUT)|(CHR.+\|PRM\|1\|D.+(SWITCH|SIGNAL).+UNKNOWN)" - &gt;&gt; 2017-02-05-UncaughtWiMAX.txt</v>
      </c>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spans="1:91" s="20" customFormat="1" x14ac:dyDescent="0.25">
      <c r="A119" s="33" t="s">
        <v>686</v>
      </c>
      <c r="B119" s="7">
        <v>4021</v>
      </c>
      <c r="C119" s="21" t="s">
        <v>193</v>
      </c>
      <c r="D119" s="21" t="s">
        <v>841</v>
      </c>
      <c r="E119" s="13">
        <v>42771.729594907411</v>
      </c>
      <c r="F119" s="13">
        <v>42771.736979166664</v>
      </c>
      <c r="G119" s="7">
        <v>1</v>
      </c>
      <c r="H119" s="21" t="s">
        <v>237</v>
      </c>
      <c r="I119" s="13">
        <v>42771.763229166667</v>
      </c>
      <c r="J119" s="7">
        <v>0</v>
      </c>
      <c r="K119" s="98" t="str">
        <f t="shared" si="27"/>
        <v>4021/4022</v>
      </c>
      <c r="L119" s="21" t="str">
        <f>VLOOKUP(A119,'Trips&amp;Operators'!$C$1:$G$99999,5,FALSE)</f>
        <v>LEVIN SCOTT</v>
      </c>
      <c r="M119" s="6">
        <f t="shared" si="28"/>
        <v>2.6250000002619345E-2</v>
      </c>
      <c r="N119" s="7">
        <f t="shared" si="46"/>
        <v>37.800000003771856</v>
      </c>
      <c r="O119" s="7"/>
      <c r="P119" s="7"/>
      <c r="Q119" s="22"/>
      <c r="R119" s="22"/>
      <c r="S119" s="31">
        <f t="shared" si="30"/>
        <v>1</v>
      </c>
      <c r="T119" s="46" t="str">
        <f t="shared" si="31"/>
        <v>Southbound</v>
      </c>
      <c r="U119" s="190">
        <f>IF(AG119="EC",COUNTIFS(Variables!$M$2:$M$19,IF(T119="NorthBound","&gt;=","&lt;=")&amp;Y119,Variables!$M$2:$M$19,IF(T119="NorthBound","&lt;=","&gt;=")&amp;Z119),COUNTIFS(Variables!$P$2:$P$19,IF(T119="NorthBound","&gt;=","&lt;=")&amp;Y119,Variables!$P$2:$P$19,IF(T119="NorthBound","&lt;=","&gt;=")&amp;Z119))</f>
        <v>12</v>
      </c>
      <c r="V119" s="191" t="str">
        <f t="shared" si="32"/>
        <v>https://d0f6bd738d7f1b3e5a7ca70fe4ff75f0.us-east-1.aws.found.io/app/kibana#/discover/Steve-Slow-Train-Analysis-(2080s-and-2083s)?_g=(refreshInterval:(display:Off,pause:!f,section:0,value:0),time:(from:'2017-02-05T16:30:37-0700',mode:absolute,to:'2017-02-05T19:19:03-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19" s="192" t="str">
        <f t="shared" si="33"/>
        <v>N</v>
      </c>
      <c r="X119" s="192">
        <f t="shared" si="45"/>
        <v>1</v>
      </c>
      <c r="Y119" s="62">
        <f t="shared" si="47"/>
        <v>23.302099999999999</v>
      </c>
      <c r="Z119" s="62">
        <f t="shared" si="48"/>
        <v>1.43E-2</v>
      </c>
      <c r="AA119" s="62">
        <f t="shared" si="36"/>
        <v>23.287800000000001</v>
      </c>
      <c r="AB119" s="59" t="e">
        <f>VLOOKUP(A119,Enforcements!$C$7:$K$16,8,0)</f>
        <v>#N/A</v>
      </c>
      <c r="AC119" s="55" t="e">
        <f>VLOOKUP(A119,Enforcements!$C$7:$E$16,3,0)</f>
        <v>#N/A</v>
      </c>
      <c r="AD119" s="56" t="str">
        <f t="shared" si="37"/>
        <v>0206-05</v>
      </c>
      <c r="AE119" s="85" t="str">
        <f t="shared" si="38"/>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119" s="82" t="str">
        <f t="shared" si="39"/>
        <v>"C:\Program Files (x86)\AstroGrep\AstroGrep.exe" /spath="%USERPROFILE%\AppData\Local\Temp\OnboardLogs" /stypes="app*4021*20170206*" /stext=" 01:.+((SYSTEM_STATE.+slice.+state.+changed )|(ment ac)|(multiple cpu faults)|(system.+state.+changed )|(\[timeout)|(PRM\|1\|D)|(kpr)|(kdp)|(\|lc)|(penalty))" /e /r /s</v>
      </c>
      <c r="AG119" s="1" t="str">
        <f t="shared" si="40"/>
        <v>EC</v>
      </c>
      <c r="AH119" s="86" t="str">
        <f t="shared" si="41"/>
        <v>"%USERPROFILE%\Documents\GitHub\eaglep3\Utilities\RefineRTDCRunTimes.py" --tripid 206-05 --locoid 4021 --swversion DE.1.0.8.0 --startMP 204:233021 --initTime 2017-02-05T17:30:37 --startdatetime 2017-02-05T17:41:15 --delay 1 --endMP 204:143 --enddatetime 2017-02-05T18:19:03 --enforcementcount 0 &gt;&gt;C:\Users\stu\Documents\GitHub\eaglep3-reporting\EC\2017-02-05-refined-times.txt</v>
      </c>
      <c r="AI119" s="108" t="str">
        <f t="shared" si="42"/>
        <v>echo {"issue":{"subject":"","project_id":79,"tracker_id":40,"status_id":1,"priority_id":2,"assigned_to_id":23,"start_date":"2017-02-05","description":"","custom_fields":[{"id":1,"name":"Subdivision","value":"EC"},{"id":4,"name":"Milepost","value":"0.0143"},{"id":17,"name":"Train ID","value":"206-05"},{"id":16,"name":"Locomotive ID","value":"4021"},{"id":130,"name":"Impact","value":""},{"id":150,"name":"Time of Event (Mountain Time)","value":"18:19:03"},{"id":151,"name":"Denver Issue ID","value":""},{"id":178,"name":"Operational Impact","value":"Yes"},{"id":179,"name":"Denver Segment Assigned","value":""}]}} | curl -X POST -H "Content-Type: application/json" -H "X-Redmine-API-Key: d6333d4a04012a730768444271f8ca06482dae87" https://secure.xorail.net/redmine/issues.json --data @-</v>
      </c>
      <c r="AJ119" s="48"/>
      <c r="AK119" s="48"/>
      <c r="AL119" s="48"/>
      <c r="AM119" s="158" t="str">
        <f t="shared" si="43"/>
        <v>start /low /b %USERPROFILE%\Documents\GitHub\eaglep3\Utilities\DownloadLogsFromS3.py --loco 4021 --day 2017-02-05</v>
      </c>
      <c r="AN119" s="167" t="str">
        <f>"grep -SE -B400 ""CHR.+\|PRM\|1\|D.+(SWITCH|SIGNAL).+UNKNOWN"" "&amp;search_path&amp;"\RTDC"&amp;B119&amp;"\*"&amp;B119&amp;"*"&amp;TEXT(AVERAGE(F119,I119)-utc_offset/24,"YYYYMMDD")&amp;"* | grep -SE ""(Enforcement Action)|(\[TIMEOUT)|(CHR.+\|PRM\|1\|D.+(SWITCH|SIGNAL).+UNKNOWN)"" - &gt;&gt; "&amp;TEXT(Variables!$A$2,"YYYY-MM-DD")&amp;"-UncaughtWiMAX.txt"</f>
        <v>grep -SE -B400 "CHR.+\|PRM\|1\|D.+(SWITCH|SIGNAL).+UNKNOWN" "%USERPROFILE%\AppData\Local\Temp\OnboardLogs"\RTDC4021\*4021*20170206* | grep -SE "(Enforcement Action)|(\[TIMEOUT)|(CHR.+\|PRM\|1\|D.+(SWITCH|SIGNAL).+UNKNOWN)" - &gt;&gt; 2017-02-05-UncaughtWiMAX.txt</v>
      </c>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s="20" customFormat="1" x14ac:dyDescent="0.25">
      <c r="A120" s="33" t="s">
        <v>678</v>
      </c>
      <c r="B120" s="7">
        <v>4040</v>
      </c>
      <c r="C120" s="21" t="s">
        <v>193</v>
      </c>
      <c r="D120" s="21" t="s">
        <v>240</v>
      </c>
      <c r="E120" s="13">
        <v>42771.705729166664</v>
      </c>
      <c r="F120" s="13">
        <v>42771.708657407406</v>
      </c>
      <c r="G120" s="7">
        <v>1</v>
      </c>
      <c r="H120" s="21" t="s">
        <v>402</v>
      </c>
      <c r="I120" s="13">
        <v>42771.733715277776</v>
      </c>
      <c r="J120" s="7">
        <v>0</v>
      </c>
      <c r="K120" s="98" t="str">
        <f t="shared" si="27"/>
        <v>4039/4040</v>
      </c>
      <c r="L120" s="21" t="str">
        <f>VLOOKUP(A120,'Trips&amp;Operators'!$C$1:$G$99999,5,FALSE)</f>
        <v>WHITED DUSTIN</v>
      </c>
      <c r="M120" s="6">
        <f t="shared" si="28"/>
        <v>2.5057870370801538E-2</v>
      </c>
      <c r="N120" s="7">
        <f t="shared" si="46"/>
        <v>36.083333333954215</v>
      </c>
      <c r="O120" s="7"/>
      <c r="P120" s="7"/>
      <c r="Q120" s="22"/>
      <c r="R120" s="22"/>
      <c r="S120" s="31">
        <f t="shared" si="30"/>
        <v>1</v>
      </c>
      <c r="T120" s="46" t="str">
        <f t="shared" si="31"/>
        <v>NorthBound</v>
      </c>
      <c r="U120" s="190">
        <f>IF(AG120="EC",COUNTIFS(Variables!$M$2:$M$19,IF(T120="NorthBound","&gt;=","&lt;=")&amp;Y120,Variables!$M$2:$M$19,IF(T120="NorthBound","&lt;=","&gt;=")&amp;Z120),COUNTIFS(Variables!$P$2:$P$19,IF(T120="NorthBound","&gt;=","&lt;=")&amp;Y120,Variables!$P$2:$P$19,IF(T120="NorthBound","&lt;=","&gt;=")&amp;Z120))</f>
        <v>12</v>
      </c>
      <c r="V120" s="191" t="str">
        <f t="shared" si="32"/>
        <v>https://d0f6bd738d7f1b3e5a7ca70fe4ff75f0.us-east-1.aws.found.io/app/kibana#/discover/Steve-Slow-Train-Analysis-(2080s-and-2083s)?_g=(refreshInterval:(display:Off,pause:!f,section:0,value:0),time:(from:'2017-02-05T15:56:15-0700',mode:absolute,to:'2017-02-05T18:36: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20" s="192" t="str">
        <f t="shared" si="33"/>
        <v>N</v>
      </c>
      <c r="X120" s="192">
        <f t="shared" si="45"/>
        <v>1</v>
      </c>
      <c r="Y120" s="62">
        <f t="shared" si="47"/>
        <v>4.5100000000000001E-2</v>
      </c>
      <c r="Z120" s="62">
        <f t="shared" si="48"/>
        <v>23.331499999999998</v>
      </c>
      <c r="AA120" s="62">
        <f t="shared" si="36"/>
        <v>23.286399999999997</v>
      </c>
      <c r="AB120" s="59" t="e">
        <f>VLOOKUP(A120,Enforcements!$C$7:$K$16,8,0)</f>
        <v>#N/A</v>
      </c>
      <c r="AC120" s="55" t="e">
        <f>VLOOKUP(A120,Enforcements!$C$7:$E$16,3,0)</f>
        <v>#N/A</v>
      </c>
      <c r="AD120" s="56" t="str">
        <f t="shared" si="37"/>
        <v>0207-05</v>
      </c>
      <c r="AE120" s="85" t="str">
        <f t="shared" si="38"/>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120" s="82" t="str">
        <f t="shared" si="39"/>
        <v>"C:\Program Files (x86)\AstroGrep\AstroGrep.exe" /spath="%USERPROFILE%\AppData\Local\Temp\OnboardLogs" /stypes="app*4040*20170206*" /stext=" 00:.+((SYSTEM_STATE.+slice.+state.+changed )|(ment ac)|(multiple cpu faults)|(system.+state.+changed )|(\[timeout)|(PRM\|1\|D)|(kpr)|(kdp)|(\|lc)|(penalty))" /e /r /s</v>
      </c>
      <c r="AG120" s="1" t="str">
        <f t="shared" si="40"/>
        <v>EC</v>
      </c>
      <c r="AH120" s="86" t="str">
        <f t="shared" si="41"/>
        <v>"%USERPROFILE%\Documents\GitHub\eaglep3\Utilities\RefineRTDCRunTimes.py" --tripid 207-05 --locoid 4040 --swversion DE.1.0.8.0 --startMP 204:451 --initTime 2017-02-05T16:56:15 --startdatetime 2017-02-05T17:00:28 --delay 1 --endMP 204:233315 --enddatetime 2017-02-05T17:36:33 --enforcementcount 0 &gt;&gt;C:\Users\stu\Documents\GitHub\eaglep3-reporting\EC\2017-02-05-refined-times.txt</v>
      </c>
      <c r="AI120" s="108" t="str">
        <f t="shared" si="42"/>
        <v>echo {"issue":{"subject":"","project_id":79,"tracker_id":40,"status_id":1,"priority_id":2,"assigned_to_id":23,"start_date":"2017-02-05","description":"","custom_fields":[{"id":1,"name":"Subdivision","value":"EC"},{"id":4,"name":"Milepost","value":"23.3315"},{"id":17,"name":"Train ID","value":"207-05"},{"id":16,"name":"Locomotive ID","value":"4040"},{"id":130,"name":"Impact","value":""},{"id":150,"name":"Time of Event (Mountain Time)","value":"17:36:33"},{"id":151,"name":"Denver Issue ID","value":""},{"id":178,"name":"Operational Impact","value":"Yes"},{"id":179,"name":"Denver Segment Assigned","value":""}]}} | curl -X POST -H "Content-Type: application/json" -H "X-Redmine-API-Key: d6333d4a04012a730768444271f8ca06482dae87" https://secure.xorail.net/redmine/issues.json --data @-</v>
      </c>
      <c r="AJ120" s="48"/>
      <c r="AK120" s="48"/>
      <c r="AL120" s="48"/>
      <c r="AM120" s="158" t="str">
        <f t="shared" si="43"/>
        <v>start /low /b %USERPROFILE%\Documents\GitHub\eaglep3\Utilities\DownloadLogsFromS3.py --loco 4040 --day 2017-02-05</v>
      </c>
      <c r="AN120" s="167" t="str">
        <f>"grep -SE -B400 ""CHR.+\|PRM\|1\|D.+(SWITCH|SIGNAL).+UNKNOWN"" "&amp;search_path&amp;"\RTDC"&amp;B120&amp;"\*"&amp;B120&amp;"*"&amp;TEXT(AVERAGE(F120,I120)-utc_offset/24,"YYYYMMDD")&amp;"* | grep -SE ""(Enforcement Action)|(\[TIMEOUT)|(CHR.+\|PRM\|1\|D.+(SWITCH|SIGNAL).+UNKNOWN)"" - &gt;&gt; "&amp;TEXT(Variables!$A$2,"YYYY-MM-DD")&amp;"-UncaughtWiMAX.txt"</f>
        <v>grep -SE -B400 "CHR.+\|PRM\|1\|D.+(SWITCH|SIGNAL).+UNKNOWN" "%USERPROFILE%\AppData\Local\Temp\OnboardLogs"\RTDC4040\*4040*20170206* | grep -SE "(Enforcement Action)|(\[TIMEOUT)|(CHR.+\|PRM\|1\|D.+(SWITCH|SIGNAL).+UNKNOWN)" - &gt;&gt; 2017-02-05-UncaughtWiMAX.txt</v>
      </c>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1:91" s="20" customFormat="1" x14ac:dyDescent="0.25">
      <c r="A121" s="33" t="s">
        <v>689</v>
      </c>
      <c r="B121" s="7">
        <v>4039</v>
      </c>
      <c r="C121" s="21" t="s">
        <v>193</v>
      </c>
      <c r="D121" s="21" t="s">
        <v>319</v>
      </c>
      <c r="E121" s="13">
        <v>42771.741770833331</v>
      </c>
      <c r="F121" s="13">
        <v>42771.747499999998</v>
      </c>
      <c r="G121" s="7">
        <v>1</v>
      </c>
      <c r="H121" s="21" t="s">
        <v>413</v>
      </c>
      <c r="I121" s="13">
        <v>42771.775891203702</v>
      </c>
      <c r="J121" s="7">
        <v>0</v>
      </c>
      <c r="K121" s="98" t="str">
        <f t="shared" si="27"/>
        <v>4039/4040</v>
      </c>
      <c r="L121" s="21" t="str">
        <f>VLOOKUP(A121,'Trips&amp;Operators'!$C$1:$G$99999,5,FALSE)</f>
        <v>WHITED DUSTIN</v>
      </c>
      <c r="M121" s="6">
        <f t="shared" si="28"/>
        <v>2.8391203704813961E-2</v>
      </c>
      <c r="N121" s="7">
        <f t="shared" si="46"/>
        <v>40.883333334932104</v>
      </c>
      <c r="O121" s="7"/>
      <c r="P121" s="7"/>
      <c r="Q121" s="22"/>
      <c r="R121" s="22"/>
      <c r="S121" s="31">
        <f t="shared" si="30"/>
        <v>1</v>
      </c>
      <c r="T121" s="46" t="str">
        <f t="shared" si="31"/>
        <v>Southbound</v>
      </c>
      <c r="U121" s="190">
        <f>IF(AG121="EC",COUNTIFS(Variables!$M$2:$M$19,IF(T121="NorthBound","&gt;=","&lt;=")&amp;Y121,Variables!$M$2:$M$19,IF(T121="NorthBound","&lt;=","&gt;=")&amp;Z121),COUNTIFS(Variables!$P$2:$P$19,IF(T121="NorthBound","&gt;=","&lt;=")&amp;Y121,Variables!$P$2:$P$19,IF(T121="NorthBound","&lt;=","&gt;=")&amp;Z121))</f>
        <v>12</v>
      </c>
      <c r="V121" s="191" t="str">
        <f t="shared" si="32"/>
        <v>https://d0f6bd738d7f1b3e5a7ca70fe4ff75f0.us-east-1.aws.found.io/app/kibana#/discover/Steve-Slow-Train-Analysis-(2080s-and-2083s)?_g=(refreshInterval:(display:Off,pause:!f,section:0,value:0),time:(from:'2017-02-05T16:48:09-0700',mode:absolute,to:'2017-02-05T19:37:17-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21" s="192" t="str">
        <f t="shared" si="33"/>
        <v>N</v>
      </c>
      <c r="X121" s="192">
        <f t="shared" si="45"/>
        <v>1</v>
      </c>
      <c r="Y121" s="62">
        <f t="shared" si="47"/>
        <v>23.299299999999999</v>
      </c>
      <c r="Z121" s="62">
        <f t="shared" si="48"/>
        <v>1.72E-2</v>
      </c>
      <c r="AA121" s="62">
        <f t="shared" si="36"/>
        <v>23.2821</v>
      </c>
      <c r="AB121" s="59" t="e">
        <f>VLOOKUP(A121,Enforcements!$C$7:$K$16,8,0)</f>
        <v>#N/A</v>
      </c>
      <c r="AC121" s="55" t="e">
        <f>VLOOKUP(A121,Enforcements!$C$7:$E$16,3,0)</f>
        <v>#N/A</v>
      </c>
      <c r="AD121" s="56" t="str">
        <f t="shared" si="37"/>
        <v>0208-05</v>
      </c>
      <c r="AE121" s="85" t="str">
        <f t="shared" si="38"/>
        <v>aws s3 cp s3://rtdc.mdm.uploadarchive.raw/RTDC4039/ "%USERPROFILE%\AppData\Local\Temp\OnboardLogs"\RTDC4039\2017-02-05 --exclude "*" --recursive --include "*20170205*" &amp; "%USERPROFILE%\Documents\GitHub\mrs-test-scripts\Headless Mode &amp; Sideloading\WalkAndUnGZ.bat" "%USERPROFILE%\AppData\Local\Temp\OnboardLogs"\RTDC4039\2017-02-05 &amp; aws s3 cp s3://rtdc.mdm.uploadarchive.raw/RTDC4039/ "%USERPROFILE%\AppData\Local\Temp\OnboardLogs"\RTDC4039\2017-02-06 --exclude "*" --recursive --include "*20170206*" &amp; "%USERPROFILE%\Documents\GitHub\mrs-test-scripts\Headless Mode &amp; Sideloading\WalkAndUnGZ.bat" "%USERPROFILE%\AppData\Local\Temp\OnboardLogs"\RTDC4039\2017-02-06</v>
      </c>
      <c r="AF121" s="82" t="str">
        <f t="shared" si="39"/>
        <v>"C:\Program Files (x86)\AstroGrep\AstroGrep.exe" /spath="%USERPROFILE%\AppData\Local\Temp\OnboardLogs" /stypes="app*4039*20170206*" /stext=" 01:.+((SYSTEM_STATE.+slice.+state.+changed )|(ment ac)|(multiple cpu faults)|(system.+state.+changed )|(\[timeout)|(PRM\|1\|D)|(kpr)|(kdp)|(\|lc)|(penalty))" /e /r /s</v>
      </c>
      <c r="AG121" s="1" t="str">
        <f t="shared" si="40"/>
        <v>EC</v>
      </c>
      <c r="AH121" s="86" t="str">
        <f t="shared" si="41"/>
        <v>"%USERPROFILE%\Documents\GitHub\eaglep3\Utilities\RefineRTDCRunTimes.py" --tripid 208-05 --locoid 4039 --swversion DE.1.0.8.0 --startMP 204:232993 --initTime 2017-02-05T17:48:09 --startdatetime 2017-02-05T17:56:24 --delay 1 --endMP 204:172 --enddatetime 2017-02-05T18:37:17 --enforcementcount 0 &gt;&gt;C:\Users\stu\Documents\GitHub\eaglep3-reporting\EC\2017-02-05-refined-times.txt</v>
      </c>
      <c r="AI121" s="108" t="str">
        <f t="shared" si="42"/>
        <v>echo {"issue":{"subject":"","project_id":79,"tracker_id":40,"status_id":1,"priority_id":2,"assigned_to_id":23,"start_date":"2017-02-05","description":"","custom_fields":[{"id":1,"name":"Subdivision","value":"EC"},{"id":4,"name":"Milepost","value":"0.0172"},{"id":17,"name":"Train ID","value":"208-05"},{"id":16,"name":"Locomotive ID","value":"4039"},{"id":130,"name":"Impact","value":""},{"id":150,"name":"Time of Event (Mountain Time)","value":"18:37:17"},{"id":151,"name":"Denver Issue ID","value":""},{"id":178,"name":"Operational Impact","value":"Yes"},{"id":179,"name":"Denver Segment Assigned","value":""}]}} | curl -X POST -H "Content-Type: application/json" -H "X-Redmine-API-Key: d6333d4a04012a730768444271f8ca06482dae87" https://secure.xorail.net/redmine/issues.json --data @-</v>
      </c>
      <c r="AJ121" s="48"/>
      <c r="AK121" s="48"/>
      <c r="AL121" s="48"/>
      <c r="AM121" s="158" t="str">
        <f t="shared" si="43"/>
        <v>start /low /b %USERPROFILE%\Documents\GitHub\eaglep3\Utilities\DownloadLogsFromS3.py --loco 4039 --day 2017-02-05</v>
      </c>
      <c r="AN121" s="167" t="str">
        <f>"grep -SE -B400 ""CHR.+\|PRM\|1\|D.+(SWITCH|SIGNAL).+UNKNOWN"" "&amp;search_path&amp;"\RTDC"&amp;B121&amp;"\*"&amp;B121&amp;"*"&amp;TEXT(AVERAGE(F121,I121)-utc_offset/24,"YYYYMMDD")&amp;"* | grep -SE ""(Enforcement Action)|(\[TIMEOUT)|(CHR.+\|PRM\|1\|D.+(SWITCH|SIGNAL).+UNKNOWN)"" - &gt;&gt; "&amp;TEXT(Variables!$A$2,"YYYY-MM-DD")&amp;"-UncaughtWiMAX.txt"</f>
        <v>grep -SE -B400 "CHR.+\|PRM\|1\|D.+(SWITCH|SIGNAL).+UNKNOWN" "%USERPROFILE%\AppData\Local\Temp\OnboardLogs"\RTDC4039\*4039*20170206* | grep -SE "(Enforcement Action)|(\[TIMEOUT)|(CHR.+\|PRM\|1\|D.+(SWITCH|SIGNAL).+UNKNOWN)" - &gt;&gt; 2017-02-05-UncaughtWiMAX.txt</v>
      </c>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s="20" customFormat="1" x14ac:dyDescent="0.25">
      <c r="A122" s="33" t="s">
        <v>680</v>
      </c>
      <c r="B122" s="7">
        <v>4031</v>
      </c>
      <c r="C122" s="21" t="s">
        <v>193</v>
      </c>
      <c r="D122" s="21" t="s">
        <v>291</v>
      </c>
      <c r="E122" s="13">
        <v>42771.714895833335</v>
      </c>
      <c r="F122" s="13">
        <v>42771.719039351854</v>
      </c>
      <c r="G122" s="7">
        <v>2</v>
      </c>
      <c r="H122" s="21" t="s">
        <v>756</v>
      </c>
      <c r="I122" s="13">
        <v>42771.744467592594</v>
      </c>
      <c r="J122" s="7">
        <v>0</v>
      </c>
      <c r="K122" s="98" t="str">
        <f t="shared" si="27"/>
        <v>4031/4032</v>
      </c>
      <c r="L122" s="21" t="str">
        <f>VLOOKUP(A122,'Trips&amp;Operators'!$C$1:$G$99999,5,FALSE)</f>
        <v>MAGEE KENYA</v>
      </c>
      <c r="M122" s="6">
        <f t="shared" si="28"/>
        <v>2.5428240740438923E-2</v>
      </c>
      <c r="N122" s="7">
        <f t="shared" si="46"/>
        <v>36.616666666232049</v>
      </c>
      <c r="O122" s="7"/>
      <c r="P122" s="7"/>
      <c r="Q122" s="22"/>
      <c r="R122" s="22"/>
      <c r="S122" s="31">
        <f t="shared" si="30"/>
        <v>1</v>
      </c>
      <c r="T122" s="46" t="str">
        <f t="shared" si="31"/>
        <v>NorthBound</v>
      </c>
      <c r="U122" s="190">
        <f>IF(AG122="EC",COUNTIFS(Variables!$M$2:$M$19,IF(T122="NorthBound","&gt;=","&lt;=")&amp;Y122,Variables!$M$2:$M$19,IF(T122="NorthBound","&lt;=","&gt;=")&amp;Z122),COUNTIFS(Variables!$P$2:$P$19,IF(T122="NorthBound","&gt;=","&lt;=")&amp;Y122,Variables!$P$2:$P$19,IF(T122="NorthBound","&lt;=","&gt;=")&amp;Z122))</f>
        <v>12</v>
      </c>
      <c r="V122" s="191" t="str">
        <f t="shared" si="32"/>
        <v>https://d0f6bd738d7f1b3e5a7ca70fe4ff75f0.us-east-1.aws.found.io/app/kibana#/discover/Steve-Slow-Train-Analysis-(2080s-and-2083s)?_g=(refreshInterval:(display:Off,pause:!f,section:0,value:0),time:(from:'2017-02-05T16:09:27-0700',mode:absolute,to:'2017-02-05T18:52:02-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22" s="192" t="str">
        <f t="shared" si="33"/>
        <v>N</v>
      </c>
      <c r="X122" s="192">
        <f t="shared" si="45"/>
        <v>1</v>
      </c>
      <c r="Y122" s="62">
        <f t="shared" si="47"/>
        <v>4.5499999999999999E-2</v>
      </c>
      <c r="Z122" s="62">
        <f t="shared" si="48"/>
        <v>23.332599999999999</v>
      </c>
      <c r="AA122" s="62">
        <f t="shared" si="36"/>
        <v>23.287099999999999</v>
      </c>
      <c r="AB122" s="59" t="e">
        <f>VLOOKUP(A122,Enforcements!$C$7:$K$16,8,0)</f>
        <v>#N/A</v>
      </c>
      <c r="AC122" s="55" t="e">
        <f>VLOOKUP(A122,Enforcements!$C$7:$E$16,3,0)</f>
        <v>#N/A</v>
      </c>
      <c r="AD122" s="56" t="str">
        <f t="shared" si="37"/>
        <v>0209-05</v>
      </c>
      <c r="AE122" s="85" t="str">
        <f t="shared" si="38"/>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122" s="82" t="str">
        <f t="shared" si="39"/>
        <v>"C:\Program Files (x86)\AstroGrep\AstroGrep.exe" /spath="%USERPROFILE%\AppData\Local\Temp\OnboardLogs" /stypes="app*4031*20170206*" /stext=" 00:.+((SYSTEM_STATE.+slice.+state.+changed )|(ment ac)|(multiple cpu faults)|(system.+state.+changed )|(\[timeout)|(PRM\|1\|D)|(kpr)|(kdp)|(\|lc)|(penalty))" /e /r /s</v>
      </c>
      <c r="AG122" s="1" t="str">
        <f t="shared" si="40"/>
        <v>EC</v>
      </c>
      <c r="AH122" s="86" t="str">
        <f t="shared" si="41"/>
        <v>"%USERPROFILE%\Documents\GitHub\eaglep3\Utilities\RefineRTDCRunTimes.py" --tripid 209-05 --locoid 4031 --swversion DE.1.0.8.0 --startMP 204:455 --initTime 2017-02-05T17:09:27 --startdatetime 2017-02-05T17:15:25 --delay 2 --endMP 204:233326 --enddatetime 2017-02-05T17:52:02 --enforcementcount 0 &gt;&gt;C:\Users\stu\Documents\GitHub\eaglep3-reporting\EC\2017-02-05-refined-times.txt</v>
      </c>
      <c r="AI122" s="108" t="str">
        <f t="shared" si="42"/>
        <v>echo {"issue":{"subject":"","project_id":79,"tracker_id":40,"status_id":1,"priority_id":2,"assigned_to_id":23,"start_date":"2017-02-05","description":"","custom_fields":[{"id":1,"name":"Subdivision","value":"EC"},{"id":4,"name":"Milepost","value":"23.3326"},{"id":17,"name":"Train ID","value":"209-05"},{"id":16,"name":"Locomotive ID","value":"4031"},{"id":130,"name":"Impact","value":""},{"id":150,"name":"Time of Event (Mountain Time)","value":"17:52:02"},{"id":151,"name":"Denver Issue ID","value":""},{"id":178,"name":"Operational Impact","value":"Yes"},{"id":179,"name":"Denver Segment Assigned","value":""}]}} | curl -X POST -H "Content-Type: application/json" -H "X-Redmine-API-Key: d6333d4a04012a730768444271f8ca06482dae87" https://secure.xorail.net/redmine/issues.json --data @-</v>
      </c>
      <c r="AJ122" s="48"/>
      <c r="AK122" s="48"/>
      <c r="AL122" s="48"/>
      <c r="AM122" s="158" t="str">
        <f t="shared" si="43"/>
        <v>start /low /b %USERPROFILE%\Documents\GitHub\eaglep3\Utilities\DownloadLogsFromS3.py --loco 4031 --day 2017-02-05</v>
      </c>
      <c r="AN122" s="167" t="str">
        <f>"grep -SE -B400 ""CHR.+\|PRM\|1\|D.+(SWITCH|SIGNAL).+UNKNOWN"" "&amp;search_path&amp;"\RTDC"&amp;B122&amp;"\*"&amp;B122&amp;"*"&amp;TEXT(AVERAGE(F122,I122)-utc_offset/24,"YYYYMMDD")&amp;"* | grep -SE ""(Enforcement Action)|(\[TIMEOUT)|(CHR.+\|PRM\|1\|D.+(SWITCH|SIGNAL).+UNKNOWN)"" - &gt;&gt; "&amp;TEXT(Variables!$A$2,"YYYY-MM-DD")&amp;"-UncaughtWiMAX.txt"</f>
        <v>grep -SE -B400 "CHR.+\|PRM\|1\|D.+(SWITCH|SIGNAL).+UNKNOWN" "%USERPROFILE%\AppData\Local\Temp\OnboardLogs"\RTDC4031\*4031*20170206* | grep -SE "(Enforcement Action)|(\[TIMEOUT)|(CHR.+\|PRM\|1\|D.+(SWITCH|SIGNAL).+UNKNOWN)" - &gt;&gt; 2017-02-05-UncaughtWiMAX.txt</v>
      </c>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spans="1:91" s="20" customFormat="1" x14ac:dyDescent="0.25">
      <c r="A123" s="33" t="s">
        <v>692</v>
      </c>
      <c r="B123" s="7">
        <v>4032</v>
      </c>
      <c r="C123" s="21" t="s">
        <v>193</v>
      </c>
      <c r="D123" s="21" t="s">
        <v>842</v>
      </c>
      <c r="E123" s="13">
        <v>42771.753958333335</v>
      </c>
      <c r="F123" s="13">
        <v>42771.758067129631</v>
      </c>
      <c r="G123" s="7">
        <v>2</v>
      </c>
      <c r="H123" s="21" t="s">
        <v>333</v>
      </c>
      <c r="I123" s="13">
        <v>42771.78601851852</v>
      </c>
      <c r="J123" s="7">
        <v>0</v>
      </c>
      <c r="K123" s="98" t="str">
        <f t="shared" si="27"/>
        <v>4031/4032</v>
      </c>
      <c r="L123" s="21" t="str">
        <f>VLOOKUP(A123,'Trips&amp;Operators'!$C$1:$G$99999,5,FALSE)</f>
        <v>MAGEE KENYA</v>
      </c>
      <c r="M123" s="6">
        <f t="shared" si="28"/>
        <v>2.7951388889050577E-2</v>
      </c>
      <c r="N123" s="7">
        <f t="shared" si="46"/>
        <v>40.250000000232831</v>
      </c>
      <c r="O123" s="7"/>
      <c r="P123" s="7"/>
      <c r="Q123" s="22"/>
      <c r="R123" s="22"/>
      <c r="S123" s="31">
        <f t="shared" si="30"/>
        <v>1</v>
      </c>
      <c r="T123" s="46" t="str">
        <f t="shared" si="31"/>
        <v>Southbound</v>
      </c>
      <c r="U123" s="190">
        <f>IF(AG123="EC",COUNTIFS(Variables!$M$2:$M$19,IF(T123="NorthBound","&gt;=","&lt;=")&amp;Y123,Variables!$M$2:$M$19,IF(T123="NorthBound","&lt;=","&gt;=")&amp;Z123),COUNTIFS(Variables!$P$2:$P$19,IF(T123="NorthBound","&gt;=","&lt;=")&amp;Y123,Variables!$P$2:$P$19,IF(T123="NorthBound","&lt;=","&gt;=")&amp;Z123))</f>
        <v>12</v>
      </c>
      <c r="V123" s="191" t="str">
        <f t="shared" si="32"/>
        <v>https://d0f6bd738d7f1b3e5a7ca70fe4ff75f0.us-east-1.aws.found.io/app/kibana#/discover/Steve-Slow-Train-Analysis-(2080s-and-2083s)?_g=(refreshInterval:(display:Off,pause:!f,section:0,value:0),time:(from:'2017-02-05T17:05:42-0700',mode:absolute,to:'2017-02-05T19:51:52-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123" s="192" t="str">
        <f t="shared" si="33"/>
        <v>N</v>
      </c>
      <c r="X123" s="192">
        <f t="shared" si="45"/>
        <v>1</v>
      </c>
      <c r="Y123" s="62">
        <f t="shared" si="47"/>
        <v>23.3003</v>
      </c>
      <c r="Z123" s="62">
        <f t="shared" si="48"/>
        <v>1.7399999999999999E-2</v>
      </c>
      <c r="AA123" s="62">
        <f t="shared" si="36"/>
        <v>23.282900000000001</v>
      </c>
      <c r="AB123" s="59" t="e">
        <f>VLOOKUP(A123,Enforcements!$C$7:$K$16,8,0)</f>
        <v>#N/A</v>
      </c>
      <c r="AC123" s="55" t="e">
        <f>VLOOKUP(A123,Enforcements!$C$7:$E$16,3,0)</f>
        <v>#N/A</v>
      </c>
      <c r="AD123" s="56" t="str">
        <f t="shared" si="37"/>
        <v>0210-05</v>
      </c>
      <c r="AE123" s="85" t="str">
        <f t="shared" si="38"/>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123" s="82" t="str">
        <f t="shared" si="39"/>
        <v>"C:\Program Files (x86)\AstroGrep\AstroGrep.exe" /spath="%USERPROFILE%\AppData\Local\Temp\OnboardLogs" /stypes="app*4032*20170206*" /stext=" 01:.+((SYSTEM_STATE.+slice.+state.+changed )|(ment ac)|(multiple cpu faults)|(system.+state.+changed )|(\[timeout)|(PRM\|1\|D)|(kpr)|(kdp)|(\|lc)|(penalty))" /e /r /s</v>
      </c>
      <c r="AG123" s="1" t="str">
        <f t="shared" si="40"/>
        <v>EC</v>
      </c>
      <c r="AH123" s="86" t="str">
        <f t="shared" si="41"/>
        <v>"%USERPROFILE%\Documents\GitHub\eaglep3\Utilities\RefineRTDCRunTimes.py" --tripid 210-05 --locoid 4032 --swversion DE.1.0.8.0 --startMP 204:233003 --initTime 2017-02-05T18:05:42 --startdatetime 2017-02-05T18:11:37 --delay 2 --endMP 204:174 --enddatetime 2017-02-05T18:51:52 --enforcementcount 0 &gt;&gt;C:\Users\stu\Documents\GitHub\eaglep3-reporting\EC\2017-02-05-refined-times.txt</v>
      </c>
      <c r="AI123" s="108" t="str">
        <f t="shared" si="42"/>
        <v>echo {"issue":{"subject":"","project_id":79,"tracker_id":40,"status_id":1,"priority_id":2,"assigned_to_id":23,"start_date":"2017-02-05","description":"","custom_fields":[{"id":1,"name":"Subdivision","value":"EC"},{"id":4,"name":"Milepost","value":"0.0174"},{"id":17,"name":"Train ID","value":"210-05"},{"id":16,"name":"Locomotive ID","value":"4032"},{"id":130,"name":"Impact","value":""},{"id":150,"name":"Time of Event (Mountain Time)","value":"18:51:52"},{"id":151,"name":"Denver Issue ID","value":""},{"id":178,"name":"Operational Impact","value":"Yes"},{"id":179,"name":"Denver Segment Assigned","value":""}]}} | curl -X POST -H "Content-Type: application/json" -H "X-Redmine-API-Key: d6333d4a04012a730768444271f8ca06482dae87" https://secure.xorail.net/redmine/issues.json --data @-</v>
      </c>
      <c r="AJ123" s="48"/>
      <c r="AK123" s="48"/>
      <c r="AL123" s="48"/>
      <c r="AM123" s="158" t="str">
        <f t="shared" si="43"/>
        <v>start /low /b %USERPROFILE%\Documents\GitHub\eaglep3\Utilities\DownloadLogsFromS3.py --loco 4032 --day 2017-02-05</v>
      </c>
      <c r="AN123" s="167" t="str">
        <f>"grep -SE -B400 ""CHR.+\|PRM\|1\|D.+(SWITCH|SIGNAL).+UNKNOWN"" "&amp;search_path&amp;"\RTDC"&amp;B123&amp;"\*"&amp;B123&amp;"*"&amp;TEXT(AVERAGE(F123,I123)-utc_offset/24,"YYYYMMDD")&amp;"* | grep -SE ""(Enforcement Action)|(\[TIMEOUT)|(CHR.+\|PRM\|1\|D.+(SWITCH|SIGNAL).+UNKNOWN)"" - &gt;&gt; "&amp;TEXT(Variables!$A$2,"YYYY-MM-DD")&amp;"-UncaughtWiMAX.txt"</f>
        <v>grep -SE -B400 "CHR.+\|PRM\|1\|D.+(SWITCH|SIGNAL).+UNKNOWN" "%USERPROFILE%\AppData\Local\Temp\OnboardLogs"\RTDC4032\*4032*20170206* | grep -SE "(Enforcement Action)|(\[TIMEOUT)|(CHR.+\|PRM\|1\|D.+(SWITCH|SIGNAL).+UNKNOWN)" - &gt;&gt; 2017-02-05-UncaughtWiMAX.txt</v>
      </c>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20" customFormat="1" x14ac:dyDescent="0.25">
      <c r="A124" s="33" t="s">
        <v>684</v>
      </c>
      <c r="B124" s="7">
        <v>4009</v>
      </c>
      <c r="C124" s="21" t="s">
        <v>193</v>
      </c>
      <c r="D124" s="21" t="s">
        <v>760</v>
      </c>
      <c r="E124" s="13">
        <v>42771.721886574072</v>
      </c>
      <c r="F124" s="13">
        <v>42771.730266203704</v>
      </c>
      <c r="G124" s="7">
        <v>1</v>
      </c>
      <c r="H124" s="21" t="s">
        <v>310</v>
      </c>
      <c r="I124" s="13">
        <v>42771.755115740743</v>
      </c>
      <c r="J124" s="7">
        <v>0</v>
      </c>
      <c r="K124" s="98" t="str">
        <f t="shared" si="27"/>
        <v>4009/4010</v>
      </c>
      <c r="L124" s="21" t="str">
        <f>VLOOKUP(A124,'Trips&amp;Operators'!$C$1:$G$99999,5,FALSE)</f>
        <v>CRAYTON QUNTRELL</v>
      </c>
      <c r="M124" s="6">
        <f t="shared" si="28"/>
        <v>2.4849537039699499E-2</v>
      </c>
      <c r="N124" s="7">
        <f t="shared" si="46"/>
        <v>35.783333337167278</v>
      </c>
      <c r="O124" s="7"/>
      <c r="P124" s="7"/>
      <c r="Q124" s="22"/>
      <c r="R124" s="22" t="s">
        <v>905</v>
      </c>
      <c r="S124" s="31">
        <f t="shared" si="30"/>
        <v>1</v>
      </c>
      <c r="T124" s="46" t="str">
        <f t="shared" si="31"/>
        <v>NorthBound</v>
      </c>
      <c r="U124" s="190">
        <f>IF(AG124="EC",COUNTIFS(Variables!$M$2:$M$19,IF(T124="NorthBound","&gt;=","&lt;=")&amp;Y124,Variables!$M$2:$M$19,IF(T124="NorthBound","&lt;=","&gt;=")&amp;Z124),COUNTIFS(Variables!$P$2:$P$19,IF(T124="NorthBound","&gt;=","&lt;=")&amp;Y124,Variables!$P$2:$P$19,IF(T124="NorthBound","&lt;=","&gt;=")&amp;Z124))</f>
        <v>12</v>
      </c>
      <c r="V124" s="191" t="str">
        <f t="shared" si="32"/>
        <v>https://d0f6bd738d7f1b3e5a7ca70fe4ff75f0.us-east-1.aws.found.io/app/kibana#/discover/Steve-Slow-Train-Analysis-(2080s-and-2083s)?_g=(refreshInterval:(display:Off,pause:!f,section:0,value:0),time:(from:'2017-02-05T16:19:31-0700',mode:absolute,to:'2017-02-05T19:07: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24" s="192" t="str">
        <f t="shared" si="33"/>
        <v>N</v>
      </c>
      <c r="X124" s="192">
        <f t="shared" si="45"/>
        <v>1</v>
      </c>
      <c r="Y124" s="62">
        <f t="shared" si="47"/>
        <v>4.3999999999999997E-2</v>
      </c>
      <c r="Z124" s="62">
        <f t="shared" si="48"/>
        <v>23.3323</v>
      </c>
      <c r="AA124" s="62">
        <f t="shared" si="36"/>
        <v>23.2883</v>
      </c>
      <c r="AB124" s="59" t="e">
        <f>VLOOKUP(A124,Enforcements!$C$7:$K$16,8,0)</f>
        <v>#N/A</v>
      </c>
      <c r="AC124" s="55" t="e">
        <f>VLOOKUP(A124,Enforcements!$C$7:$E$16,3,0)</f>
        <v>#N/A</v>
      </c>
      <c r="AD124" s="56" t="str">
        <f t="shared" si="37"/>
        <v>0211-05</v>
      </c>
      <c r="AE124" s="85" t="str">
        <f t="shared" si="38"/>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124" s="82" t="str">
        <f t="shared" si="39"/>
        <v>"C:\Program Files (x86)\AstroGrep\AstroGrep.exe" /spath="%USERPROFILE%\AppData\Local\Temp\OnboardLogs" /stypes="app*4009*20170206*" /stext=" 01:.+((SYSTEM_STATE.+slice.+state.+changed )|(ment ac)|(multiple cpu faults)|(system.+state.+changed )|(\[timeout)|(PRM\|1\|D)|(kpr)|(kdp)|(\|lc)|(penalty))" /e /r /s</v>
      </c>
      <c r="AG124" s="1" t="str">
        <f t="shared" si="40"/>
        <v>EC</v>
      </c>
      <c r="AH124" s="86" t="str">
        <f t="shared" si="41"/>
        <v>"%USERPROFILE%\Documents\GitHub\eaglep3\Utilities\RefineRTDCRunTimes.py" --tripid 211-05 --locoid 4009 --swversion DE.1.0.8.0 --startMP 204:440 --initTime 2017-02-05T17:19:31 --startdatetime 2017-02-05T17:31:35 --delay 1 --endMP 204:233323 --enddatetime 2017-02-05T18:07:22 --enforcementcount 0 &gt;&gt;C:\Users\stu\Documents\GitHub\eaglep3-reporting\EC\2017-02-05-refined-times.txt</v>
      </c>
      <c r="AI124" s="108" t="str">
        <f t="shared" si="42"/>
        <v>echo {"issue":{"subject":"Onboard in-route failure delayed departure","project_id":79,"tracker_id":40,"status_id":1,"priority_id":2,"assigned_to_id":23,"start_date":"2017-02-05","description":"","custom_fields":[{"id":1,"name":"Subdivision","value":"EC"},{"id":4,"name":"Milepost","value":"23.3323"},{"id":17,"name":"Train ID","value":"211-05"},{"id":16,"name":"Locomotive ID","value":"4009"},{"id":130,"name":"Impact","value":""},{"id":150,"name":"Time of Event (Mountain Time)","value":"18:07:22"},{"id":151,"name":"Denver Issue ID","value":""},{"id":178,"name":"Operational Impact","value":"Yes"},{"id":179,"name":"Denver Segment Assigned","value":""}]}} | curl -X POST -H "Content-Type: application/json" -H "X-Redmine-API-Key: d6333d4a04012a730768444271f8ca06482dae87" https://secure.xorail.net/redmine/issues.json --data @-</v>
      </c>
      <c r="AJ124" s="48"/>
      <c r="AK124" s="48"/>
      <c r="AL124" s="48"/>
      <c r="AM124" s="158" t="str">
        <f t="shared" si="43"/>
        <v>start /low /b %USERPROFILE%\Documents\GitHub\eaglep3\Utilities\DownloadLogsFromS3.py --loco 4009 --day 2017-02-05</v>
      </c>
      <c r="AN124" s="167" t="str">
        <f>"grep -SE -B400 ""CHR.+\|PRM\|1\|D.+(SWITCH|SIGNAL).+UNKNOWN"" "&amp;search_path&amp;"\RTDC"&amp;B124&amp;"\*"&amp;B124&amp;"*"&amp;TEXT(AVERAGE(F124,I124)-utc_offset/24,"YYYYMMDD")&amp;"* | grep -SE ""(Enforcement Action)|(\[TIMEOUT)|(CHR.+\|PRM\|1\|D.+(SWITCH|SIGNAL).+UNKNOWN)"" - &gt;&gt; "&amp;TEXT(Variables!$A$2,"YYYY-MM-DD")&amp;"-UncaughtWiMAX.txt"</f>
        <v>grep -SE -B400 "CHR.+\|PRM\|1\|D.+(SWITCH|SIGNAL).+UNKNOWN" "%USERPROFILE%\AppData\Local\Temp\OnboardLogs"\RTDC4009\*4009*20170206* | grep -SE "(Enforcement Action)|(\[TIMEOUT)|(CHR.+\|PRM\|1\|D.+(SWITCH|SIGNAL).+UNKNOWN)" - &gt;&gt; 2017-02-05-UncaughtWiMAX.txt</v>
      </c>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20" customFormat="1" x14ac:dyDescent="0.25">
      <c r="A125" s="33" t="s">
        <v>694</v>
      </c>
      <c r="B125" s="7">
        <v>4010</v>
      </c>
      <c r="C125" s="21" t="s">
        <v>193</v>
      </c>
      <c r="D125" s="21" t="s">
        <v>762</v>
      </c>
      <c r="E125" s="13">
        <v>42771.764108796298</v>
      </c>
      <c r="F125" s="13">
        <v>42771.76829861111</v>
      </c>
      <c r="G125" s="7">
        <v>1</v>
      </c>
      <c r="H125" s="21" t="s">
        <v>328</v>
      </c>
      <c r="I125" s="13">
        <v>42771.796990740739</v>
      </c>
      <c r="J125" s="7">
        <v>0</v>
      </c>
      <c r="K125" s="98" t="str">
        <f t="shared" si="27"/>
        <v>4009/4010</v>
      </c>
      <c r="L125" s="21" t="str">
        <f>VLOOKUP(A125,'Trips&amp;Operators'!$C$1:$G$99999,5,FALSE)</f>
        <v>CRAYTON QUNTRELL</v>
      </c>
      <c r="M125" s="6">
        <f t="shared" si="28"/>
        <v>2.8692129628325347E-2</v>
      </c>
      <c r="N125" s="7">
        <f t="shared" si="46"/>
        <v>41.316666664788499</v>
      </c>
      <c r="O125" s="7"/>
      <c r="P125" s="7"/>
      <c r="Q125" s="22"/>
      <c r="R125" s="22"/>
      <c r="S125" s="31">
        <f t="shared" si="30"/>
        <v>1</v>
      </c>
      <c r="T125" s="46" t="str">
        <f t="shared" si="31"/>
        <v>Southbound</v>
      </c>
      <c r="U125" s="190">
        <f>IF(AG125="EC",COUNTIFS(Variables!$M$2:$M$19,IF(T125="NorthBound","&gt;=","&lt;=")&amp;Y125,Variables!$M$2:$M$19,IF(T125="NorthBound","&lt;=","&gt;=")&amp;Z125),COUNTIFS(Variables!$P$2:$P$19,IF(T125="NorthBound","&gt;=","&lt;=")&amp;Y125,Variables!$P$2:$P$19,IF(T125="NorthBound","&lt;=","&gt;=")&amp;Z125))</f>
        <v>12</v>
      </c>
      <c r="V125" s="191" t="str">
        <f t="shared" si="32"/>
        <v>https://d0f6bd738d7f1b3e5a7ca70fe4ff75f0.us-east-1.aws.found.io/app/kibana#/discover/Steve-Slow-Train-Analysis-(2080s-and-2083s)?_g=(refreshInterval:(display:Off,pause:!f,section:0,value:0),time:(from:'2017-02-05T17:20:19-0700',mode:absolute,to:'2017-02-05T20:07:40-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25" s="192" t="str">
        <f t="shared" si="33"/>
        <v>N</v>
      </c>
      <c r="X125" s="192">
        <f t="shared" si="45"/>
        <v>1</v>
      </c>
      <c r="Y125" s="62">
        <f t="shared" si="47"/>
        <v>23.301300000000001</v>
      </c>
      <c r="Z125" s="62">
        <f t="shared" si="48"/>
        <v>1.67E-2</v>
      </c>
      <c r="AA125" s="62">
        <f t="shared" si="36"/>
        <v>23.284600000000001</v>
      </c>
      <c r="AB125" s="59" t="e">
        <f>VLOOKUP(A125,Enforcements!$C$7:$K$16,8,0)</f>
        <v>#N/A</v>
      </c>
      <c r="AC125" s="55" t="e">
        <f>VLOOKUP(A125,Enforcements!$C$7:$E$16,3,0)</f>
        <v>#N/A</v>
      </c>
      <c r="AD125" s="56" t="str">
        <f t="shared" si="37"/>
        <v>0212-05</v>
      </c>
      <c r="AE125" s="85" t="str">
        <f t="shared" si="38"/>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125" s="82" t="str">
        <f t="shared" si="39"/>
        <v>"C:\Program Files (x86)\AstroGrep\AstroGrep.exe" /spath="%USERPROFILE%\AppData\Local\Temp\OnboardLogs" /stypes="app*4010*20170206*" /stext=" 02:.+((SYSTEM_STATE.+slice.+state.+changed )|(ment ac)|(multiple cpu faults)|(system.+state.+changed )|(\[timeout)|(PRM\|1\|D)|(kpr)|(kdp)|(\|lc)|(penalty))" /e /r /s</v>
      </c>
      <c r="AG125" s="1" t="str">
        <f t="shared" si="40"/>
        <v>EC</v>
      </c>
      <c r="AH125" s="86" t="str">
        <f t="shared" si="41"/>
        <v>"%USERPROFILE%\Documents\GitHub\eaglep3\Utilities\RefineRTDCRunTimes.py" --tripid 212-05 --locoid 4010 --swversion DE.1.0.8.0 --startMP 204:233013 --initTime 2017-02-05T18:20:19 --startdatetime 2017-02-05T18:26:21 --delay 1 --endMP 204:167 --enddatetime 2017-02-05T19:07:40 --enforcementcount 0 &gt;&gt;C:\Users\stu\Documents\GitHub\eaglep3-reporting\EC\2017-02-05-refined-times.txt</v>
      </c>
      <c r="AI125" s="108" t="str">
        <f t="shared" si="42"/>
        <v>echo {"issue":{"subject":"","project_id":79,"tracker_id":40,"status_id":1,"priority_id":2,"assigned_to_id":23,"start_date":"2017-02-05","description":"","custom_fields":[{"id":1,"name":"Subdivision","value":"EC"},{"id":4,"name":"Milepost","value":"0.0167"},{"id":17,"name":"Train ID","value":"212-05"},{"id":16,"name":"Locomotive ID","value":"4010"},{"id":130,"name":"Impact","value":""},{"id":150,"name":"Time of Event (Mountain Time)","value":"19:07:40"},{"id":151,"name":"Denver Issue ID","value":""},{"id":178,"name":"Operational Impact","value":"Yes"},{"id":179,"name":"Denver Segment Assigned","value":""}]}} | curl -X POST -H "Content-Type: application/json" -H "X-Redmine-API-Key: d6333d4a04012a730768444271f8ca06482dae87" https://secure.xorail.net/redmine/issues.json --data @-</v>
      </c>
      <c r="AJ125" s="48"/>
      <c r="AK125" s="48"/>
      <c r="AL125" s="48"/>
      <c r="AM125" s="158" t="str">
        <f t="shared" si="43"/>
        <v>start /low /b %USERPROFILE%\Documents\GitHub\eaglep3\Utilities\DownloadLogsFromS3.py --loco 4010 --day 2017-02-05</v>
      </c>
      <c r="AN125" s="167" t="str">
        <f>"grep -SE -B400 ""CHR.+\|PRM\|1\|D.+(SWITCH|SIGNAL).+UNKNOWN"" "&amp;search_path&amp;"\RTDC"&amp;B125&amp;"\*"&amp;B125&amp;"*"&amp;TEXT(AVERAGE(F125,I125)-utc_offset/24,"YYYYMMDD")&amp;"* | grep -SE ""(Enforcement Action)|(\[TIMEOUT)|(CHR.+\|PRM\|1\|D.+(SWITCH|SIGNAL).+UNKNOWN)"" - &gt;&gt; "&amp;TEXT(Variables!$A$2,"YYYY-MM-DD")&amp;"-UncaughtWiMAX.txt"</f>
        <v>grep -SE -B400 "CHR.+\|PRM\|1\|D.+(SWITCH|SIGNAL).+UNKNOWN" "%USERPROFILE%\AppData\Local\Temp\OnboardLogs"\RTDC4010\*4010*20170206* | grep -SE "(Enforcement Action)|(\[TIMEOUT)|(CHR.+\|PRM\|1\|D.+(SWITCH|SIGNAL).+UNKNOWN)" - &gt;&gt; 2017-02-05-UncaughtWiMAX.txt</v>
      </c>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1:91" s="20" customFormat="1" x14ac:dyDescent="0.25">
      <c r="A126" s="33" t="s">
        <v>515</v>
      </c>
      <c r="B126" s="7">
        <v>4038</v>
      </c>
      <c r="C126" s="21" t="s">
        <v>193</v>
      </c>
      <c r="D126" s="21" t="s">
        <v>406</v>
      </c>
      <c r="E126" s="13">
        <v>42771.737557870372</v>
      </c>
      <c r="F126" s="13">
        <v>42771.739745370367</v>
      </c>
      <c r="G126" s="7">
        <v>1</v>
      </c>
      <c r="H126" s="21" t="s">
        <v>843</v>
      </c>
      <c r="I126" s="13">
        <v>42771.76630787037</v>
      </c>
      <c r="J126" s="7">
        <v>0</v>
      </c>
      <c r="K126" s="98" t="str">
        <f t="shared" si="27"/>
        <v>4037/4038</v>
      </c>
      <c r="L126" s="21" t="str">
        <f>VLOOKUP(A126,'Trips&amp;Operators'!$C$1:$G$99999,5,FALSE)</f>
        <v>NEWELL JAMES</v>
      </c>
      <c r="M126" s="6">
        <f t="shared" si="28"/>
        <v>2.6562500002910383E-2</v>
      </c>
      <c r="N126" s="7">
        <f t="shared" si="46"/>
        <v>38.250000004190952</v>
      </c>
      <c r="O126" s="7"/>
      <c r="P126" s="7"/>
      <c r="Q126" s="22"/>
      <c r="R126" s="22"/>
      <c r="S126" s="31">
        <f t="shared" si="30"/>
        <v>1</v>
      </c>
      <c r="T126" s="46" t="str">
        <f t="shared" si="31"/>
        <v>NorthBound</v>
      </c>
      <c r="U126" s="190">
        <f>IF(AG126="EC",COUNTIFS(Variables!$M$2:$M$19,IF(T126="NorthBound","&gt;=","&lt;=")&amp;Y126,Variables!$M$2:$M$19,IF(T126="NorthBound","&lt;=","&gt;=")&amp;Z126),COUNTIFS(Variables!$P$2:$P$19,IF(T126="NorthBound","&gt;=","&lt;=")&amp;Y126,Variables!$P$2:$P$19,IF(T126="NorthBound","&lt;=","&gt;=")&amp;Z126))</f>
        <v>12</v>
      </c>
      <c r="V126" s="191" t="str">
        <f t="shared" si="32"/>
        <v>https://d0f6bd738d7f1b3e5a7ca70fe4ff75f0.us-east-1.aws.found.io/app/kibana#/discover/Steve-Slow-Train-Analysis-(2080s-and-2083s)?_g=(refreshInterval:(display:Off,pause:!f,section:0,value:0),time:(from:'2017-02-05T16:42:05-0700',mode:absolute,to:'2017-02-05T19:23:29-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126" s="192" t="str">
        <f t="shared" si="33"/>
        <v>N</v>
      </c>
      <c r="X126" s="192">
        <f t="shared" si="45"/>
        <v>1</v>
      </c>
      <c r="Y126" s="62">
        <f t="shared" si="47"/>
        <v>4.6600000000000003E-2</v>
      </c>
      <c r="Z126" s="62">
        <f t="shared" si="48"/>
        <v>23.334099999999999</v>
      </c>
      <c r="AA126" s="62">
        <f t="shared" si="36"/>
        <v>23.287499999999998</v>
      </c>
      <c r="AB126" s="59" t="str">
        <f>VLOOKUP(A126,Enforcements!$C$7:$K$16,8,0)</f>
        <v>Signal based authority (5)</v>
      </c>
      <c r="AC126" s="55" t="str">
        <f>VLOOKUP(A126,Enforcements!$C$7:$E$16,3,0)</f>
        <v>SIGNAL</v>
      </c>
      <c r="AD126" s="56" t="str">
        <f t="shared" si="37"/>
        <v>0213-05</v>
      </c>
      <c r="AE126" s="85" t="str">
        <f t="shared" si="38"/>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126" s="82" t="str">
        <f t="shared" si="39"/>
        <v>"C:\Program Files (x86)\AstroGrep\AstroGrep.exe" /spath="%USERPROFILE%\AppData\Local\Temp\OnboardLogs" /stypes="app*4038*20170206*" /stext=" 01:.+((SYSTEM_STATE.+slice.+state.+changed )|(ment ac)|(multiple cpu faults)|(system.+state.+changed )|(\[timeout)|(PRM\|1\|D)|(kpr)|(kdp)|(\|lc)|(penalty))" /e /r /s</v>
      </c>
      <c r="AG126" s="1" t="str">
        <f t="shared" si="40"/>
        <v>EC</v>
      </c>
      <c r="AH126" s="86" t="str">
        <f t="shared" si="41"/>
        <v>"%USERPROFILE%\Documents\GitHub\eaglep3\Utilities\RefineRTDCRunTimes.py" --tripid 213-05 --locoid 4038 --swversion DE.1.0.8.0 --startMP 204:466 --initTime 2017-02-05T17:42:05 --startdatetime 2017-02-05T17:45:14 --delay 1 --endMP 204:233341 --enddatetime 2017-02-05T18:23:29 --enforcementcount 0 &gt;&gt;C:\Users\stu\Documents\GitHub\eaglep3-reporting\EC\2017-02-05-refined-times.txt</v>
      </c>
      <c r="AI126" s="108" t="str">
        <f t="shared" si="42"/>
        <v>echo {"issue":{"subject":"","project_id":79,"tracker_id":40,"status_id":1,"priority_id":2,"assigned_to_id":23,"start_date":"2017-02-05","description":"","custom_fields":[{"id":1,"name":"Subdivision","value":"EC"},{"id":4,"name":"Milepost","value":"23.3341"},{"id":17,"name":"Train ID","value":"213-05"},{"id":16,"name":"Locomotive ID","value":"4038"},{"id":130,"name":"Impact","value":""},{"id":150,"name":"Time of Event (Mountain Time)","value":"18:23:29"},{"id":151,"name":"Denver Issue ID","value":""},{"id":178,"name":"Operational Impact","value":"Yes"},{"id":179,"name":"Denver Segment Assigned","value":""}]}} | curl -X POST -H "Content-Type: application/json" -H "X-Redmine-API-Key: d6333d4a04012a730768444271f8ca06482dae87" https://secure.xorail.net/redmine/issues.json --data @-</v>
      </c>
      <c r="AJ126" s="48"/>
      <c r="AK126" s="48"/>
      <c r="AL126" s="48"/>
      <c r="AM126" s="158" t="str">
        <f t="shared" si="43"/>
        <v>start /low /b %USERPROFILE%\Documents\GitHub\eaglep3\Utilities\DownloadLogsFromS3.py --loco 4038 --day 2017-02-05</v>
      </c>
      <c r="AN126" s="167" t="str">
        <f>"grep -SE -B400 ""CHR.+\|PRM\|1\|D.+(SWITCH|SIGNAL).+UNKNOWN"" "&amp;search_path&amp;"\RTDC"&amp;B126&amp;"\*"&amp;B126&amp;"*"&amp;TEXT(AVERAGE(F126,I126)-utc_offset/24,"YYYYMMDD")&amp;"* | grep -SE ""(Enforcement Action)|(\[TIMEOUT)|(CHR.+\|PRM\|1\|D.+(SWITCH|SIGNAL).+UNKNOWN)"" - &gt;&gt; "&amp;TEXT(Variables!$A$2,"YYYY-MM-DD")&amp;"-UncaughtWiMAX.txt"</f>
        <v>grep -SE -B400 "CHR.+\|PRM\|1\|D.+(SWITCH|SIGNAL).+UNKNOWN" "%USERPROFILE%\AppData\Local\Temp\OnboardLogs"\RTDC4038\*4038*20170206* | grep -SE "(Enforcement Action)|(\[TIMEOUT)|(CHR.+\|PRM\|1\|D.+(SWITCH|SIGNAL).+UNKNOWN)" - &gt;&gt; 2017-02-05-UncaughtWiMAX.txt</v>
      </c>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1:91" s="20" customFormat="1" x14ac:dyDescent="0.25">
      <c r="A127" s="33" t="s">
        <v>697</v>
      </c>
      <c r="B127" s="7">
        <v>4037</v>
      </c>
      <c r="C127" s="21" t="s">
        <v>193</v>
      </c>
      <c r="D127" s="21" t="s">
        <v>828</v>
      </c>
      <c r="E127" s="13">
        <v>42771.774259259262</v>
      </c>
      <c r="F127" s="13">
        <v>42771.778692129628</v>
      </c>
      <c r="G127" s="7">
        <v>1</v>
      </c>
      <c r="H127" s="21" t="s">
        <v>225</v>
      </c>
      <c r="I127" s="13">
        <v>42771.804675925923</v>
      </c>
      <c r="J127" s="7">
        <v>0</v>
      </c>
      <c r="K127" s="98" t="str">
        <f t="shared" si="27"/>
        <v>4037/4038</v>
      </c>
      <c r="L127" s="21" t="str">
        <f>VLOOKUP(A127,'Trips&amp;Operators'!$C$1:$G$99999,5,FALSE)</f>
        <v>NEWELL JAMES</v>
      </c>
      <c r="M127" s="6">
        <f t="shared" si="28"/>
        <v>2.5983796294895001E-2</v>
      </c>
      <c r="N127" s="7">
        <f t="shared" si="46"/>
        <v>37.416666664648801</v>
      </c>
      <c r="O127" s="7"/>
      <c r="P127" s="7"/>
      <c r="Q127" s="22"/>
      <c r="R127" s="22"/>
      <c r="S127" s="31">
        <f t="shared" si="30"/>
        <v>1</v>
      </c>
      <c r="T127" s="46" t="str">
        <f t="shared" si="31"/>
        <v>Southbound</v>
      </c>
      <c r="U127" s="190">
        <f>IF(AG127="EC",COUNTIFS(Variables!$M$2:$M$19,IF(T127="NorthBound","&gt;=","&lt;=")&amp;Y127,Variables!$M$2:$M$19,IF(T127="NorthBound","&lt;=","&gt;=")&amp;Z127),COUNTIFS(Variables!$P$2:$P$19,IF(T127="NorthBound","&gt;=","&lt;=")&amp;Y127,Variables!$P$2:$P$19,IF(T127="NorthBound","&lt;=","&gt;=")&amp;Z127))</f>
        <v>12</v>
      </c>
      <c r="V127" s="191" t="str">
        <f t="shared" si="32"/>
        <v>https://d0f6bd738d7f1b3e5a7ca70fe4ff75f0.us-east-1.aws.found.io/app/kibana#/discover/Steve-Slow-Train-Analysis-(2080s-and-2083s)?_g=(refreshInterval:(display:Off,pause:!f,section:0,value:0),time:(from:'2017-02-05T17:34:56-0700',mode:absolute,to:'2017-02-05T20:18:44-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127" s="192" t="str">
        <f t="shared" si="33"/>
        <v>N</v>
      </c>
      <c r="X127" s="192">
        <f t="shared" si="45"/>
        <v>1</v>
      </c>
      <c r="Y127" s="62">
        <f t="shared" si="47"/>
        <v>23.298400000000001</v>
      </c>
      <c r="Z127" s="62">
        <f t="shared" si="48"/>
        <v>1.54E-2</v>
      </c>
      <c r="AA127" s="62">
        <f t="shared" si="36"/>
        <v>23.283000000000001</v>
      </c>
      <c r="AB127" s="59" t="e">
        <f>VLOOKUP(A127,Enforcements!$C$7:$K$16,8,0)</f>
        <v>#N/A</v>
      </c>
      <c r="AC127" s="55" t="e">
        <f>VLOOKUP(A127,Enforcements!$C$7:$E$16,3,0)</f>
        <v>#N/A</v>
      </c>
      <c r="AD127" s="56" t="str">
        <f t="shared" si="37"/>
        <v>0214-05</v>
      </c>
      <c r="AE127" s="85" t="str">
        <f t="shared" si="38"/>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127" s="82" t="str">
        <f t="shared" si="39"/>
        <v>"C:\Program Files (x86)\AstroGrep\AstroGrep.exe" /spath="%USERPROFILE%\AppData\Local\Temp\OnboardLogs" /stypes="app*4037*20170206*" /stext=" 02:.+((SYSTEM_STATE.+slice.+state.+changed )|(ment ac)|(multiple cpu faults)|(system.+state.+changed )|(\[timeout)|(PRM\|1\|D)|(kpr)|(kdp)|(\|lc)|(penalty))" /e /r /s</v>
      </c>
      <c r="AG127" s="1" t="str">
        <f t="shared" si="40"/>
        <v>EC</v>
      </c>
      <c r="AH127" s="86" t="str">
        <f t="shared" si="41"/>
        <v>"%USERPROFILE%\Documents\GitHub\eaglep3\Utilities\RefineRTDCRunTimes.py" --tripid 214-05 --locoid 4037 --swversion DE.1.0.8.0 --startMP 204:232984 --initTime 2017-02-05T18:34:56 --startdatetime 2017-02-05T18:41:19 --delay 1 --endMP 204:154 --enddatetime 2017-02-05T19:18:44 --enforcementcount 0 &gt;&gt;C:\Users\stu\Documents\GitHub\eaglep3-reporting\EC\2017-02-05-refined-times.txt</v>
      </c>
      <c r="AI127" s="108" t="str">
        <f t="shared" si="42"/>
        <v>echo {"issue":{"subject":"","project_id":79,"tracker_id":40,"status_id":1,"priority_id":2,"assigned_to_id":23,"start_date":"2017-02-05","description":"","custom_fields":[{"id":1,"name":"Subdivision","value":"EC"},{"id":4,"name":"Milepost","value":"0.0154"},{"id":17,"name":"Train ID","value":"214-05"},{"id":16,"name":"Locomotive ID","value":"4037"},{"id":130,"name":"Impact","value":""},{"id":150,"name":"Time of Event (Mountain Time)","value":"19:18:44"},{"id":151,"name":"Denver Issue ID","value":""},{"id":178,"name":"Operational Impact","value":"Yes"},{"id":179,"name":"Denver Segment Assigned","value":""}]}} | curl -X POST -H "Content-Type: application/json" -H "X-Redmine-API-Key: d6333d4a04012a730768444271f8ca06482dae87" https://secure.xorail.net/redmine/issues.json --data @-</v>
      </c>
      <c r="AJ127" s="48"/>
      <c r="AK127" s="48"/>
      <c r="AL127" s="48"/>
      <c r="AM127" s="158" t="str">
        <f t="shared" si="43"/>
        <v>start /low /b %USERPROFILE%\Documents\GitHub\eaglep3\Utilities\DownloadLogsFromS3.py --loco 4037 --day 2017-02-05</v>
      </c>
      <c r="AN127" s="167" t="str">
        <f>"grep -SE -B400 ""CHR.+\|PRM\|1\|D.+(SWITCH|SIGNAL).+UNKNOWN"" "&amp;search_path&amp;"\RTDC"&amp;B127&amp;"\*"&amp;B127&amp;"*"&amp;TEXT(AVERAGE(F127,I127)-utc_offset/24,"YYYYMMDD")&amp;"* | grep -SE ""(Enforcement Action)|(\[TIMEOUT)|(CHR.+\|PRM\|1\|D.+(SWITCH|SIGNAL).+UNKNOWN)"" - &gt;&gt; "&amp;TEXT(Variables!$A$2,"YYYY-MM-DD")&amp;"-UncaughtWiMAX.txt"</f>
        <v>grep -SE -B400 "CHR.+\|PRM\|1\|D.+(SWITCH|SIGNAL).+UNKNOWN" "%USERPROFILE%\AppData\Local\Temp\OnboardLogs"\RTDC4037\*4037*20170206* | grep -SE "(Enforcement Action)|(\[TIMEOUT)|(CHR.+\|PRM\|1\|D.+(SWITCH|SIGNAL).+UNKNOWN)" - &gt;&gt; 2017-02-05-UncaughtWiMAX.txt</v>
      </c>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20" customFormat="1" x14ac:dyDescent="0.25">
      <c r="A128" s="33" t="s">
        <v>690</v>
      </c>
      <c r="B128" s="7">
        <v>4025</v>
      </c>
      <c r="C128" s="21" t="s">
        <v>193</v>
      </c>
      <c r="D128" s="21" t="s">
        <v>241</v>
      </c>
      <c r="E128" s="13">
        <v>42771.743564814817</v>
      </c>
      <c r="F128" s="13">
        <v>42771.750474537039</v>
      </c>
      <c r="G128" s="7">
        <v>1</v>
      </c>
      <c r="H128" s="21" t="s">
        <v>408</v>
      </c>
      <c r="I128" s="13">
        <v>42771.777129629627</v>
      </c>
      <c r="J128" s="7">
        <v>0</v>
      </c>
      <c r="K128" s="98" t="str">
        <f t="shared" si="27"/>
        <v>4025/4026</v>
      </c>
      <c r="L128" s="21" t="str">
        <f>VLOOKUP(A128,'Trips&amp;Operators'!$C$1:$G$99999,5,FALSE)</f>
        <v>KILLION DAVID</v>
      </c>
      <c r="M128" s="6">
        <f t="shared" si="28"/>
        <v>2.6655092588043772E-2</v>
      </c>
      <c r="N128" s="7">
        <f t="shared" si="46"/>
        <v>38.383333326783031</v>
      </c>
      <c r="O128" s="7"/>
      <c r="P128" s="7"/>
      <c r="Q128" s="22"/>
      <c r="R128" s="22"/>
      <c r="S128" s="31">
        <f t="shared" si="30"/>
        <v>1</v>
      </c>
      <c r="T128" s="46" t="str">
        <f t="shared" si="31"/>
        <v>NorthBound</v>
      </c>
      <c r="U128" s="190">
        <f>IF(AG128="EC",COUNTIFS(Variables!$M$2:$M$19,IF(T128="NorthBound","&gt;=","&lt;=")&amp;Y128,Variables!$M$2:$M$19,IF(T128="NorthBound","&lt;=","&gt;=")&amp;Z128),COUNTIFS(Variables!$P$2:$P$19,IF(T128="NorthBound","&gt;=","&lt;=")&amp;Y128,Variables!$P$2:$P$19,IF(T128="NorthBound","&lt;=","&gt;=")&amp;Z128))</f>
        <v>12</v>
      </c>
      <c r="V128" s="191" t="str">
        <f t="shared" si="32"/>
        <v>https://d0f6bd738d7f1b3e5a7ca70fe4ff75f0.us-east-1.aws.found.io/app/kibana#/discover/Steve-Slow-Train-Analysis-(2080s-and-2083s)?_g=(refreshInterval:(display:Off,pause:!f,section:0,value:0),time:(from:'2017-02-05T16:50:44-0700',mode:absolute,to:'2017-02-05T19:39:04-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128" s="192" t="str">
        <f t="shared" si="33"/>
        <v>N</v>
      </c>
      <c r="X128" s="192">
        <f t="shared" ref="X128:X145" si="49">VALUE(LEFT(AD128,4))-VALUE(LEFT(AD127,4))</f>
        <v>1</v>
      </c>
      <c r="Y128" s="62">
        <f t="shared" si="47"/>
        <v>4.5699999999999998E-2</v>
      </c>
      <c r="Z128" s="62">
        <f t="shared" si="48"/>
        <v>23.328499999999998</v>
      </c>
      <c r="AA128" s="62">
        <f t="shared" si="36"/>
        <v>23.282799999999998</v>
      </c>
      <c r="AB128" s="59" t="e">
        <f>VLOOKUP(A128,Enforcements!$C$7:$K$16,8,0)</f>
        <v>#N/A</v>
      </c>
      <c r="AC128" s="55" t="e">
        <f>VLOOKUP(A128,Enforcements!$C$7:$E$16,3,0)</f>
        <v>#N/A</v>
      </c>
      <c r="AD128" s="56" t="str">
        <f t="shared" si="37"/>
        <v>0215-05</v>
      </c>
      <c r="AE128" s="85" t="str">
        <f t="shared" si="38"/>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128" s="82" t="str">
        <f t="shared" si="39"/>
        <v>"C:\Program Files (x86)\AstroGrep\AstroGrep.exe" /spath="%USERPROFILE%\AppData\Local\Temp\OnboardLogs" /stypes="app*4025*20170206*" /stext=" 01:.+((SYSTEM_STATE.+slice.+state.+changed )|(ment ac)|(multiple cpu faults)|(system.+state.+changed )|(\[timeout)|(PRM\|1\|D)|(kpr)|(kdp)|(\|lc)|(penalty))" /e /r /s</v>
      </c>
      <c r="AG128" s="1" t="str">
        <f t="shared" si="40"/>
        <v>EC</v>
      </c>
      <c r="AH128" s="86" t="str">
        <f t="shared" si="41"/>
        <v>"%USERPROFILE%\Documents\GitHub\eaglep3\Utilities\RefineRTDCRunTimes.py" --tripid 215-05 --locoid 4025 --swversion DE.1.0.8.0 --startMP 204:457 --initTime 2017-02-05T17:50:44 --startdatetime 2017-02-05T18:00:41 --delay 1 --endMP 204:233285 --enddatetime 2017-02-05T18:39:04 --enforcementcount 0 &gt;&gt;C:\Users\stu\Documents\GitHub\eaglep3-reporting\EC\2017-02-05-refined-times.txt</v>
      </c>
      <c r="AI128" s="108" t="str">
        <f t="shared" si="42"/>
        <v>echo {"issue":{"subject":"","project_id":79,"tracker_id":40,"status_id":1,"priority_id":2,"assigned_to_id":23,"start_date":"2017-02-05","description":"","custom_fields":[{"id":1,"name":"Subdivision","value":"EC"},{"id":4,"name":"Milepost","value":"23.3285"},{"id":17,"name":"Train ID","value":"215-05"},{"id":16,"name":"Locomotive ID","value":"4025"},{"id":130,"name":"Impact","value":""},{"id":150,"name":"Time of Event (Mountain Time)","value":"18:39:04"},{"id":151,"name":"Denver Issue ID","value":""},{"id":178,"name":"Operational Impact","value":"Yes"},{"id":179,"name":"Denver Segment Assigned","value":""}]}} | curl -X POST -H "Content-Type: application/json" -H "X-Redmine-API-Key: d6333d4a04012a730768444271f8ca06482dae87" https://secure.xorail.net/redmine/issues.json --data @-</v>
      </c>
      <c r="AJ128" s="48"/>
      <c r="AK128" s="48"/>
      <c r="AL128" s="48"/>
      <c r="AM128" s="158" t="str">
        <f t="shared" si="43"/>
        <v>start /low /b %USERPROFILE%\Documents\GitHub\eaglep3\Utilities\DownloadLogsFromS3.py --loco 4025 --day 2017-02-05</v>
      </c>
      <c r="AN128" s="167" t="str">
        <f>"grep -SE -B400 ""CHR.+\|PRM\|1\|D.+(SWITCH|SIGNAL).+UNKNOWN"" "&amp;search_path&amp;"\RTDC"&amp;B128&amp;"\*"&amp;B128&amp;"*"&amp;TEXT(AVERAGE(F128,I128)-utc_offset/24,"YYYYMMDD")&amp;"* | grep -SE ""(Enforcement Action)|(\[TIMEOUT)|(CHR.+\|PRM\|1\|D.+(SWITCH|SIGNAL).+UNKNOWN)"" - &gt;&gt; "&amp;TEXT(Variables!$A$2,"YYYY-MM-DD")&amp;"-UncaughtWiMAX.txt"</f>
        <v>grep -SE -B400 "CHR.+\|PRM\|1\|D.+(SWITCH|SIGNAL).+UNKNOWN" "%USERPROFILE%\AppData\Local\Temp\OnboardLogs"\RTDC4025\*4025*20170206* | grep -SE "(Enforcement Action)|(\[TIMEOUT)|(CHR.+\|PRM\|1\|D.+(SWITCH|SIGNAL).+UNKNOWN)" - &gt;&gt; 2017-02-05-UncaughtWiMAX.txt</v>
      </c>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20" customFormat="1" x14ac:dyDescent="0.25">
      <c r="A129" s="33" t="s">
        <v>700</v>
      </c>
      <c r="B129" s="7">
        <v>4026</v>
      </c>
      <c r="C129" s="21" t="s">
        <v>193</v>
      </c>
      <c r="D129" s="21" t="s">
        <v>844</v>
      </c>
      <c r="E129" s="13">
        <v>42771.783576388887</v>
      </c>
      <c r="F129" s="13">
        <v>42771.789074074077</v>
      </c>
      <c r="G129" s="7">
        <v>1</v>
      </c>
      <c r="H129" s="21" t="s">
        <v>196</v>
      </c>
      <c r="I129" s="13">
        <v>42771.816284722219</v>
      </c>
      <c r="J129" s="7">
        <v>0</v>
      </c>
      <c r="K129" s="98" t="str">
        <f t="shared" si="27"/>
        <v>4025/4026</v>
      </c>
      <c r="L129" s="21" t="str">
        <f>VLOOKUP(A129,'Trips&amp;Operators'!$C$1:$G$99999,5,FALSE)</f>
        <v>KILLION DAVID</v>
      </c>
      <c r="M129" s="6">
        <f t="shared" si="28"/>
        <v>2.7210648142499849E-2</v>
      </c>
      <c r="N129" s="7">
        <f t="shared" si="46"/>
        <v>39.183333325199783</v>
      </c>
      <c r="O129" s="7"/>
      <c r="P129" s="7"/>
      <c r="Q129" s="22"/>
      <c r="R129" s="22"/>
      <c r="S129" s="31">
        <f t="shared" si="30"/>
        <v>1</v>
      </c>
      <c r="T129" s="46" t="str">
        <f t="shared" si="31"/>
        <v>Southbound</v>
      </c>
      <c r="U129" s="190">
        <f>IF(AG129="EC",COUNTIFS(Variables!$M$2:$M$19,IF(T129="NorthBound","&gt;=","&lt;=")&amp;Y129,Variables!$M$2:$M$19,IF(T129="NorthBound","&lt;=","&gt;=")&amp;Z129),COUNTIFS(Variables!$P$2:$P$19,IF(T129="NorthBound","&gt;=","&lt;=")&amp;Y129,Variables!$P$2:$P$19,IF(T129="NorthBound","&lt;=","&gt;=")&amp;Z129))</f>
        <v>12</v>
      </c>
      <c r="V129" s="191" t="str">
        <f t="shared" si="32"/>
        <v>https://d0f6bd738d7f1b3e5a7ca70fe4ff75f0.us-east-1.aws.found.io/app/kibana#/discover/Steve-Slow-Train-Analysis-(2080s-and-2083s)?_g=(refreshInterval:(display:Off,pause:!f,section:0,value:0),time:(from:'2017-02-05T17:48:21-0700',mode:absolute,to:'2017-02-05T20:35:27-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129" s="192" t="str">
        <f t="shared" si="33"/>
        <v>N</v>
      </c>
      <c r="X129" s="192">
        <f t="shared" si="49"/>
        <v>1</v>
      </c>
      <c r="Y129" s="62">
        <f t="shared" si="47"/>
        <v>23.296199999999999</v>
      </c>
      <c r="Z129" s="62">
        <f t="shared" si="48"/>
        <v>1.4999999999999999E-2</v>
      </c>
      <c r="AA129" s="62">
        <f t="shared" si="36"/>
        <v>23.281199999999998</v>
      </c>
      <c r="AB129" s="59" t="e">
        <f>VLOOKUP(A129,Enforcements!$C$7:$K$16,8,0)</f>
        <v>#N/A</v>
      </c>
      <c r="AC129" s="55" t="e">
        <f>VLOOKUP(A129,Enforcements!$C$7:$E$16,3,0)</f>
        <v>#N/A</v>
      </c>
      <c r="AD129" s="56" t="str">
        <f t="shared" si="37"/>
        <v>0216-05</v>
      </c>
      <c r="AE129" s="85" t="str">
        <f t="shared" si="38"/>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129" s="82" t="str">
        <f t="shared" si="39"/>
        <v>"C:\Program Files (x86)\AstroGrep\AstroGrep.exe" /spath="%USERPROFILE%\AppData\Local\Temp\OnboardLogs" /stypes="app*4026*20170206*" /stext=" 02:.+((SYSTEM_STATE.+slice.+state.+changed )|(ment ac)|(multiple cpu faults)|(system.+state.+changed )|(\[timeout)|(PRM\|1\|D)|(kpr)|(kdp)|(\|lc)|(penalty))" /e /r /s</v>
      </c>
      <c r="AG129" s="1" t="str">
        <f t="shared" si="40"/>
        <v>EC</v>
      </c>
      <c r="AH129" s="86" t="str">
        <f t="shared" si="41"/>
        <v>"%USERPROFILE%\Documents\GitHub\eaglep3\Utilities\RefineRTDCRunTimes.py" --tripid 216-05 --locoid 4026 --swversion DE.1.0.8.0 --startMP 204:232962 --initTime 2017-02-05T18:48:21 --startdatetime 2017-02-05T18:56:16 --delay 1 --endMP 204:150 --enddatetime 2017-02-05T19:35:27 --enforcementcount 0 &gt;&gt;C:\Users\stu\Documents\GitHub\eaglep3-reporting\EC\2017-02-05-refined-times.txt</v>
      </c>
      <c r="AI129" s="108" t="str">
        <f t="shared" si="42"/>
        <v>echo {"issue":{"subject":"","project_id":79,"tracker_id":40,"status_id":1,"priority_id":2,"assigned_to_id":23,"start_date":"2017-02-05","description":"","custom_fields":[{"id":1,"name":"Subdivision","value":"EC"},{"id":4,"name":"Milepost","value":"0.015"},{"id":17,"name":"Train ID","value":"216-05"},{"id":16,"name":"Locomotive ID","value":"4026"},{"id":130,"name":"Impact","value":""},{"id":150,"name":"Time of Event (Mountain Time)","value":"19:35:27"},{"id":151,"name":"Denver Issue ID","value":""},{"id":178,"name":"Operational Impact","value":"Yes"},{"id":179,"name":"Denver Segment Assigned","value":""}]}} | curl -X POST -H "Content-Type: application/json" -H "X-Redmine-API-Key: d6333d4a04012a730768444271f8ca06482dae87" https://secure.xorail.net/redmine/issues.json --data @-</v>
      </c>
      <c r="AJ129" s="48"/>
      <c r="AK129" s="48"/>
      <c r="AL129" s="48"/>
      <c r="AM129" s="158" t="str">
        <f t="shared" si="43"/>
        <v>start /low /b %USERPROFILE%\Documents\GitHub\eaglep3\Utilities\DownloadLogsFromS3.py --loco 4026 --day 2017-02-05</v>
      </c>
      <c r="AN129" s="167" t="str">
        <f>"grep -SE -B400 ""CHR.+\|PRM\|1\|D.+(SWITCH|SIGNAL).+UNKNOWN"" "&amp;search_path&amp;"\RTDC"&amp;B129&amp;"\*"&amp;B129&amp;"*"&amp;TEXT(AVERAGE(F129,I129)-utc_offset/24,"YYYYMMDD")&amp;"* | grep -SE ""(Enforcement Action)|(\[TIMEOUT)|(CHR.+\|PRM\|1\|D.+(SWITCH|SIGNAL).+UNKNOWN)"" - &gt;&gt; "&amp;TEXT(Variables!$A$2,"YYYY-MM-DD")&amp;"-UncaughtWiMAX.txt"</f>
        <v>grep -SE -B400 "CHR.+\|PRM\|1\|D.+(SWITCH|SIGNAL).+UNKNOWN" "%USERPROFILE%\AppData\Local\Temp\OnboardLogs"\RTDC4026\*4026*20170206* | grep -SE "(Enforcement Action)|(\[TIMEOUT)|(CHR.+\|PRM\|1\|D.+(SWITCH|SIGNAL).+UNKNOWN)" - &gt;&gt; 2017-02-05-UncaughtWiMAX.txt</v>
      </c>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s="20" customFormat="1" x14ac:dyDescent="0.25">
      <c r="A130" s="33" t="s">
        <v>693</v>
      </c>
      <c r="B130" s="7">
        <v>4016</v>
      </c>
      <c r="C130" s="21" t="s">
        <v>193</v>
      </c>
      <c r="D130" s="21" t="s">
        <v>291</v>
      </c>
      <c r="E130" s="13">
        <v>42771.758136574077</v>
      </c>
      <c r="F130" s="13">
        <v>42771.760648148149</v>
      </c>
      <c r="G130" s="7">
        <v>1</v>
      </c>
      <c r="H130" s="21" t="s">
        <v>305</v>
      </c>
      <c r="I130" s="13">
        <v>42771.786203703705</v>
      </c>
      <c r="J130" s="7">
        <v>0</v>
      </c>
      <c r="K130" s="98" t="str">
        <f t="shared" si="27"/>
        <v>4015/4016</v>
      </c>
      <c r="L130" s="21" t="str">
        <f>VLOOKUP(A130,'Trips&amp;Operators'!$C$1:$G$99999,5,FALSE)</f>
        <v>SMITH MICHAEL</v>
      </c>
      <c r="M130" s="6">
        <f t="shared" si="28"/>
        <v>2.5555555555911269E-2</v>
      </c>
      <c r="N130" s="7">
        <f t="shared" si="46"/>
        <v>36.800000000512227</v>
      </c>
      <c r="O130" s="7"/>
      <c r="P130" s="7"/>
      <c r="Q130" s="22"/>
      <c r="R130" s="22"/>
      <c r="S130" s="31">
        <f t="shared" si="30"/>
        <v>1</v>
      </c>
      <c r="T130" s="46" t="str">
        <f t="shared" si="31"/>
        <v>NorthBound</v>
      </c>
      <c r="U130" s="190">
        <f>IF(AG130="EC",COUNTIFS(Variables!$M$2:$M$19,IF(T130="NorthBound","&gt;=","&lt;=")&amp;Y130,Variables!$M$2:$M$19,IF(T130="NorthBound","&lt;=","&gt;=")&amp;Z130),COUNTIFS(Variables!$P$2:$P$19,IF(T130="NorthBound","&gt;=","&lt;=")&amp;Y130,Variables!$P$2:$P$19,IF(T130="NorthBound","&lt;=","&gt;=")&amp;Z130))</f>
        <v>12</v>
      </c>
      <c r="V130" s="191" t="str">
        <f t="shared" si="32"/>
        <v>https://d0f6bd738d7f1b3e5a7ca70fe4ff75f0.us-east-1.aws.found.io/app/kibana#/discover/Steve-Slow-Train-Analysis-(2080s-and-2083s)?_g=(refreshInterval:(display:Off,pause:!f,section:0,value:0),time:(from:'2017-02-05T17:11:43-0700',mode:absolute,to:'2017-02-05T19:52:08-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30" s="192" t="str">
        <f t="shared" si="33"/>
        <v>N</v>
      </c>
      <c r="X130" s="192">
        <f t="shared" si="49"/>
        <v>1</v>
      </c>
      <c r="Y130" s="62">
        <f t="shared" si="47"/>
        <v>4.5499999999999999E-2</v>
      </c>
      <c r="Z130" s="62">
        <f t="shared" si="48"/>
        <v>23.331099999999999</v>
      </c>
      <c r="AA130" s="62">
        <f t="shared" si="36"/>
        <v>23.285599999999999</v>
      </c>
      <c r="AB130" s="59" t="e">
        <f>VLOOKUP(A130,Enforcements!$C$7:$K$16,8,0)</f>
        <v>#N/A</v>
      </c>
      <c r="AC130" s="55" t="e">
        <f>VLOOKUP(A130,Enforcements!$C$7:$E$16,3,0)</f>
        <v>#N/A</v>
      </c>
      <c r="AD130" s="56" t="str">
        <f t="shared" si="37"/>
        <v>0217-05</v>
      </c>
      <c r="AE130" s="85" t="str">
        <f t="shared" si="38"/>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130" s="82" t="str">
        <f t="shared" si="39"/>
        <v>"C:\Program Files (x86)\AstroGrep\AstroGrep.exe" /spath="%USERPROFILE%\AppData\Local\Temp\OnboardLogs" /stypes="app*4016*20170206*" /stext=" 01:.+((SYSTEM_STATE.+slice.+state.+changed )|(ment ac)|(multiple cpu faults)|(system.+state.+changed )|(\[timeout)|(PRM\|1\|D)|(kpr)|(kdp)|(\|lc)|(penalty))" /e /r /s</v>
      </c>
      <c r="AG130" s="1" t="str">
        <f t="shared" si="40"/>
        <v>EC</v>
      </c>
      <c r="AH130" s="86" t="str">
        <f t="shared" si="41"/>
        <v>"%USERPROFILE%\Documents\GitHub\eaglep3\Utilities\RefineRTDCRunTimes.py" --tripid 217-05 --locoid 4016 --swversion DE.1.0.8.0 --startMP 204:455 --initTime 2017-02-05T18:11:43 --startdatetime 2017-02-05T18:15:20 --delay 1 --endMP 204:233311 --enddatetime 2017-02-05T18:52:08 --enforcementcount 0 &gt;&gt;C:\Users\stu\Documents\GitHub\eaglep3-reporting\EC\2017-02-05-refined-times.txt</v>
      </c>
      <c r="AI130" s="108" t="str">
        <f t="shared" si="42"/>
        <v>echo {"issue":{"subject":"","project_id":79,"tracker_id":40,"status_id":1,"priority_id":2,"assigned_to_id":23,"start_date":"2017-02-05","description":"","custom_fields":[{"id":1,"name":"Subdivision","value":"EC"},{"id":4,"name":"Milepost","value":"23.3311"},{"id":17,"name":"Train ID","value":"217-05"},{"id":16,"name":"Locomotive ID","value":"4016"},{"id":130,"name":"Impact","value":""},{"id":150,"name":"Time of Event (Mountain Time)","value":"18:52:08"},{"id":151,"name":"Denver Issue ID","value":""},{"id":178,"name":"Operational Impact","value":"Yes"},{"id":179,"name":"Denver Segment Assigned","value":""}]}} | curl -X POST -H "Content-Type: application/json" -H "X-Redmine-API-Key: d6333d4a04012a730768444271f8ca06482dae87" https://secure.xorail.net/redmine/issues.json --data @-</v>
      </c>
      <c r="AJ130" s="48"/>
      <c r="AK130" s="48"/>
      <c r="AL130" s="48"/>
      <c r="AM130" s="158" t="str">
        <f t="shared" si="43"/>
        <v>start /low /b %USERPROFILE%\Documents\GitHub\eaglep3\Utilities\DownloadLogsFromS3.py --loco 4016 --day 2017-02-05</v>
      </c>
      <c r="AN130" s="167" t="str">
        <f>"grep -SE -B400 ""CHR.+\|PRM\|1\|D.+(SWITCH|SIGNAL).+UNKNOWN"" "&amp;search_path&amp;"\RTDC"&amp;B130&amp;"\*"&amp;B130&amp;"*"&amp;TEXT(AVERAGE(F130,I130)-utc_offset/24,"YYYYMMDD")&amp;"* | grep -SE ""(Enforcement Action)|(\[TIMEOUT)|(CHR.+\|PRM\|1\|D.+(SWITCH|SIGNAL).+UNKNOWN)"" - &gt;&gt; "&amp;TEXT(Variables!$A$2,"YYYY-MM-DD")&amp;"-UncaughtWiMAX.txt"</f>
        <v>grep -SE -B400 "CHR.+\|PRM\|1\|D.+(SWITCH|SIGNAL).+UNKNOWN" "%USERPROFILE%\AppData\Local\Temp\OnboardLogs"\RTDC4016\*4016*20170206* | grep -SE "(Enforcement Action)|(\[TIMEOUT)|(CHR.+\|PRM\|1\|D.+(SWITCH|SIGNAL).+UNKNOWN)" - &gt;&gt; 2017-02-05-UncaughtWiMAX.txt</v>
      </c>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spans="1:91" s="20" customFormat="1" x14ac:dyDescent="0.25">
      <c r="A131" s="33" t="s">
        <v>701</v>
      </c>
      <c r="B131" s="7">
        <v>4015</v>
      </c>
      <c r="C131" s="21" t="s">
        <v>193</v>
      </c>
      <c r="D131" s="21" t="s">
        <v>366</v>
      </c>
      <c r="E131" s="13">
        <v>42771.793113425927</v>
      </c>
      <c r="F131" s="13">
        <v>42771.799537037034</v>
      </c>
      <c r="G131" s="7">
        <v>1</v>
      </c>
      <c r="H131" s="21" t="s">
        <v>289</v>
      </c>
      <c r="I131" s="13">
        <v>42771.826388888891</v>
      </c>
      <c r="J131" s="7">
        <v>0</v>
      </c>
      <c r="K131" s="98" t="str">
        <f t="shared" si="27"/>
        <v>4015/4016</v>
      </c>
      <c r="L131" s="21" t="str">
        <f>VLOOKUP(A131,'Trips&amp;Operators'!$C$1:$G$99999,5,FALSE)</f>
        <v>SMITH MICHAEL</v>
      </c>
      <c r="M131" s="6">
        <f t="shared" si="28"/>
        <v>2.6851851856918074E-2</v>
      </c>
      <c r="N131" s="7">
        <f t="shared" ref="N131:N148" si="50">24*60*SUM($M131:$M131)</f>
        <v>38.666666673962027</v>
      </c>
      <c r="O131" s="7"/>
      <c r="P131" s="7"/>
      <c r="Q131" s="22"/>
      <c r="R131" s="22"/>
      <c r="S131" s="31">
        <f t="shared" si="30"/>
        <v>1</v>
      </c>
      <c r="T131" s="46" t="str">
        <f t="shared" si="31"/>
        <v>Southbound</v>
      </c>
      <c r="U131" s="190">
        <f>IF(AG131="EC",COUNTIFS(Variables!$M$2:$M$19,IF(T131="NorthBound","&gt;=","&lt;=")&amp;Y131,Variables!$M$2:$M$19,IF(T131="NorthBound","&lt;=","&gt;=")&amp;Z131),COUNTIFS(Variables!$P$2:$P$19,IF(T131="NorthBound","&gt;=","&lt;=")&amp;Y131,Variables!$P$2:$P$19,IF(T131="NorthBound","&lt;=","&gt;=")&amp;Z131))</f>
        <v>12</v>
      </c>
      <c r="V131" s="191" t="str">
        <f t="shared" si="32"/>
        <v>https://d0f6bd738d7f1b3e5a7ca70fe4ff75f0.us-east-1.aws.found.io/app/kibana#/discover/Steve-Slow-Train-Analysis-(2080s-and-2083s)?_g=(refreshInterval:(display:Off,pause:!f,section:0,value:0),time:(from:'2017-02-05T18:02:05-0700',mode:absolute,to:'2017-02-05T20:50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31" s="192" t="str">
        <f t="shared" si="33"/>
        <v>N</v>
      </c>
      <c r="X131" s="192">
        <f t="shared" si="49"/>
        <v>1</v>
      </c>
      <c r="Y131" s="62">
        <f t="shared" si="47"/>
        <v>23.299600000000002</v>
      </c>
      <c r="Z131" s="62">
        <f t="shared" si="48"/>
        <v>1.5599999999999999E-2</v>
      </c>
      <c r="AA131" s="62">
        <f t="shared" si="36"/>
        <v>23.284000000000002</v>
      </c>
      <c r="AB131" s="59" t="e">
        <f>VLOOKUP(A131,Enforcements!$C$7:$K$16,8,0)</f>
        <v>#N/A</v>
      </c>
      <c r="AC131" s="55" t="e">
        <f>VLOOKUP(A131,Enforcements!$C$7:$E$16,3,0)</f>
        <v>#N/A</v>
      </c>
      <c r="AD131" s="56" t="str">
        <f t="shared" si="37"/>
        <v>0218-05</v>
      </c>
      <c r="AE131" s="85" t="str">
        <f t="shared" si="38"/>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131" s="82" t="str">
        <f t="shared" si="39"/>
        <v>"C:\Program Files (x86)\AstroGrep\AstroGrep.exe" /spath="%USERPROFILE%\AppData\Local\Temp\OnboardLogs" /stypes="app*4015*20170206*" /stext=" 02:.+((SYSTEM_STATE.+slice.+state.+changed )|(ment ac)|(multiple cpu faults)|(system.+state.+changed )|(\[timeout)|(PRM\|1\|D)|(kpr)|(kdp)|(\|lc)|(penalty))" /e /r /s</v>
      </c>
      <c r="AG131" s="1" t="str">
        <f t="shared" si="40"/>
        <v>EC</v>
      </c>
      <c r="AH131" s="86" t="str">
        <f t="shared" si="41"/>
        <v>"%USERPROFILE%\Documents\GitHub\eaglep3\Utilities\RefineRTDCRunTimes.py" --tripid 218-05 --locoid 4015 --swversion DE.1.0.8.0 --startMP 204:232996 --initTime 2017-02-05T19:02:05 --startdatetime 2017-02-05T19:11:20 --delay 1 --endMP 204:156 --enddatetime 2017-02-05T19:50:00 --enforcementcount 0 &gt;&gt;C:\Users\stu\Documents\GitHub\eaglep3-reporting\EC\2017-02-05-refined-times.txt</v>
      </c>
      <c r="AI131" s="108" t="str">
        <f t="shared" si="42"/>
        <v>echo {"issue":{"subject":"","project_id":79,"tracker_id":40,"status_id":1,"priority_id":2,"assigned_to_id":23,"start_date":"2017-02-05","description":"","custom_fields":[{"id":1,"name":"Subdivision","value":"EC"},{"id":4,"name":"Milepost","value":"0.0156"},{"id":17,"name":"Train ID","value":"218-05"},{"id":16,"name":"Locomotive ID","value":"4015"},{"id":130,"name":"Impact","value":""},{"id":150,"name":"Time of Event (Mountain Time)","value":"19:50:00"},{"id":151,"name":"Denver Issue ID","value":""},{"id":178,"name":"Operational Impact","value":"Yes"},{"id":179,"name":"Denver Segment Assigned","value":""}]}} | curl -X POST -H "Content-Type: application/json" -H "X-Redmine-API-Key: d6333d4a04012a730768444271f8ca06482dae87" https://secure.xorail.net/redmine/issues.json --data @-</v>
      </c>
      <c r="AJ131" s="48"/>
      <c r="AK131" s="48"/>
      <c r="AL131" s="48"/>
      <c r="AM131" s="158" t="str">
        <f t="shared" si="43"/>
        <v>start /low /b %USERPROFILE%\Documents\GitHub\eaglep3\Utilities\DownloadLogsFromS3.py --loco 4015 --day 2017-02-05</v>
      </c>
      <c r="AN131" s="167" t="str">
        <f>"grep -SE -B400 ""CHR.+\|PRM\|1\|D.+(SWITCH|SIGNAL).+UNKNOWN"" "&amp;search_path&amp;"\RTDC"&amp;B131&amp;"\*"&amp;B131&amp;"*"&amp;TEXT(AVERAGE(F131,I131)-utc_offset/24,"YYYYMMDD")&amp;"* | grep -SE ""(Enforcement Action)|(\[TIMEOUT)|(CHR.+\|PRM\|1\|D.+(SWITCH|SIGNAL).+UNKNOWN)"" - &gt;&gt; "&amp;TEXT(Variables!$A$2,"YYYY-MM-DD")&amp;"-UncaughtWiMAX.txt"</f>
        <v>grep -SE -B400 "CHR.+\|PRM\|1\|D.+(SWITCH|SIGNAL).+UNKNOWN" "%USERPROFILE%\AppData\Local\Temp\OnboardLogs"\RTDC4015\*4015*20170206* | grep -SE "(Enforcement Action)|(\[TIMEOUT)|(CHR.+\|PRM\|1\|D.+(SWITCH|SIGNAL).+UNKNOWN)" - &gt;&gt; 2017-02-05-UncaughtWiMAX.txt</v>
      </c>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spans="1:91" s="20" customFormat="1" x14ac:dyDescent="0.25">
      <c r="A132" s="33" t="s">
        <v>696</v>
      </c>
      <c r="B132" s="7">
        <v>4022</v>
      </c>
      <c r="C132" s="21" t="s">
        <v>193</v>
      </c>
      <c r="D132" s="21" t="s">
        <v>290</v>
      </c>
      <c r="E132" s="13">
        <v>42771.767060185186</v>
      </c>
      <c r="F132" s="13">
        <v>42771.771168981482</v>
      </c>
      <c r="G132" s="7">
        <v>2</v>
      </c>
      <c r="H132" s="21" t="s">
        <v>398</v>
      </c>
      <c r="I132" s="13">
        <v>42771.797060185185</v>
      </c>
      <c r="J132" s="7">
        <v>0</v>
      </c>
      <c r="K132" s="98" t="str">
        <f t="shared" si="27"/>
        <v>4021/4022</v>
      </c>
      <c r="L132" s="21" t="str">
        <f>VLOOKUP(A132,'Trips&amp;Operators'!$C$1:$G$99999,5,FALSE)</f>
        <v>YANG JAN</v>
      </c>
      <c r="M132" s="6">
        <f t="shared" si="28"/>
        <v>2.5891203702485655E-2</v>
      </c>
      <c r="N132" s="7">
        <f t="shared" si="50"/>
        <v>37.283333331579342</v>
      </c>
      <c r="O132" s="7"/>
      <c r="P132" s="7"/>
      <c r="Q132" s="22"/>
      <c r="R132" s="22"/>
      <c r="S132" s="31">
        <f t="shared" si="30"/>
        <v>1</v>
      </c>
      <c r="T132" s="46" t="str">
        <f t="shared" si="31"/>
        <v>NorthBound</v>
      </c>
      <c r="U132" s="190">
        <f>IF(AG132="EC",COUNTIFS(Variables!$M$2:$M$19,IF(T132="NorthBound","&gt;=","&lt;=")&amp;Y132,Variables!$M$2:$M$19,IF(T132="NorthBound","&lt;=","&gt;=")&amp;Z132),COUNTIFS(Variables!$P$2:$P$19,IF(T132="NorthBound","&gt;=","&lt;=")&amp;Y132,Variables!$P$2:$P$19,IF(T132="NorthBound","&lt;=","&gt;=")&amp;Z132))</f>
        <v>12</v>
      </c>
      <c r="V132" s="191" t="str">
        <f t="shared" si="32"/>
        <v>https://d0f6bd738d7f1b3e5a7ca70fe4ff75f0.us-east-1.aws.found.io/app/kibana#/discover/Steve-Slow-Train-Analysis-(2080s-and-2083s)?_g=(refreshInterval:(display:Off,pause:!f,section:0,value:0),time:(from:'2017-02-05T17:24:34-0700',mode:absolute,to:'2017-02-05T20:07:46-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32" s="192" t="str">
        <f t="shared" si="33"/>
        <v>N</v>
      </c>
      <c r="X132" s="192">
        <f t="shared" si="49"/>
        <v>1</v>
      </c>
      <c r="Y132" s="62">
        <f t="shared" si="47"/>
        <v>4.4600000000000001E-2</v>
      </c>
      <c r="Z132" s="62">
        <f t="shared" si="48"/>
        <v>23.331</v>
      </c>
      <c r="AA132" s="62">
        <f t="shared" si="36"/>
        <v>23.2864</v>
      </c>
      <c r="AB132" s="59" t="e">
        <f>VLOOKUP(A132,Enforcements!$C$7:$K$16,8,0)</f>
        <v>#N/A</v>
      </c>
      <c r="AC132" s="55" t="e">
        <f>VLOOKUP(A132,Enforcements!$C$7:$E$16,3,0)</f>
        <v>#N/A</v>
      </c>
      <c r="AD132" s="56" t="str">
        <f t="shared" si="37"/>
        <v>0219-05</v>
      </c>
      <c r="AE132" s="85" t="str">
        <f t="shared" si="38"/>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132" s="82" t="str">
        <f t="shared" si="39"/>
        <v>"C:\Program Files (x86)\AstroGrep\AstroGrep.exe" /spath="%USERPROFILE%\AppData\Local\Temp\OnboardLogs" /stypes="app*4022*20170206*" /stext=" 02:.+((SYSTEM_STATE.+slice.+state.+changed )|(ment ac)|(multiple cpu faults)|(system.+state.+changed )|(\[timeout)|(PRM\|1\|D)|(kpr)|(kdp)|(\|lc)|(penalty))" /e /r /s</v>
      </c>
      <c r="AG132" s="1" t="str">
        <f t="shared" si="40"/>
        <v>EC</v>
      </c>
      <c r="AH132" s="86" t="str">
        <f t="shared" si="41"/>
        <v>"%USERPROFILE%\Documents\GitHub\eaglep3\Utilities\RefineRTDCRunTimes.py" --tripid 219-05 --locoid 4022 --swversion DE.1.0.8.0 --startMP 204:446 --initTime 2017-02-05T18:24:34 --startdatetime 2017-02-05T18:30:29 --delay 2 --endMP 204:233310 --enddatetime 2017-02-05T19:07:46 --enforcementcount 0 &gt;&gt;C:\Users\stu\Documents\GitHub\eaglep3-reporting\EC\2017-02-05-refined-times.txt</v>
      </c>
      <c r="AI132" s="108" t="str">
        <f t="shared" si="42"/>
        <v>echo {"issue":{"subject":"","project_id":79,"tracker_id":40,"status_id":1,"priority_id":2,"assigned_to_id":23,"start_date":"2017-02-05","description":"","custom_fields":[{"id":1,"name":"Subdivision","value":"EC"},{"id":4,"name":"Milepost","value":"23.331"},{"id":17,"name":"Train ID","value":"219-05"},{"id":16,"name":"Locomotive ID","value":"4022"},{"id":130,"name":"Impact","value":""},{"id":150,"name":"Time of Event (Mountain Time)","value":"19:07:46"},{"id":151,"name":"Denver Issue ID","value":""},{"id":178,"name":"Operational Impact","value":"Yes"},{"id":179,"name":"Denver Segment Assigned","value":""}]}} | curl -X POST -H "Content-Type: application/json" -H "X-Redmine-API-Key: d6333d4a04012a730768444271f8ca06482dae87" https://secure.xorail.net/redmine/issues.json --data @-</v>
      </c>
      <c r="AJ132" s="48"/>
      <c r="AK132" s="48"/>
      <c r="AL132" s="48"/>
      <c r="AM132" s="158" t="str">
        <f t="shared" si="43"/>
        <v>start /low /b %USERPROFILE%\Documents\GitHub\eaglep3\Utilities\DownloadLogsFromS3.py --loco 4022 --day 2017-02-05</v>
      </c>
      <c r="AN132" s="167" t="str">
        <f>"grep -SE -B400 ""CHR.+\|PRM\|1\|D.+(SWITCH|SIGNAL).+UNKNOWN"" "&amp;search_path&amp;"\RTDC"&amp;B132&amp;"\*"&amp;B132&amp;"*"&amp;TEXT(AVERAGE(F132,I132)-utc_offset/24,"YYYYMMDD")&amp;"* | grep -SE ""(Enforcement Action)|(\[TIMEOUT)|(CHR.+\|PRM\|1\|D.+(SWITCH|SIGNAL).+UNKNOWN)"" - &gt;&gt; "&amp;TEXT(Variables!$A$2,"YYYY-MM-DD")&amp;"-UncaughtWiMAX.txt"</f>
        <v>grep -SE -B400 "CHR.+\|PRM\|1\|D.+(SWITCH|SIGNAL).+UNKNOWN" "%USERPROFILE%\AppData\Local\Temp\OnboardLogs"\RTDC4022\*4022*20170206* | grep -SE "(Enforcement Action)|(\[TIMEOUT)|(CHR.+\|PRM\|1\|D.+(SWITCH|SIGNAL).+UNKNOWN)" - &gt;&gt; 2017-02-05-UncaughtWiMAX.txt</v>
      </c>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s="20" customFormat="1" x14ac:dyDescent="0.25">
      <c r="A133" s="33" t="s">
        <v>703</v>
      </c>
      <c r="B133" s="7">
        <v>4021</v>
      </c>
      <c r="C133" s="21" t="s">
        <v>193</v>
      </c>
      <c r="D133" s="21" t="s">
        <v>366</v>
      </c>
      <c r="E133" s="13">
        <v>42771.801435185182</v>
      </c>
      <c r="F133" s="13">
        <v>42771.813981481479</v>
      </c>
      <c r="G133" s="7">
        <v>1</v>
      </c>
      <c r="H133" s="21" t="s">
        <v>225</v>
      </c>
      <c r="I133" s="13">
        <v>42771.840833333335</v>
      </c>
      <c r="J133" s="7">
        <v>0</v>
      </c>
      <c r="K133" s="98" t="str">
        <f t="shared" si="27"/>
        <v>4021/4022</v>
      </c>
      <c r="L133" s="21" t="str">
        <f>VLOOKUP(A133,'Trips&amp;Operators'!$C$1:$G$99999,5,FALSE)</f>
        <v>YANG JAN</v>
      </c>
      <c r="M133" s="6">
        <f t="shared" si="28"/>
        <v>2.6851851856918074E-2</v>
      </c>
      <c r="N133" s="7">
        <f t="shared" si="50"/>
        <v>38.666666673962027</v>
      </c>
      <c r="O133" s="7"/>
      <c r="P133" s="7"/>
      <c r="Q133" s="22"/>
      <c r="R133" s="22"/>
      <c r="S133" s="31">
        <f t="shared" si="30"/>
        <v>1</v>
      </c>
      <c r="T133" s="46" t="str">
        <f t="shared" si="31"/>
        <v>Southbound</v>
      </c>
      <c r="U133" s="190">
        <f>IF(AG133="EC",COUNTIFS(Variables!$M$2:$M$19,IF(T133="NorthBound","&gt;=","&lt;=")&amp;Y133,Variables!$M$2:$M$19,IF(T133="NorthBound","&lt;=","&gt;=")&amp;Z133),COUNTIFS(Variables!$P$2:$P$19,IF(T133="NorthBound","&gt;=","&lt;=")&amp;Y133,Variables!$P$2:$P$19,IF(T133="NorthBound","&lt;=","&gt;=")&amp;Z133))</f>
        <v>12</v>
      </c>
      <c r="V133" s="191" t="str">
        <f t="shared" si="32"/>
        <v>https://d0f6bd738d7f1b3e5a7ca70fe4ff75f0.us-east-1.aws.found.io/app/kibana#/discover/Steve-Slow-Train-Analysis-(2080s-and-2083s)?_g=(refreshInterval:(display:Off,pause:!f,section:0,value:0),time:(from:'2017-02-05T18:14:04-0700',mode:absolute,to:'2017-02-05T21:10:48-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33" s="192" t="str">
        <f t="shared" si="33"/>
        <v>N</v>
      </c>
      <c r="X133" s="192">
        <f t="shared" si="49"/>
        <v>1</v>
      </c>
      <c r="Y133" s="62">
        <f t="shared" si="47"/>
        <v>23.299600000000002</v>
      </c>
      <c r="Z133" s="62">
        <f t="shared" si="48"/>
        <v>1.54E-2</v>
      </c>
      <c r="AA133" s="62">
        <f t="shared" si="36"/>
        <v>23.284200000000002</v>
      </c>
      <c r="AB133" s="59" t="e">
        <f>VLOOKUP(A133,Enforcements!$C$7:$K$16,8,0)</f>
        <v>#N/A</v>
      </c>
      <c r="AC133" s="55" t="e">
        <f>VLOOKUP(A133,Enforcements!$C$7:$E$16,3,0)</f>
        <v>#N/A</v>
      </c>
      <c r="AD133" s="56" t="str">
        <f t="shared" si="37"/>
        <v>0220-05</v>
      </c>
      <c r="AE133" s="85" t="str">
        <f t="shared" si="38"/>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133" s="82" t="str">
        <f t="shared" si="39"/>
        <v>"C:\Program Files (x86)\AstroGrep\AstroGrep.exe" /spath="%USERPROFILE%\AppData\Local\Temp\OnboardLogs" /stypes="app*4021*20170206*" /stext=" 03:.+((SYSTEM_STATE.+slice.+state.+changed )|(ment ac)|(multiple cpu faults)|(system.+state.+changed )|(\[timeout)|(PRM\|1\|D)|(kpr)|(kdp)|(\|lc)|(penalty))" /e /r /s</v>
      </c>
      <c r="AG133" s="1" t="str">
        <f t="shared" si="40"/>
        <v>EC</v>
      </c>
      <c r="AH133" s="86" t="str">
        <f t="shared" si="41"/>
        <v>"%USERPROFILE%\Documents\GitHub\eaglep3\Utilities\RefineRTDCRunTimes.py" --tripid 220-05 --locoid 4021 --swversion DE.1.0.8.0 --startMP 204:232996 --initTime 2017-02-05T19:14:04 --startdatetime 2017-02-05T19:32:08 --delay 1 --endMP 204:154 --enddatetime 2017-02-05T20:10:48 --enforcementcount 0 &gt;&gt;C:\Users\stu\Documents\GitHub\eaglep3-reporting\EC\2017-02-05-refined-times.txt</v>
      </c>
      <c r="AI133" s="108" t="str">
        <f t="shared" si="42"/>
        <v>echo {"issue":{"subject":"","project_id":79,"tracker_id":40,"status_id":1,"priority_id":2,"assigned_to_id":23,"start_date":"2017-02-05","description":"","custom_fields":[{"id":1,"name":"Subdivision","value":"EC"},{"id":4,"name":"Milepost","value":"0.0154"},{"id":17,"name":"Train ID","value":"220-05"},{"id":16,"name":"Locomotive ID","value":"4021"},{"id":130,"name":"Impact","value":""},{"id":150,"name":"Time of Event (Mountain Time)","value":"20:10:48"},{"id":151,"name":"Denver Issue ID","value":""},{"id":178,"name":"Operational Impact","value":"Yes"},{"id":179,"name":"Denver Segment Assigned","value":""}]}} | curl -X POST -H "Content-Type: application/json" -H "X-Redmine-API-Key: d6333d4a04012a730768444271f8ca06482dae87" https://secure.xorail.net/redmine/issues.json --data @-</v>
      </c>
      <c r="AJ133" s="48"/>
      <c r="AK133" s="48"/>
      <c r="AL133" s="48"/>
      <c r="AM133" s="158" t="str">
        <f t="shared" si="43"/>
        <v>start /low /b %USERPROFILE%\Documents\GitHub\eaglep3\Utilities\DownloadLogsFromS3.py --loco 4021 --day 2017-02-05</v>
      </c>
      <c r="AN133" s="167" t="str">
        <f>"grep -SE -B400 ""CHR.+\|PRM\|1\|D.+(SWITCH|SIGNAL).+UNKNOWN"" "&amp;search_path&amp;"\RTDC"&amp;B133&amp;"\*"&amp;B133&amp;"*"&amp;TEXT(AVERAGE(F133,I133)-utc_offset/24,"YYYYMMDD")&amp;"* | grep -SE ""(Enforcement Action)|(\[TIMEOUT)|(CHR.+\|PRM\|1\|D.+(SWITCH|SIGNAL).+UNKNOWN)"" - &gt;&gt; "&amp;TEXT(Variables!$A$2,"YYYY-MM-DD")&amp;"-UncaughtWiMAX.txt"</f>
        <v>grep -SE -B400 "CHR.+\|PRM\|1\|D.+(SWITCH|SIGNAL).+UNKNOWN" "%USERPROFILE%\AppData\Local\Temp\OnboardLogs"\RTDC4021\*4021*20170206* | grep -SE "(Enforcement Action)|(\[TIMEOUT)|(CHR.+\|PRM\|1\|D.+(SWITCH|SIGNAL).+UNKNOWN)" - &gt;&gt; 2017-02-05-UncaughtWiMAX.txt</v>
      </c>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spans="1:91" s="20" customFormat="1" x14ac:dyDescent="0.25">
      <c r="A134" s="33" t="s">
        <v>519</v>
      </c>
      <c r="B134" s="7">
        <v>4031</v>
      </c>
      <c r="C134" s="21" t="s">
        <v>193</v>
      </c>
      <c r="D134" s="21" t="s">
        <v>244</v>
      </c>
      <c r="E134" s="13">
        <v>42771.787708333337</v>
      </c>
      <c r="F134" s="13">
        <v>42771.792129629626</v>
      </c>
      <c r="G134" s="7">
        <v>5</v>
      </c>
      <c r="H134" s="21" t="s">
        <v>306</v>
      </c>
      <c r="I134" s="13">
        <v>42771.818182870367</v>
      </c>
      <c r="J134" s="7">
        <v>0</v>
      </c>
      <c r="K134" s="98" t="str">
        <f t="shared" si="27"/>
        <v>4031/4032</v>
      </c>
      <c r="L134" s="21" t="str">
        <f>VLOOKUP(A134,'Trips&amp;Operators'!$C$1:$G$99999,5,FALSE)</f>
        <v>MAGEE KENYA</v>
      </c>
      <c r="M134" s="6">
        <f t="shared" si="28"/>
        <v>2.6053240741021E-2</v>
      </c>
      <c r="N134" s="7">
        <f t="shared" si="50"/>
        <v>37.51666666707024</v>
      </c>
      <c r="O134" s="7"/>
      <c r="P134" s="7"/>
      <c r="Q134" s="22"/>
      <c r="R134" s="22"/>
      <c r="S134" s="31">
        <f t="shared" si="30"/>
        <v>1</v>
      </c>
      <c r="T134" s="46" t="str">
        <f t="shared" si="31"/>
        <v>NorthBound</v>
      </c>
      <c r="U134" s="190">
        <f>IF(AG134="EC",COUNTIFS(Variables!$M$2:$M$19,IF(T134="NorthBound","&gt;=","&lt;=")&amp;Y134,Variables!$M$2:$M$19,IF(T134="NorthBound","&lt;=","&gt;=")&amp;Z134),COUNTIFS(Variables!$P$2:$P$19,IF(T134="NorthBound","&gt;=","&lt;=")&amp;Y134,Variables!$P$2:$P$19,IF(T134="NorthBound","&lt;=","&gt;=")&amp;Z134))</f>
        <v>12</v>
      </c>
      <c r="V134" s="191" t="str">
        <f t="shared" si="32"/>
        <v>https://d0f6bd738d7f1b3e5a7ca70fe4ff75f0.us-east-1.aws.found.io/app/kibana#/discover/Steve-Slow-Train-Analysis-(2080s-and-2083s)?_g=(refreshInterval:(display:Off,pause:!f,section:0,value:0),time:(from:'2017-02-05T17:54:18-0700',mode:absolute,to:'2017-02-05T20:38:11-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34" s="192" t="str">
        <f t="shared" si="33"/>
        <v>N</v>
      </c>
      <c r="X134" s="192">
        <f t="shared" si="49"/>
        <v>1</v>
      </c>
      <c r="Y134" s="62">
        <f t="shared" si="47"/>
        <v>4.5999999999999999E-2</v>
      </c>
      <c r="Z134" s="62">
        <f t="shared" si="48"/>
        <v>23.3308</v>
      </c>
      <c r="AA134" s="62">
        <f t="shared" si="36"/>
        <v>23.284800000000001</v>
      </c>
      <c r="AB134" s="59" t="str">
        <f>VLOOKUP(A134,Enforcements!$C$7:$K$16,8,0)</f>
        <v>Speed (6)</v>
      </c>
      <c r="AC134" s="55" t="str">
        <f>VLOOKUP(A134,Enforcements!$C$7:$E$16,3,0)</f>
        <v>PERMANENT SPEED RESTRICTION</v>
      </c>
      <c r="AD134" s="56" t="str">
        <f t="shared" si="37"/>
        <v>0221-05</v>
      </c>
      <c r="AE134" s="85" t="str">
        <f t="shared" si="38"/>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134" s="82" t="str">
        <f t="shared" si="39"/>
        <v>"C:\Program Files (x86)\AstroGrep\AstroGrep.exe" /spath="%USERPROFILE%\AppData\Local\Temp\OnboardLogs" /stypes="app*4031*20170206*" /stext=" 02:.+((SYSTEM_STATE.+slice.+state.+changed )|(ment ac)|(multiple cpu faults)|(system.+state.+changed )|(\[timeout)|(PRM\|1\|D)|(kpr)|(kdp)|(\|lc)|(penalty))" /e /r /s</v>
      </c>
      <c r="AG134" s="1" t="str">
        <f t="shared" si="40"/>
        <v>EC</v>
      </c>
      <c r="AH134" s="86" t="str">
        <f t="shared" si="41"/>
        <v>"%USERPROFILE%\Documents\GitHub\eaglep3\Utilities\RefineRTDCRunTimes.py" --tripid 221-05 --locoid 4031 --swversion DE.1.0.8.0 --startMP 204:460 --initTime 2017-02-05T18:54:18 --startdatetime 2017-02-05T19:00:40 --delay 5 --endMP 204:233308 --enddatetime 2017-02-05T19:38:11 --enforcementcount 0 &gt;&gt;C:\Users\stu\Documents\GitHub\eaglep3-reporting\EC\2017-02-05-refined-times.txt</v>
      </c>
      <c r="AI134" s="108" t="str">
        <f t="shared" si="42"/>
        <v>echo {"issue":{"subject":"","project_id":79,"tracker_id":40,"status_id":1,"priority_id":2,"assigned_to_id":23,"start_date":"2017-02-05","description":"","custom_fields":[{"id":1,"name":"Subdivision","value":"EC"},{"id":4,"name":"Milepost","value":"23.3308"},{"id":17,"name":"Train ID","value":"221-05"},{"id":16,"name":"Locomotive ID","value":"4031"},{"id":130,"name":"Impact","value":""},{"id":150,"name":"Time of Event (Mountain Time)","value":"19:38:11"},{"id":151,"name":"Denver Issue ID","value":""},{"id":178,"name":"Operational Impact","value":"Yes"},{"id":179,"name":"Denver Segment Assigned","value":""}]}} | curl -X POST -H "Content-Type: application/json" -H "X-Redmine-API-Key: d6333d4a04012a730768444271f8ca06482dae87" https://secure.xorail.net/redmine/issues.json --data @-</v>
      </c>
      <c r="AJ134" s="48"/>
      <c r="AK134" s="48"/>
      <c r="AL134" s="48"/>
      <c r="AM134" s="158" t="str">
        <f t="shared" si="43"/>
        <v>start /low /b %USERPROFILE%\Documents\GitHub\eaglep3\Utilities\DownloadLogsFromS3.py --loco 4031 --day 2017-02-05</v>
      </c>
      <c r="AN134" s="167" t="str">
        <f>"grep -SE -B400 ""CHR.+\|PRM\|1\|D.+(SWITCH|SIGNAL).+UNKNOWN"" "&amp;search_path&amp;"\RTDC"&amp;B134&amp;"\*"&amp;B134&amp;"*"&amp;TEXT(AVERAGE(F134,I134)-utc_offset/24,"YYYYMMDD")&amp;"* | grep -SE ""(Enforcement Action)|(\[TIMEOUT)|(CHR.+\|PRM\|1\|D.+(SWITCH|SIGNAL).+UNKNOWN)"" - &gt;&gt; "&amp;TEXT(Variables!$A$2,"YYYY-MM-DD")&amp;"-UncaughtWiMAX.txt"</f>
        <v>grep -SE -B400 "CHR.+\|PRM\|1\|D.+(SWITCH|SIGNAL).+UNKNOWN" "%USERPROFILE%\AppData\Local\Temp\OnboardLogs"\RTDC4031\*4031*20170206* | grep -SE "(Enforcement Action)|(\[TIMEOUT)|(CHR.+\|PRM\|1\|D.+(SWITCH|SIGNAL).+UNKNOWN)" - &gt;&gt; 2017-02-05-UncaughtWiMAX.txt</v>
      </c>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20" customFormat="1" x14ac:dyDescent="0.25">
      <c r="A135" s="33" t="s">
        <v>710</v>
      </c>
      <c r="B135" s="7">
        <v>4032</v>
      </c>
      <c r="C135" s="21" t="s">
        <v>193</v>
      </c>
      <c r="D135" s="21" t="s">
        <v>327</v>
      </c>
      <c r="E135" s="13">
        <v>42771.827476851853</v>
      </c>
      <c r="F135" s="13">
        <v>42771.831006944441</v>
      </c>
      <c r="G135" s="7">
        <v>2</v>
      </c>
      <c r="H135" s="21" t="s">
        <v>208</v>
      </c>
      <c r="I135" s="13">
        <v>42771.858425925922</v>
      </c>
      <c r="J135" s="7">
        <v>0</v>
      </c>
      <c r="K135" s="98" t="str">
        <f t="shared" si="27"/>
        <v>4031/4032</v>
      </c>
      <c r="L135" s="21" t="str">
        <f>VLOOKUP(A135,'Trips&amp;Operators'!$C$1:$G$99999,5,FALSE)</f>
        <v>MAGEE KENYA</v>
      </c>
      <c r="M135" s="6">
        <f t="shared" si="28"/>
        <v>2.7418981480877846E-2</v>
      </c>
      <c r="N135" s="7">
        <f t="shared" si="50"/>
        <v>39.483333332464099</v>
      </c>
      <c r="O135" s="7"/>
      <c r="P135" s="7"/>
      <c r="Q135" s="22"/>
      <c r="R135" s="22"/>
      <c r="S135" s="31">
        <f t="shared" si="30"/>
        <v>1</v>
      </c>
      <c r="T135" s="46" t="str">
        <f t="shared" si="31"/>
        <v>Southbound</v>
      </c>
      <c r="U135" s="190">
        <f>IF(AG135="EC",COUNTIFS(Variables!$M$2:$M$19,IF(T135="NorthBound","&gt;=","&lt;=")&amp;Y135,Variables!$M$2:$M$19,IF(T135="NorthBound","&lt;=","&gt;=")&amp;Z135),COUNTIFS(Variables!$P$2:$P$19,IF(T135="NorthBound","&gt;=","&lt;=")&amp;Y135,Variables!$P$2:$P$19,IF(T135="NorthBound","&lt;=","&gt;=")&amp;Z135))</f>
        <v>12</v>
      </c>
      <c r="V135" s="191" t="str">
        <f t="shared" si="32"/>
        <v>https://d0f6bd738d7f1b3e5a7ca70fe4ff75f0.us-east-1.aws.found.io/app/kibana#/discover/Steve-Slow-Train-Analysis-(2080s-and-2083s)?_g=(refreshInterval:(display:Off,pause:!f,section:0,value:0),time:(from:'2017-02-05T18:51:34-0700',mode:absolute,to:'2017-02-05T21:36:08-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135" s="192" t="str">
        <f t="shared" si="33"/>
        <v>N</v>
      </c>
      <c r="X135" s="192">
        <f t="shared" si="49"/>
        <v>1</v>
      </c>
      <c r="Y135" s="62">
        <f t="shared" si="47"/>
        <v>23.298100000000002</v>
      </c>
      <c r="Z135" s="62">
        <f t="shared" si="48"/>
        <v>1.6E-2</v>
      </c>
      <c r="AA135" s="62">
        <f t="shared" si="36"/>
        <v>23.282100000000003</v>
      </c>
      <c r="AB135" s="59" t="e">
        <f>VLOOKUP(A135,Enforcements!$C$7:$K$16,8,0)</f>
        <v>#N/A</v>
      </c>
      <c r="AC135" s="55" t="e">
        <f>VLOOKUP(A135,Enforcements!$C$7:$E$16,3,0)</f>
        <v>#N/A</v>
      </c>
      <c r="AD135" s="56" t="str">
        <f t="shared" si="37"/>
        <v>0222-05</v>
      </c>
      <c r="AE135" s="85" t="str">
        <f t="shared" si="38"/>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135" s="82" t="str">
        <f t="shared" si="39"/>
        <v>"C:\Program Files (x86)\AstroGrep\AstroGrep.exe" /spath="%USERPROFILE%\AppData\Local\Temp\OnboardLogs" /stypes="app*4032*20170206*" /stext=" 03:.+((SYSTEM_STATE.+slice.+state.+changed )|(ment ac)|(multiple cpu faults)|(system.+state.+changed )|(\[timeout)|(PRM\|1\|D)|(kpr)|(kdp)|(\|lc)|(penalty))" /e /r /s</v>
      </c>
      <c r="AG135" s="1" t="str">
        <f t="shared" si="40"/>
        <v>EC</v>
      </c>
      <c r="AH135" s="86" t="str">
        <f t="shared" si="41"/>
        <v>"%USERPROFILE%\Documents\GitHub\eaglep3\Utilities\RefineRTDCRunTimes.py" --tripid 222-05 --locoid 4032 --swversion DE.1.0.8.0 --startMP 204:232981 --initTime 2017-02-05T19:51:34 --startdatetime 2017-02-05T19:56:39 --delay 2 --endMP 204:160 --enddatetime 2017-02-05T20:36:08 --enforcementcount 0 &gt;&gt;C:\Users\stu\Documents\GitHub\eaglep3-reporting\EC\2017-02-05-refined-times.txt</v>
      </c>
      <c r="AI135" s="108" t="str">
        <f t="shared" si="42"/>
        <v>echo {"issue":{"subject":"","project_id":79,"tracker_id":40,"status_id":1,"priority_id":2,"assigned_to_id":23,"start_date":"2017-02-05","description":"","custom_fields":[{"id":1,"name":"Subdivision","value":"EC"},{"id":4,"name":"Milepost","value":"0.016"},{"id":17,"name":"Train ID","value":"222-05"},{"id":16,"name":"Locomotive ID","value":"4032"},{"id":130,"name":"Impact","value":""},{"id":150,"name":"Time of Event (Mountain Time)","value":"20:36:08"},{"id":151,"name":"Denver Issue ID","value":""},{"id":178,"name":"Operational Impact","value":"Yes"},{"id":179,"name":"Denver Segment Assigned","value":""}]}} | curl -X POST -H "Content-Type: application/json" -H "X-Redmine-API-Key: d6333d4a04012a730768444271f8ca06482dae87" https://secure.xorail.net/redmine/issues.json --data @-</v>
      </c>
      <c r="AJ135" s="48"/>
      <c r="AK135" s="48"/>
      <c r="AL135" s="48"/>
      <c r="AM135" s="158" t="str">
        <f t="shared" si="43"/>
        <v>start /low /b %USERPROFILE%\Documents\GitHub\eaglep3\Utilities\DownloadLogsFromS3.py --loco 4032 --day 2017-02-05</v>
      </c>
      <c r="AN135" s="167" t="str">
        <f>"grep -SE -B400 ""CHR.+\|PRM\|1\|D.+(SWITCH|SIGNAL).+UNKNOWN"" "&amp;search_path&amp;"\RTDC"&amp;B135&amp;"\*"&amp;B135&amp;"*"&amp;TEXT(AVERAGE(F135,I135)-utc_offset/24,"YYYYMMDD")&amp;"* | grep -SE ""(Enforcement Action)|(\[TIMEOUT)|(CHR.+\|PRM\|1\|D.+(SWITCH|SIGNAL).+UNKNOWN)"" - &gt;&gt; "&amp;TEXT(Variables!$A$2,"YYYY-MM-DD")&amp;"-UncaughtWiMAX.txt"</f>
        <v>grep -SE -B400 "CHR.+\|PRM\|1\|D.+(SWITCH|SIGNAL).+UNKNOWN" "%USERPROFILE%\AppData\Local\Temp\OnboardLogs"\RTDC4032\*4032*20170206* | grep -SE "(Enforcement Action)|(\[TIMEOUT)|(CHR.+\|PRM\|1\|D.+(SWITCH|SIGNAL).+UNKNOWN)" - &gt;&gt; 2017-02-05-UncaughtWiMAX.txt</v>
      </c>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20" customFormat="1" x14ac:dyDescent="0.25">
      <c r="A136" s="33" t="s">
        <v>706</v>
      </c>
      <c r="B136" s="7">
        <v>4038</v>
      </c>
      <c r="C136" s="21" t="s">
        <v>193</v>
      </c>
      <c r="D136" s="21" t="s">
        <v>286</v>
      </c>
      <c r="E136" s="13">
        <v>42771.805914351855</v>
      </c>
      <c r="F136" s="13">
        <v>42771.812939814816</v>
      </c>
      <c r="G136" s="7">
        <v>2</v>
      </c>
      <c r="H136" s="21" t="s">
        <v>398</v>
      </c>
      <c r="I136" s="13">
        <v>42771.838356481479</v>
      </c>
      <c r="J136" s="7">
        <v>0</v>
      </c>
      <c r="K136" s="98" t="str">
        <f t="shared" si="27"/>
        <v>4037/4038</v>
      </c>
      <c r="L136" s="21" t="str">
        <f>VLOOKUP(A136,'Trips&amp;Operators'!$C$1:$G$99999,5,FALSE)</f>
        <v>NEWELL JAMES</v>
      </c>
      <c r="M136" s="6">
        <f t="shared" si="28"/>
        <v>2.5416666663659271E-2</v>
      </c>
      <c r="N136" s="7">
        <f t="shared" si="50"/>
        <v>36.59999999566935</v>
      </c>
      <c r="O136" s="7"/>
      <c r="P136" s="7"/>
      <c r="Q136" s="22"/>
      <c r="R136" s="22"/>
      <c r="S136" s="31">
        <f t="shared" si="30"/>
        <v>1</v>
      </c>
      <c r="T136" s="46" t="str">
        <f t="shared" si="31"/>
        <v>NorthBound</v>
      </c>
      <c r="U136" s="190">
        <f>IF(AG136="EC",COUNTIFS(Variables!$M$2:$M$19,IF(T136="NorthBound","&gt;=","&lt;=")&amp;Y136,Variables!$M$2:$M$19,IF(T136="NorthBound","&lt;=","&gt;=")&amp;Z136),COUNTIFS(Variables!$P$2:$P$19,IF(T136="NorthBound","&gt;=","&lt;=")&amp;Y136,Variables!$P$2:$P$19,IF(T136="NorthBound","&lt;=","&gt;=")&amp;Z136))</f>
        <v>12</v>
      </c>
      <c r="V136" s="191" t="str">
        <f t="shared" si="32"/>
        <v>https://d0f6bd738d7f1b3e5a7ca70fe4ff75f0.us-east-1.aws.found.io/app/kibana#/discover/Steve-Slow-Train-Analysis-(2080s-and-2083s)?_g=(refreshInterval:(display:Off,pause:!f,section:0,value:0),time:(from:'2017-02-05T18:20:31-0700',mode:absolute,to:'2017-02-05T21:07:14-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136" s="192" t="str">
        <f t="shared" si="33"/>
        <v>N</v>
      </c>
      <c r="X136" s="192">
        <f t="shared" si="49"/>
        <v>1</v>
      </c>
      <c r="Y136" s="62">
        <f t="shared" si="47"/>
        <v>4.6699999999999998E-2</v>
      </c>
      <c r="Z136" s="62">
        <f t="shared" si="48"/>
        <v>23.331</v>
      </c>
      <c r="AA136" s="62">
        <f t="shared" si="36"/>
        <v>23.284299999999998</v>
      </c>
      <c r="AB136" s="59" t="e">
        <f>VLOOKUP(A136,Enforcements!$C$7:$K$16,8,0)</f>
        <v>#N/A</v>
      </c>
      <c r="AC136" s="55" t="e">
        <f>VLOOKUP(A136,Enforcements!$C$7:$E$16,3,0)</f>
        <v>#N/A</v>
      </c>
      <c r="AD136" s="56" t="str">
        <f t="shared" si="37"/>
        <v>0223-05</v>
      </c>
      <c r="AE136" s="85" t="str">
        <f t="shared" si="38"/>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136" s="82" t="str">
        <f t="shared" si="39"/>
        <v>"C:\Program Files (x86)\AstroGrep\AstroGrep.exe" /spath="%USERPROFILE%\AppData\Local\Temp\OnboardLogs" /stypes="app*4038*20170206*" /stext=" 03:.+((SYSTEM_STATE.+slice.+state.+changed )|(ment ac)|(multiple cpu faults)|(system.+state.+changed )|(\[timeout)|(PRM\|1\|D)|(kpr)|(kdp)|(\|lc)|(penalty))" /e /r /s</v>
      </c>
      <c r="AG136" s="1" t="str">
        <f t="shared" si="40"/>
        <v>EC</v>
      </c>
      <c r="AH136" s="86" t="str">
        <f t="shared" si="41"/>
        <v>"%USERPROFILE%\Documents\GitHub\eaglep3\Utilities\RefineRTDCRunTimes.py" --tripid 223-05 --locoid 4038 --swversion DE.1.0.8.0 --startMP 204:467 --initTime 2017-02-05T19:20:31 --startdatetime 2017-02-05T19:30:38 --delay 2 --endMP 204:233310 --enddatetime 2017-02-05T20:07:14 --enforcementcount 0 &gt;&gt;C:\Users\stu\Documents\GitHub\eaglep3-reporting\EC\2017-02-05-refined-times.txt</v>
      </c>
      <c r="AI136" s="108" t="str">
        <f t="shared" si="42"/>
        <v>echo {"issue":{"subject":"","project_id":79,"tracker_id":40,"status_id":1,"priority_id":2,"assigned_to_id":23,"start_date":"2017-02-05","description":"","custom_fields":[{"id":1,"name":"Subdivision","value":"EC"},{"id":4,"name":"Milepost","value":"23.331"},{"id":17,"name":"Train ID","value":"223-05"},{"id":16,"name":"Locomotive ID","value":"4038"},{"id":130,"name":"Impact","value":""},{"id":150,"name":"Time of Event (Mountain Time)","value":"20:07:14"},{"id":151,"name":"Denver Issue ID","value":""},{"id":178,"name":"Operational Impact","value":"Yes"},{"id":179,"name":"Denver Segment Assigned","value":""}]}} | curl -X POST -H "Content-Type: application/json" -H "X-Redmine-API-Key: d6333d4a04012a730768444271f8ca06482dae87" https://secure.xorail.net/redmine/issues.json --data @-</v>
      </c>
      <c r="AJ136" s="48"/>
      <c r="AK136" s="48"/>
      <c r="AL136" s="48"/>
      <c r="AM136" s="158" t="str">
        <f t="shared" si="43"/>
        <v>start /low /b %USERPROFILE%\Documents\GitHub\eaglep3\Utilities\DownloadLogsFromS3.py --loco 4038 --day 2017-02-05</v>
      </c>
      <c r="AN136" s="167" t="str">
        <f>"grep -SE -B400 ""CHR.+\|PRM\|1\|D.+(SWITCH|SIGNAL).+UNKNOWN"" "&amp;search_path&amp;"\RTDC"&amp;B136&amp;"\*"&amp;B136&amp;"*"&amp;TEXT(AVERAGE(F136,I136)-utc_offset/24,"YYYYMMDD")&amp;"* | grep -SE ""(Enforcement Action)|(\[TIMEOUT)|(CHR.+\|PRM\|1\|D.+(SWITCH|SIGNAL).+UNKNOWN)"" - &gt;&gt; "&amp;TEXT(Variables!$A$2,"YYYY-MM-DD")&amp;"-UncaughtWiMAX.txt"</f>
        <v>grep -SE -B400 "CHR.+\|PRM\|1\|D.+(SWITCH|SIGNAL).+UNKNOWN" "%USERPROFILE%\AppData\Local\Temp\OnboardLogs"\RTDC4038\*4038*20170206* | grep -SE "(Enforcement Action)|(\[TIMEOUT)|(CHR.+\|PRM\|1\|D.+(SWITCH|SIGNAL).+UNKNOWN)" - &gt;&gt; 2017-02-05-UncaughtWiMAX.txt</v>
      </c>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1:91" s="20" customFormat="1" x14ac:dyDescent="0.25">
      <c r="A137" s="33" t="s">
        <v>713</v>
      </c>
      <c r="B137" s="7">
        <v>4037</v>
      </c>
      <c r="C137" s="21" t="s">
        <v>193</v>
      </c>
      <c r="D137" s="21" t="s">
        <v>356</v>
      </c>
      <c r="E137" s="13">
        <v>42771.848599537036</v>
      </c>
      <c r="F137" s="13">
        <v>42771.851550925923</v>
      </c>
      <c r="G137" s="7">
        <v>1</v>
      </c>
      <c r="H137" s="21" t="s">
        <v>184</v>
      </c>
      <c r="I137" s="13">
        <v>42771.87872685185</v>
      </c>
      <c r="J137" s="7">
        <v>0</v>
      </c>
      <c r="K137" s="98" t="str">
        <f t="shared" si="27"/>
        <v>4037/4038</v>
      </c>
      <c r="L137" s="21" t="str">
        <f>VLOOKUP(A137,'Trips&amp;Operators'!$C$1:$G$99999,5,FALSE)</f>
        <v>NEWELL JAMES</v>
      </c>
      <c r="M137" s="6">
        <f t="shared" si="28"/>
        <v>2.7175925926712807E-2</v>
      </c>
      <c r="N137" s="7">
        <f t="shared" si="50"/>
        <v>39.133333334466442</v>
      </c>
      <c r="O137" s="7"/>
      <c r="P137" s="7"/>
      <c r="Q137" s="22"/>
      <c r="R137" s="22"/>
      <c r="S137" s="31">
        <f t="shared" si="30"/>
        <v>1</v>
      </c>
      <c r="T137" s="46" t="str">
        <f t="shared" si="31"/>
        <v>Southbound</v>
      </c>
      <c r="U137" s="190">
        <f>IF(AG137="EC",COUNTIFS(Variables!$M$2:$M$19,IF(T137="NorthBound","&gt;=","&lt;=")&amp;Y137,Variables!$M$2:$M$19,IF(T137="NorthBound","&lt;=","&gt;=")&amp;Z137),COUNTIFS(Variables!$P$2:$P$19,IF(T137="NorthBound","&gt;=","&lt;=")&amp;Y137,Variables!$P$2:$P$19,IF(T137="NorthBound","&lt;=","&gt;=")&amp;Z137))</f>
        <v>12</v>
      </c>
      <c r="V137" s="191" t="str">
        <f t="shared" si="32"/>
        <v>https://d0f6bd738d7f1b3e5a7ca70fe4ff75f0.us-east-1.aws.found.io/app/kibana#/discover/Steve-Slow-Train-Analysis-(2080s-and-2083s)?_g=(refreshInterval:(display:Off,pause:!f,section:0,value:0),time:(from:'2017-02-05T19:21:59-0700',mode:absolute,to:'2017-02-05T22:05: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137" s="192" t="str">
        <f t="shared" si="33"/>
        <v>N</v>
      </c>
      <c r="X137" s="192">
        <f t="shared" si="49"/>
        <v>1</v>
      </c>
      <c r="Y137" s="62">
        <f t="shared" si="47"/>
        <v>23.299099999999999</v>
      </c>
      <c r="Z137" s="62">
        <f t="shared" si="48"/>
        <v>1.49E-2</v>
      </c>
      <c r="AA137" s="62">
        <f t="shared" si="36"/>
        <v>23.284199999999998</v>
      </c>
      <c r="AB137" s="59" t="e">
        <f>VLOOKUP(A137,Enforcements!$C$7:$K$16,8,0)</f>
        <v>#N/A</v>
      </c>
      <c r="AC137" s="55" t="e">
        <f>VLOOKUP(A137,Enforcements!$C$7:$E$16,3,0)</f>
        <v>#N/A</v>
      </c>
      <c r="AD137" s="56" t="str">
        <f t="shared" si="37"/>
        <v>0224-05</v>
      </c>
      <c r="AE137" s="85" t="str">
        <f t="shared" si="38"/>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137" s="82" t="str">
        <f t="shared" si="39"/>
        <v>"C:\Program Files (x86)\AstroGrep\AstroGrep.exe" /spath="%USERPROFILE%\AppData\Local\Temp\OnboardLogs" /stypes="app*4037*20170206*" /stext=" 04:.+((SYSTEM_STATE.+slice.+state.+changed )|(ment ac)|(multiple cpu faults)|(system.+state.+changed )|(\[timeout)|(PRM\|1\|D)|(kpr)|(kdp)|(\|lc)|(penalty))" /e /r /s</v>
      </c>
      <c r="AG137" s="1" t="str">
        <f t="shared" si="40"/>
        <v>EC</v>
      </c>
      <c r="AH137" s="86" t="str">
        <f t="shared" si="41"/>
        <v>"%USERPROFILE%\Documents\GitHub\eaglep3\Utilities\RefineRTDCRunTimes.py" --tripid 224-05 --locoid 4037 --swversion DE.1.0.8.0 --startMP 204:232991 --initTime 2017-02-05T20:21:59 --startdatetime 2017-02-05T20:26:14 --delay 1 --endMP 204:149 --enddatetime 2017-02-05T21:05:22 --enforcementcount 0 &gt;&gt;C:\Users\stu\Documents\GitHub\eaglep3-reporting\EC\2017-02-05-refined-times.txt</v>
      </c>
      <c r="AI137" s="108" t="str">
        <f t="shared" si="42"/>
        <v>echo {"issue":{"subject":"","project_id":79,"tracker_id":40,"status_id":1,"priority_id":2,"assigned_to_id":23,"start_date":"2017-02-05","description":"","custom_fields":[{"id":1,"name":"Subdivision","value":"EC"},{"id":4,"name":"Milepost","value":"0.0149"},{"id":17,"name":"Train ID","value":"224-05"},{"id":16,"name":"Locomotive ID","value":"4037"},{"id":130,"name":"Impact","value":""},{"id":150,"name":"Time of Event (Mountain Time)","value":"21:05:22"},{"id":151,"name":"Denver Issue ID","value":""},{"id":178,"name":"Operational Impact","value":"Yes"},{"id":179,"name":"Denver Segment Assigned","value":""}]}} | curl -X POST -H "Content-Type: application/json" -H "X-Redmine-API-Key: d6333d4a04012a730768444271f8ca06482dae87" https://secure.xorail.net/redmine/issues.json --data @-</v>
      </c>
      <c r="AJ137" s="48"/>
      <c r="AK137" s="48"/>
      <c r="AL137" s="48"/>
      <c r="AM137" s="158" t="str">
        <f t="shared" si="43"/>
        <v>start /low /b %USERPROFILE%\Documents\GitHub\eaglep3\Utilities\DownloadLogsFromS3.py --loco 4037 --day 2017-02-05</v>
      </c>
      <c r="AN137" s="167" t="str">
        <f>"grep -SE -B400 ""CHR.+\|PRM\|1\|D.+(SWITCH|SIGNAL).+UNKNOWN"" "&amp;search_path&amp;"\RTDC"&amp;B137&amp;"\*"&amp;B137&amp;"*"&amp;TEXT(AVERAGE(F137,I137)-utc_offset/24,"YYYYMMDD")&amp;"* | grep -SE ""(Enforcement Action)|(\[TIMEOUT)|(CHR.+\|PRM\|1\|D.+(SWITCH|SIGNAL).+UNKNOWN)"" - &gt;&gt; "&amp;TEXT(Variables!$A$2,"YYYY-MM-DD")&amp;"-UncaughtWiMAX.txt"</f>
        <v>grep -SE -B400 "CHR.+\|PRM\|1\|D.+(SWITCH|SIGNAL).+UNKNOWN" "%USERPROFILE%\AppData\Local\Temp\OnboardLogs"\RTDC4037\*4037*20170206* | grep -SE "(Enforcement Action)|(\[TIMEOUT)|(CHR.+\|PRM\|1\|D.+(SWITCH|SIGNAL).+UNKNOWN)" - &gt;&gt; 2017-02-05-UncaughtWiMAX.txt</v>
      </c>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spans="1:91" s="20" customFormat="1" x14ac:dyDescent="0.25">
      <c r="A138" s="33" t="s">
        <v>711</v>
      </c>
      <c r="B138" s="7">
        <v>4016</v>
      </c>
      <c r="C138" s="21" t="s">
        <v>193</v>
      </c>
      <c r="D138" s="21" t="s">
        <v>290</v>
      </c>
      <c r="E138" s="13">
        <v>42771.830497685187</v>
      </c>
      <c r="F138" s="13">
        <v>42771.833599537036</v>
      </c>
      <c r="G138" s="7">
        <v>1</v>
      </c>
      <c r="H138" s="21" t="s">
        <v>355</v>
      </c>
      <c r="I138" s="13">
        <v>42771.858622685184</v>
      </c>
      <c r="J138" s="7">
        <v>0</v>
      </c>
      <c r="K138" s="98" t="str">
        <f t="shared" si="27"/>
        <v>4015/4016</v>
      </c>
      <c r="L138" s="21" t="str">
        <f>VLOOKUP(A138,'Trips&amp;Operators'!$C$1:$G$99999,5,FALSE)</f>
        <v>SMITH MICHAEL</v>
      </c>
      <c r="M138" s="6">
        <f t="shared" si="28"/>
        <v>2.5023148147738539E-2</v>
      </c>
      <c r="N138" s="7">
        <f t="shared" si="50"/>
        <v>36.033333332743496</v>
      </c>
      <c r="O138" s="7"/>
      <c r="P138" s="7"/>
      <c r="Q138" s="22"/>
      <c r="R138" s="22"/>
      <c r="S138" s="31">
        <f t="shared" si="30"/>
        <v>1</v>
      </c>
      <c r="T138" s="46" t="str">
        <f t="shared" si="31"/>
        <v>NorthBound</v>
      </c>
      <c r="U138" s="190">
        <f>IF(AG138="EC",COUNTIFS(Variables!$M$2:$M$19,IF(T138="NorthBound","&gt;=","&lt;=")&amp;Y138,Variables!$M$2:$M$19,IF(T138="NorthBound","&lt;=","&gt;=")&amp;Z138),COUNTIFS(Variables!$P$2:$P$19,IF(T138="NorthBound","&gt;=","&lt;=")&amp;Y138,Variables!$P$2:$P$19,IF(T138="NorthBound","&lt;=","&gt;=")&amp;Z138))</f>
        <v>12</v>
      </c>
      <c r="V138" s="191" t="str">
        <f t="shared" si="32"/>
        <v>https://d0f6bd738d7f1b3e5a7ca70fe4ff75f0.us-east-1.aws.found.io/app/kibana#/discover/Steve-Slow-Train-Analysis-(2080s-and-2083s)?_g=(refreshInterval:(display:Off,pause:!f,section:0,value:0),time:(from:'2017-02-05T18:55:55-0700',mode:absolute,to:'2017-02-05T21:36: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38" s="192" t="str">
        <f t="shared" si="33"/>
        <v>N</v>
      </c>
      <c r="X138" s="192">
        <f t="shared" si="49"/>
        <v>1</v>
      </c>
      <c r="Y138" s="62">
        <f t="shared" si="47"/>
        <v>4.4600000000000001E-2</v>
      </c>
      <c r="Z138" s="62">
        <f t="shared" si="48"/>
        <v>23.330200000000001</v>
      </c>
      <c r="AA138" s="62">
        <f t="shared" si="36"/>
        <v>23.285600000000002</v>
      </c>
      <c r="AB138" s="59" t="e">
        <f>VLOOKUP(A138,Enforcements!$C$7:$K$16,8,0)</f>
        <v>#N/A</v>
      </c>
      <c r="AC138" s="55" t="e">
        <f>VLOOKUP(A138,Enforcements!$C$7:$E$16,3,0)</f>
        <v>#N/A</v>
      </c>
      <c r="AD138" s="56" t="str">
        <f t="shared" si="37"/>
        <v>0225-05</v>
      </c>
      <c r="AE138" s="85" t="str">
        <f t="shared" si="38"/>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138" s="82" t="str">
        <f t="shared" si="39"/>
        <v>"C:\Program Files (x86)\AstroGrep\AstroGrep.exe" /spath="%USERPROFILE%\AppData\Local\Temp\OnboardLogs" /stypes="app*4016*20170206*" /stext=" 03:.+((SYSTEM_STATE.+slice.+state.+changed )|(ment ac)|(multiple cpu faults)|(system.+state.+changed )|(\[timeout)|(PRM\|1\|D)|(kpr)|(kdp)|(\|lc)|(penalty))" /e /r /s</v>
      </c>
      <c r="AG138" s="1" t="str">
        <f t="shared" si="40"/>
        <v>EC</v>
      </c>
      <c r="AH138" s="86" t="str">
        <f t="shared" si="41"/>
        <v>"%USERPROFILE%\Documents\GitHub\eaglep3\Utilities\RefineRTDCRunTimes.py" --tripid 225-05 --locoid 4016 --swversion DE.1.0.8.0 --startMP 204:446 --initTime 2017-02-05T19:55:55 --startdatetime 2017-02-05T20:00:23 --delay 1 --endMP 204:233302 --enddatetime 2017-02-05T20:36:25 --enforcementcount 0 &gt;&gt;C:\Users\stu\Documents\GitHub\eaglep3-reporting\EC\2017-02-05-refined-times.txt</v>
      </c>
      <c r="AI138" s="108" t="str">
        <f t="shared" si="42"/>
        <v>echo {"issue":{"subject":"","project_id":79,"tracker_id":40,"status_id":1,"priority_id":2,"assigned_to_id":23,"start_date":"2017-02-05","description":"","custom_fields":[{"id":1,"name":"Subdivision","value":"EC"},{"id":4,"name":"Milepost","value":"23.3302"},{"id":17,"name":"Train ID","value":"225-05"},{"id":16,"name":"Locomotive ID","value":"4016"},{"id":130,"name":"Impact","value":""},{"id":150,"name":"Time of Event (Mountain Time)","value":"20:36:25"},{"id":151,"name":"Denver Issue ID","value":""},{"id":178,"name":"Operational Impact","value":"Yes"},{"id":179,"name":"Denver Segment Assigned","value":""}]}} | curl -X POST -H "Content-Type: application/json" -H "X-Redmine-API-Key: d6333d4a04012a730768444271f8ca06482dae87" https://secure.xorail.net/redmine/issues.json --data @-</v>
      </c>
      <c r="AJ138" s="48"/>
      <c r="AK138" s="48"/>
      <c r="AL138" s="48"/>
      <c r="AM138" s="158" t="str">
        <f t="shared" si="43"/>
        <v>start /low /b %USERPROFILE%\Documents\GitHub\eaglep3\Utilities\DownloadLogsFromS3.py --loco 4016 --day 2017-02-05</v>
      </c>
      <c r="AN138" s="167" t="str">
        <f>"grep -SE -B400 ""CHR.+\|PRM\|1\|D.+(SWITCH|SIGNAL).+UNKNOWN"" "&amp;search_path&amp;"\RTDC"&amp;B138&amp;"\*"&amp;B138&amp;"*"&amp;TEXT(AVERAGE(F138,I138)-utc_offset/24,"YYYYMMDD")&amp;"* | grep -SE ""(Enforcement Action)|(\[TIMEOUT)|(CHR.+\|PRM\|1\|D.+(SWITCH|SIGNAL).+UNKNOWN)"" - &gt;&gt; "&amp;TEXT(Variables!$A$2,"YYYY-MM-DD")&amp;"-UncaughtWiMAX.txt"</f>
        <v>grep -SE -B400 "CHR.+\|PRM\|1\|D.+(SWITCH|SIGNAL).+UNKNOWN" "%USERPROFILE%\AppData\Local\Temp\OnboardLogs"\RTDC4016\*4016*20170206* | grep -SE "(Enforcement Action)|(\[TIMEOUT)|(CHR.+\|PRM\|1\|D.+(SWITCH|SIGNAL).+UNKNOWN)" - &gt;&gt; 2017-02-05-UncaughtWiMAX.txt</v>
      </c>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spans="1:91" s="20" customFormat="1" x14ac:dyDescent="0.25">
      <c r="A139" s="33" t="s">
        <v>716</v>
      </c>
      <c r="B139" s="7">
        <v>4015</v>
      </c>
      <c r="C139" s="21" t="s">
        <v>193</v>
      </c>
      <c r="D139" s="21" t="s">
        <v>845</v>
      </c>
      <c r="E139" s="13">
        <v>42771.864664351851</v>
      </c>
      <c r="F139" s="13">
        <v>42771.872499999998</v>
      </c>
      <c r="G139" s="7">
        <v>2</v>
      </c>
      <c r="H139" s="21" t="s">
        <v>213</v>
      </c>
      <c r="I139" s="13">
        <v>42771.899756944447</v>
      </c>
      <c r="J139" s="7">
        <v>0</v>
      </c>
      <c r="K139" s="98" t="str">
        <f t="shared" si="27"/>
        <v>4015/4016</v>
      </c>
      <c r="L139" s="21" t="str">
        <f>VLOOKUP(A139,'Trips&amp;Operators'!$C$1:$G$99999,5,FALSE)</f>
        <v>SMITH MICHAEL</v>
      </c>
      <c r="M139" s="6">
        <f t="shared" si="28"/>
        <v>2.7256944449618459E-2</v>
      </c>
      <c r="N139" s="7">
        <f t="shared" si="50"/>
        <v>39.250000007450581</v>
      </c>
      <c r="O139" s="7"/>
      <c r="P139" s="7"/>
      <c r="Q139" s="22"/>
      <c r="R139" s="22"/>
      <c r="S139" s="31">
        <f t="shared" si="30"/>
        <v>1</v>
      </c>
      <c r="T139" s="46" t="str">
        <f t="shared" si="31"/>
        <v>Southbound</v>
      </c>
      <c r="U139" s="190">
        <f>IF(AG139="EC",COUNTIFS(Variables!$M$2:$M$19,IF(T139="NorthBound","&gt;=","&lt;=")&amp;Y139,Variables!$M$2:$M$19,IF(T139="NorthBound","&lt;=","&gt;=")&amp;Z139),COUNTIFS(Variables!$P$2:$P$19,IF(T139="NorthBound","&gt;=","&lt;=")&amp;Y139,Variables!$P$2:$P$19,IF(T139="NorthBound","&lt;=","&gt;=")&amp;Z139))</f>
        <v>12</v>
      </c>
      <c r="V139" s="191" t="str">
        <f t="shared" si="32"/>
        <v>https://d0f6bd738d7f1b3e5a7ca70fe4ff75f0.us-east-1.aws.found.io/app/kibana#/discover/Steve-Slow-Train-Analysis-(2080s-and-2083s)?_g=(refreshInterval:(display:Off,pause:!f,section:0,value:0),time:(from:'2017-02-05T19:45:07-0700',mode:absolute,to:'2017-02-05T22:35: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39" s="192" t="str">
        <f t="shared" si="33"/>
        <v>N</v>
      </c>
      <c r="X139" s="192">
        <f t="shared" si="49"/>
        <v>1</v>
      </c>
      <c r="Y139" s="62">
        <f t="shared" si="47"/>
        <v>23.2989</v>
      </c>
      <c r="Z139" s="62">
        <f t="shared" si="48"/>
        <v>1.5800000000000002E-2</v>
      </c>
      <c r="AA139" s="62">
        <f t="shared" si="36"/>
        <v>23.283100000000001</v>
      </c>
      <c r="AB139" s="59" t="e">
        <f>VLOOKUP(A139,Enforcements!$C$7:$K$16,8,0)</f>
        <v>#N/A</v>
      </c>
      <c r="AC139" s="55" t="e">
        <f>VLOOKUP(A139,Enforcements!$C$7:$E$16,3,0)</f>
        <v>#N/A</v>
      </c>
      <c r="AD139" s="56" t="str">
        <f t="shared" si="37"/>
        <v>0226-05</v>
      </c>
      <c r="AE139" s="85" t="str">
        <f t="shared" si="38"/>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139" s="82" t="str">
        <f t="shared" si="39"/>
        <v>"C:\Program Files (x86)\AstroGrep\AstroGrep.exe" /spath="%USERPROFILE%\AppData\Local\Temp\OnboardLogs" /stypes="app*4015*20170206*" /stext=" 04:.+((SYSTEM_STATE.+slice.+state.+changed )|(ment ac)|(multiple cpu faults)|(system.+state.+changed )|(\[timeout)|(PRM\|1\|D)|(kpr)|(kdp)|(\|lc)|(penalty))" /e /r /s</v>
      </c>
      <c r="AG139" s="1" t="str">
        <f t="shared" si="40"/>
        <v>EC</v>
      </c>
      <c r="AH139" s="86" t="str">
        <f t="shared" si="41"/>
        <v>"%USERPROFILE%\Documents\GitHub\eaglep3\Utilities\RefineRTDCRunTimes.py" --tripid 226-05 --locoid 4015 --swversion DE.1.0.8.0 --startMP 204:232989 --initTime 2017-02-05T20:45:07 --startdatetime 2017-02-05T20:56:24 --delay 2 --endMP 204:158 --enddatetime 2017-02-05T21:35:39 --enforcementcount 0 &gt;&gt;C:\Users\stu\Documents\GitHub\eaglep3-reporting\EC\2017-02-05-refined-times.txt</v>
      </c>
      <c r="AI139" s="108" t="str">
        <f t="shared" si="42"/>
        <v>echo {"issue":{"subject":"","project_id":79,"tracker_id":40,"status_id":1,"priority_id":2,"assigned_to_id":23,"start_date":"2017-02-05","description":"","custom_fields":[{"id":1,"name":"Subdivision","value":"EC"},{"id":4,"name":"Milepost","value":"0.0158"},{"id":17,"name":"Train ID","value":"226-05"},{"id":16,"name":"Locomotive ID","value":"4015"},{"id":130,"name":"Impact","value":""},{"id":150,"name":"Time of Event (Mountain Time)","value":"21:35:39"},{"id":151,"name":"Denver Issue ID","value":""},{"id":178,"name":"Operational Impact","value":"Yes"},{"id":179,"name":"Denver Segment Assigned","value":""}]}} | curl -X POST -H "Content-Type: application/json" -H "X-Redmine-API-Key: d6333d4a04012a730768444271f8ca06482dae87" https://secure.xorail.net/redmine/issues.json --data @-</v>
      </c>
      <c r="AJ139" s="48"/>
      <c r="AK139" s="48"/>
      <c r="AL139" s="48"/>
      <c r="AM139" s="158" t="str">
        <f t="shared" si="43"/>
        <v>start /low /b %USERPROFILE%\Documents\GitHub\eaglep3\Utilities\DownloadLogsFromS3.py --loco 4015 --day 2017-02-05</v>
      </c>
      <c r="AN139" s="167" t="str">
        <f>"grep -SE -B400 ""CHR.+\|PRM\|1\|D.+(SWITCH|SIGNAL).+UNKNOWN"" "&amp;search_path&amp;"\RTDC"&amp;B139&amp;"\*"&amp;B139&amp;"*"&amp;TEXT(AVERAGE(F139,I139)-utc_offset/24,"YYYYMMDD")&amp;"* | grep -SE ""(Enforcement Action)|(\[TIMEOUT)|(CHR.+\|PRM\|1\|D.+(SWITCH|SIGNAL).+UNKNOWN)"" - &gt;&gt; "&amp;TEXT(Variables!$A$2,"YYYY-MM-DD")&amp;"-UncaughtWiMAX.txt"</f>
        <v>grep -SE -B400 "CHR.+\|PRM\|1\|D.+(SWITCH|SIGNAL).+UNKNOWN" "%USERPROFILE%\AppData\Local\Temp\OnboardLogs"\RTDC4015\*4015*20170206* | grep -SE "(Enforcement Action)|(\[TIMEOUT)|(CHR.+\|PRM\|1\|D.+(SWITCH|SIGNAL).+UNKNOWN)" - &gt;&gt; 2017-02-05-UncaughtWiMAX.txt</v>
      </c>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spans="1:91" s="20" customFormat="1" x14ac:dyDescent="0.25">
      <c r="A140" s="33" t="s">
        <v>714</v>
      </c>
      <c r="B140" s="7">
        <v>4022</v>
      </c>
      <c r="C140" s="21" t="s">
        <v>193</v>
      </c>
      <c r="D140" s="21" t="s">
        <v>275</v>
      </c>
      <c r="E140" s="13">
        <v>42771.848958333336</v>
      </c>
      <c r="F140" s="13">
        <v>42771.854583333334</v>
      </c>
      <c r="G140" s="7">
        <v>1</v>
      </c>
      <c r="H140" s="21" t="s">
        <v>846</v>
      </c>
      <c r="I140" s="13">
        <v>42771.88008101852</v>
      </c>
      <c r="J140" s="7">
        <v>0</v>
      </c>
      <c r="K140" s="98" t="str">
        <f t="shared" si="27"/>
        <v>4021/4022</v>
      </c>
      <c r="L140" s="21" t="str">
        <f>VLOOKUP(A140,'Trips&amp;Operators'!$C$1:$G$99999,5,FALSE)</f>
        <v>YANG JAN</v>
      </c>
      <c r="M140" s="6">
        <f t="shared" si="28"/>
        <v>2.5497685186564922E-2</v>
      </c>
      <c r="N140" s="7">
        <f t="shared" si="50"/>
        <v>36.716666668653488</v>
      </c>
      <c r="O140" s="7"/>
      <c r="P140" s="7"/>
      <c r="Q140" s="22"/>
      <c r="R140" s="22"/>
      <c r="S140" s="31">
        <f t="shared" si="30"/>
        <v>1</v>
      </c>
      <c r="T140" s="46" t="str">
        <f t="shared" si="31"/>
        <v>NorthBound</v>
      </c>
      <c r="U140" s="190">
        <f>IF(AG140="EC",COUNTIFS(Variables!$M$2:$M$19,IF(T140="NorthBound","&gt;=","&lt;=")&amp;Y140,Variables!$M$2:$M$19,IF(T140="NorthBound","&lt;=","&gt;=")&amp;Z140),COUNTIFS(Variables!$P$2:$P$19,IF(T140="NorthBound","&gt;=","&lt;=")&amp;Y140,Variables!$P$2:$P$19,IF(T140="NorthBound","&lt;=","&gt;=")&amp;Z140))</f>
        <v>12</v>
      </c>
      <c r="V140" s="191" t="str">
        <f t="shared" si="32"/>
        <v>https://d0f6bd738d7f1b3e5a7ca70fe4ff75f0.us-east-1.aws.found.io/app/kibana#/discover/Steve-Slow-Train-Analysis-(2080s-and-2083s)?_g=(refreshInterval:(display:Off,pause:!f,section:0,value:0),time:(from:'2017-02-05T19:22:30-0700',mode:absolute,to:'2017-02-05T22:07:19-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40" s="192" t="str">
        <f t="shared" si="33"/>
        <v>N</v>
      </c>
      <c r="X140" s="192">
        <f t="shared" si="49"/>
        <v>1</v>
      </c>
      <c r="Y140" s="62">
        <f t="shared" si="47"/>
        <v>4.53E-2</v>
      </c>
      <c r="Z140" s="62">
        <f t="shared" si="48"/>
        <v>23.3276</v>
      </c>
      <c r="AA140" s="62">
        <f t="shared" si="36"/>
        <v>23.282299999999999</v>
      </c>
      <c r="AB140" s="59" t="e">
        <f>VLOOKUP(A140,Enforcements!$C$7:$K$16,8,0)</f>
        <v>#N/A</v>
      </c>
      <c r="AC140" s="55" t="e">
        <f>VLOOKUP(A140,Enforcements!$C$7:$E$16,3,0)</f>
        <v>#N/A</v>
      </c>
      <c r="AD140" s="56" t="str">
        <f t="shared" si="37"/>
        <v>0227-05</v>
      </c>
      <c r="AE140" s="85" t="str">
        <f t="shared" si="38"/>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140" s="82" t="str">
        <f t="shared" si="39"/>
        <v>"C:\Program Files (x86)\AstroGrep\AstroGrep.exe" /spath="%USERPROFILE%\AppData\Local\Temp\OnboardLogs" /stypes="app*4022*20170206*" /stext=" 04:.+((SYSTEM_STATE.+slice.+state.+changed )|(ment ac)|(multiple cpu faults)|(system.+state.+changed )|(\[timeout)|(PRM\|1\|D)|(kpr)|(kdp)|(\|lc)|(penalty))" /e /r /s</v>
      </c>
      <c r="AG140" s="1" t="str">
        <f t="shared" si="40"/>
        <v>EC</v>
      </c>
      <c r="AH140" s="86" t="str">
        <f t="shared" ref="AH140:AH199" si="51">refinertdcruntimes&amp;" --tripid "&amp;A140&amp;" --locoid "&amp;B140&amp;" --swversion "&amp;C140&amp;" --startMP "&amp;D140&amp;" --initTime "&amp;TEXT(E140,"yyyy-mm-ddTHH:MM:SS")&amp;" --startdatetime "&amp;TEXT(F140,"yyyy-mm-ddTHH:MM:SS")&amp;" --delay "&amp;G140&amp;" --endMP "&amp;H140&amp;" --enddatetime "&amp;TEXT(I140,"yyyy-mm-ddTHH:MM:SS")&amp;" --enforcementcount "&amp;J140&amp;IF(outputrefinedruntimes," &gt;&gt;"&amp;RefinedRTDCRunTimesOutputFile,"")</f>
        <v>"%USERPROFILE%\Documents\GitHub\eaglep3\Utilities\RefineRTDCRunTimes.py" --tripid 227-05 --locoid 4022 --swversion DE.1.0.8.0 --startMP 204:453 --initTime 2017-02-05T20:22:30 --startdatetime 2017-02-05T20:30:36 --delay 1 --endMP 204:233276 --enddatetime 2017-02-05T21:07:19 --enforcementcount 0 &gt;&gt;C:\Users\stu\Documents\GitHub\eaglep3-reporting\EC\2017-02-05-refined-times.txt</v>
      </c>
      <c r="AI140" s="108" t="str">
        <f t="shared" ref="AI140:AI199" si="52">"echo {""issue"":{""subject"":"""&amp;R140&amp;""",""project_id"":79,""tracker_id"":40,""status_id"":"&amp;redmine_status&amp;",""priority_id"":"&amp;redmine_priority&amp;",""assigned_to_id"":"&amp;redmine_assignee&amp;",""start_date"":"""&amp;TEXT(I140,"YYYY-mm-dd")&amp;""",""description"":"""&amp;AJ140&amp;""",""custom_fields"":[{""id"":1,""name"":""Subdivision"",""value"":"""&amp;AG140&amp;"""},{""id"":4,""name"":""Milepost"",""value"":"""&amp;Z140&amp;"""},{""id"":17,""name"":""Train ID"",""value"":"""&amp;A140&amp;"""},{""id"":16,""name"":""Locomotive ID"",""value"":"""&amp;B140&amp;"""},{""id"":130,""name"":""Impact"",""value"":"""&amp;AK140&amp;"""},{""id"":150,""name"":""Time of Event (Mountain Time)"",""value"":"""&amp;TEXT(I140,"hh:mm:ss")&amp;"""},{""id"":151,""name"":""Denver Issue ID"",""value"":"""&amp;"""},{""id"":178,""name"":""Operational Impact"",""value"":"""&amp;redmine_op_impact&amp;"""},{""id"":179,""name"":""Denver Segment Assigned"",""value"":"""&amp;AL140&amp;"""}]}}"&amp;" | curl -X POST -H ""Content-Type: application/json"" -H ""X-Redmine-API-Key: "&amp;redm_api_key&amp;""" "&amp;redm_url&amp;" --data @-"</f>
        <v>echo {"issue":{"subject":"","project_id":79,"tracker_id":40,"status_id":1,"priority_id":2,"assigned_to_id":23,"start_date":"2017-02-05","description":"","custom_fields":[{"id":1,"name":"Subdivision","value":"EC"},{"id":4,"name":"Milepost","value":"23.3276"},{"id":17,"name":"Train ID","value":"227-05"},{"id":16,"name":"Locomotive ID","value":"4022"},{"id":130,"name":"Impact","value":""},{"id":150,"name":"Time of Event (Mountain Time)","value":"21:07:19"},{"id":151,"name":"Denver Issue ID","value":""},{"id":178,"name":"Operational Impact","value":"Yes"},{"id":179,"name":"Denver Segment Assigned","value":""}]}} | curl -X POST -H "Content-Type: application/json" -H "X-Redmine-API-Key: d6333d4a04012a730768444271f8ca06482dae87" https://secure.xorail.net/redmine/issues.json --data @-</v>
      </c>
      <c r="AJ140" s="48"/>
      <c r="AK140" s="48"/>
      <c r="AL140" s="48"/>
      <c r="AM140" s="158" t="str">
        <f t="shared" ref="AM140:AM199" si="53">"start /low /b "&amp;dls3logs&amp;" --loco "&amp;B140&amp;" --day "&amp;TEXT(F140,"YYYY-MM-DD")</f>
        <v>start /low /b %USERPROFILE%\Documents\GitHub\eaglep3\Utilities\DownloadLogsFromS3.py --loco 4022 --day 2017-02-05</v>
      </c>
      <c r="AN140" s="167" t="str">
        <f>"grep -SE -B400 ""CHR.+\|PRM\|1\|D.+(SWITCH|SIGNAL).+UNKNOWN"" "&amp;search_path&amp;"\RTDC"&amp;B140&amp;"\*"&amp;B140&amp;"*"&amp;TEXT(AVERAGE(F140,I140)-utc_offset/24,"YYYYMMDD")&amp;"* | grep -SE ""(Enforcement Action)|(\[TIMEOUT)|(CHR.+\|PRM\|1\|D.+(SWITCH|SIGNAL).+UNKNOWN)"" - &gt;&gt; "&amp;TEXT(Variables!$A$2,"YYYY-MM-DD")&amp;"-UncaughtWiMAX.txt"</f>
        <v>grep -SE -B400 "CHR.+\|PRM\|1\|D.+(SWITCH|SIGNAL).+UNKNOWN" "%USERPROFILE%\AppData\Local\Temp\OnboardLogs"\RTDC4022\*4022*20170206* | grep -SE "(Enforcement Action)|(\[TIMEOUT)|(CHR.+\|PRM\|1\|D.+(SWITCH|SIGNAL).+UNKNOWN)" - &gt;&gt; 2017-02-05-UncaughtWiMAX.txt</v>
      </c>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20" customFormat="1" x14ac:dyDescent="0.25">
      <c r="A141" s="33" t="s">
        <v>720</v>
      </c>
      <c r="B141" s="7">
        <v>4021</v>
      </c>
      <c r="C141" s="21" t="s">
        <v>193</v>
      </c>
      <c r="D141" s="21" t="s">
        <v>332</v>
      </c>
      <c r="E141" s="13">
        <v>42771.891145833331</v>
      </c>
      <c r="F141" s="13">
        <v>42771.893530092595</v>
      </c>
      <c r="G141" s="7">
        <v>1</v>
      </c>
      <c r="H141" s="21" t="s">
        <v>289</v>
      </c>
      <c r="I141" s="13">
        <v>42771.924363425926</v>
      </c>
      <c r="J141" s="7">
        <v>0</v>
      </c>
      <c r="K141" s="98" t="str">
        <f t="shared" ref="K141:K204" si="54">IF(ISEVEN(B141),(B141-1)&amp;"/"&amp;B141,B141&amp;"/"&amp;(B141+1))</f>
        <v>4021/4022</v>
      </c>
      <c r="L141" s="21" t="str">
        <f>VLOOKUP(A141,'Trips&amp;Operators'!$C$1:$G$99999,5,FALSE)</f>
        <v>YANG JAN</v>
      </c>
      <c r="M141" s="6">
        <f t="shared" ref="M141:M204" si="55">I141-F141</f>
        <v>3.0833333330519963E-2</v>
      </c>
      <c r="N141" s="7">
        <f t="shared" si="50"/>
        <v>44.399999995948747</v>
      </c>
      <c r="O141" s="7"/>
      <c r="P141" s="7"/>
      <c r="Q141" s="22"/>
      <c r="R141" s="22"/>
      <c r="S141" s="31">
        <f t="shared" ref="S141:S204" si="56">SUM(U141:U141)/IF(AG141="EC",12,1)</f>
        <v>1</v>
      </c>
      <c r="T141" s="46" t="str">
        <f t="shared" ref="T141:T204" si="57">IF(ISEVEN(LEFT(AD141,4)),"Southbound","NorthBound")</f>
        <v>Southbound</v>
      </c>
      <c r="U141" s="190">
        <f>IF(AG141="EC",COUNTIFS(Variables!$M$2:$M$19,IF(T141="NorthBound","&gt;=","&lt;=")&amp;Y141,Variables!$M$2:$M$19,IF(T141="NorthBound","&lt;=","&gt;=")&amp;Z141),COUNTIFS(Variables!$P$2:$P$19,IF(T141="NorthBound","&gt;=","&lt;=")&amp;Y141,Variables!$P$2:$P$19,IF(T141="NorthBound","&lt;=","&gt;=")&amp;Z141))</f>
        <v>12</v>
      </c>
      <c r="V141" s="191" t="str">
        <f t="shared" ref="V141:V204" si="58">"https://d0f6bd738d7f1b3e5a7ca70fe4ff75f0.us-east-1.aws.found.io/app/kibana#/discover/Steve-Slow-Train-Analysis-(2080s-and-2083s)?_g="&amp;"(refreshInterval:(display:Off,pause:!f,section:0,value:0),time:(from:'"&amp;TEXT(E141-1/24,"yyyy-MM-DDThh:mm:ss")&amp;utc_offset&amp;"00"&amp;"',mode:absolute,to:'"&amp;TEXT(I141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141&amp;"%22')),sort:!(Time.ISO8601,asc))"</f>
        <v>https://d0f6bd738d7f1b3e5a7ca70fe4ff75f0.us-east-1.aws.found.io/app/kibana#/discover/Steve-Slow-Train-Analysis-(2080s-and-2083s)?_g=(refreshInterval:(display:Off,pause:!f,section:0,value:0),time:(from:'2017-02-05T20:23:15-0700',mode:absolute,to:'2017-02-05T23:11:05-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41" s="192" t="str">
        <f t="shared" ref="W141:W204" si="59">IF(AA141&lt;IF(AG141="EC",23,5.65),"Y","N")</f>
        <v>N</v>
      </c>
      <c r="X141" s="192">
        <f t="shared" si="49"/>
        <v>1</v>
      </c>
      <c r="Y141" s="62">
        <f t="shared" ref="Y141:Y151" si="60">RIGHT(D141,LEN(D141)-4)/10000</f>
        <v>23.298500000000001</v>
      </c>
      <c r="Z141" s="62">
        <f t="shared" ref="Z141:Z150" si="61">RIGHT(H141,LEN(H141)-4)/10000</f>
        <v>1.5599999999999999E-2</v>
      </c>
      <c r="AA141" s="62">
        <f t="shared" ref="AA141:AA204" si="62">ABS(Z141-Y141)</f>
        <v>23.282900000000001</v>
      </c>
      <c r="AB141" s="59" t="e">
        <f>VLOOKUP(A141,Enforcements!$C$7:$K$16,8,0)</f>
        <v>#N/A</v>
      </c>
      <c r="AC141" s="55" t="e">
        <f>VLOOKUP(A141,Enforcements!$C$7:$E$16,3,0)</f>
        <v>#N/A</v>
      </c>
      <c r="AD141" s="56" t="str">
        <f t="shared" ref="AD141:AD204" si="63">IF(LEN(A141)=6,"0"&amp;A141,A141)</f>
        <v>0228-05</v>
      </c>
      <c r="AE141" s="85" t="str">
        <f t="shared" ref="AE141:AE204" si="64">"aws s3 cp "&amp;s3_bucket&amp;"/RTDC"&amp;B141&amp;"/ "&amp;search_path&amp;"\RTDC"&amp;B141&amp;"\"&amp;TEXT(F141,"YYYY-MM-DD")&amp;" --exclude ""*"" --recursive --include ""*"&amp;TEXT(F141,"YYYYMMDD")&amp;"*"" &amp; """&amp;walkandungz&amp;""" "&amp;search_path&amp;"\RTDC"&amp;B141&amp;"\"&amp;TEXT(F141,"YYYY-MM-DD")
&amp;" &amp; "&amp;"aws s3 cp "&amp;s3_bucket&amp;"/RTDC"&amp;B141&amp;"/ "&amp;search_path&amp;"\RTDC"&amp;B141&amp;"\"&amp;TEXT(F141+1,"YYYY-MM-DD")&amp;" --exclude ""*"" --recursive --include ""*"&amp;TEXT(F141+1,"YYYYMMDD")&amp;"*"" &amp; """&amp;walkandungz&amp;""" "&amp;search_path&amp;"\RTDC"&amp;B141&amp;"\"&amp;TEXT(F141+1,"YYYY-MM-DD")</f>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141" s="82" t="str">
        <f t="shared" ref="AF141:AF204" si="65">astrogrep_path&amp;" /spath="&amp;search_path&amp;" /stypes=""app*"&amp;B141&amp;"*"&amp;TEXT(I141-utc_offset/24,"YYYYMMDD")&amp;"*"" /stext="" "&amp;TEXT(I141-utc_offset/24,"HH")&amp;search_regexp&amp;""" /e /r /s"</f>
        <v>"C:\Program Files (x86)\AstroGrep\AstroGrep.exe" /spath="%USERPROFILE%\AppData\Local\Temp\OnboardLogs" /stypes="app*4021*20170206*" /stext=" 05:.+((SYSTEM_STATE.+slice.+state.+changed )|(ment ac)|(multiple cpu faults)|(system.+state.+changed )|(\[timeout)|(PRM\|1\|D)|(kpr)|(kdp)|(\|lc)|(penalty))" /e /r /s</v>
      </c>
      <c r="AG141" s="1" t="str">
        <f t="shared" ref="AG141:AG204" si="66">IFERROR(IF(VALUE(LEFT(AD141,2))&lt;=2,"EC",IF(OR(VALUE(LEFT(AD141,2))=8,VALUE(LEFT(AD141,2))=18),"NW","Other")),"Other")</f>
        <v>EC</v>
      </c>
      <c r="AH141" s="86" t="str">
        <f t="shared" si="51"/>
        <v>"%USERPROFILE%\Documents\GitHub\eaglep3\Utilities\RefineRTDCRunTimes.py" --tripid 228-05 --locoid 4021 --swversion DE.1.0.8.0 --startMP 204:232985 --initTime 2017-02-05T21:23:15 --startdatetime 2017-02-05T21:26:41 --delay 1 --endMP 204:156 --enddatetime 2017-02-05T22:11:05 --enforcementcount 0 &gt;&gt;C:\Users\stu\Documents\GitHub\eaglep3-reporting\EC\2017-02-05-refined-times.txt</v>
      </c>
      <c r="AI141" s="108" t="str">
        <f t="shared" si="52"/>
        <v>echo {"issue":{"subject":"","project_id":79,"tracker_id":40,"status_id":1,"priority_id":2,"assigned_to_id":23,"start_date":"2017-02-05","description":"","custom_fields":[{"id":1,"name":"Subdivision","value":"EC"},{"id":4,"name":"Milepost","value":"0.0156"},{"id":17,"name":"Train ID","value":"228-05"},{"id":16,"name":"Locomotive ID","value":"4021"},{"id":130,"name":"Impact","value":""},{"id":150,"name":"Time of Event (Mountain Time)","value":"22:11:05"},{"id":151,"name":"Denver Issue ID","value":""},{"id":178,"name":"Operational Impact","value":"Yes"},{"id":179,"name":"Denver Segment Assigned","value":""}]}} | curl -X POST -H "Content-Type: application/json" -H "X-Redmine-API-Key: d6333d4a04012a730768444271f8ca06482dae87" https://secure.xorail.net/redmine/issues.json --data @-</v>
      </c>
      <c r="AJ141" s="48"/>
      <c r="AK141" s="48"/>
      <c r="AL141" s="48"/>
      <c r="AM141" s="158" t="str">
        <f t="shared" si="53"/>
        <v>start /low /b %USERPROFILE%\Documents\GitHub\eaglep3\Utilities\DownloadLogsFromS3.py --loco 4021 --day 2017-02-05</v>
      </c>
      <c r="AN141" s="167" t="str">
        <f>"grep -SE -B400 ""CHR.+\|PRM\|1\|D.+(SWITCH|SIGNAL).+UNKNOWN"" "&amp;search_path&amp;"\RTDC"&amp;B141&amp;"\*"&amp;B141&amp;"*"&amp;TEXT(AVERAGE(F141,I141)-utc_offset/24,"YYYYMMDD")&amp;"* | grep -SE ""(Enforcement Action)|(\[TIMEOUT)|(CHR.+\|PRM\|1\|D.+(SWITCH|SIGNAL).+UNKNOWN)"" - &gt;&gt; "&amp;TEXT(Variables!$A$2,"YYYY-MM-DD")&amp;"-UncaughtWiMAX.txt"</f>
        <v>grep -SE -B400 "CHR.+\|PRM\|1\|D.+(SWITCH|SIGNAL).+UNKNOWN" "%USERPROFILE%\AppData\Local\Temp\OnboardLogs"\RTDC4021\*4021*20170206* | grep -SE "(Enforcement Action)|(\[TIMEOUT)|(CHR.+\|PRM\|1\|D.+(SWITCH|SIGNAL).+UNKNOWN)" - &gt;&gt; 2017-02-05-UncaughtWiMAX.txt</v>
      </c>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20" customFormat="1" x14ac:dyDescent="0.25">
      <c r="A142" s="33" t="s">
        <v>717</v>
      </c>
      <c r="B142" s="7">
        <v>4031</v>
      </c>
      <c r="C142" s="21" t="s">
        <v>193</v>
      </c>
      <c r="D142" s="21" t="s">
        <v>286</v>
      </c>
      <c r="E142" s="13">
        <v>42771.865289351852</v>
      </c>
      <c r="F142" s="13">
        <v>42771.875196759262</v>
      </c>
      <c r="G142" s="7">
        <v>2</v>
      </c>
      <c r="H142" s="21" t="s">
        <v>359</v>
      </c>
      <c r="I142" s="13">
        <v>42771.900821759256</v>
      </c>
      <c r="J142" s="7">
        <v>0</v>
      </c>
      <c r="K142" s="98" t="str">
        <f t="shared" si="54"/>
        <v>4031/4032</v>
      </c>
      <c r="L142" s="21" t="str">
        <f>VLOOKUP(A142,'Trips&amp;Operators'!$C$1:$G$99999,5,FALSE)</f>
        <v>MAGEE KENYA</v>
      </c>
      <c r="M142" s="6">
        <f t="shared" si="55"/>
        <v>2.5624999994761311E-2</v>
      </c>
      <c r="N142" s="7">
        <f t="shared" si="50"/>
        <v>36.899999992456287</v>
      </c>
      <c r="O142" s="7"/>
      <c r="P142" s="7"/>
      <c r="Q142" s="22"/>
      <c r="R142" s="22"/>
      <c r="S142" s="31">
        <f t="shared" si="56"/>
        <v>1</v>
      </c>
      <c r="T142" s="46" t="str">
        <f t="shared" si="57"/>
        <v>NorthBound</v>
      </c>
      <c r="U142" s="190">
        <f>IF(AG142="EC",COUNTIFS(Variables!$M$2:$M$19,IF(T142="NorthBound","&gt;=","&lt;=")&amp;Y142,Variables!$M$2:$M$19,IF(T142="NorthBound","&lt;=","&gt;=")&amp;Z142),COUNTIFS(Variables!$P$2:$P$19,IF(T142="NorthBound","&gt;=","&lt;=")&amp;Y142,Variables!$P$2:$P$19,IF(T142="NorthBound","&lt;=","&gt;=")&amp;Z142))</f>
        <v>12</v>
      </c>
      <c r="V142" s="191" t="str">
        <f t="shared" si="58"/>
        <v>https://d0f6bd738d7f1b3e5a7ca70fe4ff75f0.us-east-1.aws.found.io/app/kibana#/discover/Steve-Slow-Train-Analysis-(2080s-and-2083s)?_g=(refreshInterval:(display:Off,pause:!f,section:0,value:0),time:(from:'2017-02-05T19:46:01-0700',mode:absolute,to:'2017-02-05T22:37:11-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42" s="192" t="str">
        <f t="shared" si="59"/>
        <v>N</v>
      </c>
      <c r="X142" s="192">
        <f t="shared" si="49"/>
        <v>1</v>
      </c>
      <c r="Y142" s="62">
        <f t="shared" si="60"/>
        <v>4.6699999999999998E-2</v>
      </c>
      <c r="Z142" s="62">
        <f t="shared" si="61"/>
        <v>23.3293</v>
      </c>
      <c r="AA142" s="62">
        <f t="shared" si="62"/>
        <v>23.282599999999999</v>
      </c>
      <c r="AB142" s="59" t="e">
        <f>VLOOKUP(A142,Enforcements!$C$7:$K$16,8,0)</f>
        <v>#N/A</v>
      </c>
      <c r="AC142" s="55" t="e">
        <f>VLOOKUP(A142,Enforcements!$C$7:$E$16,3,0)</f>
        <v>#N/A</v>
      </c>
      <c r="AD142" s="56" t="str">
        <f t="shared" si="63"/>
        <v>0229-05</v>
      </c>
      <c r="AE142" s="85" t="str">
        <f t="shared" si="64"/>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142" s="82" t="str">
        <f t="shared" si="65"/>
        <v>"C:\Program Files (x86)\AstroGrep\AstroGrep.exe" /spath="%USERPROFILE%\AppData\Local\Temp\OnboardLogs" /stypes="app*4031*20170206*" /stext=" 04:.+((SYSTEM_STATE.+slice.+state.+changed )|(ment ac)|(multiple cpu faults)|(system.+state.+changed )|(\[timeout)|(PRM\|1\|D)|(kpr)|(kdp)|(\|lc)|(penalty))" /e /r /s</v>
      </c>
      <c r="AG142" s="1" t="str">
        <f t="shared" si="66"/>
        <v>EC</v>
      </c>
      <c r="AH142" s="86" t="str">
        <f t="shared" si="51"/>
        <v>"%USERPROFILE%\Documents\GitHub\eaglep3\Utilities\RefineRTDCRunTimes.py" --tripid 229-05 --locoid 4031 --swversion DE.1.0.8.0 --startMP 204:467 --initTime 2017-02-05T20:46:01 --startdatetime 2017-02-05T21:00:17 --delay 2 --endMP 204:233293 --enddatetime 2017-02-05T21:37:11 --enforcementcount 0 &gt;&gt;C:\Users\stu\Documents\GitHub\eaglep3-reporting\EC\2017-02-05-refined-times.txt</v>
      </c>
      <c r="AI142" s="108" t="str">
        <f t="shared" si="52"/>
        <v>echo {"issue":{"subject":"","project_id":79,"tracker_id":40,"status_id":1,"priority_id":2,"assigned_to_id":23,"start_date":"2017-02-05","description":"","custom_fields":[{"id":1,"name":"Subdivision","value":"EC"},{"id":4,"name":"Milepost","value":"23.3293"},{"id":17,"name":"Train ID","value":"229-05"},{"id":16,"name":"Locomotive ID","value":"4031"},{"id":130,"name":"Impact","value":""},{"id":150,"name":"Time of Event (Mountain Time)","value":"21:37:11"},{"id":151,"name":"Denver Issue ID","value":""},{"id":178,"name":"Operational Impact","value":"Yes"},{"id":179,"name":"Denver Segment Assigned","value":""}]}} | curl -X POST -H "Content-Type: application/json" -H "X-Redmine-API-Key: d6333d4a04012a730768444271f8ca06482dae87" https://secure.xorail.net/redmine/issues.json --data @-</v>
      </c>
      <c r="AJ142" s="48"/>
      <c r="AK142" s="48"/>
      <c r="AL142" s="48"/>
      <c r="AM142" s="158" t="str">
        <f t="shared" si="53"/>
        <v>start /low /b %USERPROFILE%\Documents\GitHub\eaglep3\Utilities\DownloadLogsFromS3.py --loco 4031 --day 2017-02-05</v>
      </c>
      <c r="AN142" s="167" t="str">
        <f>"grep -SE -B400 ""CHR.+\|PRM\|1\|D.+(SWITCH|SIGNAL).+UNKNOWN"" "&amp;search_path&amp;"\RTDC"&amp;B142&amp;"\*"&amp;B142&amp;"*"&amp;TEXT(AVERAGE(F142,I142)-utc_offset/24,"YYYYMMDD")&amp;"* | grep -SE ""(Enforcement Action)|(\[TIMEOUT)|(CHR.+\|PRM\|1\|D.+(SWITCH|SIGNAL).+UNKNOWN)"" - &gt;&gt; "&amp;TEXT(Variables!$A$2,"YYYY-MM-DD")&amp;"-UncaughtWiMAX.txt"</f>
        <v>grep -SE -B400 "CHR.+\|PRM\|1\|D.+(SWITCH|SIGNAL).+UNKNOWN" "%USERPROFILE%\AppData\Local\Temp\OnboardLogs"\RTDC4031\*4031*20170206* | grep -SE "(Enforcement Action)|(\[TIMEOUT)|(CHR.+\|PRM\|1\|D.+(SWITCH|SIGNAL).+UNKNOWN)" - &gt;&gt; 2017-02-05-UncaughtWiMAX.txt</v>
      </c>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s="20" customFormat="1" x14ac:dyDescent="0.25">
      <c r="A143" s="33" t="s">
        <v>722</v>
      </c>
      <c r="B143" s="7">
        <v>4032</v>
      </c>
      <c r="C143" s="21" t="s">
        <v>193</v>
      </c>
      <c r="D143" s="21" t="s">
        <v>319</v>
      </c>
      <c r="E143" s="13">
        <v>42771.904687499999</v>
      </c>
      <c r="F143" s="13">
        <v>42771.914097222223</v>
      </c>
      <c r="G143" s="7">
        <v>2</v>
      </c>
      <c r="H143" s="21" t="s">
        <v>758</v>
      </c>
      <c r="I143" s="13">
        <v>42771.941493055558</v>
      </c>
      <c r="J143" s="7">
        <v>0</v>
      </c>
      <c r="K143" s="98" t="str">
        <f t="shared" si="54"/>
        <v>4031/4032</v>
      </c>
      <c r="L143" s="21" t="str">
        <f>VLOOKUP(A143,'Trips&amp;Operators'!$C$1:$G$99999,5,FALSE)</f>
        <v>MAGEE KENYA</v>
      </c>
      <c r="M143" s="6">
        <f t="shared" si="55"/>
        <v>2.7395833334594499E-2</v>
      </c>
      <c r="N143" s="7">
        <f t="shared" si="50"/>
        <v>39.450000001816079</v>
      </c>
      <c r="O143" s="7"/>
      <c r="P143" s="7"/>
      <c r="Q143" s="22"/>
      <c r="R143" s="22"/>
      <c r="S143" s="31">
        <f t="shared" si="56"/>
        <v>1</v>
      </c>
      <c r="T143" s="46" t="str">
        <f t="shared" si="57"/>
        <v>Southbound</v>
      </c>
      <c r="U143" s="190">
        <f>IF(AG143="EC",COUNTIFS(Variables!$M$2:$M$19,IF(T143="NorthBound","&gt;=","&lt;=")&amp;Y143,Variables!$M$2:$M$19,IF(T143="NorthBound","&lt;=","&gt;=")&amp;Z143),COUNTIFS(Variables!$P$2:$P$19,IF(T143="NorthBound","&gt;=","&lt;=")&amp;Y143,Variables!$P$2:$P$19,IF(T143="NorthBound","&lt;=","&gt;=")&amp;Z143))</f>
        <v>12</v>
      </c>
      <c r="V143" s="191" t="str">
        <f t="shared" si="58"/>
        <v>https://d0f6bd738d7f1b3e5a7ca70fe4ff75f0.us-east-1.aws.found.io/app/kibana#/discover/Steve-Slow-Train-Analysis-(2080s-and-2083s)?_g=(refreshInterval:(display:Off,pause:!f,section:0,value:0),time:(from:'2017-02-05T20:42:45-0700',mode:absolute,to:'2017-02-05T23:35: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143" s="192" t="str">
        <f t="shared" si="59"/>
        <v>N</v>
      </c>
      <c r="X143" s="192">
        <f t="shared" si="49"/>
        <v>1</v>
      </c>
      <c r="Y143" s="62">
        <f t="shared" si="60"/>
        <v>23.299299999999999</v>
      </c>
      <c r="Z143" s="62">
        <f t="shared" si="61"/>
        <v>1.61E-2</v>
      </c>
      <c r="AA143" s="62">
        <f t="shared" si="62"/>
        <v>23.283199999999997</v>
      </c>
      <c r="AB143" s="59" t="e">
        <f>VLOOKUP(A143,Enforcements!$C$7:$K$16,8,0)</f>
        <v>#N/A</v>
      </c>
      <c r="AC143" s="55" t="e">
        <f>VLOOKUP(A143,Enforcements!$C$7:$E$16,3,0)</f>
        <v>#N/A</v>
      </c>
      <c r="AD143" s="56" t="str">
        <f t="shared" si="63"/>
        <v>0230-05</v>
      </c>
      <c r="AE143" s="85" t="str">
        <f t="shared" si="64"/>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143" s="82" t="str">
        <f t="shared" si="65"/>
        <v>"C:\Program Files (x86)\AstroGrep\AstroGrep.exe" /spath="%USERPROFILE%\AppData\Local\Temp\OnboardLogs" /stypes="app*4032*20170206*" /stext=" 05:.+((SYSTEM_STATE.+slice.+state.+changed )|(ment ac)|(multiple cpu faults)|(system.+state.+changed )|(\[timeout)|(PRM\|1\|D)|(kpr)|(kdp)|(\|lc)|(penalty))" /e /r /s</v>
      </c>
      <c r="AG143" s="1" t="str">
        <f t="shared" si="66"/>
        <v>EC</v>
      </c>
      <c r="AH143" s="86" t="str">
        <f t="shared" si="51"/>
        <v>"%USERPROFILE%\Documents\GitHub\eaglep3\Utilities\RefineRTDCRunTimes.py" --tripid 230-05 --locoid 4032 --swversion DE.1.0.8.0 --startMP 204:232993 --initTime 2017-02-05T21:42:45 --startdatetime 2017-02-05T21:56:18 --delay 2 --endMP 204:161 --enddatetime 2017-02-05T22:35:45 --enforcementcount 0 &gt;&gt;C:\Users\stu\Documents\GitHub\eaglep3-reporting\EC\2017-02-05-refined-times.txt</v>
      </c>
      <c r="AI143" s="108" t="str">
        <f t="shared" si="52"/>
        <v>echo {"issue":{"subject":"","project_id":79,"tracker_id":40,"status_id":1,"priority_id":2,"assigned_to_id":23,"start_date":"2017-02-05","description":"","custom_fields":[{"id":1,"name":"Subdivision","value":"EC"},{"id":4,"name":"Milepost","value":"0.0161"},{"id":17,"name":"Train ID","value":"230-05"},{"id":16,"name":"Locomotive ID","value":"4032"},{"id":130,"name":"Impact","value":""},{"id":150,"name":"Time of Event (Mountain Time)","value":"22:35:45"},{"id":151,"name":"Denver Issue ID","value":""},{"id":178,"name":"Operational Impact","value":"Yes"},{"id":179,"name":"Denver Segment Assigned","value":""}]}} | curl -X POST -H "Content-Type: application/json" -H "X-Redmine-API-Key: d6333d4a04012a730768444271f8ca06482dae87" https://secure.xorail.net/redmine/issues.json --data @-</v>
      </c>
      <c r="AJ143" s="48"/>
      <c r="AK143" s="48"/>
      <c r="AL143" s="48"/>
      <c r="AM143" s="158" t="str">
        <f t="shared" si="53"/>
        <v>start /low /b %USERPROFILE%\Documents\GitHub\eaglep3\Utilities\DownloadLogsFromS3.py --loco 4032 --day 2017-02-05</v>
      </c>
      <c r="AN143" s="167" t="str">
        <f>"grep -SE -B400 ""CHR.+\|PRM\|1\|D.+(SWITCH|SIGNAL).+UNKNOWN"" "&amp;search_path&amp;"\RTDC"&amp;B143&amp;"\*"&amp;B143&amp;"*"&amp;TEXT(AVERAGE(F143,I143)-utc_offset/24,"YYYYMMDD")&amp;"* | grep -SE ""(Enforcement Action)|(\[TIMEOUT)|(CHR.+\|PRM\|1\|D.+(SWITCH|SIGNAL).+UNKNOWN)"" - &gt;&gt; "&amp;TEXT(Variables!$A$2,"YYYY-MM-DD")&amp;"-UncaughtWiMAX.txt"</f>
        <v>grep -SE -B400 "CHR.+\|PRM\|1\|D.+(SWITCH|SIGNAL).+UNKNOWN" "%USERPROFILE%\AppData\Local\Temp\OnboardLogs"\RTDC4032\*4032*20170206* | grep -SE "(Enforcement Action)|(\[TIMEOUT)|(CHR.+\|PRM\|1\|D.+(SWITCH|SIGNAL).+UNKNOWN)" - &gt;&gt; 2017-02-05-UncaughtWiMAX.txt</v>
      </c>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1:91" s="20" customFormat="1" x14ac:dyDescent="0.25">
      <c r="A144" s="33" t="s">
        <v>718</v>
      </c>
      <c r="B144" s="7">
        <v>4038</v>
      </c>
      <c r="C144" s="21" t="s">
        <v>193</v>
      </c>
      <c r="D144" s="21" t="s">
        <v>399</v>
      </c>
      <c r="E144" s="13">
        <v>42771.880254629628</v>
      </c>
      <c r="F144" s="13">
        <v>42771.896273148152</v>
      </c>
      <c r="G144" s="7">
        <v>1</v>
      </c>
      <c r="H144" s="21" t="s">
        <v>416</v>
      </c>
      <c r="I144" s="13">
        <v>42771.920590277776</v>
      </c>
      <c r="J144" s="7">
        <v>0</v>
      </c>
      <c r="K144" s="98" t="str">
        <f t="shared" si="54"/>
        <v>4037/4038</v>
      </c>
      <c r="L144" s="21" t="str">
        <f>VLOOKUP(A144,'Trips&amp;Operators'!$C$1:$G$99999,5,FALSE)</f>
        <v>NEWELL JAMES</v>
      </c>
      <c r="M144" s="6">
        <f t="shared" si="55"/>
        <v>2.4317129624250811E-2</v>
      </c>
      <c r="N144" s="7">
        <f t="shared" si="50"/>
        <v>35.016666658921167</v>
      </c>
      <c r="O144" s="7"/>
      <c r="P144" s="7"/>
      <c r="Q144" s="22"/>
      <c r="R144" s="22"/>
      <c r="S144" s="31">
        <f t="shared" si="56"/>
        <v>1</v>
      </c>
      <c r="T144" s="46" t="str">
        <f t="shared" si="57"/>
        <v>NorthBound</v>
      </c>
      <c r="U144" s="190">
        <f>IF(AG144="EC",COUNTIFS(Variables!$M$2:$M$19,IF(T144="NorthBound","&gt;=","&lt;=")&amp;Y144,Variables!$M$2:$M$19,IF(T144="NorthBound","&lt;=","&gt;=")&amp;Z144),COUNTIFS(Variables!$P$2:$P$19,IF(T144="NorthBound","&gt;=","&lt;=")&amp;Y144,Variables!$P$2:$P$19,IF(T144="NorthBound","&lt;=","&gt;=")&amp;Z144))</f>
        <v>12</v>
      </c>
      <c r="V144" s="191" t="str">
        <f t="shared" si="58"/>
        <v>https://d0f6bd738d7f1b3e5a7ca70fe4ff75f0.us-east-1.aws.found.io/app/kibana#/discover/Steve-Slow-Train-Analysis-(2080s-and-2083s)?_g=(refreshInterval:(display:Off,pause:!f,section:0,value:0),time:(from:'2017-02-05T20:07:34-0700',mode:absolute,to:'2017-02-05T23:05: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144" s="192" t="str">
        <f t="shared" si="59"/>
        <v>N</v>
      </c>
      <c r="X144" s="192">
        <f t="shared" si="49"/>
        <v>1</v>
      </c>
      <c r="Y144" s="62">
        <f t="shared" si="60"/>
        <v>4.6399999999999997E-2</v>
      </c>
      <c r="Z144" s="62">
        <f t="shared" si="61"/>
        <v>23.331399999999999</v>
      </c>
      <c r="AA144" s="62">
        <f t="shared" si="62"/>
        <v>23.285</v>
      </c>
      <c r="AB144" s="59" t="e">
        <f>VLOOKUP(A144,Enforcements!$C$7:$K$16,8,0)</f>
        <v>#N/A</v>
      </c>
      <c r="AC144" s="55" t="e">
        <f>VLOOKUP(A144,Enforcements!$C$7:$E$16,3,0)</f>
        <v>#N/A</v>
      </c>
      <c r="AD144" s="56" t="str">
        <f t="shared" si="63"/>
        <v>0231-05</v>
      </c>
      <c r="AE144" s="85" t="str">
        <f t="shared" si="64"/>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144" s="82" t="str">
        <f t="shared" si="65"/>
        <v>"C:\Program Files (x86)\AstroGrep\AstroGrep.exe" /spath="%USERPROFILE%\AppData\Local\Temp\OnboardLogs" /stypes="app*4038*20170206*" /stext=" 05:.+((SYSTEM_STATE.+slice.+state.+changed )|(ment ac)|(multiple cpu faults)|(system.+state.+changed )|(\[timeout)|(PRM\|1\|D)|(kpr)|(kdp)|(\|lc)|(penalty))" /e /r /s</v>
      </c>
      <c r="AG144" s="1" t="str">
        <f t="shared" si="66"/>
        <v>EC</v>
      </c>
      <c r="AH144" s="86" t="str">
        <f t="shared" si="51"/>
        <v>"%USERPROFILE%\Documents\GitHub\eaglep3\Utilities\RefineRTDCRunTimes.py" --tripid 231-05 --locoid 4038 --swversion DE.1.0.8.0 --startMP 204:464 --initTime 2017-02-05T21:07:34 --startdatetime 2017-02-05T21:30:38 --delay 1 --endMP 204:233314 --enddatetime 2017-02-05T22:05:39 --enforcementcount 0 &gt;&gt;C:\Users\stu\Documents\GitHub\eaglep3-reporting\EC\2017-02-05-refined-times.txt</v>
      </c>
      <c r="AI144" s="108" t="str">
        <f t="shared" si="52"/>
        <v>echo {"issue":{"subject":"","project_id":79,"tracker_id":40,"status_id":1,"priority_id":2,"assigned_to_id":23,"start_date":"2017-02-05","description":"","custom_fields":[{"id":1,"name":"Subdivision","value":"EC"},{"id":4,"name":"Milepost","value":"23.3314"},{"id":17,"name":"Train ID","value":"231-05"},{"id":16,"name":"Locomotive ID","value":"4038"},{"id":130,"name":"Impact","value":""},{"id":150,"name":"Time of Event (Mountain Time)","value":"22:05:39"},{"id":151,"name":"Denver Issue ID","value":""},{"id":178,"name":"Operational Impact","value":"Yes"},{"id":179,"name":"Denver Segment Assigned","value":""}]}} | curl -X POST -H "Content-Type: application/json" -H "X-Redmine-API-Key: d6333d4a04012a730768444271f8ca06482dae87" https://secure.xorail.net/redmine/issues.json --data @-</v>
      </c>
      <c r="AJ144" s="48"/>
      <c r="AK144" s="48"/>
      <c r="AL144" s="48"/>
      <c r="AM144" s="158" t="str">
        <f t="shared" si="53"/>
        <v>start /low /b %USERPROFILE%\Documents\GitHub\eaglep3\Utilities\DownloadLogsFromS3.py --loco 4038 --day 2017-02-05</v>
      </c>
      <c r="AN144" s="167" t="str">
        <f>"grep -SE -B400 ""CHR.+\|PRM\|1\|D.+(SWITCH|SIGNAL).+UNKNOWN"" "&amp;search_path&amp;"\RTDC"&amp;B144&amp;"\*"&amp;B144&amp;"*"&amp;TEXT(AVERAGE(F144,I144)-utc_offset/24,"YYYYMMDD")&amp;"* | grep -SE ""(Enforcement Action)|(\[TIMEOUT)|(CHR.+\|PRM\|1\|D.+(SWITCH|SIGNAL).+UNKNOWN)"" - &gt;&gt; "&amp;TEXT(Variables!$A$2,"YYYY-MM-DD")&amp;"-UncaughtWiMAX.txt"</f>
        <v>grep -SE -B400 "CHR.+\|PRM\|1\|D.+(SWITCH|SIGNAL).+UNKNOWN" "%USERPROFILE%\AppData\Local\Temp\OnboardLogs"\RTDC4038\*4038*20170206* | grep -SE "(Enforcement Action)|(\[TIMEOUT)|(CHR.+\|PRM\|1\|D.+(SWITCH|SIGNAL).+UNKNOWN)" - &gt;&gt; 2017-02-05-UncaughtWiMAX.txt</v>
      </c>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s="20" customFormat="1" x14ac:dyDescent="0.25">
      <c r="A145" s="33" t="s">
        <v>724</v>
      </c>
      <c r="B145" s="7">
        <v>4037</v>
      </c>
      <c r="C145" s="21" t="s">
        <v>193</v>
      </c>
      <c r="D145" s="21" t="s">
        <v>845</v>
      </c>
      <c r="E145" s="13">
        <v>42771.922303240739</v>
      </c>
      <c r="F145" s="13">
        <v>42771.934907407405</v>
      </c>
      <c r="G145" s="7">
        <v>1</v>
      </c>
      <c r="H145" s="21" t="s">
        <v>213</v>
      </c>
      <c r="I145" s="13">
        <v>42771.96465277778</v>
      </c>
      <c r="J145" s="7">
        <v>0</v>
      </c>
      <c r="K145" s="98" t="str">
        <f t="shared" si="54"/>
        <v>4037/4038</v>
      </c>
      <c r="L145" s="21" t="str">
        <f>VLOOKUP(A145,'Trips&amp;Operators'!$C$1:$G$99999,5,FALSE)</f>
        <v>NEWELL JAMES</v>
      </c>
      <c r="M145" s="6">
        <f t="shared" si="55"/>
        <v>2.9745370375167113E-2</v>
      </c>
      <c r="N145" s="7">
        <f t="shared" si="50"/>
        <v>42.833333340240642</v>
      </c>
      <c r="O145" s="7"/>
      <c r="P145" s="7"/>
      <c r="Q145" s="22"/>
      <c r="R145" s="22"/>
      <c r="S145" s="31">
        <f t="shared" si="56"/>
        <v>1</v>
      </c>
      <c r="T145" s="46" t="str">
        <f t="shared" si="57"/>
        <v>Southbound</v>
      </c>
      <c r="U145" s="190">
        <f>IF(AG145="EC",COUNTIFS(Variables!$M$2:$M$19,IF(T145="NorthBound","&gt;=","&lt;=")&amp;Y145,Variables!$M$2:$M$19,IF(T145="NorthBound","&lt;=","&gt;=")&amp;Z145),COUNTIFS(Variables!$P$2:$P$19,IF(T145="NorthBound","&gt;=","&lt;=")&amp;Y145,Variables!$P$2:$P$19,IF(T145="NorthBound","&lt;=","&gt;=")&amp;Z145))</f>
        <v>12</v>
      </c>
      <c r="V145" s="191" t="str">
        <f t="shared" si="58"/>
        <v>https://d0f6bd738d7f1b3e5a7ca70fe4ff75f0.us-east-1.aws.found.io/app/kibana#/discover/Steve-Slow-Train-Analysis-(2080s-and-2083s)?_g=(refreshInterval:(display:Off,pause:!f,section:0,value:0),time:(from:'2017-02-05T21:08:07-0700',mode:absolute,to:'2017-02-06T00:09:06-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145" s="192" t="str">
        <f t="shared" si="59"/>
        <v>N</v>
      </c>
      <c r="X145" s="192">
        <f t="shared" si="49"/>
        <v>1</v>
      </c>
      <c r="Y145" s="62">
        <f t="shared" si="60"/>
        <v>23.2989</v>
      </c>
      <c r="Z145" s="62">
        <f t="shared" si="61"/>
        <v>1.5800000000000002E-2</v>
      </c>
      <c r="AA145" s="62">
        <f t="shared" si="62"/>
        <v>23.283100000000001</v>
      </c>
      <c r="AB145" s="59" t="e">
        <f>VLOOKUP(A145,Enforcements!$C$7:$K$16,8,0)</f>
        <v>#N/A</v>
      </c>
      <c r="AC145" s="55" t="e">
        <f>VLOOKUP(A145,Enforcements!$C$7:$E$16,3,0)</f>
        <v>#N/A</v>
      </c>
      <c r="AD145" s="56" t="str">
        <f t="shared" si="63"/>
        <v>0232-05</v>
      </c>
      <c r="AE145" s="85" t="str">
        <f t="shared" si="64"/>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145" s="82" t="str">
        <f t="shared" si="65"/>
        <v>"C:\Program Files (x86)\AstroGrep\AstroGrep.exe" /spath="%USERPROFILE%\AppData\Local\Temp\OnboardLogs" /stypes="app*4037*20170206*" /stext=" 06:.+((SYSTEM_STATE.+slice.+state.+changed )|(ment ac)|(multiple cpu faults)|(system.+state.+changed )|(\[timeout)|(PRM\|1\|D)|(kpr)|(kdp)|(\|lc)|(penalty))" /e /r /s</v>
      </c>
      <c r="AG145" s="1" t="str">
        <f t="shared" si="66"/>
        <v>EC</v>
      </c>
      <c r="AH145" s="86" t="str">
        <f t="shared" si="51"/>
        <v>"%USERPROFILE%\Documents\GitHub\eaglep3\Utilities\RefineRTDCRunTimes.py" --tripid 232-05 --locoid 4037 --swversion DE.1.0.8.0 --startMP 204:232989 --initTime 2017-02-05T22:08:07 --startdatetime 2017-02-05T22:26:16 --delay 1 --endMP 204:158 --enddatetime 2017-02-05T23:09:06 --enforcementcount 0 &gt;&gt;C:\Users\stu\Documents\GitHub\eaglep3-reporting\EC\2017-02-05-refined-times.txt</v>
      </c>
      <c r="AI145" s="108" t="str">
        <f t="shared" si="52"/>
        <v>echo {"issue":{"subject":"","project_id":79,"tracker_id":40,"status_id":1,"priority_id":2,"assigned_to_id":23,"start_date":"2017-02-05","description":"","custom_fields":[{"id":1,"name":"Subdivision","value":"EC"},{"id":4,"name":"Milepost","value":"0.0158"},{"id":17,"name":"Train ID","value":"232-05"},{"id":16,"name":"Locomotive ID","value":"4037"},{"id":130,"name":"Impact","value":""},{"id":150,"name":"Time of Event (Mountain Time)","value":"23:09:06"},{"id":151,"name":"Denver Issue ID","value":""},{"id":178,"name":"Operational Impact","value":"Yes"},{"id":179,"name":"Denver Segment Assigned","value":""}]}} | curl -X POST -H "Content-Type: application/json" -H "X-Redmine-API-Key: d6333d4a04012a730768444271f8ca06482dae87" https://secure.xorail.net/redmine/issues.json --data @-</v>
      </c>
      <c r="AJ145" s="48"/>
      <c r="AK145" s="48"/>
      <c r="AL145" s="48"/>
      <c r="AM145" s="158" t="str">
        <f t="shared" si="53"/>
        <v>start /low /b %USERPROFILE%\Documents\GitHub\eaglep3\Utilities\DownloadLogsFromS3.py --loco 4037 --day 2017-02-05</v>
      </c>
      <c r="AN145" s="167" t="str">
        <f>"grep -SE -B400 ""CHR.+\|PRM\|1\|D.+(SWITCH|SIGNAL).+UNKNOWN"" "&amp;search_path&amp;"\RTDC"&amp;B145&amp;"\*"&amp;B145&amp;"*"&amp;TEXT(AVERAGE(F145,I145)-utc_offset/24,"YYYYMMDD")&amp;"* | grep -SE ""(Enforcement Action)|(\[TIMEOUT)|(CHR.+\|PRM\|1\|D.+(SWITCH|SIGNAL).+UNKNOWN)"" - &gt;&gt; "&amp;TEXT(Variables!$A$2,"YYYY-MM-DD")&amp;"-UncaughtWiMAX.txt"</f>
        <v>grep -SE -B400 "CHR.+\|PRM\|1\|D.+(SWITCH|SIGNAL).+UNKNOWN" "%USERPROFILE%\AppData\Local\Temp\OnboardLogs"\RTDC4037\*4037*20170206* | grep -SE "(Enforcement Action)|(\[TIMEOUT)|(CHR.+\|PRM\|1\|D.+(SWITCH|SIGNAL).+UNKNOWN)" - &gt;&gt; 2017-02-05-UncaughtWiMAX.txt</v>
      </c>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spans="1:91" s="20" customFormat="1" x14ac:dyDescent="0.25">
      <c r="A146" s="33" t="s">
        <v>723</v>
      </c>
      <c r="B146" s="7">
        <v>4016</v>
      </c>
      <c r="C146" s="21" t="s">
        <v>193</v>
      </c>
      <c r="D146" s="21" t="s">
        <v>847</v>
      </c>
      <c r="E146" s="13">
        <v>42771.918495370373</v>
      </c>
      <c r="F146" s="13">
        <v>42771.916944444441</v>
      </c>
      <c r="G146" s="7">
        <v>0</v>
      </c>
      <c r="H146" s="21" t="s">
        <v>321</v>
      </c>
      <c r="I146" s="13">
        <v>42771.944004629629</v>
      </c>
      <c r="J146" s="7">
        <v>0</v>
      </c>
      <c r="K146" s="98" t="str">
        <f t="shared" si="54"/>
        <v>4015/4016</v>
      </c>
      <c r="L146" s="21" t="str">
        <f>VLOOKUP(A146,'Trips&amp;Operators'!$C$1:$G$99999,5,FALSE)</f>
        <v>SMITH MICHAEL</v>
      </c>
      <c r="M146" s="6">
        <f t="shared" si="55"/>
        <v>2.7060185188020114E-2</v>
      </c>
      <c r="N146" s="7">
        <f t="shared" si="50"/>
        <v>38.966666670748964</v>
      </c>
      <c r="O146" s="7"/>
      <c r="P146" s="7"/>
      <c r="Q146" s="22"/>
      <c r="R146" s="22" t="s">
        <v>906</v>
      </c>
      <c r="S146" s="31">
        <f t="shared" si="56"/>
        <v>1</v>
      </c>
      <c r="T146" s="46" t="str">
        <f t="shared" si="57"/>
        <v>NorthBound</v>
      </c>
      <c r="U146" s="190">
        <f>IF(AG146="EC",COUNTIFS(Variables!$M$2:$M$19,IF(T146="NorthBound","&gt;=","&lt;=")&amp;Y146,Variables!$M$2:$M$19,IF(T146="NorthBound","&lt;=","&gt;=")&amp;Z146),COUNTIFS(Variables!$P$2:$P$19,IF(T146="NorthBound","&gt;=","&lt;=")&amp;Y146,Variables!$P$2:$P$19,IF(T146="NorthBound","&lt;=","&gt;=")&amp;Z146))</f>
        <v>12</v>
      </c>
      <c r="V146" s="191" t="str">
        <f t="shared" si="58"/>
        <v>https://d0f6bd738d7f1b3e5a7ca70fe4ff75f0.us-east-1.aws.found.io/app/kibana#/discover/Steve-Slow-Train-Analysis-(2080s-and-2083s)?_g=(refreshInterval:(display:Off,pause:!f,section:0,value:0),time:(from:'2017-02-05T21:02:38-0700',mode:absolute,to:'2017-02-05T23:39: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46" s="192" t="str">
        <f t="shared" si="59"/>
        <v>N</v>
      </c>
      <c r="X146" s="192">
        <f t="shared" ref="X146:X147" si="67">VALUE(LEFT(AD146,4))-VALUE(LEFT(AD145,4))</f>
        <v>1</v>
      </c>
      <c r="Y146" s="62">
        <f t="shared" si="60"/>
        <v>9.2499999999999999E-2</v>
      </c>
      <c r="Z146" s="62">
        <f t="shared" si="61"/>
        <v>23.3291</v>
      </c>
      <c r="AA146" s="62">
        <f t="shared" si="62"/>
        <v>23.236599999999999</v>
      </c>
      <c r="AB146" s="59" t="e">
        <f>VLOOKUP(A146,Enforcements!$C$7:$K$16,8,0)</f>
        <v>#N/A</v>
      </c>
      <c r="AC146" s="55" t="e">
        <f>VLOOKUP(A146,Enforcements!$C$7:$E$16,3,0)</f>
        <v>#N/A</v>
      </c>
      <c r="AD146" s="56" t="str">
        <f t="shared" si="63"/>
        <v>0233-05</v>
      </c>
      <c r="AE146" s="85" t="str">
        <f t="shared" si="64"/>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146" s="82" t="str">
        <f t="shared" si="65"/>
        <v>"C:\Program Files (x86)\AstroGrep\AstroGrep.exe" /spath="%USERPROFILE%\AppData\Local\Temp\OnboardLogs" /stypes="app*4016*20170206*" /stext=" 05:.+((SYSTEM_STATE.+slice.+state.+changed )|(ment ac)|(multiple cpu faults)|(system.+state.+changed )|(\[timeout)|(PRM\|1\|D)|(kpr)|(kdp)|(\|lc)|(penalty))" /e /r /s</v>
      </c>
      <c r="AG146" s="1" t="str">
        <f t="shared" si="66"/>
        <v>EC</v>
      </c>
      <c r="AH146" s="86" t="str">
        <f t="shared" si="51"/>
        <v>"%USERPROFILE%\Documents\GitHub\eaglep3\Utilities\RefineRTDCRunTimes.py" --tripid 233-05 --locoid 4016 --swversion DE.1.0.8.0 --startMP 204:925 --initTime 2017-02-05T22:02:38 --startdatetime 2017-02-05T22:00:24 --delay 0 --endMP 204:233291 --enddatetime 2017-02-05T22:39:22 --enforcementcount 0 &gt;&gt;C:\Users\stu\Documents\GitHub\eaglep3-reporting\EC\2017-02-05-refined-times.txt</v>
      </c>
      <c r="AI146" s="108" t="str">
        <f t="shared" si="52"/>
        <v>echo {"issue":{"subject":"Delayed due to selecting wrong track","project_id":79,"tracker_id":40,"status_id":1,"priority_id":2,"assigned_to_id":23,"start_date":"2017-02-05","description":"","custom_fields":[{"id":1,"name":"Subdivision","value":"EC"},{"id":4,"name":"Milepost","value":"23.3291"},{"id":17,"name":"Train ID","value":"233-05"},{"id":16,"name":"Locomotive ID","value":"4016"},{"id":130,"name":"Impact","value":""},{"id":150,"name":"Time of Event (Mountain Time)","value":"22:39:22"},{"id":151,"name":"Denver Issue ID","value":""},{"id":178,"name":"Operational Impact","value":"Yes"},{"id":179,"name":"Denver Segment Assigned","value":""}]}} | curl -X POST -H "Content-Type: application/json" -H "X-Redmine-API-Key: d6333d4a04012a730768444271f8ca06482dae87" https://secure.xorail.net/redmine/issues.json --data @-</v>
      </c>
      <c r="AJ146" s="48"/>
      <c r="AK146" s="48"/>
      <c r="AL146" s="48"/>
      <c r="AM146" s="158" t="str">
        <f t="shared" si="53"/>
        <v>start /low /b %USERPROFILE%\Documents\GitHub\eaglep3\Utilities\DownloadLogsFromS3.py --loco 4016 --day 2017-02-05</v>
      </c>
      <c r="AN146" s="167" t="str">
        <f>"grep -SE -B400 ""CHR.+\|PRM\|1\|D.+(SWITCH|SIGNAL).+UNKNOWN"" "&amp;search_path&amp;"\RTDC"&amp;B146&amp;"\*"&amp;B146&amp;"*"&amp;TEXT(AVERAGE(F146,I146)-utc_offset/24,"YYYYMMDD")&amp;"* | grep -SE ""(Enforcement Action)|(\[TIMEOUT)|(CHR.+\|PRM\|1\|D.+(SWITCH|SIGNAL).+UNKNOWN)"" - &gt;&gt; "&amp;TEXT(Variables!$A$2,"YYYY-MM-DD")&amp;"-UncaughtWiMAX.txt"</f>
        <v>grep -SE -B400 "CHR.+\|PRM\|1\|D.+(SWITCH|SIGNAL).+UNKNOWN" "%USERPROFILE%\AppData\Local\Temp\OnboardLogs"\RTDC4016\*4016*20170206* | grep -SE "(Enforcement Action)|(\[TIMEOUT)|(CHR.+\|PRM\|1\|D.+(SWITCH|SIGNAL).+UNKNOWN)" - &gt;&gt; 2017-02-05-UncaughtWiMAX.txt</v>
      </c>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1:91" s="20" customFormat="1" x14ac:dyDescent="0.25">
      <c r="A147" s="33" t="s">
        <v>520</v>
      </c>
      <c r="B147" s="7">
        <v>4015</v>
      </c>
      <c r="C147" s="21" t="s">
        <v>193</v>
      </c>
      <c r="D147" s="21" t="s">
        <v>848</v>
      </c>
      <c r="E147" s="13">
        <v>42771.946701388886</v>
      </c>
      <c r="F147" s="13">
        <v>42771.955787037034</v>
      </c>
      <c r="G147" s="7">
        <v>1</v>
      </c>
      <c r="H147" s="21" t="s">
        <v>212</v>
      </c>
      <c r="I147" s="13">
        <v>42771.984479166669</v>
      </c>
      <c r="J147" s="7">
        <v>0</v>
      </c>
      <c r="K147" s="98" t="str">
        <f t="shared" si="54"/>
        <v>4015/4016</v>
      </c>
      <c r="L147" s="21" t="str">
        <f>VLOOKUP(A147,'Trips&amp;Operators'!$C$1:$G$99999,5,FALSE)</f>
        <v>SMITH MICHAEL</v>
      </c>
      <c r="M147" s="6">
        <f t="shared" si="55"/>
        <v>2.8692129635601304E-2</v>
      </c>
      <c r="N147" s="7">
        <f t="shared" si="50"/>
        <v>41.316666675265878</v>
      </c>
      <c r="O147" s="7"/>
      <c r="P147" s="7"/>
      <c r="Q147" s="22"/>
      <c r="R147" s="22"/>
      <c r="S147" s="31">
        <f t="shared" si="56"/>
        <v>1</v>
      </c>
      <c r="T147" s="46" t="str">
        <f t="shared" si="57"/>
        <v>Southbound</v>
      </c>
      <c r="U147" s="190">
        <f>IF(AG147="EC",COUNTIFS(Variables!$M$2:$M$19,IF(T147="NorthBound","&gt;=","&lt;=")&amp;Y147,Variables!$M$2:$M$19,IF(T147="NorthBound","&lt;=","&gt;=")&amp;Z147),COUNTIFS(Variables!$P$2:$P$19,IF(T147="NorthBound","&gt;=","&lt;=")&amp;Y147,Variables!$P$2:$P$19,IF(T147="NorthBound","&lt;=","&gt;=")&amp;Z147))</f>
        <v>12</v>
      </c>
      <c r="V147" s="191" t="str">
        <f t="shared" si="58"/>
        <v>https://d0f6bd738d7f1b3e5a7ca70fe4ff75f0.us-east-1.aws.found.io/app/kibana#/discover/Steve-Slow-Train-Analysis-(2080s-and-2083s)?_g=(refreshInterval:(display:Off,pause:!f,section:0,value:0),time:(from:'2017-02-05T21:43:15-0700',mode:absolute,to:'2017-02-06T00:37: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47" s="192" t="str">
        <f t="shared" si="59"/>
        <v>N</v>
      </c>
      <c r="X147" s="192">
        <f t="shared" si="67"/>
        <v>1</v>
      </c>
      <c r="Y147" s="62">
        <f t="shared" si="60"/>
        <v>23.296900000000001</v>
      </c>
      <c r="Z147" s="62">
        <f t="shared" si="61"/>
        <v>1.52E-2</v>
      </c>
      <c r="AA147" s="62">
        <f t="shared" si="62"/>
        <v>23.281700000000001</v>
      </c>
      <c r="AB147" s="59" t="e">
        <f>VLOOKUP(A147,Enforcements!$C$7:$K$16,8,0)</f>
        <v>#N/A</v>
      </c>
      <c r="AC147" s="55" t="e">
        <f>VLOOKUP(A147,Enforcements!$C$7:$E$16,3,0)</f>
        <v>#N/A</v>
      </c>
      <c r="AD147" s="56" t="str">
        <f t="shared" si="63"/>
        <v>0234-05</v>
      </c>
      <c r="AE147" s="85" t="str">
        <f t="shared" si="64"/>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147" s="82" t="str">
        <f t="shared" si="65"/>
        <v>"C:\Program Files (x86)\AstroGrep\AstroGrep.exe" /spath="%USERPROFILE%\AppData\Local\Temp\OnboardLogs" /stypes="app*4015*20170206*" /stext=" 06:.+((SYSTEM_STATE.+slice.+state.+changed )|(ment ac)|(multiple cpu faults)|(system.+state.+changed )|(\[timeout)|(PRM\|1\|D)|(kpr)|(kdp)|(\|lc)|(penalty))" /e /r /s</v>
      </c>
      <c r="AG147" s="1" t="str">
        <f t="shared" si="66"/>
        <v>EC</v>
      </c>
      <c r="AH147" s="86" t="str">
        <f t="shared" si="51"/>
        <v>"%USERPROFILE%\Documents\GitHub\eaglep3\Utilities\RefineRTDCRunTimes.py" --tripid 234-05 --locoid 4015 --swversion DE.1.0.8.0 --startMP 204:232969 --initTime 2017-02-05T22:43:15 --startdatetime 2017-02-05T22:56:20 --delay 1 --endMP 204:152 --enddatetime 2017-02-05T23:37:39 --enforcementcount 0 &gt;&gt;C:\Users\stu\Documents\GitHub\eaglep3-reporting\EC\2017-02-05-refined-times.txt</v>
      </c>
      <c r="AI147" s="108" t="str">
        <f t="shared" si="52"/>
        <v>echo {"issue":{"subject":"","project_id":79,"tracker_id":40,"status_id":1,"priority_id":2,"assigned_to_id":23,"start_date":"2017-02-05","description":"","custom_fields":[{"id":1,"name":"Subdivision","value":"EC"},{"id":4,"name":"Milepost","value":"0.0152"},{"id":17,"name":"Train ID","value":"234-05"},{"id":16,"name":"Locomotive ID","value":"4015"},{"id":130,"name":"Impact","value":""},{"id":150,"name":"Time of Event (Mountain Time)","value":"23:37:39"},{"id":151,"name":"Denver Issue ID","value":""},{"id":178,"name":"Operational Impact","value":"Yes"},{"id":179,"name":"Denver Segment Assigned","value":""}]}} | curl -X POST -H "Content-Type: application/json" -H "X-Redmine-API-Key: d6333d4a04012a730768444271f8ca06482dae87" https://secure.xorail.net/redmine/issues.json --data @-</v>
      </c>
      <c r="AJ147" s="48"/>
      <c r="AK147" s="48"/>
      <c r="AL147" s="48"/>
      <c r="AM147" s="158" t="str">
        <f t="shared" si="53"/>
        <v>start /low /b %USERPROFILE%\Documents\GitHub\eaglep3\Utilities\DownloadLogsFromS3.py --loco 4015 --day 2017-02-05</v>
      </c>
      <c r="AN147" s="167" t="str">
        <f>"grep -SE -B400 ""CHR.+\|PRM\|1\|D.+(SWITCH|SIGNAL).+UNKNOWN"" "&amp;search_path&amp;"\RTDC"&amp;B147&amp;"\*"&amp;B147&amp;"*"&amp;TEXT(AVERAGE(F147,I147)-utc_offset/24,"YYYYMMDD")&amp;"* | grep -SE ""(Enforcement Action)|(\[TIMEOUT)|(CHR.+\|PRM\|1\|D.+(SWITCH|SIGNAL).+UNKNOWN)"" - &gt;&gt; "&amp;TEXT(Variables!$A$2,"YYYY-MM-DD")&amp;"-UncaughtWiMAX.txt"</f>
        <v>grep -SE -B400 "CHR.+\|PRM\|1\|D.+(SWITCH|SIGNAL).+UNKNOWN" "%USERPROFILE%\AppData\Local\Temp\OnboardLogs"\RTDC4015\*4015*20170206* | grep -SE "(Enforcement Action)|(\[TIMEOUT)|(CHR.+\|PRM\|1\|D.+(SWITCH|SIGNAL).+UNKNOWN)" - &gt;&gt; 2017-02-05-UncaughtWiMAX.txt</v>
      </c>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spans="1:91" s="20" customFormat="1" x14ac:dyDescent="0.25">
      <c r="A148" s="33" t="s">
        <v>726</v>
      </c>
      <c r="B148" s="7">
        <v>4022</v>
      </c>
      <c r="C148" s="21" t="s">
        <v>193</v>
      </c>
      <c r="D148" s="21" t="s">
        <v>211</v>
      </c>
      <c r="E148" s="13">
        <v>42771.930474537039</v>
      </c>
      <c r="F148" s="13">
        <v>42771.937731481485</v>
      </c>
      <c r="G148" s="7">
        <v>1</v>
      </c>
      <c r="H148" s="21" t="s">
        <v>849</v>
      </c>
      <c r="I148" s="13">
        <v>42771.969178240739</v>
      </c>
      <c r="J148" s="7">
        <v>0</v>
      </c>
      <c r="K148" s="98" t="str">
        <f t="shared" si="54"/>
        <v>4021/4022</v>
      </c>
      <c r="L148" s="21" t="str">
        <f>VLOOKUP(A148,'Trips&amp;Operators'!$C$1:$G$99999,5,FALSE)</f>
        <v>YANG JAN</v>
      </c>
      <c r="M148" s="6">
        <f t="shared" si="55"/>
        <v>3.1446759254322387E-2</v>
      </c>
      <c r="N148" s="7">
        <f t="shared" si="50"/>
        <v>45.283333326224238</v>
      </c>
      <c r="O148" s="7"/>
      <c r="P148" s="7"/>
      <c r="Q148" s="22"/>
      <c r="R148" s="22"/>
      <c r="S148" s="31">
        <f t="shared" si="56"/>
        <v>1</v>
      </c>
      <c r="T148" s="46" t="str">
        <f t="shared" si="57"/>
        <v>NorthBound</v>
      </c>
      <c r="U148" s="190">
        <f>IF(AG148="EC",COUNTIFS(Variables!$M$2:$M$19,IF(T148="NorthBound","&gt;=","&lt;=")&amp;Y148,Variables!$M$2:$M$19,IF(T148="NorthBound","&lt;=","&gt;=")&amp;Z148),COUNTIFS(Variables!$P$2:$P$19,IF(T148="NorthBound","&gt;=","&lt;=")&amp;Y148,Variables!$P$2:$P$19,IF(T148="NorthBound","&lt;=","&gt;=")&amp;Z148))</f>
        <v>12</v>
      </c>
      <c r="V148" s="191" t="str">
        <f t="shared" si="58"/>
        <v>https://d0f6bd738d7f1b3e5a7ca70fe4ff75f0.us-east-1.aws.found.io/app/kibana#/discover/Steve-Slow-Train-Analysis-(2080s-and-2083s)?_g=(refreshInterval:(display:Off,pause:!f,section:0,value:0),time:(from:'2017-02-05T21:19:53-0700',mode:absolute,to:'2017-02-06T00:15:37-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48" s="192" t="str">
        <f t="shared" si="59"/>
        <v>N</v>
      </c>
      <c r="X148" s="192">
        <f>VALUE(LEFT(AD148,4))-VALUE(LEFT(AD147,4))</f>
        <v>1</v>
      </c>
      <c r="Y148" s="62">
        <f t="shared" si="60"/>
        <v>4.4900000000000002E-2</v>
      </c>
      <c r="Z148" s="62">
        <f t="shared" si="61"/>
        <v>23.330500000000001</v>
      </c>
      <c r="AA148" s="62">
        <f t="shared" si="62"/>
        <v>23.285600000000002</v>
      </c>
      <c r="AB148" s="59" t="e">
        <f>VLOOKUP(A148,Enforcements!$C$7:$K$16,8,0)</f>
        <v>#N/A</v>
      </c>
      <c r="AC148" s="55" t="e">
        <f>VLOOKUP(A148,Enforcements!$C$7:$E$16,3,0)</f>
        <v>#N/A</v>
      </c>
      <c r="AD148" s="56" t="str">
        <f t="shared" si="63"/>
        <v>0235-05</v>
      </c>
      <c r="AE148" s="85" t="str">
        <f t="shared" si="64"/>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148" s="82" t="str">
        <f t="shared" si="65"/>
        <v>"C:\Program Files (x86)\AstroGrep\AstroGrep.exe" /spath="%USERPROFILE%\AppData\Local\Temp\OnboardLogs" /stypes="app*4022*20170206*" /stext=" 06:.+((SYSTEM_STATE.+slice.+state.+changed )|(ment ac)|(multiple cpu faults)|(system.+state.+changed )|(\[timeout)|(PRM\|1\|D)|(kpr)|(kdp)|(\|lc)|(penalty))" /e /r /s</v>
      </c>
      <c r="AG148" s="1" t="str">
        <f t="shared" si="66"/>
        <v>EC</v>
      </c>
      <c r="AH148" s="86" t="str">
        <f t="shared" si="51"/>
        <v>"%USERPROFILE%\Documents\GitHub\eaglep3\Utilities\RefineRTDCRunTimes.py" --tripid 235-05 --locoid 4022 --swversion DE.1.0.8.0 --startMP 204:449 --initTime 2017-02-05T22:19:53 --startdatetime 2017-02-05T22:30:20 --delay 1 --endMP 204:233305 --enddatetime 2017-02-05T23:15:37 --enforcementcount 0 &gt;&gt;C:\Users\stu\Documents\GitHub\eaglep3-reporting\EC\2017-02-05-refined-times.txt</v>
      </c>
      <c r="AI148" s="108" t="str">
        <f t="shared" si="52"/>
        <v>echo {"issue":{"subject":"","project_id":79,"tracker_id":40,"status_id":1,"priority_id":2,"assigned_to_id":23,"start_date":"2017-02-05","description":"","custom_fields":[{"id":1,"name":"Subdivision","value":"EC"},{"id":4,"name":"Milepost","value":"23.3305"},{"id":17,"name":"Train ID","value":"235-05"},{"id":16,"name":"Locomotive ID","value":"4022"},{"id":130,"name":"Impact","value":""},{"id":150,"name":"Time of Event (Mountain Time)","value":"23:15:37"},{"id":151,"name":"Denver Issue ID","value":""},{"id":178,"name":"Operational Impact","value":"Yes"},{"id":179,"name":"Denver Segment Assigned","value":""}]}} | curl -X POST -H "Content-Type: application/json" -H "X-Redmine-API-Key: d6333d4a04012a730768444271f8ca06482dae87" https://secure.xorail.net/redmine/issues.json --data @-</v>
      </c>
      <c r="AJ148" s="48"/>
      <c r="AK148" s="48"/>
      <c r="AL148" s="48"/>
      <c r="AM148" s="158" t="str">
        <f t="shared" si="53"/>
        <v>start /low /b %USERPROFILE%\Documents\GitHub\eaglep3\Utilities\DownloadLogsFromS3.py --loco 4022 --day 2017-02-05</v>
      </c>
      <c r="AN148" s="167" t="str">
        <f>"grep -SE -B400 ""CHR.+\|PRM\|1\|D.+(SWITCH|SIGNAL).+UNKNOWN"" "&amp;search_path&amp;"\RTDC"&amp;B148&amp;"\*"&amp;B148&amp;"*"&amp;TEXT(AVERAGE(F148,I148)-utc_offset/24,"YYYYMMDD")&amp;"* | grep -SE ""(Enforcement Action)|(\[TIMEOUT)|(CHR.+\|PRM\|1\|D.+(SWITCH|SIGNAL).+UNKNOWN)"" - &gt;&gt; "&amp;TEXT(Variables!$A$2,"YYYY-MM-DD")&amp;"-UncaughtWiMAX.txt"</f>
        <v>grep -SE -B400 "CHR.+\|PRM\|1\|D.+(SWITCH|SIGNAL).+UNKNOWN" "%USERPROFILE%\AppData\Local\Temp\OnboardLogs"\RTDC4022\*4022*20170206* | grep -SE "(Enforcement Action)|(\[TIMEOUT)|(CHR.+\|PRM\|1\|D.+(SWITCH|SIGNAL).+UNKNOWN)" - &gt;&gt; 2017-02-05-UncaughtWiMAX.txt</v>
      </c>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s="20" customFormat="1" x14ac:dyDescent="0.25">
      <c r="A149" s="33" t="s">
        <v>729</v>
      </c>
      <c r="B149" s="7">
        <v>4021</v>
      </c>
      <c r="C149" s="21" t="s">
        <v>193</v>
      </c>
      <c r="D149" s="21" t="s">
        <v>326</v>
      </c>
      <c r="E149" s="13">
        <v>42771.974108796298</v>
      </c>
      <c r="F149" s="13">
        <v>42771.976643518516</v>
      </c>
      <c r="G149" s="7">
        <v>1</v>
      </c>
      <c r="H149" s="21" t="s">
        <v>850</v>
      </c>
      <c r="I149" s="13">
        <v>42771.988645833335</v>
      </c>
      <c r="J149" s="7">
        <v>0</v>
      </c>
      <c r="K149" s="98" t="str">
        <f t="shared" si="54"/>
        <v>4021/4022</v>
      </c>
      <c r="L149" s="21" t="str">
        <f>VLOOKUP(A149,'Trips&amp;Operators'!$C$1:$G$99999,5,FALSE)</f>
        <v>YANG JAN</v>
      </c>
      <c r="M149" s="6">
        <f t="shared" si="55"/>
        <v>1.2002314819255844E-2</v>
      </c>
      <c r="N149" s="7"/>
      <c r="O149" s="7"/>
      <c r="P149" s="7">
        <f>24*60*SUM($M149:$M149)</f>
        <v>17.283333339728415</v>
      </c>
      <c r="Q149" s="22"/>
      <c r="R149" s="22" t="s">
        <v>903</v>
      </c>
      <c r="S149" s="31">
        <f t="shared" si="56"/>
        <v>0</v>
      </c>
      <c r="T149" s="46" t="str">
        <f t="shared" si="57"/>
        <v>Southbound</v>
      </c>
      <c r="U149" s="190">
        <f>IF(AG149="EC",COUNTIFS(Variables!$M$2:$M$19,IF(T149="NorthBound","&gt;=","&lt;=")&amp;Y149,Variables!$M$2:$M$19,IF(T149="NorthBound","&lt;=","&gt;=")&amp;Z149),COUNTIFS(Variables!$P$2:$P$19,IF(T149="NorthBound","&gt;=","&lt;=")&amp;Y149,Variables!$P$2:$P$19,IF(T149="NorthBound","&lt;=","&gt;=")&amp;Z149))</f>
        <v>0</v>
      </c>
      <c r="V149" s="191" t="str">
        <f t="shared" si="58"/>
        <v>https://d0f6bd738d7f1b3e5a7ca70fe4ff75f0.us-east-1.aws.found.io/app/kibana#/discover/Steve-Slow-Train-Analysis-(2080s-and-2083s)?_g=(refreshInterval:(display:Off,pause:!f,section:0,value:0),time:(from:'2017-02-05T22:22:43-0700',mode:absolute,to:'2017-02-06T00:43: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49" s="192" t="str">
        <f t="shared" si="59"/>
        <v>Y</v>
      </c>
      <c r="X149" s="192">
        <f>VALUE(LEFT(AD149,4))-VALUE(LEFT(AD148,4))</f>
        <v>1</v>
      </c>
      <c r="Y149" s="62">
        <f t="shared" si="60"/>
        <v>23.2986</v>
      </c>
      <c r="Z149" s="62">
        <f t="shared" si="61"/>
        <v>12.511100000000001</v>
      </c>
      <c r="AA149" s="62">
        <f t="shared" si="62"/>
        <v>10.7875</v>
      </c>
      <c r="AB149" s="59" t="e">
        <f>VLOOKUP(A149,Enforcements!$C$7:$K$16,8,0)</f>
        <v>#N/A</v>
      </c>
      <c r="AC149" s="55" t="e">
        <f>VLOOKUP(A149,Enforcements!$C$7:$E$16,3,0)</f>
        <v>#N/A</v>
      </c>
      <c r="AD149" s="56" t="str">
        <f t="shared" si="63"/>
        <v>0236-05</v>
      </c>
      <c r="AE149" s="85" t="str">
        <f t="shared" si="64"/>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149" s="82" t="str">
        <f t="shared" si="65"/>
        <v>"C:\Program Files (x86)\AstroGrep\AstroGrep.exe" /spath="%USERPROFILE%\AppData\Local\Temp\OnboardLogs" /stypes="app*4021*20170206*" /stext=" 06:.+((SYSTEM_STATE.+slice.+state.+changed )|(ment ac)|(multiple cpu faults)|(system.+state.+changed )|(\[timeout)|(PRM\|1\|D)|(kpr)|(kdp)|(\|lc)|(penalty))" /e /r /s</v>
      </c>
      <c r="AG149" s="1" t="str">
        <f t="shared" si="66"/>
        <v>EC</v>
      </c>
      <c r="AH149" s="86" t="str">
        <f t="shared" si="51"/>
        <v>"%USERPROFILE%\Documents\GitHub\eaglep3\Utilities\RefineRTDCRunTimes.py" --tripid 236-05 --locoid 4021 --swversion DE.1.0.8.0 --startMP 204:232986 --initTime 2017-02-05T23:22:43 --startdatetime 2017-02-05T23:26:22 --delay 1 --endMP 204:125111 --enddatetime 2017-02-05T23:43:39 --enforcementcount 0 &gt;&gt;C:\Users\stu\Documents\GitHub\eaglep3-reporting\EC\2017-02-05-refined-times.txt</v>
      </c>
      <c r="AI149" s="108" t="str">
        <f t="shared" si="52"/>
        <v>echo {"issue":{"subject":"Onboard in-route failure","project_id":79,"tracker_id":40,"status_id":1,"priority_id":2,"assigned_to_id":23,"start_date":"2017-02-05","description":"","custom_fields":[{"id":1,"name":"Subdivision","value":"EC"},{"id":4,"name":"Milepost","value":"12.5111"},{"id":17,"name":"Train ID","value":"236-05"},{"id":16,"name":"Locomotive ID","value":"4021"},{"id":130,"name":"Impact","value":""},{"id":150,"name":"Time of Event (Mountain Time)","value":"23:43:39"},{"id":151,"name":"Denver Issue ID","value":""},{"id":178,"name":"Operational Impact","value":"Yes"},{"id":179,"name":"Denver Segment Assigned","value":""}]}} | curl -X POST -H "Content-Type: application/json" -H "X-Redmine-API-Key: d6333d4a04012a730768444271f8ca06482dae87" https://secure.xorail.net/redmine/issues.json --data @-</v>
      </c>
      <c r="AJ149" s="48"/>
      <c r="AK149" s="48"/>
      <c r="AL149" s="48"/>
      <c r="AM149" s="158" t="str">
        <f t="shared" si="53"/>
        <v>start /low /b %USERPROFILE%\Documents\GitHub\eaglep3\Utilities\DownloadLogsFromS3.py --loco 4021 --day 2017-02-05</v>
      </c>
      <c r="AN149" s="167" t="str">
        <f>"grep -SE -B400 ""CHR.+\|PRM\|1\|D.+(SWITCH|SIGNAL).+UNKNOWN"" "&amp;search_path&amp;"\RTDC"&amp;B149&amp;"\*"&amp;B149&amp;"*"&amp;TEXT(AVERAGE(F149,I149)-utc_offset/24,"YYYYMMDD")&amp;"* | grep -SE ""(Enforcement Action)|(\[TIMEOUT)|(CHR.+\|PRM\|1\|D.+(SWITCH|SIGNAL).+UNKNOWN)"" - &gt;&gt; "&amp;TEXT(Variables!$A$2,"YYYY-MM-DD")&amp;"-UncaughtWiMAX.txt"</f>
        <v>grep -SE -B400 "CHR.+\|PRM\|1\|D.+(SWITCH|SIGNAL).+UNKNOWN" "%USERPROFILE%\AppData\Local\Temp\OnboardLogs"\RTDC4021\*4021*20170206* | grep -SE "(Enforcement Action)|(\[TIMEOUT)|(CHR.+\|PRM\|1\|D.+(SWITCH|SIGNAL).+UNKNOWN)" - &gt;&gt; 2017-02-05-UncaughtWiMAX.txt</v>
      </c>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spans="1:91" x14ac:dyDescent="0.25">
      <c r="A150" s="33" t="s">
        <v>728</v>
      </c>
      <c r="B150" s="7">
        <v>4031</v>
      </c>
      <c r="C150" s="21" t="s">
        <v>193</v>
      </c>
      <c r="D150" s="21" t="s">
        <v>399</v>
      </c>
      <c r="E150" s="13">
        <v>42771.943414351852</v>
      </c>
      <c r="F150" s="13">
        <v>42771.958564814813</v>
      </c>
      <c r="G150" s="7">
        <v>1</v>
      </c>
      <c r="H150" s="21" t="s">
        <v>851</v>
      </c>
      <c r="I150" s="13">
        <v>42771.985347222224</v>
      </c>
      <c r="J150" s="7">
        <v>0</v>
      </c>
      <c r="K150" s="98" t="str">
        <f t="shared" si="54"/>
        <v>4031/4032</v>
      </c>
      <c r="L150" s="21" t="str">
        <f>VLOOKUP(A150,'Trips&amp;Operators'!$C$1:$G$99999,5,FALSE)</f>
        <v>MAGEE KENYA</v>
      </c>
      <c r="M150" s="6">
        <f t="shared" si="55"/>
        <v>2.6782407410792075E-2</v>
      </c>
      <c r="N150" s="7">
        <f>24*60*SUM($M150:$M150)</f>
        <v>38.566666671540588</v>
      </c>
      <c r="O150" s="7"/>
      <c r="P150" s="7"/>
      <c r="Q150" s="22"/>
      <c r="R150" s="22"/>
      <c r="S150" s="31">
        <f t="shared" si="56"/>
        <v>1</v>
      </c>
      <c r="T150" s="46" t="str">
        <f t="shared" si="57"/>
        <v>NorthBound</v>
      </c>
      <c r="U150" s="190">
        <f>IF(AG150="EC",COUNTIFS(Variables!$M$2:$M$19,IF(T150="NorthBound","&gt;=","&lt;=")&amp;Y150,Variables!$M$2:$M$19,IF(T150="NorthBound","&lt;=","&gt;=")&amp;Z150),COUNTIFS(Variables!$P$2:$P$19,IF(T150="NorthBound","&gt;=","&lt;=")&amp;Y150,Variables!$P$2:$P$19,IF(T150="NorthBound","&lt;=","&gt;=")&amp;Z150))</f>
        <v>12</v>
      </c>
      <c r="V150" s="191" t="str">
        <f t="shared" si="58"/>
        <v>https://d0f6bd738d7f1b3e5a7ca70fe4ff75f0.us-east-1.aws.found.io/app/kibana#/discover/Steve-Slow-Train-Analysis-(2080s-and-2083s)?_g=(refreshInterval:(display:Off,pause:!f,section:0,value:0),time:(from:'2017-02-05T21:38:31-0700',mode:absolute,to:'2017-02-06T00:38:54-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50" s="192" t="str">
        <f t="shared" si="59"/>
        <v>N</v>
      </c>
      <c r="X150" s="192">
        <f>VALUE(LEFT(AD150,4))-VALUE(LEFT(AD149,4))</f>
        <v>1</v>
      </c>
      <c r="Y150" s="62">
        <f t="shared" si="60"/>
        <v>4.6399999999999997E-2</v>
      </c>
      <c r="Z150" s="62">
        <f t="shared" si="61"/>
        <v>23.3338</v>
      </c>
      <c r="AA150" s="62">
        <f t="shared" si="62"/>
        <v>23.287400000000002</v>
      </c>
      <c r="AB150" s="59" t="e">
        <f>VLOOKUP(A150,Enforcements!$C$7:$K$16,8,0)</f>
        <v>#N/A</v>
      </c>
      <c r="AC150" s="55" t="e">
        <f>VLOOKUP(A150,Enforcements!$C$7:$E$16,3,0)</f>
        <v>#N/A</v>
      </c>
      <c r="AD150" s="56" t="str">
        <f t="shared" si="63"/>
        <v>0237-05</v>
      </c>
      <c r="AE150" s="85" t="str">
        <f t="shared" si="64"/>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150" s="82" t="str">
        <f t="shared" si="65"/>
        <v>"C:\Program Files (x86)\AstroGrep\AstroGrep.exe" /spath="%USERPROFILE%\AppData\Local\Temp\OnboardLogs" /stypes="app*4031*20170206*" /stext=" 06:.+((SYSTEM_STATE.+slice.+state.+changed )|(ment ac)|(multiple cpu faults)|(system.+state.+changed )|(\[timeout)|(PRM\|1\|D)|(kpr)|(kdp)|(\|lc)|(penalty))" /e /r /s</v>
      </c>
      <c r="AG150" s="1" t="str">
        <f t="shared" si="66"/>
        <v>EC</v>
      </c>
      <c r="AH150" s="86" t="str">
        <f t="shared" si="51"/>
        <v>"%USERPROFILE%\Documents\GitHub\eaglep3\Utilities\RefineRTDCRunTimes.py" --tripid 237-05 --locoid 4031 --swversion DE.1.0.8.0 --startMP 204:464 --initTime 2017-02-05T22:38:31 --startdatetime 2017-02-05T23:00:20 --delay 1 --endMP 204:233338 --enddatetime 2017-02-05T23:38:54 --enforcementcount 0 &gt;&gt;C:\Users\stu\Documents\GitHub\eaglep3-reporting\EC\2017-02-05-refined-times.txt</v>
      </c>
      <c r="AI150" s="108" t="str">
        <f t="shared" si="52"/>
        <v>echo {"issue":{"subject":"","project_id":79,"tracker_id":40,"status_id":1,"priority_id":2,"assigned_to_id":23,"start_date":"2017-02-05","description":"","custom_fields":[{"id":1,"name":"Subdivision","value":"EC"},{"id":4,"name":"Milepost","value":"23.3338"},{"id":17,"name":"Train ID","value":"237-05"},{"id":16,"name":"Locomotive ID","value":"4031"},{"id":130,"name":"Impact","value":""},{"id":150,"name":"Time of Event (Mountain Time)","value":"23:38:54"},{"id":151,"name":"Denver Issue ID","value":""},{"id":178,"name":"Operational Impact","value":"Yes"},{"id":179,"name":"Denver Segment Assigned","value":""}]}} | curl -X POST -H "Content-Type: application/json" -H "X-Redmine-API-Key: d6333d4a04012a730768444271f8ca06482dae87" https://secure.xorail.net/redmine/issues.json --data @-</v>
      </c>
      <c r="AJ150" s="48"/>
      <c r="AK150" s="48"/>
      <c r="AL150" s="48"/>
      <c r="AM150" s="158" t="str">
        <f t="shared" si="53"/>
        <v>start /low /b %USERPROFILE%\Documents\GitHub\eaglep3\Utilities\DownloadLogsFromS3.py --loco 4031 --day 2017-02-05</v>
      </c>
      <c r="AN150" s="167" t="str">
        <f>"grep -SE -B400 ""CHR.+\|PRM\|1\|D.+(SWITCH|SIGNAL).+UNKNOWN"" "&amp;search_path&amp;"\RTDC"&amp;B150&amp;"\*"&amp;B150&amp;"*"&amp;TEXT(AVERAGE(F150,I150)-utc_offset/24,"YYYYMMDD")&amp;"* | grep -SE ""(Enforcement Action)|(\[TIMEOUT)|(CHR.+\|PRM\|1\|D.+(SWITCH|SIGNAL).+UNKNOWN)"" - &gt;&gt; "&amp;TEXT(Variables!$A$2,"YYYY-MM-DD")&amp;"-UncaughtWiMAX.txt"</f>
        <v>grep -SE -B400 "CHR.+\|PRM\|1\|D.+(SWITCH|SIGNAL).+UNKNOWN" "%USERPROFILE%\AppData\Local\Temp\OnboardLogs"\RTDC4031\*4031*20170206* | grep -SE "(Enforcement Action)|(\[TIMEOUT)|(CHR.+\|PRM\|1\|D.+(SWITCH|SIGNAL).+UNKNOWN)" - &gt;&gt; 2017-02-05-UncaughtWiMAX.txt</v>
      </c>
    </row>
    <row r="151" spans="1:91" s="20" customFormat="1" x14ac:dyDescent="0.25">
      <c r="A151" s="33" t="s">
        <v>732</v>
      </c>
      <c r="B151" s="7">
        <v>4032</v>
      </c>
      <c r="C151" s="21" t="s">
        <v>193</v>
      </c>
      <c r="D151" s="21" t="s">
        <v>852</v>
      </c>
      <c r="E151" s="13">
        <v>42771.987361111111</v>
      </c>
      <c r="F151" s="13">
        <v>42771.998124999998</v>
      </c>
      <c r="G151" s="7">
        <v>1</v>
      </c>
      <c r="H151" s="21" t="s">
        <v>853</v>
      </c>
      <c r="I151" s="13">
        <v>42772.011099537034</v>
      </c>
      <c r="J151" s="7">
        <v>0</v>
      </c>
      <c r="K151" s="98" t="str">
        <f t="shared" si="54"/>
        <v>4031/4032</v>
      </c>
      <c r="L151" s="21" t="str">
        <f>VLOOKUP(A151,'Trips&amp;Operators'!$C$1:$G$99999,5,FALSE)</f>
        <v>MAGEE KENYA</v>
      </c>
      <c r="M151" s="6">
        <f t="shared" si="55"/>
        <v>1.2974537035916001E-2</v>
      </c>
      <c r="N151" s="7"/>
      <c r="O151" s="7"/>
      <c r="P151" s="7">
        <f>24*60*SUM($M151:$M151)</f>
        <v>18.683333331719041</v>
      </c>
      <c r="Q151" s="22"/>
      <c r="R151" s="22" t="s">
        <v>907</v>
      </c>
      <c r="S151" s="31">
        <f t="shared" si="56"/>
        <v>0</v>
      </c>
      <c r="T151" s="46" t="str">
        <f t="shared" si="57"/>
        <v>Southbound</v>
      </c>
      <c r="U151" s="190">
        <f>IF(AG151="EC",COUNTIFS(Variables!$M$2:$M$19,IF(T151="NorthBound","&gt;=","&lt;=")&amp;Y151,Variables!$M$2:$M$19,IF(T151="NorthBound","&lt;=","&gt;=")&amp;Z151),COUNTIFS(Variables!$P$2:$P$19,IF(T151="NorthBound","&gt;=","&lt;=")&amp;Y151,Variables!$P$2:$P$19,IF(T151="NorthBound","&lt;=","&gt;=")&amp;Z151))</f>
        <v>0</v>
      </c>
      <c r="V151" s="191" t="str">
        <f t="shared" si="58"/>
        <v>https://d0f6bd738d7f1b3e5a7ca70fe4ff75f0.us-east-1.aws.found.io/app/kibana#/discover/Steve-Slow-Train-Analysis-(2080s-and-2083s)?_g=(refreshInterval:(display:Off,pause:!f,section:0,value:0),time:(from:'2017-02-05T22:41:48-0700',mode:absolute,to:'2017-02-06T01:15:59-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151" s="192" t="str">
        <f t="shared" si="59"/>
        <v>Y</v>
      </c>
      <c r="X151" s="192">
        <f>VALUE(LEFT(AD151,4))-VALUE(LEFT(AD150,4))</f>
        <v>1</v>
      </c>
      <c r="Y151" s="62">
        <f t="shared" si="60"/>
        <v>23.302800000000001</v>
      </c>
      <c r="Z151" s="62">
        <v>11.07</v>
      </c>
      <c r="AA151" s="62">
        <f t="shared" si="62"/>
        <v>12.232800000000001</v>
      </c>
      <c r="AB151" s="59" t="e">
        <f>VLOOKUP(A151,Enforcements!$C$7:$K$16,8,0)</f>
        <v>#N/A</v>
      </c>
      <c r="AC151" s="55" t="e">
        <f>VLOOKUP(A151,Enforcements!$C$7:$E$16,3,0)</f>
        <v>#N/A</v>
      </c>
      <c r="AD151" s="56" t="str">
        <f t="shared" si="63"/>
        <v>0238-05</v>
      </c>
      <c r="AE151" s="85" t="str">
        <f t="shared" si="64"/>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151" s="82" t="str">
        <f t="shared" si="65"/>
        <v>"C:\Program Files (x86)\AstroGrep\AstroGrep.exe" /spath="%USERPROFILE%\AppData\Local\Temp\OnboardLogs" /stypes="app*4032*20170206*" /stext=" 07:.+((SYSTEM_STATE.+slice.+state.+changed )|(ment ac)|(multiple cpu faults)|(system.+state.+changed )|(\[timeout)|(PRM\|1\|D)|(kpr)|(kdp)|(\|lc)|(penalty))" /e /r /s</v>
      </c>
      <c r="AG151" s="1" t="str">
        <f t="shared" si="66"/>
        <v>EC</v>
      </c>
      <c r="AH151" s="86" t="str">
        <f t="shared" si="51"/>
        <v>"%USERPROFILE%\Documents\GitHub\eaglep3\Utilities\RefineRTDCRunTimes.py" --tripid 238-05 --locoid 4032 --swversion DE.1.0.8.0 --startMP 204:233028 --initTime 2017-02-05T23:41:48 --startdatetime 2017-02-05T23:57:18 --delay 1 --endMP 204:233017 --enddatetime 2017-02-06T00:15:59 --enforcementcount 0 &gt;&gt;C:\Users\stu\Documents\GitHub\eaglep3-reporting\EC\2017-02-05-refined-times.txt</v>
      </c>
      <c r="AI151" s="108" t="str">
        <f t="shared" si="52"/>
        <v>echo {"issue":{"subject":"Improper execution of bulletin (stopped &gt;800 ft short of Chambers Form C)","project_id":79,"tracker_id":40,"status_id":1,"priority_id":2,"assigned_to_id":23,"start_date":"2017-02-06","description":"","custom_fields":[{"id":1,"name":"Subdivision","value":"EC"},{"id":4,"name":"Milepost","value":"11.07"},{"id":17,"name":"Train ID","value":"238-05"},{"id":16,"name":"Locomotive ID","value":"4032"},{"id":130,"name":"Impact","value":""},{"id":150,"name":"Time of Event (Mountain Time)","value":"00:15:59"},{"id":151,"name":"Denver Issue ID","value":""},{"id":178,"name":"Operational Impact","value":"Yes"},{"id":179,"name":"Denver Segment Assigned","value":""}]}} | curl -X POST -H "Content-Type: application/json" -H "X-Redmine-API-Key: d6333d4a04012a730768444271f8ca06482dae87" https://secure.xorail.net/redmine/issues.json --data @-</v>
      </c>
      <c r="AJ151" s="48"/>
      <c r="AK151" s="48"/>
      <c r="AL151" s="48"/>
      <c r="AM151" s="158" t="str">
        <f t="shared" si="53"/>
        <v>start /low /b %USERPROFILE%\Documents\GitHub\eaglep3\Utilities\DownloadLogsFromS3.py --loco 4032 --day 2017-02-05</v>
      </c>
      <c r="AN151" s="167" t="str">
        <f>"grep -SE -B400 ""CHR.+\|PRM\|1\|D.+(SWITCH|SIGNAL).+UNKNOWN"" "&amp;search_path&amp;"\RTDC"&amp;B151&amp;"\*"&amp;B151&amp;"*"&amp;TEXT(AVERAGE(F151,I151)-utc_offset/24,"YYYYMMDD")&amp;"* | grep -SE ""(Enforcement Action)|(\[TIMEOUT)|(CHR.+\|PRM\|1\|D.+(SWITCH|SIGNAL).+UNKNOWN)"" - &gt;&gt; "&amp;TEXT(Variables!$A$2,"YYYY-MM-DD")&amp;"-UncaughtWiMAX.txt"</f>
        <v>grep -SE -B400 "CHR.+\|PRM\|1\|D.+(SWITCH|SIGNAL).+UNKNOWN" "%USERPROFILE%\AppData\Local\Temp\OnboardLogs"\RTDC4032\*4032*20170206* | grep -SE "(Enforcement Action)|(\[TIMEOUT)|(CHR.+\|PRM\|1\|D.+(SWITCH|SIGNAL).+UNKNOWN)" - &gt;&gt; 2017-02-05-UncaughtWiMAX.txt</v>
      </c>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spans="1:91" s="20" customFormat="1" x14ac:dyDescent="0.25">
      <c r="A152" s="33" t="s">
        <v>730</v>
      </c>
      <c r="B152" s="7">
        <v>4038</v>
      </c>
      <c r="C152" s="21" t="s">
        <v>193</v>
      </c>
      <c r="D152" s="21" t="s">
        <v>241</v>
      </c>
      <c r="E152" s="13">
        <v>42771.976331018515</v>
      </c>
      <c r="F152" s="13">
        <v>42771.979409722226</v>
      </c>
      <c r="G152" s="7">
        <v>1</v>
      </c>
      <c r="H152" s="21" t="s">
        <v>854</v>
      </c>
      <c r="I152" s="13">
        <v>42772.008055555554</v>
      </c>
      <c r="J152" s="7">
        <v>0</v>
      </c>
      <c r="K152" s="98" t="str">
        <f t="shared" si="54"/>
        <v>4037/4038</v>
      </c>
      <c r="L152" s="21" t="str">
        <f>VLOOKUP(A152,'Trips&amp;Operators'!$C$1:$G$99999,5,FALSE)</f>
        <v>NEWELL JAMES</v>
      </c>
      <c r="M152" s="6">
        <f t="shared" si="55"/>
        <v>2.8645833328482695E-2</v>
      </c>
      <c r="N152" s="7"/>
      <c r="O152" s="7"/>
      <c r="P152" s="7">
        <f>24*60*SUM($M152:$M152)</f>
        <v>41.249999993015081</v>
      </c>
      <c r="Q152" s="22"/>
      <c r="R152" s="22" t="s">
        <v>908</v>
      </c>
      <c r="S152" s="31">
        <f t="shared" si="56"/>
        <v>1</v>
      </c>
      <c r="T152" s="46" t="str">
        <f t="shared" si="57"/>
        <v>NorthBound</v>
      </c>
      <c r="U152" s="190">
        <f>IF(AG152="EC",COUNTIFS(Variables!$M$2:$M$19,IF(T152="NorthBound","&gt;=","&lt;=")&amp;Y152,Variables!$M$2:$M$19,IF(T152="NorthBound","&lt;=","&gt;=")&amp;Z152),COUNTIFS(Variables!$P$2:$P$19,IF(T152="NorthBound","&gt;=","&lt;=")&amp;Y152,Variables!$P$2:$P$19,IF(T152="NorthBound","&lt;=","&gt;=")&amp;Z152))</f>
        <v>12</v>
      </c>
      <c r="V152" s="191" t="str">
        <f t="shared" si="58"/>
        <v>https://d0f6bd738d7f1b3e5a7ca70fe4ff75f0.us-east-1.aws.found.io/app/kibana#/discover/Steve-Slow-Train-Analysis-(2080s-and-2083s)?_g=(refreshInterval:(display:Off,pause:!f,section:0,value:0),time:(from:'2017-02-05T22:25:55-0700',mode:absolute,to:'2017-02-06T01:11:36-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152" s="192" t="str">
        <f t="shared" si="59"/>
        <v>Y</v>
      </c>
      <c r="X152" s="192">
        <f t="shared" ref="X152:X161" si="68">VALUE(LEFT(AD152,4))-VALUE(LEFT(AD151,4))</f>
        <v>1</v>
      </c>
      <c r="Y152" s="62">
        <f t="shared" ref="Y152:Y155" si="69">RIGHT(D152,LEN(D152)-4)/10000</f>
        <v>4.5699999999999998E-2</v>
      </c>
      <c r="Z152" s="62">
        <f t="shared" ref="Z152:Z183" si="70">RIGHT(H152,LEN(H152)-4)/10000</f>
        <v>12.826599999999999</v>
      </c>
      <c r="AA152" s="62">
        <f t="shared" si="62"/>
        <v>12.780899999999999</v>
      </c>
      <c r="AB152" s="59" t="e">
        <f>VLOOKUP(A152,Enforcements!$C$7:$K$16,8,0)</f>
        <v>#N/A</v>
      </c>
      <c r="AC152" s="55" t="e">
        <f>VLOOKUP(A152,Enforcements!$C$7:$E$16,3,0)</f>
        <v>#N/A</v>
      </c>
      <c r="AD152" s="56" t="str">
        <f t="shared" si="63"/>
        <v>0239-05</v>
      </c>
      <c r="AE152" s="85" t="str">
        <f t="shared" si="64"/>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152" s="82" t="str">
        <f t="shared" si="65"/>
        <v>"C:\Program Files (x86)\AstroGrep\AstroGrep.exe" /spath="%USERPROFILE%\AppData\Local\Temp\OnboardLogs" /stypes="app*4038*20170206*" /stext=" 07:.+((SYSTEM_STATE.+slice.+state.+changed )|(ment ac)|(multiple cpu faults)|(system.+state.+changed )|(\[timeout)|(PRM\|1\|D)|(kpr)|(kdp)|(\|lc)|(penalty))" /e /r /s</v>
      </c>
      <c r="AG152" s="1" t="str">
        <f t="shared" si="66"/>
        <v>EC</v>
      </c>
      <c r="AH152" s="86" t="str">
        <f t="shared" si="51"/>
        <v>"%USERPROFILE%\Documents\GitHub\eaglep3\Utilities\RefineRTDCRunTimes.py" --tripid 239-05 --locoid 4038 --swversion DE.1.0.8.0 --startMP 204:457 --initTime 2017-02-05T23:25:55 --startdatetime 2017-02-05T23:30:21 --delay 1 --endMP 204:128266 --enddatetime 2017-02-06T00:11:36 --enforcementcount 0 &gt;&gt;C:\Users\stu\Documents\GitHub\eaglep3-reporting\EC\2017-02-05-refined-times.txt</v>
      </c>
      <c r="AI152" s="108" t="str">
        <f t="shared" si="52"/>
        <v>echo {"issue":{"subject":"Form C violation by operator","project_id":79,"tracker_id":40,"status_id":1,"priority_id":2,"assigned_to_id":23,"start_date":"2017-02-06","description":"","custom_fields":[{"id":1,"name":"Subdivision","value":"EC"},{"id":4,"name":"Milepost","value":"12.8266"},{"id":17,"name":"Train ID","value":"239-05"},{"id":16,"name":"Locomotive ID","value":"4038"},{"id":130,"name":"Impact","value":""},{"id":150,"name":"Time of Event (Mountain Time)","value":"00:11:36"},{"id":151,"name":"Denver Issue ID","value":""},{"id":178,"name":"Operational Impact","value":"Yes"},{"id":179,"name":"Denver Segment Assigned","value":""}]}} | curl -X POST -H "Content-Type: application/json" -H "X-Redmine-API-Key: d6333d4a04012a730768444271f8ca06482dae87" https://secure.xorail.net/redmine/issues.json --data @-</v>
      </c>
      <c r="AJ152" s="48"/>
      <c r="AK152" s="48"/>
      <c r="AL152" s="48"/>
      <c r="AM152" s="158" t="str">
        <f t="shared" si="53"/>
        <v>start /low /b %USERPROFILE%\Documents\GitHub\eaglep3\Utilities\DownloadLogsFromS3.py --loco 4038 --day 2017-02-05</v>
      </c>
      <c r="AN152" s="167" t="str">
        <f>"grep -SE -B400 ""CHR.+\|PRM\|1\|D.+(SWITCH|SIGNAL).+UNKNOWN"" "&amp;search_path&amp;"\RTDC"&amp;B152&amp;"\*"&amp;B152&amp;"*"&amp;TEXT(AVERAGE(F152,I152)-utc_offset/24,"YYYYMMDD")&amp;"* | grep -SE ""(Enforcement Action)|(\[TIMEOUT)|(CHR.+\|PRM\|1\|D.+(SWITCH|SIGNAL).+UNKNOWN)"" - &gt;&gt; "&amp;TEXT(Variables!$A$2,"YYYY-MM-DD")&amp;"-UncaughtWiMAX.txt"</f>
        <v>grep -SE -B400 "CHR.+\|PRM\|1\|D.+(SWITCH|SIGNAL).+UNKNOWN" "%USERPROFILE%\AppData\Local\Temp\OnboardLogs"\RTDC4038\*4038*20170206* | grep -SE "(Enforcement Action)|(\[TIMEOUT)|(CHR.+\|PRM\|1\|D.+(SWITCH|SIGNAL).+UNKNOWN)" - &gt;&gt; 2017-02-05-UncaughtWiMAX.txt</v>
      </c>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row>
    <row r="153" spans="1:91" s="20" customFormat="1" x14ac:dyDescent="0.25">
      <c r="A153" s="33" t="s">
        <v>731</v>
      </c>
      <c r="B153" s="7">
        <v>4016</v>
      </c>
      <c r="C153" s="21" t="s">
        <v>193</v>
      </c>
      <c r="D153" s="21" t="s">
        <v>240</v>
      </c>
      <c r="E153" s="13">
        <v>42771.986678240741</v>
      </c>
      <c r="F153" s="13">
        <v>42772.000196759262</v>
      </c>
      <c r="G153" s="7">
        <v>1</v>
      </c>
      <c r="H153" s="21" t="s">
        <v>359</v>
      </c>
      <c r="I153" s="13">
        <v>42772.033854166664</v>
      </c>
      <c r="J153" s="7">
        <v>0</v>
      </c>
      <c r="K153" s="98" t="str">
        <f t="shared" si="54"/>
        <v>4015/4016</v>
      </c>
      <c r="L153" s="21" t="str">
        <f>VLOOKUP(A153,'Trips&amp;Operators'!$C$1:$G$99999,5,FALSE)</f>
        <v>SMITH MICHAEL</v>
      </c>
      <c r="M153" s="6">
        <f t="shared" si="55"/>
        <v>3.3657407402643003E-2</v>
      </c>
      <c r="N153" s="7">
        <f>24*60*SUM($M153:$M153)</f>
        <v>48.466666659805924</v>
      </c>
      <c r="O153" s="7"/>
      <c r="P153" s="7"/>
      <c r="Q153" s="22"/>
      <c r="R153" s="22"/>
      <c r="S153" s="31">
        <f t="shared" si="56"/>
        <v>1</v>
      </c>
      <c r="T153" s="46" t="str">
        <f t="shared" si="57"/>
        <v>NorthBound</v>
      </c>
      <c r="U153" s="190">
        <f>IF(AG153="EC",COUNTIFS(Variables!$M$2:$M$19,IF(T153="NorthBound","&gt;=","&lt;=")&amp;Y153,Variables!$M$2:$M$19,IF(T153="NorthBound","&lt;=","&gt;=")&amp;Z153),COUNTIFS(Variables!$P$2:$P$19,IF(T153="NorthBound","&gt;=","&lt;=")&amp;Y153,Variables!$P$2:$P$19,IF(T153="NorthBound","&lt;=","&gt;=")&amp;Z153))</f>
        <v>12</v>
      </c>
      <c r="V153" s="191" t="str">
        <f t="shared" si="58"/>
        <v>https://d0f6bd738d7f1b3e5a7ca70fe4ff75f0.us-east-1.aws.found.io/app/kibana#/discover/Steve-Slow-Train-Analysis-(2080s-and-2083s)?_g=(refreshInterval:(display:Off,pause:!f,section:0,value:0),time:(from:'2017-02-05T22:40:49-0700',mode:absolute,to:'2017-02-06T01:48: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53" s="192" t="str">
        <f t="shared" si="59"/>
        <v>N</v>
      </c>
      <c r="X153" s="192">
        <f>VALUE(LEFT(AD153,4))-VALUE(LEFT(AD152,4))</f>
        <v>2</v>
      </c>
      <c r="Y153" s="62">
        <f t="shared" si="69"/>
        <v>4.5100000000000001E-2</v>
      </c>
      <c r="Z153" s="62">
        <f t="shared" si="70"/>
        <v>23.3293</v>
      </c>
      <c r="AA153" s="62">
        <f t="shared" si="62"/>
        <v>23.284199999999998</v>
      </c>
      <c r="AB153" s="59" t="e">
        <f>VLOOKUP(A153,Enforcements!$C$7:$K$16,8,0)</f>
        <v>#N/A</v>
      </c>
      <c r="AC153" s="55" t="e">
        <f>VLOOKUP(A153,Enforcements!$C$7:$E$16,3,0)</f>
        <v>#N/A</v>
      </c>
      <c r="AD153" s="56" t="str">
        <f t="shared" si="63"/>
        <v>0241-05</v>
      </c>
      <c r="AE153" s="85" t="str">
        <f t="shared" si="64"/>
        <v>aws s3 cp s3://rtdc.mdm.uploadarchive.raw/RTDC4016/ "%USERPROFILE%\AppData\Local\Temp\OnboardLogs"\RTDC4016\2017-02-06 --exclude "*" --recursive --include "*20170206*" &amp; "%USERPROFILE%\Documents\GitHub\mrs-test-scripts\Headless Mode &amp; Sideloading\WalkAndUnGZ.bat" "%USERPROFILE%\AppData\Local\Temp\OnboardLogs"\RTDC4016\2017-02-06 &amp; aws s3 cp s3://rtdc.mdm.uploadarchive.raw/RTDC4016/ "%USERPROFILE%\AppData\Local\Temp\OnboardLogs"\RTDC4016\2017-02-07 --exclude "*" --recursive --include "*20170207*" &amp; "%USERPROFILE%\Documents\GitHub\mrs-test-scripts\Headless Mode &amp; Sideloading\WalkAndUnGZ.bat" "%USERPROFILE%\AppData\Local\Temp\OnboardLogs"\RTDC4016\2017-02-07</v>
      </c>
      <c r="AF153" s="82" t="str">
        <f t="shared" si="65"/>
        <v>"C:\Program Files (x86)\AstroGrep\AstroGrep.exe" /spath="%USERPROFILE%\AppData\Local\Temp\OnboardLogs" /stypes="app*4016*20170206*" /stext=" 07:.+((SYSTEM_STATE.+slice.+state.+changed )|(ment ac)|(multiple cpu faults)|(system.+state.+changed )|(\[timeout)|(PRM\|1\|D)|(kpr)|(kdp)|(\|lc)|(penalty))" /e /r /s</v>
      </c>
      <c r="AG153" s="1" t="str">
        <f t="shared" si="66"/>
        <v>EC</v>
      </c>
      <c r="AH153" s="86" t="str">
        <f t="shared" si="51"/>
        <v>"%USERPROFILE%\Documents\GitHub\eaglep3\Utilities\RefineRTDCRunTimes.py" --tripid 241-05 --locoid 4016 --swversion DE.1.0.8.0 --startMP 204:451 --initTime 2017-02-05T23:40:49 --startdatetime 2017-02-06T00:00:17 --delay 1 --endMP 204:233293 --enddatetime 2017-02-06T00:48:45 --enforcementcount 0 &gt;&gt;C:\Users\stu\Documents\GitHub\eaglep3-reporting\EC\2017-02-05-refined-times.txt</v>
      </c>
      <c r="AI153" s="108" t="str">
        <f t="shared" si="52"/>
        <v>echo {"issue":{"subject":"","project_id":79,"tracker_id":40,"status_id":1,"priority_id":2,"assigned_to_id":23,"start_date":"2017-02-06","description":"","custom_fields":[{"id":1,"name":"Subdivision","value":"EC"},{"id":4,"name":"Milepost","value":"23.3293"},{"id":17,"name":"Train ID","value":"241-05"},{"id":16,"name":"Locomotive ID","value":"4016"},{"id":130,"name":"Impact","value":""},{"id":150,"name":"Time of Event (Mountain Time)","value":"00:48:45"},{"id":151,"name":"Denver Issue ID","value":""},{"id":178,"name":"Operational Impact","value":"Yes"},{"id":179,"name":"Denver Segment Assigned","value":""}]}} | curl -X POST -H "Content-Type: application/json" -H "X-Redmine-API-Key: d6333d4a04012a730768444271f8ca06482dae87" https://secure.xorail.net/redmine/issues.json --data @-</v>
      </c>
      <c r="AJ153" s="48"/>
      <c r="AK153" s="48"/>
      <c r="AL153" s="48"/>
      <c r="AM153" s="158" t="str">
        <f t="shared" si="53"/>
        <v>start /low /b %USERPROFILE%\Documents\GitHub\eaglep3\Utilities\DownloadLogsFromS3.py --loco 4016 --day 2017-02-06</v>
      </c>
      <c r="AN153" s="167" t="str">
        <f>"grep -SE -B400 ""CHR.+\|PRM\|1\|D.+(SWITCH|SIGNAL).+UNKNOWN"" "&amp;search_path&amp;"\RTDC"&amp;B153&amp;"\*"&amp;B153&amp;"*"&amp;TEXT(AVERAGE(F153,I153)-utc_offset/24,"YYYYMMDD")&amp;"* | grep -SE ""(Enforcement Action)|(\[TIMEOUT)|(CHR.+\|PRM\|1\|D.+(SWITCH|SIGNAL).+UNKNOWN)"" - &gt;&gt; "&amp;TEXT(Variables!$A$2,"YYYY-MM-DD")&amp;"-UncaughtWiMAX.txt"</f>
        <v>grep -SE -B400 "CHR.+\|PRM\|1\|D.+(SWITCH|SIGNAL).+UNKNOWN" "%USERPROFILE%\AppData\Local\Temp\OnboardLogs"\RTDC4016\*4016*20170206* | grep -SE "(Enforcement Action)|(\[TIMEOUT)|(CHR.+\|PRM\|1\|D.+(SWITCH|SIGNAL).+UNKNOWN)" - &gt;&gt; 2017-02-05-UncaughtWiMAX.txt</v>
      </c>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spans="1:91" s="20" customFormat="1" x14ac:dyDescent="0.25">
      <c r="A154" s="33" t="s">
        <v>734</v>
      </c>
      <c r="B154" s="7">
        <v>4015</v>
      </c>
      <c r="C154" s="21" t="s">
        <v>193</v>
      </c>
      <c r="D154" s="21" t="s">
        <v>400</v>
      </c>
      <c r="E154" s="13">
        <v>42772.035763888889</v>
      </c>
      <c r="F154" s="13">
        <v>42772.039189814815</v>
      </c>
      <c r="G154" s="7">
        <v>1</v>
      </c>
      <c r="H154" s="21" t="s">
        <v>200</v>
      </c>
      <c r="I154" s="13">
        <v>42772.072094907409</v>
      </c>
      <c r="J154" s="7">
        <v>0</v>
      </c>
      <c r="K154" s="98" t="str">
        <f t="shared" si="54"/>
        <v>4015/4016</v>
      </c>
      <c r="L154" s="21" t="str">
        <f>VLOOKUP(A154,'Trips&amp;Operators'!$C$1:$G$99999,5,FALSE)</f>
        <v>SMITH MICHAEL</v>
      </c>
      <c r="M154" s="6">
        <f t="shared" si="55"/>
        <v>3.2905092593864538E-2</v>
      </c>
      <c r="N154" s="7">
        <f>24*60*SUM($M154:$M154)</f>
        <v>47.383333335164934</v>
      </c>
      <c r="O154" s="7"/>
      <c r="P154" s="7"/>
      <c r="Q154" s="22"/>
      <c r="R154" s="22"/>
      <c r="S154" s="31">
        <f t="shared" si="56"/>
        <v>1</v>
      </c>
      <c r="T154" s="46" t="str">
        <f t="shared" si="57"/>
        <v>Southbound</v>
      </c>
      <c r="U154" s="190">
        <f>IF(AG154="EC",COUNTIFS(Variables!$M$2:$M$19,IF(T154="NorthBound","&gt;=","&lt;=")&amp;Y154,Variables!$M$2:$M$19,IF(T154="NorthBound","&lt;=","&gt;=")&amp;Z154),COUNTIFS(Variables!$P$2:$P$19,IF(T154="NorthBound","&gt;=","&lt;=")&amp;Y154,Variables!$P$2:$P$19,IF(T154="NorthBound","&lt;=","&gt;=")&amp;Z154))</f>
        <v>12</v>
      </c>
      <c r="V154" s="191" t="str">
        <f t="shared" si="58"/>
        <v>https://d0f6bd738d7f1b3e5a7ca70fe4ff75f0.us-east-1.aws.found.io/app/kibana#/discover/Steve-Slow-Train-Analysis-(2080s-and-2083s)?_g=(refreshInterval:(display:Off,pause:!f,section:0,value:0),time:(from:'2017-02-05T23:51:30-0700',mode:absolute,to:'2017-02-06T02:43:49-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54" s="192" t="str">
        <f t="shared" si="59"/>
        <v>N</v>
      </c>
      <c r="X154" s="192">
        <f t="shared" si="68"/>
        <v>1</v>
      </c>
      <c r="Y154" s="62">
        <f t="shared" si="69"/>
        <v>23.296500000000002</v>
      </c>
      <c r="Z154" s="62">
        <f t="shared" si="70"/>
        <v>1.4500000000000001E-2</v>
      </c>
      <c r="AA154" s="62">
        <f t="shared" si="62"/>
        <v>23.282</v>
      </c>
      <c r="AB154" s="59" t="e">
        <f>VLOOKUP(A154,Enforcements!$C$7:$K$16,8,0)</f>
        <v>#N/A</v>
      </c>
      <c r="AC154" s="55" t="e">
        <f>VLOOKUP(A154,Enforcements!$C$7:$E$16,3,0)</f>
        <v>#N/A</v>
      </c>
      <c r="AD154" s="56" t="str">
        <f t="shared" si="63"/>
        <v>0242-05</v>
      </c>
      <c r="AE154" s="85" t="str">
        <f t="shared" si="64"/>
        <v>aws s3 cp s3://rtdc.mdm.uploadarchive.raw/RTDC4015/ "%USERPROFILE%\AppData\Local\Temp\OnboardLogs"\RTDC4015\2017-02-06 --exclude "*" --recursive --include "*20170206*" &amp; "%USERPROFILE%\Documents\GitHub\mrs-test-scripts\Headless Mode &amp; Sideloading\WalkAndUnGZ.bat" "%USERPROFILE%\AppData\Local\Temp\OnboardLogs"\RTDC4015\2017-02-06 &amp; aws s3 cp s3://rtdc.mdm.uploadarchive.raw/RTDC4015/ "%USERPROFILE%\AppData\Local\Temp\OnboardLogs"\RTDC4015\2017-02-07 --exclude "*" --recursive --include "*20170207*" &amp; "%USERPROFILE%\Documents\GitHub\mrs-test-scripts\Headless Mode &amp; Sideloading\WalkAndUnGZ.bat" "%USERPROFILE%\AppData\Local\Temp\OnboardLogs"\RTDC4015\2017-02-07</v>
      </c>
      <c r="AF154" s="82" t="str">
        <f t="shared" si="65"/>
        <v>"C:\Program Files (x86)\AstroGrep\AstroGrep.exe" /spath="%USERPROFILE%\AppData\Local\Temp\OnboardLogs" /stypes="app*4015*20170206*" /stext=" 08:.+((SYSTEM_STATE.+slice.+state.+changed )|(ment ac)|(multiple cpu faults)|(system.+state.+changed )|(\[timeout)|(PRM\|1\|D)|(kpr)|(kdp)|(\|lc)|(penalty))" /e /r /s</v>
      </c>
      <c r="AG154" s="1" t="str">
        <f t="shared" si="66"/>
        <v>EC</v>
      </c>
      <c r="AH154" s="86" t="str">
        <f t="shared" si="51"/>
        <v>"%USERPROFILE%\Documents\GitHub\eaglep3\Utilities\RefineRTDCRunTimes.py" --tripid 242-05 --locoid 4015 --swversion DE.1.0.8.0 --startMP 204:232965 --initTime 2017-02-06T00:51:30 --startdatetime 2017-02-06T00:56:26 --delay 1 --endMP 204:145 --enddatetime 2017-02-06T01:43:49 --enforcementcount 0 &gt;&gt;C:\Users\stu\Documents\GitHub\eaglep3-reporting\EC\2017-02-05-refined-times.txt</v>
      </c>
      <c r="AI154" s="108" t="str">
        <f t="shared" si="52"/>
        <v>echo {"issue":{"subject":"","project_id":79,"tracker_id":40,"status_id":1,"priority_id":2,"assigned_to_id":23,"start_date":"2017-02-06","description":"","custom_fields":[{"id":1,"name":"Subdivision","value":"EC"},{"id":4,"name":"Milepost","value":"0.0145"},{"id":17,"name":"Train ID","value":"242-05"},{"id":16,"name":"Locomotive ID","value":"4015"},{"id":130,"name":"Impact","value":""},{"id":150,"name":"Time of Event (Mountain Time)","value":"01:43:49"},{"id":151,"name":"Denver Issue ID","value":""},{"id":178,"name":"Operational Impact","value":"Yes"},{"id":179,"name":"Denver Segment Assigned","value":""}]}} | curl -X POST -H "Content-Type: application/json" -H "X-Redmine-API-Key: d6333d4a04012a730768444271f8ca06482dae87" https://secure.xorail.net/redmine/issues.json --data @-</v>
      </c>
      <c r="AJ154" s="48"/>
      <c r="AK154" s="48"/>
      <c r="AL154" s="48"/>
      <c r="AM154" s="158" t="str">
        <f t="shared" si="53"/>
        <v>start /low /b %USERPROFILE%\Documents\GitHub\eaglep3\Utilities\DownloadLogsFromS3.py --loco 4015 --day 2017-02-06</v>
      </c>
      <c r="AN154" s="167" t="str">
        <f>"grep -SE -B400 ""CHR.+\|PRM\|1\|D.+(SWITCH|SIGNAL).+UNKNOWN"" "&amp;search_path&amp;"\RTDC"&amp;B154&amp;"\*"&amp;B154&amp;"*"&amp;TEXT(AVERAGE(F154,I154)-utc_offset/24,"YYYYMMDD")&amp;"* | grep -SE ""(Enforcement Action)|(\[TIMEOUT)|(CHR.+\|PRM\|1\|D.+(SWITCH|SIGNAL).+UNKNOWN)"" - &gt;&gt; "&amp;TEXT(Variables!$A$2,"YYYY-MM-DD")&amp;"-UncaughtWiMAX.txt"</f>
        <v>grep -SE -B400 "CHR.+\|PRM\|1\|D.+(SWITCH|SIGNAL).+UNKNOWN" "%USERPROFILE%\AppData\Local\Temp\OnboardLogs"\RTDC4015\*4015*20170206* | grep -SE "(Enforcement Action)|(\[TIMEOUT)|(CHR.+\|PRM\|1\|D.+(SWITCH|SIGNAL).+UNKNOWN)" - &gt;&gt; 2017-02-05-UncaughtWiMAX.txt</v>
      </c>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spans="1:91" s="20" customFormat="1" x14ac:dyDescent="0.25">
      <c r="A155" s="33" t="s">
        <v>733</v>
      </c>
      <c r="B155" s="7">
        <v>4046</v>
      </c>
      <c r="C155" s="21" t="s">
        <v>193</v>
      </c>
      <c r="D155" s="21" t="s">
        <v>855</v>
      </c>
      <c r="E155" s="13">
        <v>42772.020671296297</v>
      </c>
      <c r="F155" s="13">
        <v>42772.022731481484</v>
      </c>
      <c r="G155" s="7">
        <v>1</v>
      </c>
      <c r="H155" s="21" t="s">
        <v>365</v>
      </c>
      <c r="I155" s="13">
        <v>42772.050983796296</v>
      </c>
      <c r="J155" s="7">
        <v>0</v>
      </c>
      <c r="K155" s="98" t="str">
        <f t="shared" si="54"/>
        <v>4045/4046</v>
      </c>
      <c r="L155" s="21" t="str">
        <f>VLOOKUP(A155,'Trips&amp;Operators'!$C$1:$G$99999,5,FALSE)</f>
        <v>YANG JAN</v>
      </c>
      <c r="M155" s="6">
        <f t="shared" si="55"/>
        <v>2.8252314812561963E-2</v>
      </c>
      <c r="N155" s="7">
        <f>24*60*SUM($M155:$M155)</f>
        <v>40.683333330089226</v>
      </c>
      <c r="O155" s="7"/>
      <c r="P155" s="7"/>
      <c r="Q155" s="22"/>
      <c r="R155" s="22"/>
      <c r="S155" s="31">
        <f t="shared" si="56"/>
        <v>1</v>
      </c>
      <c r="T155" s="46" t="str">
        <f t="shared" si="57"/>
        <v>NorthBound</v>
      </c>
      <c r="U155" s="190">
        <f>IF(AG155="EC",COUNTIFS(Variables!$M$2:$M$19,IF(T155="NorthBound","&gt;=","&lt;=")&amp;Y155,Variables!$M$2:$M$19,IF(T155="NorthBound","&lt;=","&gt;=")&amp;Z155),COUNTIFS(Variables!$P$2:$P$19,IF(T155="NorthBound","&gt;=","&lt;=")&amp;Y155,Variables!$P$2:$P$19,IF(T155="NorthBound","&lt;=","&gt;=")&amp;Z155))</f>
        <v>12</v>
      </c>
      <c r="V155" s="191" t="str">
        <f t="shared" si="58"/>
        <v>https://d0f6bd738d7f1b3e5a7ca70fe4ff75f0.us-east-1.aws.found.io/app/kibana#/discover/Steve-Slow-Train-Analysis-(2080s-and-2083s)?_g=(refreshInterval:(display:Off,pause:!f,section:0,value:0),time:(from:'2017-02-05T23:29:46-0700',mode:absolute,to:'2017-02-06T02:13: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4046%22')),sort:!(Time.ISO8601,asc))</v>
      </c>
      <c r="W155" s="192" t="str">
        <f t="shared" si="59"/>
        <v>N</v>
      </c>
      <c r="X155" s="192">
        <f t="shared" si="68"/>
        <v>1</v>
      </c>
      <c r="Y155" s="62">
        <f t="shared" si="69"/>
        <v>3.1300000000000001E-2</v>
      </c>
      <c r="Z155" s="62">
        <f t="shared" si="70"/>
        <v>23.328900000000001</v>
      </c>
      <c r="AA155" s="62">
        <f t="shared" si="62"/>
        <v>23.297599999999999</v>
      </c>
      <c r="AB155" s="59" t="e">
        <f>VLOOKUP(A155,Enforcements!$C$7:$K$16,8,0)</f>
        <v>#N/A</v>
      </c>
      <c r="AC155" s="55" t="e">
        <f>VLOOKUP(A155,Enforcements!$C$7:$E$16,3,0)</f>
        <v>#N/A</v>
      </c>
      <c r="AD155" s="56" t="str">
        <f t="shared" si="63"/>
        <v>0243-05</v>
      </c>
      <c r="AE155" s="85" t="str">
        <f t="shared" si="64"/>
        <v>aws s3 cp s3://rtdc.mdm.uploadarchive.raw/RTDC4046/ "%USERPROFILE%\AppData\Local\Temp\OnboardLogs"\RTDC4046\2017-02-06 --exclude "*" --recursive --include "*20170206*" &amp; "%USERPROFILE%\Documents\GitHub\mrs-test-scripts\Headless Mode &amp; Sideloading\WalkAndUnGZ.bat" "%USERPROFILE%\AppData\Local\Temp\OnboardLogs"\RTDC4046\2017-02-06 &amp; aws s3 cp s3://rtdc.mdm.uploadarchive.raw/RTDC4046/ "%USERPROFILE%\AppData\Local\Temp\OnboardLogs"\RTDC4046\2017-02-07 --exclude "*" --recursive --include "*20170207*" &amp; "%USERPROFILE%\Documents\GitHub\mrs-test-scripts\Headless Mode &amp; Sideloading\WalkAndUnGZ.bat" "%USERPROFILE%\AppData\Local\Temp\OnboardLogs"\RTDC4046\2017-02-07</v>
      </c>
      <c r="AF155" s="82" t="str">
        <f t="shared" si="65"/>
        <v>"C:\Program Files (x86)\AstroGrep\AstroGrep.exe" /spath="%USERPROFILE%\AppData\Local\Temp\OnboardLogs" /stypes="app*4046*20170206*" /stext=" 08:.+((SYSTEM_STATE.+slice.+state.+changed )|(ment ac)|(multiple cpu faults)|(system.+state.+changed )|(\[timeout)|(PRM\|1\|D)|(kpr)|(kdp)|(\|lc)|(penalty))" /e /r /s</v>
      </c>
      <c r="AG155" s="1" t="str">
        <f t="shared" si="66"/>
        <v>EC</v>
      </c>
      <c r="AH155" s="86" t="str">
        <f t="shared" si="51"/>
        <v>"%USERPROFILE%\Documents\GitHub\eaglep3\Utilities\RefineRTDCRunTimes.py" --tripid 243-05 --locoid 4046 --swversion DE.1.0.8.0 --startMP 204:313 --initTime 2017-02-06T00:29:46 --startdatetime 2017-02-06T00:32:44 --delay 1 --endMP 204:233289 --enddatetime 2017-02-06T01:13:25 --enforcementcount 0 &gt;&gt;C:\Users\stu\Documents\GitHub\eaglep3-reporting\EC\2017-02-05-refined-times.txt</v>
      </c>
      <c r="AI155" s="108" t="str">
        <f t="shared" si="52"/>
        <v>echo {"issue":{"subject":"","project_id":79,"tracker_id":40,"status_id":1,"priority_id":2,"assigned_to_id":23,"start_date":"2017-02-06","description":"","custom_fields":[{"id":1,"name":"Subdivision","value":"EC"},{"id":4,"name":"Milepost","value":"23.3289"},{"id":17,"name":"Train ID","value":"243-05"},{"id":16,"name":"Locomotive ID","value":"4046"},{"id":130,"name":"Impact","value":""},{"id":150,"name":"Time of Event (Mountain Time)","value":"01:13:25"},{"id":151,"name":"Denver Issue ID","value":""},{"id":178,"name":"Operational Impact","value":"Yes"},{"id":179,"name":"Denver Segment Assigned","value":""}]}} | curl -X POST -H "Content-Type: application/json" -H "X-Redmine-API-Key: d6333d4a04012a730768444271f8ca06482dae87" https://secure.xorail.net/redmine/issues.json --data @-</v>
      </c>
      <c r="AJ155" s="48"/>
      <c r="AK155" s="48"/>
      <c r="AL155" s="48"/>
      <c r="AM155" s="158" t="str">
        <f t="shared" si="53"/>
        <v>start /low /b %USERPROFILE%\Documents\GitHub\eaglep3\Utilities\DownloadLogsFromS3.py --loco 4046 --day 2017-02-06</v>
      </c>
      <c r="AN155" s="167" t="str">
        <f>"grep -SE -B400 ""CHR.+\|PRM\|1\|D.+(SWITCH|SIGNAL).+UNKNOWN"" "&amp;search_path&amp;"\RTDC"&amp;B155&amp;"\*"&amp;B155&amp;"*"&amp;TEXT(AVERAGE(F155,I155)-utc_offset/24,"YYYYMMDD")&amp;"* | grep -SE ""(Enforcement Action)|(\[TIMEOUT)|(CHR.+\|PRM\|1\|D.+(SWITCH|SIGNAL).+UNKNOWN)"" - &gt;&gt; "&amp;TEXT(Variables!$A$2,"YYYY-MM-DD")&amp;"-UncaughtWiMAX.txt"</f>
        <v>grep -SE -B400 "CHR.+\|PRM\|1\|D.+(SWITCH|SIGNAL).+UNKNOWN" "%USERPROFILE%\AppData\Local\Temp\OnboardLogs"\RTDC4046\*4046*20170206* | grep -SE "(Enforcement Action)|(\[TIMEOUT)|(CHR.+\|PRM\|1\|D.+(SWITCH|SIGNAL).+UNKNOWN)" - &gt;&gt; 2017-02-05-UncaughtWiMAX.txt</v>
      </c>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spans="1:91" x14ac:dyDescent="0.25">
      <c r="A156" s="33" t="s">
        <v>737</v>
      </c>
      <c r="B156" s="7">
        <v>4045</v>
      </c>
      <c r="C156" s="21" t="s">
        <v>193</v>
      </c>
      <c r="D156" s="21" t="s">
        <v>768</v>
      </c>
      <c r="E156" s="13">
        <v>42772.056967592594</v>
      </c>
      <c r="F156" s="13">
        <v>42772.058206018519</v>
      </c>
      <c r="G156" s="7">
        <v>1</v>
      </c>
      <c r="H156" s="21" t="s">
        <v>856</v>
      </c>
      <c r="I156" s="13">
        <v>42772.071064814816</v>
      </c>
      <c r="J156" s="7">
        <v>0</v>
      </c>
      <c r="K156" s="98" t="str">
        <f t="shared" si="54"/>
        <v>4045/4046</v>
      </c>
      <c r="L156" s="21" t="str">
        <f>VLOOKUP(A156,'Trips&amp;Operators'!$C$1:$G$99999,5,FALSE)</f>
        <v>YANG JAN</v>
      </c>
      <c r="M156" s="6">
        <f t="shared" si="55"/>
        <v>1.2858796297223307E-2</v>
      </c>
      <c r="N156" s="7"/>
      <c r="O156" s="7"/>
      <c r="P156" s="7">
        <f>24*60*SUM($M156:$M156)</f>
        <v>18.516666668001562</v>
      </c>
      <c r="Q156" s="22"/>
      <c r="R156" s="22" t="s">
        <v>913</v>
      </c>
      <c r="S156" s="31">
        <f t="shared" si="56"/>
        <v>0</v>
      </c>
      <c r="T156" s="46" t="str">
        <f t="shared" si="57"/>
        <v>Southbound</v>
      </c>
      <c r="U156" s="190">
        <f>IF(AG156="EC",COUNTIFS(Variables!$M$2:$M$19,IF(T156="NorthBound","&gt;=","&lt;=")&amp;Y156,Variables!$M$2:$M$19,IF(T156="NorthBound","&lt;=","&gt;=")&amp;Z156),COUNTIFS(Variables!$P$2:$P$19,IF(T156="NorthBound","&gt;=","&lt;=")&amp;Y156,Variables!$P$2:$P$19,IF(T156="NorthBound","&lt;=","&gt;=")&amp;Z156))</f>
        <v>0</v>
      </c>
      <c r="V156" s="191" t="str">
        <f t="shared" si="58"/>
        <v>https://d0f6bd738d7f1b3e5a7ca70fe4ff75f0.us-east-1.aws.found.io/app/kibana#/discover/Steve-Slow-Train-Analysis-(2080s-and-2083s)?_g=(refreshInterval:(display:Off,pause:!f,section:0,value:0),time:(from:'2017-02-06T00:22:02-0700',mode:absolute,to:'2017-02-06T02:42:20-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4045%22')),sort:!(Time.ISO8601,asc))</v>
      </c>
      <c r="W156" s="192" t="str">
        <f t="shared" si="59"/>
        <v>Y</v>
      </c>
      <c r="X156" s="192">
        <f t="shared" si="68"/>
        <v>1</v>
      </c>
      <c r="Y156" s="62">
        <f t="shared" ref="Y156:Y187" si="71">RIGHT(D156,LEN(D156)-4)/10000</f>
        <v>23.3</v>
      </c>
      <c r="Z156" s="62">
        <f t="shared" si="70"/>
        <v>12.7858</v>
      </c>
      <c r="AA156" s="62">
        <f t="shared" si="62"/>
        <v>10.514200000000001</v>
      </c>
      <c r="AB156" s="59" t="e">
        <f>VLOOKUP(A156,Enforcements!$C$7:$K$16,8,0)</f>
        <v>#N/A</v>
      </c>
      <c r="AC156" s="55" t="e">
        <f>VLOOKUP(A156,Enforcements!$C$7:$E$16,3,0)</f>
        <v>#N/A</v>
      </c>
      <c r="AD156" s="56" t="str">
        <f t="shared" si="63"/>
        <v>0244-05</v>
      </c>
      <c r="AE156" s="85" t="str">
        <f t="shared" si="64"/>
        <v>aws s3 cp s3://rtdc.mdm.uploadarchive.raw/RTDC4045/ "%USERPROFILE%\AppData\Local\Temp\OnboardLogs"\RTDC4045\2017-02-06 --exclude "*" --recursive --include "*20170206*" &amp; "%USERPROFILE%\Documents\GitHub\mrs-test-scripts\Headless Mode &amp; Sideloading\WalkAndUnGZ.bat" "%USERPROFILE%\AppData\Local\Temp\OnboardLogs"\RTDC4045\2017-02-06 &amp; aws s3 cp s3://rtdc.mdm.uploadarchive.raw/RTDC4045/ "%USERPROFILE%\AppData\Local\Temp\OnboardLogs"\RTDC4045\2017-02-07 --exclude "*" --recursive --include "*20170207*" &amp; "%USERPROFILE%\Documents\GitHub\mrs-test-scripts\Headless Mode &amp; Sideloading\WalkAndUnGZ.bat" "%USERPROFILE%\AppData\Local\Temp\OnboardLogs"\RTDC4045\2017-02-07</v>
      </c>
      <c r="AF156" s="82" t="str">
        <f t="shared" si="65"/>
        <v>"C:\Program Files (x86)\AstroGrep\AstroGrep.exe" /spath="%USERPROFILE%\AppData\Local\Temp\OnboardLogs" /stypes="app*4045*20170206*" /stext=" 08:.+((SYSTEM_STATE.+slice.+state.+changed )|(ment ac)|(multiple cpu faults)|(system.+state.+changed )|(\[timeout)|(PRM\|1\|D)|(kpr)|(kdp)|(\|lc)|(penalty))" /e /r /s</v>
      </c>
      <c r="AG156" s="1" t="str">
        <f t="shared" si="66"/>
        <v>EC</v>
      </c>
      <c r="AH156" s="86" t="str">
        <f t="shared" si="51"/>
        <v>"%USERPROFILE%\Documents\GitHub\eaglep3\Utilities\RefineRTDCRunTimes.py" --tripid 244-05 --locoid 4045 --swversion DE.1.0.8.0 --startMP 204:233000 --initTime 2017-02-06T01:22:02 --startdatetime 2017-02-06T01:23:49 --delay 1 --endMP 204:127858 --enddatetime 2017-02-06T01:42:20 --enforcementcount 0 &gt;&gt;C:\Users\stu\Documents\GitHub\eaglep3-reporting\EC\2017-02-05-refined-times.txt</v>
      </c>
      <c r="AI156" s="108" t="str">
        <f t="shared" si="52"/>
        <v>echo {"issue":{"subject":"40th 4S stuck at STOP - no request sent from dispatch","project_id":79,"tracker_id":40,"status_id":1,"priority_id":2,"assigned_to_id":23,"start_date":"2017-02-06","description":"Starting at 01:42:37.376, 40th 4S dropped to STOP and stayed that way for at least the next hour. Looks like this was undesired. Was there anything odd coming from adjacent locations that caused the drop to STOP?","custom_fields":[{"id":1,"name":"Subdivision","value":"EC"},{"id":4,"name":"Milepost","value":"12.7858"},{"id":17,"name":"Train ID","value":"244-05"},{"id":16,"name":"Locomotive ID","value":"4045"},{"id":130,"name":"Impact","value":"Unexpected Cut-Out or Disengaged"},{"id":150,"name":"Time of Event (Mountain Time)","value":"01:42:20"},{"id":151,"name":"Denver Issue ID","value":""},{"id":178,"name":"Operational Impact","value":"Yes"},{"id":179,"name":"Denver Segment Assigned","value":"Signal"}]}} | curl -X POST -H "Content-Type: application/json" -H "X-Redmine-API-Key: d6333d4a04012a730768444271f8ca06482dae87" https://secure.xorail.net/redmine/issues.json --data @-</v>
      </c>
      <c r="AJ156" s="48" t="s">
        <v>910</v>
      </c>
      <c r="AK156" s="48" t="s">
        <v>130</v>
      </c>
      <c r="AL156" s="48" t="s">
        <v>129</v>
      </c>
      <c r="AM156" s="158" t="str">
        <f t="shared" si="53"/>
        <v>start /low /b %USERPROFILE%\Documents\GitHub\eaglep3\Utilities\DownloadLogsFromS3.py --loco 4045 --day 2017-02-06</v>
      </c>
      <c r="AN156" s="167" t="str">
        <f>"grep -SE -B400 ""CHR.+\|PRM\|1\|D.+(SWITCH|SIGNAL).+UNKNOWN"" "&amp;search_path&amp;"\RTDC"&amp;B156&amp;"\*"&amp;B156&amp;"*"&amp;TEXT(AVERAGE(F156,I156)-utc_offset/24,"YYYYMMDD")&amp;"* | grep -SE ""(Enforcement Action)|(\[TIMEOUT)|(CHR.+\|PRM\|1\|D.+(SWITCH|SIGNAL).+UNKNOWN)"" - &gt;&gt; "&amp;TEXT(Variables!$A$2,"YYYY-MM-DD")&amp;"-UncaughtWiMAX.txt"</f>
        <v>grep -SE -B400 "CHR.+\|PRM\|1\|D.+(SWITCH|SIGNAL).+UNKNOWN" "%USERPROFILE%\AppData\Local\Temp\OnboardLogs"\RTDC4045\*4045*20170206* | grep -SE "(Enforcement Action)|(\[TIMEOUT)|(CHR.+\|PRM\|1\|D.+(SWITCH|SIGNAL).+UNKNOWN)" - &gt;&gt; 2017-02-05-UncaughtWiMAX.txt</v>
      </c>
    </row>
    <row r="157" spans="1:91" s="20" customFormat="1" x14ac:dyDescent="0.25">
      <c r="A157" s="33" t="s">
        <v>561</v>
      </c>
      <c r="B157" s="7">
        <v>4004</v>
      </c>
      <c r="C157" s="21" t="s">
        <v>193</v>
      </c>
      <c r="D157" s="21" t="s">
        <v>785</v>
      </c>
      <c r="E157" s="13">
        <v>42771.23364583333</v>
      </c>
      <c r="F157" s="13">
        <v>42771.235509259262</v>
      </c>
      <c r="G157" s="7">
        <v>1</v>
      </c>
      <c r="H157" s="21" t="s">
        <v>423</v>
      </c>
      <c r="I157" s="13">
        <v>42771.24596064815</v>
      </c>
      <c r="J157" s="7">
        <v>0</v>
      </c>
      <c r="K157" s="98" t="str">
        <f t="shared" si="54"/>
        <v>4003/4004</v>
      </c>
      <c r="L157" s="21" t="str">
        <f>VLOOKUP(A157,'Trips&amp;Operators'!$C$1:$G$99999,5,FALSE)</f>
        <v>YORK EDGAR</v>
      </c>
      <c r="M157" s="6">
        <f t="shared" si="55"/>
        <v>1.0451388887304347E-2</v>
      </c>
      <c r="N157" s="7">
        <f t="shared" ref="N157:N188" si="72">24*60*SUM($M157:$M157)</f>
        <v>15.04999999771826</v>
      </c>
      <c r="O157" s="7"/>
      <c r="P157" s="7"/>
      <c r="Q157" s="22"/>
      <c r="R157" s="22"/>
      <c r="S157" s="31">
        <f t="shared" si="56"/>
        <v>1</v>
      </c>
      <c r="T157" s="46" t="str">
        <f t="shared" si="57"/>
        <v>Southbound</v>
      </c>
      <c r="U157" s="190">
        <f>IF(AG157="EC",COUNTIFS(Variables!$M$2:$M$19,IF(T157="NorthBound","&gt;=","&lt;=")&amp;Y157,Variables!$M$2:$M$19,IF(T157="NorthBound","&lt;=","&gt;=")&amp;Z157),COUNTIFS(Variables!$P$2:$P$19,IF(T157="NorthBound","&gt;=","&lt;=")&amp;Y157,Variables!$P$2:$P$19,IF(T157="NorthBound","&lt;=","&gt;=")&amp;Z157))</f>
        <v>1</v>
      </c>
      <c r="V157" s="191" t="str">
        <f t="shared" si="58"/>
        <v>https://d0f6bd738d7f1b3e5a7ca70fe4ff75f0.us-east-1.aws.found.io/app/kibana#/discover/Steve-Slow-Train-Analysis-(2080s-and-2083s)?_g=(refreshInterval:(display:Off,pause:!f,section:0,value:0),time:(from:'2017-02-05T04:36:27-0700',mode:absolute,to:'2017-02-05T06:54:11-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57" s="192" t="str">
        <f t="shared" si="59"/>
        <v>N</v>
      </c>
      <c r="X157" s="192">
        <f t="shared" si="68"/>
        <v>1556</v>
      </c>
      <c r="Y157" s="62">
        <f t="shared" si="71"/>
        <v>5.8625999999999996</v>
      </c>
      <c r="Z157" s="62">
        <f t="shared" si="70"/>
        <v>7.2700000000000001E-2</v>
      </c>
      <c r="AA157" s="62">
        <f t="shared" si="62"/>
        <v>5.7898999999999994</v>
      </c>
      <c r="AB157" s="59" t="e">
        <f>VLOOKUP(A157,Enforcements!$C$7:$K$16,8,0)</f>
        <v>#N/A</v>
      </c>
      <c r="AC157" s="55" t="e">
        <f>VLOOKUP(A157,Enforcements!$C$7:$E$16,3,0)</f>
        <v>#N/A</v>
      </c>
      <c r="AD157" s="56" t="str">
        <f t="shared" si="63"/>
        <v>1800-05</v>
      </c>
      <c r="AE157"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57" s="82" t="str">
        <f t="shared" si="65"/>
        <v>"C:\Program Files (x86)\AstroGrep\AstroGrep.exe" /spath="%USERPROFILE%\AppData\Local\Temp\OnboardLogs" /stypes="app*4004*20170205*" /stext=" 12:.+((SYSTEM_STATE.+slice.+state.+changed )|(ment ac)|(multiple cpu faults)|(system.+state.+changed )|(\[timeout)|(PRM\|1\|D)|(kpr)|(kdp)|(\|lc)|(penalty))" /e /r /s</v>
      </c>
      <c r="AG157" s="1" t="str">
        <f t="shared" si="66"/>
        <v>NW</v>
      </c>
      <c r="AH157" s="86" t="str">
        <f t="shared" si="51"/>
        <v>"%USERPROFILE%\Documents\GitHub\eaglep3\Utilities\RefineRTDCRunTimes.py" --tripid 1800-05 --locoid 4004 --swversion DE.1.0.8.0 --startMP 300:58626 --initTime 2017-02-05T05:36:27 --startdatetime 2017-02-05T05:39:08 --delay 1 --endMP 204:727 --enddatetime 2017-02-05T05:54:11 --enforcementcount 0 &gt;&gt;C:\Users\stu\Documents\GitHub\eaglep3-reporting\EC\2017-02-05-refined-times.txt</v>
      </c>
      <c r="AI157" s="108" t="str">
        <f t="shared" si="52"/>
        <v>echo {"issue":{"subject":"","project_id":79,"tracker_id":40,"status_id":1,"priority_id":2,"assigned_to_id":23,"start_date":"2017-02-05","description":"","custom_fields":[{"id":1,"name":"Subdivision","value":"NW"},{"id":4,"name":"Milepost","value":"0.0727"},{"id":17,"name":"Train ID","value":"1800-05"},{"id":16,"name":"Locomotive ID","value":"4004"},{"id":130,"name":"Impact","value":""},{"id":150,"name":"Time of Event (Mountain Time)","value":"05:54:11"},{"id":151,"name":"Denver Issue ID","value":""},{"id":178,"name":"Operational Impact","value":"Yes"},{"id":179,"name":"Denver Segment Assigned","value":""}]}} | curl -X POST -H "Content-Type: application/json" -H "X-Redmine-API-Key: d6333d4a04012a730768444271f8ca06482dae87" https://secure.xorail.net/redmine/issues.json --data @-</v>
      </c>
      <c r="AJ157" s="48"/>
      <c r="AK157" s="48"/>
      <c r="AL157" s="48"/>
      <c r="AM157" s="158" t="str">
        <f t="shared" si="53"/>
        <v>start /low /b %USERPROFILE%\Documents\GitHub\eaglep3\Utilities\DownloadLogsFromS3.py --loco 4004 --day 2017-02-05</v>
      </c>
      <c r="AN157" s="167" t="str">
        <f>"grep -SE -B400 ""CHR.+\|PRM\|1\|D.+(SWITCH|SIGNAL).+UNKNOWN"" "&amp;search_path&amp;"\RTDC"&amp;B157&amp;"\*"&amp;B157&amp;"*"&amp;TEXT(AVERAGE(F157,I157)-utc_offset/24,"YYYYMMDD")&amp;"*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spans="1:91" s="20" customFormat="1" x14ac:dyDescent="0.25">
      <c r="A158" s="33" t="s">
        <v>564</v>
      </c>
      <c r="B158" s="7">
        <v>4003</v>
      </c>
      <c r="C158" s="21" t="s">
        <v>193</v>
      </c>
      <c r="D158" s="21" t="s">
        <v>420</v>
      </c>
      <c r="E158" s="13">
        <v>42771.246990740743</v>
      </c>
      <c r="F158" s="13">
        <v>42771.264988425923</v>
      </c>
      <c r="G158" s="7">
        <v>1</v>
      </c>
      <c r="H158" s="21" t="s">
        <v>786</v>
      </c>
      <c r="I158" s="13">
        <v>42771.273379629631</v>
      </c>
      <c r="J158" s="7">
        <v>0</v>
      </c>
      <c r="K158" s="98" t="str">
        <f t="shared" si="54"/>
        <v>4003/4004</v>
      </c>
      <c r="L158" s="21" t="str">
        <f>VLOOKUP(A158,'Trips&amp;Operators'!$C$1:$G$99999,5,FALSE)</f>
        <v>YORK EDGAR</v>
      </c>
      <c r="M158" s="6">
        <f t="shared" si="55"/>
        <v>8.3912037080153823E-3</v>
      </c>
      <c r="N158" s="7">
        <f t="shared" si="72"/>
        <v>12.08333333954215</v>
      </c>
      <c r="O158" s="7"/>
      <c r="P158" s="7"/>
      <c r="Q158" s="22"/>
      <c r="R158" s="22"/>
      <c r="S158" s="31">
        <f t="shared" si="56"/>
        <v>1</v>
      </c>
      <c r="T158" s="46" t="str">
        <f t="shared" si="57"/>
        <v>NorthBound</v>
      </c>
      <c r="U158" s="190">
        <f>IF(AG158="EC",COUNTIFS(Variables!$M$2:$M$19,IF(T158="NorthBound","&gt;=","&lt;=")&amp;Y158,Variables!$M$2:$M$19,IF(T158="NorthBound","&lt;=","&gt;=")&amp;Z158),COUNTIFS(Variables!$P$2:$P$19,IF(T158="NorthBound","&gt;=","&lt;=")&amp;Y158,Variables!$P$2:$P$19,IF(T158="NorthBound","&lt;=","&gt;=")&amp;Z158))</f>
        <v>1</v>
      </c>
      <c r="V158" s="191" t="str">
        <f t="shared" si="58"/>
        <v>https://d0f6bd738d7f1b3e5a7ca70fe4ff75f0.us-east-1.aws.found.io/app/kibana#/discover/Steve-Slow-Train-Analysis-(2080s-and-2083s)?_g=(refreshInterval:(display:Off,pause:!f,section:0,value:0),time:(from:'2017-02-05T04:55:40-0700',mode:absolute,to:'2017-02-05T07:33:40-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58" s="192" t="str">
        <f t="shared" si="59"/>
        <v>N</v>
      </c>
      <c r="X158" s="192">
        <f t="shared" si="68"/>
        <v>1</v>
      </c>
      <c r="Y158" s="62">
        <f t="shared" si="71"/>
        <v>0.1014</v>
      </c>
      <c r="Z158" s="62">
        <f t="shared" si="70"/>
        <v>5.8928000000000003</v>
      </c>
      <c r="AA158" s="62">
        <f t="shared" si="62"/>
        <v>5.7914000000000003</v>
      </c>
      <c r="AB158" s="59" t="e">
        <f>VLOOKUP(A158,Enforcements!$C$7:$K$16,8,0)</f>
        <v>#N/A</v>
      </c>
      <c r="AC158" s="55" t="e">
        <f>VLOOKUP(A158,Enforcements!$C$7:$E$16,3,0)</f>
        <v>#N/A</v>
      </c>
      <c r="AD158" s="56" t="str">
        <f t="shared" si="63"/>
        <v>1801-05</v>
      </c>
      <c r="AE158"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58" s="82" t="str">
        <f t="shared" si="65"/>
        <v>"C:\Program Files (x86)\AstroGrep\AstroGrep.exe" /spath="%USERPROFILE%\AppData\Local\Temp\OnboardLogs" /stypes="app*4003*20170205*" /stext=" 13:.+((SYSTEM_STATE.+slice.+state.+changed )|(ment ac)|(multiple cpu faults)|(system.+state.+changed )|(\[timeout)|(PRM\|1\|D)|(kpr)|(kdp)|(\|lc)|(penalty))" /e /r /s</v>
      </c>
      <c r="AG158" s="1" t="str">
        <f t="shared" si="66"/>
        <v>NW</v>
      </c>
      <c r="AH158" s="86" t="str">
        <f t="shared" si="51"/>
        <v>"%USERPROFILE%\Documents\GitHub\eaglep3\Utilities\RefineRTDCRunTimes.py" --tripid 1801-05 --locoid 4003 --swversion DE.1.0.8.0 --startMP 204:1014 --initTime 2017-02-05T05:55:40 --startdatetime 2017-02-05T06:21:35 --delay 1 --endMP 300:58928 --enddatetime 2017-02-05T06:33:40 --enforcementcount 0 &gt;&gt;C:\Users\stu\Documents\GitHub\eaglep3-reporting\EC\2017-02-05-refined-times.txt</v>
      </c>
      <c r="AI158" s="108" t="str">
        <f t="shared" si="52"/>
        <v>echo {"issue":{"subject":"","project_id":79,"tracker_id":40,"status_id":1,"priority_id":2,"assigned_to_id":23,"start_date":"2017-02-05","description":"","custom_fields":[{"id":1,"name":"Subdivision","value":"NW"},{"id":4,"name":"Milepost","value":"5.8928"},{"id":17,"name":"Train ID","value":"1801-05"},{"id":16,"name":"Locomotive ID","value":"4003"},{"id":130,"name":"Impact","value":""},{"id":150,"name":"Time of Event (Mountain Time)","value":"06:33:40"},{"id":151,"name":"Denver Issue ID","value":""},{"id":178,"name":"Operational Impact","value":"Yes"},{"id":179,"name":"Denver Segment Assigned","value":""}]}} | curl -X POST -H "Content-Type: application/json" -H "X-Redmine-API-Key: d6333d4a04012a730768444271f8ca06482dae87" https://secure.xorail.net/redmine/issues.json --data @-</v>
      </c>
      <c r="AJ158" s="48"/>
      <c r="AK158" s="48"/>
      <c r="AL158" s="48"/>
      <c r="AM158" s="158" t="str">
        <f t="shared" si="53"/>
        <v>start /low /b %USERPROFILE%\Documents\GitHub\eaglep3\Utilities\DownloadLogsFromS3.py --loco 4003 --day 2017-02-05</v>
      </c>
      <c r="AN158" s="167" t="str">
        <f>"grep -SE -B400 ""CHR.+\|PRM\|1\|D.+(SWITCH|SIGNAL).+UNKNOWN"" "&amp;search_path&amp;"\RTDC"&amp;B158&amp;"\*"&amp;B158&amp;"*"&amp;TEXT(AVERAGE(F158,I158)-utc_offset/24,"YYYYMMDD")&amp;"*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row>
    <row r="159" spans="1:91" s="20" customFormat="1" x14ac:dyDescent="0.25">
      <c r="A159" s="33" t="s">
        <v>570</v>
      </c>
      <c r="B159" s="7">
        <v>4004</v>
      </c>
      <c r="C159" s="21" t="s">
        <v>193</v>
      </c>
      <c r="D159" s="21" t="s">
        <v>787</v>
      </c>
      <c r="E159" s="13">
        <v>42771.275138888886</v>
      </c>
      <c r="F159" s="13">
        <v>42771.276782407411</v>
      </c>
      <c r="G159" s="7">
        <v>1</v>
      </c>
      <c r="H159" s="21" t="s">
        <v>788</v>
      </c>
      <c r="I159" s="13">
        <v>42771.287754629629</v>
      </c>
      <c r="J159" s="7">
        <v>0</v>
      </c>
      <c r="K159" s="98" t="str">
        <f t="shared" si="54"/>
        <v>4003/4004</v>
      </c>
      <c r="L159" s="21" t="str">
        <f>VLOOKUP(A159,'Trips&amp;Operators'!$C$1:$G$99999,5,FALSE)</f>
        <v>YORK EDGAR</v>
      </c>
      <c r="M159" s="6">
        <f t="shared" si="55"/>
        <v>1.0972222218697425E-2</v>
      </c>
      <c r="N159" s="7">
        <f t="shared" si="72"/>
        <v>15.799999994924292</v>
      </c>
      <c r="O159" s="7"/>
      <c r="P159" s="7"/>
      <c r="Q159" s="22"/>
      <c r="R159" s="22"/>
      <c r="S159" s="31">
        <f t="shared" si="56"/>
        <v>1</v>
      </c>
      <c r="T159" s="46" t="str">
        <f t="shared" si="57"/>
        <v>Southbound</v>
      </c>
      <c r="U159" s="190">
        <f>IF(AG159="EC",COUNTIFS(Variables!$M$2:$M$19,IF(T159="NorthBound","&gt;=","&lt;=")&amp;Y159,Variables!$M$2:$M$19,IF(T159="NorthBound","&lt;=","&gt;=")&amp;Z159),COUNTIFS(Variables!$P$2:$P$19,IF(T159="NorthBound","&gt;=","&lt;=")&amp;Y159,Variables!$P$2:$P$19,IF(T159="NorthBound","&lt;=","&gt;=")&amp;Z159))</f>
        <v>1</v>
      </c>
      <c r="V159" s="191" t="str">
        <f t="shared" si="58"/>
        <v>https://d0f6bd738d7f1b3e5a7ca70fe4ff75f0.us-east-1.aws.found.io/app/kibana#/discover/Steve-Slow-Train-Analysis-(2080s-and-2083s)?_g=(refreshInterval:(display:Off,pause:!f,section:0,value:0),time:(from:'2017-02-05T05:36:12-0700',mode:absolute,to:'2017-02-05T07:54: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59" s="192" t="str">
        <f t="shared" si="59"/>
        <v>N</v>
      </c>
      <c r="X159" s="192">
        <f t="shared" si="68"/>
        <v>1</v>
      </c>
      <c r="Y159" s="62">
        <f t="shared" si="71"/>
        <v>5.8620999999999999</v>
      </c>
      <c r="Z159" s="62">
        <f t="shared" si="70"/>
        <v>7.3400000000000007E-2</v>
      </c>
      <c r="AA159" s="62">
        <f t="shared" si="62"/>
        <v>5.7886999999999995</v>
      </c>
      <c r="AB159" s="59" t="e">
        <f>VLOOKUP(A159,Enforcements!$C$7:$K$16,8,0)</f>
        <v>#N/A</v>
      </c>
      <c r="AC159" s="55" t="e">
        <f>VLOOKUP(A159,Enforcements!$C$7:$E$16,3,0)</f>
        <v>#N/A</v>
      </c>
      <c r="AD159" s="56" t="str">
        <f t="shared" si="63"/>
        <v>1802-05</v>
      </c>
      <c r="AE159"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59" s="82" t="str">
        <f t="shared" si="65"/>
        <v>"C:\Program Files (x86)\AstroGrep\AstroGrep.exe" /spath="%USERPROFILE%\AppData\Local\Temp\OnboardLogs" /stypes="app*4004*20170205*" /stext=" 13:.+((SYSTEM_STATE.+slice.+state.+changed )|(ment ac)|(multiple cpu faults)|(system.+state.+changed )|(\[timeout)|(PRM\|1\|D)|(kpr)|(kdp)|(\|lc)|(penalty))" /e /r /s</v>
      </c>
      <c r="AG159" s="1" t="str">
        <f t="shared" si="66"/>
        <v>NW</v>
      </c>
      <c r="AH159" s="86" t="str">
        <f t="shared" si="51"/>
        <v>"%USERPROFILE%\Documents\GitHub\eaglep3\Utilities\RefineRTDCRunTimes.py" --tripid 1802-05 --locoid 4004 --swversion DE.1.0.8.0 --startMP 300:58621 --initTime 2017-02-05T06:36:12 --startdatetime 2017-02-05T06:38:34 --delay 1 --endMP 204:734 --enddatetime 2017-02-05T06:54:22 --enforcementcount 0 &gt;&gt;C:\Users\stu\Documents\GitHub\eaglep3-reporting\EC\2017-02-05-refined-times.txt</v>
      </c>
      <c r="AI159" s="108" t="str">
        <f t="shared" si="52"/>
        <v>echo {"issue":{"subject":"","project_id":79,"tracker_id":40,"status_id":1,"priority_id":2,"assigned_to_id":23,"start_date":"2017-02-05","description":"","custom_fields":[{"id":1,"name":"Subdivision","value":"NW"},{"id":4,"name":"Milepost","value":"0.0734"},{"id":17,"name":"Train ID","value":"1802-05"},{"id":16,"name":"Locomotive ID","value":"4004"},{"id":130,"name":"Impact","value":""},{"id":150,"name":"Time of Event (Mountain Time)","value":"06:54:22"},{"id":151,"name":"Denver Issue ID","value":""},{"id":178,"name":"Operational Impact","value":"Yes"},{"id":179,"name":"Denver Segment Assigned","value":""}]}} | curl -X POST -H "Content-Type: application/json" -H "X-Redmine-API-Key: d6333d4a04012a730768444271f8ca06482dae87" https://secure.xorail.net/redmine/issues.json --data @-</v>
      </c>
      <c r="AJ159" s="48"/>
      <c r="AK159" s="48"/>
      <c r="AL159" s="48"/>
      <c r="AM159" s="158" t="str">
        <f t="shared" si="53"/>
        <v>start /low /b %USERPROFILE%\Documents\GitHub\eaglep3\Utilities\DownloadLogsFromS3.py --loco 4004 --day 2017-02-05</v>
      </c>
      <c r="AN159" s="167" t="str">
        <f>"grep -SE -B400 ""CHR.+\|PRM\|1\|D.+(SWITCH|SIGNAL).+UNKNOWN"" "&amp;search_path&amp;"\RTDC"&amp;B159&amp;"\*"&amp;B159&amp;"*"&amp;TEXT(AVERAGE(F159,I159)-utc_offset/24,"YYYYMMDD")&amp;"*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spans="1:91" s="20" customFormat="1" x14ac:dyDescent="0.25">
      <c r="A160" s="33" t="s">
        <v>573</v>
      </c>
      <c r="B160" s="7">
        <v>4003</v>
      </c>
      <c r="C160" s="21" t="s">
        <v>193</v>
      </c>
      <c r="D160" s="21" t="s">
        <v>789</v>
      </c>
      <c r="E160" s="13">
        <v>42771.289074074077</v>
      </c>
      <c r="F160" s="13">
        <v>42771.306655092594</v>
      </c>
      <c r="G160" s="7">
        <v>0</v>
      </c>
      <c r="H160" s="21" t="s">
        <v>790</v>
      </c>
      <c r="I160" s="13">
        <v>42771.315266203703</v>
      </c>
      <c r="J160" s="7">
        <v>0</v>
      </c>
      <c r="K160" s="98" t="str">
        <f t="shared" si="54"/>
        <v>4003/4004</v>
      </c>
      <c r="L160" s="21" t="str">
        <f>VLOOKUP(A160,'Trips&amp;Operators'!$C$1:$G$99999,5,FALSE)</f>
        <v>YORK EDGAR</v>
      </c>
      <c r="M160" s="6">
        <f t="shared" si="55"/>
        <v>8.6111111086211167E-3</v>
      </c>
      <c r="N160" s="7">
        <f t="shared" si="72"/>
        <v>12.399999996414408</v>
      </c>
      <c r="O160" s="7"/>
      <c r="P160" s="7"/>
      <c r="Q160" s="22"/>
      <c r="R160" s="22"/>
      <c r="S160" s="31">
        <f t="shared" si="56"/>
        <v>1</v>
      </c>
      <c r="T160" s="46" t="str">
        <f t="shared" si="57"/>
        <v>NorthBound</v>
      </c>
      <c r="U160" s="190">
        <f>IF(AG160="EC",COUNTIFS(Variables!$M$2:$M$19,IF(T160="NorthBound","&gt;=","&lt;=")&amp;Y160,Variables!$M$2:$M$19,IF(T160="NorthBound","&lt;=","&gt;=")&amp;Z160),COUNTIFS(Variables!$P$2:$P$19,IF(T160="NorthBound","&gt;=","&lt;=")&amp;Y160,Variables!$P$2:$P$19,IF(T160="NorthBound","&lt;=","&gt;=")&amp;Z160))</f>
        <v>1</v>
      </c>
      <c r="V160" s="191" t="str">
        <f t="shared" si="58"/>
        <v>https://d0f6bd738d7f1b3e5a7ca70fe4ff75f0.us-east-1.aws.found.io/app/kibana#/discover/Steve-Slow-Train-Analysis-(2080s-and-2083s)?_g=(refreshInterval:(display:Off,pause:!f,section:0,value:0),time:(from:'2017-02-05T05:56:16-0700',mode:absolute,to:'2017-02-05T08:33:59-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60" s="192" t="str">
        <f t="shared" si="59"/>
        <v>N</v>
      </c>
      <c r="X160" s="192">
        <f t="shared" si="68"/>
        <v>1</v>
      </c>
      <c r="Y160" s="62">
        <f t="shared" si="71"/>
        <v>0.1009</v>
      </c>
      <c r="Z160" s="62">
        <f t="shared" si="70"/>
        <v>5.8917999999999999</v>
      </c>
      <c r="AA160" s="62">
        <f t="shared" si="62"/>
        <v>5.7908999999999997</v>
      </c>
      <c r="AB160" s="59" t="e">
        <f>VLOOKUP(A160,Enforcements!$C$7:$K$16,8,0)</f>
        <v>#N/A</v>
      </c>
      <c r="AC160" s="55" t="e">
        <f>VLOOKUP(A160,Enforcements!$C$7:$E$16,3,0)</f>
        <v>#N/A</v>
      </c>
      <c r="AD160" s="56" t="str">
        <f t="shared" si="63"/>
        <v>1803-05</v>
      </c>
      <c r="AE160"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60" s="82" t="str">
        <f t="shared" si="65"/>
        <v>"C:\Program Files (x86)\AstroGrep\AstroGrep.exe" /spath="%USERPROFILE%\AppData\Local\Temp\OnboardLogs" /stypes="app*4003*20170205*" /stext=" 14:.+((SYSTEM_STATE.+slice.+state.+changed )|(ment ac)|(multiple cpu faults)|(system.+state.+changed )|(\[timeout)|(PRM\|1\|D)|(kpr)|(kdp)|(\|lc)|(penalty))" /e /r /s</v>
      </c>
      <c r="AG160" s="1" t="str">
        <f t="shared" si="66"/>
        <v>NW</v>
      </c>
      <c r="AH160" s="86" t="str">
        <f t="shared" si="51"/>
        <v>"%USERPROFILE%\Documents\GitHub\eaglep3\Utilities\RefineRTDCRunTimes.py" --tripid 1803-05 --locoid 4003 --swversion DE.1.0.8.0 --startMP 204:1009 --initTime 2017-02-05T06:56:16 --startdatetime 2017-02-05T07:21:35 --delay 0 --endMP 300:58918 --enddatetime 2017-02-05T07:33:59 --enforcementcount 0 &gt;&gt;C:\Users\stu\Documents\GitHub\eaglep3-reporting\EC\2017-02-05-refined-times.txt</v>
      </c>
      <c r="AI160" s="108" t="str">
        <f t="shared" si="52"/>
        <v>echo {"issue":{"subject":"","project_id":79,"tracker_id":40,"status_id":1,"priority_id":2,"assigned_to_id":23,"start_date":"2017-02-05","description":"","custom_fields":[{"id":1,"name":"Subdivision","value":"NW"},{"id":4,"name":"Milepost","value":"5.8918"},{"id":17,"name":"Train ID","value":"1803-05"},{"id":16,"name":"Locomotive ID","value":"4003"},{"id":130,"name":"Impact","value":""},{"id":150,"name":"Time of Event (Mountain Time)","value":"07:33:59"},{"id":151,"name":"Denver Issue ID","value":""},{"id":178,"name":"Operational Impact","value":"Yes"},{"id":179,"name":"Denver Segment Assigned","value":""}]}} | curl -X POST -H "Content-Type: application/json" -H "X-Redmine-API-Key: d6333d4a04012a730768444271f8ca06482dae87" https://secure.xorail.net/redmine/issues.json --data @-</v>
      </c>
      <c r="AJ160" s="48"/>
      <c r="AK160" s="48"/>
      <c r="AL160" s="48"/>
      <c r="AM160" s="158" t="str">
        <f t="shared" si="53"/>
        <v>start /low /b %USERPROFILE%\Documents\GitHub\eaglep3\Utilities\DownloadLogsFromS3.py --loco 4003 --day 2017-02-05</v>
      </c>
      <c r="AN160" s="167" t="str">
        <f>"grep -SE -B400 ""CHR.+\|PRM\|1\|D.+(SWITCH|SIGNAL).+UNKNOWN"" "&amp;search_path&amp;"\RTDC"&amp;B160&amp;"\*"&amp;B160&amp;"*"&amp;TEXT(AVERAGE(F160,I160)-utc_offset/24,"YYYYMMDD")&amp;"*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row>
    <row r="161" spans="1:91" s="20" customFormat="1" x14ac:dyDescent="0.25">
      <c r="A161" s="33" t="s">
        <v>579</v>
      </c>
      <c r="B161" s="7">
        <v>4004</v>
      </c>
      <c r="C161" s="21" t="s">
        <v>193</v>
      </c>
      <c r="D161" s="21" t="s">
        <v>791</v>
      </c>
      <c r="E161" s="13">
        <v>42771.317442129628</v>
      </c>
      <c r="F161" s="13">
        <v>42771.319479166668</v>
      </c>
      <c r="G161" s="7">
        <v>1</v>
      </c>
      <c r="H161" s="21" t="s">
        <v>788</v>
      </c>
      <c r="I161" s="13">
        <v>42771.329629629632</v>
      </c>
      <c r="J161" s="7">
        <v>0</v>
      </c>
      <c r="K161" s="98" t="str">
        <f t="shared" si="54"/>
        <v>4003/4004</v>
      </c>
      <c r="L161" s="21" t="str">
        <f>VLOOKUP(A161,'Trips&amp;Operators'!$C$1:$G$99999,5,FALSE)</f>
        <v>YORK EDGAR</v>
      </c>
      <c r="M161" s="6">
        <f t="shared" si="55"/>
        <v>1.0150462963792961E-2</v>
      </c>
      <c r="N161" s="7">
        <f t="shared" si="72"/>
        <v>14.616666667861864</v>
      </c>
      <c r="O161" s="7"/>
      <c r="P161" s="7"/>
      <c r="Q161" s="22"/>
      <c r="R161" s="22"/>
      <c r="S161" s="31">
        <f t="shared" si="56"/>
        <v>1</v>
      </c>
      <c r="T161" s="46" t="str">
        <f t="shared" si="57"/>
        <v>Southbound</v>
      </c>
      <c r="U161" s="190">
        <f>IF(AG161="EC",COUNTIFS(Variables!$M$2:$M$19,IF(T161="NorthBound","&gt;=","&lt;=")&amp;Y161,Variables!$M$2:$M$19,IF(T161="NorthBound","&lt;=","&gt;=")&amp;Z161),COUNTIFS(Variables!$P$2:$P$19,IF(T161="NorthBound","&gt;=","&lt;=")&amp;Y161,Variables!$P$2:$P$19,IF(T161="NorthBound","&lt;=","&gt;=")&amp;Z161))</f>
        <v>1</v>
      </c>
      <c r="V161" s="191" t="str">
        <f t="shared" si="58"/>
        <v>https://d0f6bd738d7f1b3e5a7ca70fe4ff75f0.us-east-1.aws.found.io/app/kibana#/discover/Steve-Slow-Train-Analysis-(2080s-and-2083s)?_g=(refreshInterval:(display:Off,pause:!f,section:0,value:0),time:(from:'2017-02-05T06:37:07-0700',mode:absolute,to:'2017-02-05T08:54:40-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61" s="192" t="str">
        <f t="shared" si="59"/>
        <v>N</v>
      </c>
      <c r="X161" s="192">
        <f t="shared" si="68"/>
        <v>1</v>
      </c>
      <c r="Y161" s="62">
        <f t="shared" si="71"/>
        <v>5.8613</v>
      </c>
      <c r="Z161" s="62">
        <f t="shared" si="70"/>
        <v>7.3400000000000007E-2</v>
      </c>
      <c r="AA161" s="62">
        <f t="shared" si="62"/>
        <v>5.7878999999999996</v>
      </c>
      <c r="AB161" s="59" t="e">
        <f>VLOOKUP(A161,Enforcements!$C$7:$K$16,8,0)</f>
        <v>#N/A</v>
      </c>
      <c r="AC161" s="55" t="e">
        <f>VLOOKUP(A161,Enforcements!$C$7:$E$16,3,0)</f>
        <v>#N/A</v>
      </c>
      <c r="AD161" s="56" t="str">
        <f t="shared" si="63"/>
        <v>1804-05</v>
      </c>
      <c r="AE161"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61" s="82" t="str">
        <f t="shared" si="65"/>
        <v>"C:\Program Files (x86)\AstroGrep\AstroGrep.exe" /spath="%USERPROFILE%\AppData\Local\Temp\OnboardLogs" /stypes="app*4004*20170205*" /stext=" 14:.+((SYSTEM_STATE.+slice.+state.+changed )|(ment ac)|(multiple cpu faults)|(system.+state.+changed )|(\[timeout)|(PRM\|1\|D)|(kpr)|(kdp)|(\|lc)|(penalty))" /e /r /s</v>
      </c>
      <c r="AG161" s="1" t="str">
        <f t="shared" si="66"/>
        <v>NW</v>
      </c>
      <c r="AH161" s="86" t="str">
        <f t="shared" si="51"/>
        <v>"%USERPROFILE%\Documents\GitHub\eaglep3\Utilities\RefineRTDCRunTimes.py" --tripid 1804-05 --locoid 4004 --swversion DE.1.0.8.0 --startMP 300:58613 --initTime 2017-02-05T07:37:07 --startdatetime 2017-02-05T07:40:03 --delay 1 --endMP 204:734 --enddatetime 2017-02-05T07:54:40 --enforcementcount 0 &gt;&gt;C:\Users\stu\Documents\GitHub\eaglep3-reporting\EC\2017-02-05-refined-times.txt</v>
      </c>
      <c r="AI161" s="108" t="str">
        <f t="shared" si="52"/>
        <v>echo {"issue":{"subject":"","project_id":79,"tracker_id":40,"status_id":1,"priority_id":2,"assigned_to_id":23,"start_date":"2017-02-05","description":"","custom_fields":[{"id":1,"name":"Subdivision","value":"NW"},{"id":4,"name":"Milepost","value":"0.0734"},{"id":17,"name":"Train ID","value":"1804-05"},{"id":16,"name":"Locomotive ID","value":"4004"},{"id":130,"name":"Impact","value":""},{"id":150,"name":"Time of Event (Mountain Time)","value":"07:54:40"},{"id":151,"name":"Denver Issue ID","value":""},{"id":178,"name":"Operational Impact","value":"Yes"},{"id":179,"name":"Denver Segment Assigned","value":""}]}} | curl -X POST -H "Content-Type: application/json" -H "X-Redmine-API-Key: d6333d4a04012a730768444271f8ca06482dae87" https://secure.xorail.net/redmine/issues.json --data @-</v>
      </c>
      <c r="AJ161" s="48"/>
      <c r="AK161" s="48"/>
      <c r="AL161" s="48"/>
      <c r="AM161" s="158" t="str">
        <f t="shared" si="53"/>
        <v>start /low /b %USERPROFILE%\Documents\GitHub\eaglep3\Utilities\DownloadLogsFromS3.py --loco 4004 --day 2017-02-05</v>
      </c>
      <c r="AN161" s="167" t="str">
        <f>"grep -SE -B400 ""CHR.+\|PRM\|1\|D.+(SWITCH|SIGNAL).+UNKNOWN"" "&amp;search_path&amp;"\RTDC"&amp;B161&amp;"\*"&amp;B161&amp;"*"&amp;TEXT(AVERAGE(F161,I161)-utc_offset/24,"YYYYMMDD")&amp;"*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row>
    <row r="162" spans="1:91" s="20" customFormat="1" x14ac:dyDescent="0.25">
      <c r="A162" s="33" t="s">
        <v>583</v>
      </c>
      <c r="B162" s="7">
        <v>4003</v>
      </c>
      <c r="C162" s="21" t="s">
        <v>193</v>
      </c>
      <c r="D162" s="21" t="s">
        <v>792</v>
      </c>
      <c r="E162" s="13">
        <v>42771.331400462965</v>
      </c>
      <c r="F162" s="13">
        <v>42771.34815972222</v>
      </c>
      <c r="G162" s="7">
        <v>1</v>
      </c>
      <c r="H162" s="21" t="s">
        <v>786</v>
      </c>
      <c r="I162" s="13">
        <v>42771.356770833336</v>
      </c>
      <c r="J162" s="7">
        <v>0</v>
      </c>
      <c r="K162" s="98" t="str">
        <f t="shared" si="54"/>
        <v>4003/4004</v>
      </c>
      <c r="L162" s="21" t="str">
        <f>VLOOKUP(A162,'Trips&amp;Operators'!$C$1:$G$99999,5,FALSE)</f>
        <v>YORK EDGAR</v>
      </c>
      <c r="M162" s="6">
        <f t="shared" si="55"/>
        <v>8.6111111158970743E-3</v>
      </c>
      <c r="N162" s="7">
        <f t="shared" si="72"/>
        <v>12.400000006891787</v>
      </c>
      <c r="O162" s="7"/>
      <c r="P162" s="7"/>
      <c r="Q162" s="22"/>
      <c r="R162" s="22"/>
      <c r="S162" s="31">
        <f t="shared" si="56"/>
        <v>1</v>
      </c>
      <c r="T162" s="46" t="str">
        <f t="shared" si="57"/>
        <v>NorthBound</v>
      </c>
      <c r="U162" s="190">
        <f>IF(AG162="EC",COUNTIFS(Variables!$M$2:$M$19,IF(T162="NorthBound","&gt;=","&lt;=")&amp;Y162,Variables!$M$2:$M$19,IF(T162="NorthBound","&lt;=","&gt;=")&amp;Z162),COUNTIFS(Variables!$P$2:$P$19,IF(T162="NorthBound","&gt;=","&lt;=")&amp;Y162,Variables!$P$2:$P$19,IF(T162="NorthBound","&lt;=","&gt;=")&amp;Z162))</f>
        <v>1</v>
      </c>
      <c r="V162" s="191" t="str">
        <f t="shared" si="58"/>
        <v>https://d0f6bd738d7f1b3e5a7ca70fe4ff75f0.us-east-1.aws.found.io/app/kibana#/discover/Steve-Slow-Train-Analysis-(2080s-and-2083s)?_g=(refreshInterval:(display:Off,pause:!f,section:0,value:0),time:(from:'2017-02-05T06:57:13-0700',mode:absolute,to:'2017-02-05T09:33: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62" s="192" t="str">
        <f t="shared" si="59"/>
        <v>N</v>
      </c>
      <c r="X162" s="192">
        <f t="shared" ref="X162:X193" si="73">VALUE(LEFT(AD162,4))-VALUE(LEFT(AD161,4))</f>
        <v>1</v>
      </c>
      <c r="Y162" s="62">
        <f t="shared" si="71"/>
        <v>0.10249999999999999</v>
      </c>
      <c r="Z162" s="62">
        <f t="shared" si="70"/>
        <v>5.8928000000000003</v>
      </c>
      <c r="AA162" s="62">
        <f t="shared" si="62"/>
        <v>5.7903000000000002</v>
      </c>
      <c r="AB162" s="59" t="e">
        <f>VLOOKUP(A162,Enforcements!$C$7:$K$16,8,0)</f>
        <v>#N/A</v>
      </c>
      <c r="AC162" s="55" t="e">
        <f>VLOOKUP(A162,Enforcements!$C$7:$E$16,3,0)</f>
        <v>#N/A</v>
      </c>
      <c r="AD162" s="56" t="str">
        <f t="shared" si="63"/>
        <v>1805-05</v>
      </c>
      <c r="AE162"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62" s="82" t="str">
        <f t="shared" si="65"/>
        <v>"C:\Program Files (x86)\AstroGrep\AstroGrep.exe" /spath="%USERPROFILE%\AppData\Local\Temp\OnboardLogs" /stypes="app*4003*20170205*" /stext=" 15:.+((SYSTEM_STATE.+slice.+state.+changed )|(ment ac)|(multiple cpu faults)|(system.+state.+changed )|(\[timeout)|(PRM\|1\|D)|(kpr)|(kdp)|(\|lc)|(penalty))" /e /r /s</v>
      </c>
      <c r="AG162" s="1" t="str">
        <f t="shared" si="66"/>
        <v>NW</v>
      </c>
      <c r="AH162" s="86" t="str">
        <f t="shared" si="51"/>
        <v>"%USERPROFILE%\Documents\GitHub\eaglep3\Utilities\RefineRTDCRunTimes.py" --tripid 1805-05 --locoid 4003 --swversion DE.1.0.8.0 --startMP 204:1025 --initTime 2017-02-05T07:57:13 --startdatetime 2017-02-05T08:21:21 --delay 1 --endMP 300:58928 --enddatetime 2017-02-05T08:33:45 --enforcementcount 0 &gt;&gt;C:\Users\stu\Documents\GitHub\eaglep3-reporting\EC\2017-02-05-refined-times.txt</v>
      </c>
      <c r="AI162" s="108" t="str">
        <f t="shared" si="52"/>
        <v>echo {"issue":{"subject":"","project_id":79,"tracker_id":40,"status_id":1,"priority_id":2,"assigned_to_id":23,"start_date":"2017-02-05","description":"","custom_fields":[{"id":1,"name":"Subdivision","value":"NW"},{"id":4,"name":"Milepost","value":"5.8928"},{"id":17,"name":"Train ID","value":"1805-05"},{"id":16,"name":"Locomotive ID","value":"4003"},{"id":130,"name":"Impact","value":""},{"id":150,"name":"Time of Event (Mountain Time)","value":"08:33:45"},{"id":151,"name":"Denver Issue ID","value":""},{"id":178,"name":"Operational Impact","value":"Yes"},{"id":179,"name":"Denver Segment Assigned","value":""}]}} | curl -X POST -H "Content-Type: application/json" -H "X-Redmine-API-Key: d6333d4a04012a730768444271f8ca06482dae87" https://secure.xorail.net/redmine/issues.json --data @-</v>
      </c>
      <c r="AJ162" s="48"/>
      <c r="AK162" s="48"/>
      <c r="AL162" s="48"/>
      <c r="AM162" s="158" t="str">
        <f t="shared" si="53"/>
        <v>start /low /b %USERPROFILE%\Documents\GitHub\eaglep3\Utilities\DownloadLogsFromS3.py --loco 4003 --day 2017-02-05</v>
      </c>
      <c r="AN162" s="167" t="str">
        <f>"grep -SE -B400 ""CHR.+\|PRM\|1\|D.+(SWITCH|SIGNAL).+UNKNOWN"" "&amp;search_path&amp;"\RTDC"&amp;B162&amp;"\*"&amp;B162&amp;"*"&amp;TEXT(AVERAGE(F162,I162)-utc_offset/24,"YYYYMMDD")&amp;"*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row>
    <row r="163" spans="1:91" s="20" customFormat="1" x14ac:dyDescent="0.25">
      <c r="A163" s="33" t="s">
        <v>587</v>
      </c>
      <c r="B163" s="7">
        <v>4004</v>
      </c>
      <c r="C163" s="21" t="s">
        <v>193</v>
      </c>
      <c r="D163" s="21" t="s">
        <v>793</v>
      </c>
      <c r="E163" s="13">
        <v>42771.359039351853</v>
      </c>
      <c r="F163" s="13">
        <v>42771.360682870371</v>
      </c>
      <c r="G163" s="7">
        <v>1</v>
      </c>
      <c r="H163" s="21" t="s">
        <v>794</v>
      </c>
      <c r="I163" s="13">
        <v>42771.370798611111</v>
      </c>
      <c r="J163" s="7">
        <v>0</v>
      </c>
      <c r="K163" s="98" t="str">
        <f t="shared" si="54"/>
        <v>4003/4004</v>
      </c>
      <c r="L163" s="21" t="str">
        <f>VLOOKUP(A163,'Trips&amp;Operators'!$C$1:$G$99999,5,FALSE)</f>
        <v>YORK EDGAR</v>
      </c>
      <c r="M163" s="6">
        <f t="shared" si="55"/>
        <v>1.0115740740729962E-2</v>
      </c>
      <c r="N163" s="7">
        <f t="shared" si="72"/>
        <v>14.566666666651145</v>
      </c>
      <c r="O163" s="7"/>
      <c r="P163" s="7"/>
      <c r="Q163" s="22"/>
      <c r="R163" s="22"/>
      <c r="S163" s="31">
        <f t="shared" si="56"/>
        <v>1</v>
      </c>
      <c r="T163" s="46" t="str">
        <f t="shared" si="57"/>
        <v>Southbound</v>
      </c>
      <c r="U163" s="190">
        <f>IF(AG163="EC",COUNTIFS(Variables!$M$2:$M$19,IF(T163="NorthBound","&gt;=","&lt;=")&amp;Y163,Variables!$M$2:$M$19,IF(T163="NorthBound","&lt;=","&gt;=")&amp;Z163),COUNTIFS(Variables!$P$2:$P$19,IF(T163="NorthBound","&gt;=","&lt;=")&amp;Y163,Variables!$P$2:$P$19,IF(T163="NorthBound","&lt;=","&gt;=")&amp;Z163))</f>
        <v>1</v>
      </c>
      <c r="V163" s="191" t="str">
        <f t="shared" si="58"/>
        <v>https://d0f6bd738d7f1b3e5a7ca70fe4ff75f0.us-east-1.aws.found.io/app/kibana#/discover/Steve-Slow-Train-Analysis-(2080s-and-2083s)?_g=(refreshInterval:(display:Off,pause:!f,section:0,value:0),time:(from:'2017-02-05T07:37:01-0700',mode:absolute,to:'2017-02-05T09:53:57-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63" s="192" t="str">
        <f t="shared" si="59"/>
        <v>N</v>
      </c>
      <c r="X163" s="192">
        <f t="shared" si="73"/>
        <v>1</v>
      </c>
      <c r="Y163" s="62">
        <f t="shared" si="71"/>
        <v>5.8615000000000004</v>
      </c>
      <c r="Z163" s="62">
        <f t="shared" si="70"/>
        <v>7.3999999999999996E-2</v>
      </c>
      <c r="AA163" s="62">
        <f t="shared" si="62"/>
        <v>5.7875000000000005</v>
      </c>
      <c r="AB163" s="59" t="e">
        <f>VLOOKUP(A163,Enforcements!$C$7:$K$16,8,0)</f>
        <v>#N/A</v>
      </c>
      <c r="AC163" s="55" t="e">
        <f>VLOOKUP(A163,Enforcements!$C$7:$E$16,3,0)</f>
        <v>#N/A</v>
      </c>
      <c r="AD163" s="56" t="str">
        <f t="shared" si="63"/>
        <v>1806-05</v>
      </c>
      <c r="AE163"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63" s="82" t="str">
        <f t="shared" si="65"/>
        <v>"C:\Program Files (x86)\AstroGrep\AstroGrep.exe" /spath="%USERPROFILE%\AppData\Local\Temp\OnboardLogs" /stypes="app*4004*20170205*" /stext=" 15:.+((SYSTEM_STATE.+slice.+state.+changed )|(ment ac)|(multiple cpu faults)|(system.+state.+changed )|(\[timeout)|(PRM\|1\|D)|(kpr)|(kdp)|(\|lc)|(penalty))" /e /r /s</v>
      </c>
      <c r="AG163" s="1" t="str">
        <f t="shared" si="66"/>
        <v>NW</v>
      </c>
      <c r="AH163" s="86" t="str">
        <f t="shared" si="51"/>
        <v>"%USERPROFILE%\Documents\GitHub\eaglep3\Utilities\RefineRTDCRunTimes.py" --tripid 1806-05 --locoid 4004 --swversion DE.1.0.8.0 --startMP 300:58615 --initTime 2017-02-05T08:37:01 --startdatetime 2017-02-05T08:39:23 --delay 1 --endMP 204:740 --enddatetime 2017-02-05T08:53:57 --enforcementcount 0 &gt;&gt;C:\Users\stu\Documents\GitHub\eaglep3-reporting\EC\2017-02-05-refined-times.txt</v>
      </c>
      <c r="AI163" s="108" t="str">
        <f t="shared" si="52"/>
        <v>echo {"issue":{"subject":"","project_id":79,"tracker_id":40,"status_id":1,"priority_id":2,"assigned_to_id":23,"start_date":"2017-02-05","description":"","custom_fields":[{"id":1,"name":"Subdivision","value":"NW"},{"id":4,"name":"Milepost","value":"0.074"},{"id":17,"name":"Train ID","value":"1806-05"},{"id":16,"name":"Locomotive ID","value":"4004"},{"id":130,"name":"Impact","value":""},{"id":150,"name":"Time of Event (Mountain Time)","value":"08:53:57"},{"id":151,"name":"Denver Issue ID","value":""},{"id":178,"name":"Operational Impact","value":"Yes"},{"id":179,"name":"Denver Segment Assigned","value":""}]}} | curl -X POST -H "Content-Type: application/json" -H "X-Redmine-API-Key: d6333d4a04012a730768444271f8ca06482dae87" https://secure.xorail.net/redmine/issues.json --data @-</v>
      </c>
      <c r="AJ163" s="48"/>
      <c r="AK163" s="48"/>
      <c r="AL163" s="48"/>
      <c r="AM163" s="158" t="str">
        <f t="shared" si="53"/>
        <v>start /low /b %USERPROFILE%\Documents\GitHub\eaglep3\Utilities\DownloadLogsFromS3.py --loco 4004 --day 2017-02-05</v>
      </c>
      <c r="AN163" s="167" t="str">
        <f>"grep -SE -B400 ""CHR.+\|PRM\|1\|D.+(SWITCH|SIGNAL).+UNKNOWN"" "&amp;search_path&amp;"\RTDC"&amp;B163&amp;"\*"&amp;B163&amp;"*"&amp;TEXT(AVERAGE(F163,I163)-utc_offset/24,"YYYYMMDD")&amp;"*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spans="1:91" x14ac:dyDescent="0.25">
      <c r="A164" s="33" t="s">
        <v>591</v>
      </c>
      <c r="B164" s="7">
        <v>4003</v>
      </c>
      <c r="C164" s="21" t="s">
        <v>193</v>
      </c>
      <c r="D164" s="21" t="s">
        <v>795</v>
      </c>
      <c r="E164" s="13">
        <v>42771.372083333335</v>
      </c>
      <c r="F164" s="13">
        <v>42771.38994212963</v>
      </c>
      <c r="G164" s="7">
        <v>0</v>
      </c>
      <c r="H164" s="21" t="s">
        <v>796</v>
      </c>
      <c r="I164" s="13">
        <v>42771.398159722223</v>
      </c>
      <c r="J164" s="7">
        <v>0</v>
      </c>
      <c r="K164" s="98" t="str">
        <f t="shared" si="54"/>
        <v>4003/4004</v>
      </c>
      <c r="L164" s="21" t="str">
        <f>VLOOKUP(A164,'Trips&amp;Operators'!$C$1:$G$99999,5,FALSE)</f>
        <v>YORK EDGAR</v>
      </c>
      <c r="M164" s="6">
        <f t="shared" si="55"/>
        <v>8.2175925927003846E-3</v>
      </c>
      <c r="N164" s="7">
        <f t="shared" si="72"/>
        <v>11.833333333488554</v>
      </c>
      <c r="O164" s="7"/>
      <c r="P164" s="7"/>
      <c r="Q164" s="22"/>
      <c r="R164" s="22"/>
      <c r="S164" s="31">
        <f t="shared" si="56"/>
        <v>1</v>
      </c>
      <c r="T164" s="46" t="str">
        <f t="shared" si="57"/>
        <v>NorthBound</v>
      </c>
      <c r="U164" s="190">
        <f>IF(AG164="EC",COUNTIFS(Variables!$M$2:$M$19,IF(T164="NorthBound","&gt;=","&lt;=")&amp;Y164,Variables!$M$2:$M$19,IF(T164="NorthBound","&lt;=","&gt;=")&amp;Z164),COUNTIFS(Variables!$P$2:$P$19,IF(T164="NorthBound","&gt;=","&lt;=")&amp;Y164,Variables!$P$2:$P$19,IF(T164="NorthBound","&lt;=","&gt;=")&amp;Z164))</f>
        <v>1</v>
      </c>
      <c r="V164" s="191" t="str">
        <f t="shared" si="58"/>
        <v>https://d0f6bd738d7f1b3e5a7ca70fe4ff75f0.us-east-1.aws.found.io/app/kibana#/discover/Steve-Slow-Train-Analysis-(2080s-and-2083s)?_g=(refreshInterval:(display:Off,pause:!f,section:0,value:0),time:(from:'2017-02-05T07:55:48-0700',mode:absolute,to:'2017-02-05T10:33:21-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64" s="192" t="str">
        <f t="shared" si="59"/>
        <v>N</v>
      </c>
      <c r="X164" s="192">
        <f t="shared" si="73"/>
        <v>1</v>
      </c>
      <c r="Y164" s="62">
        <f t="shared" si="71"/>
        <v>0.1016</v>
      </c>
      <c r="Z164" s="62">
        <f t="shared" si="70"/>
        <v>5.8929</v>
      </c>
      <c r="AA164" s="62">
        <f t="shared" si="62"/>
        <v>5.7912999999999997</v>
      </c>
      <c r="AB164" s="59" t="e">
        <f>VLOOKUP(A164,Enforcements!$C$7:$K$16,8,0)</f>
        <v>#N/A</v>
      </c>
      <c r="AC164" s="55" t="e">
        <f>VLOOKUP(A164,Enforcements!$C$7:$E$16,3,0)</f>
        <v>#N/A</v>
      </c>
      <c r="AD164" s="56" t="str">
        <f t="shared" si="63"/>
        <v>1807-05</v>
      </c>
      <c r="AE164"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64" s="82" t="str">
        <f t="shared" si="65"/>
        <v>"C:\Program Files (x86)\AstroGrep\AstroGrep.exe" /spath="%USERPROFILE%\AppData\Local\Temp\OnboardLogs" /stypes="app*4003*20170205*" /stext=" 16:.+((SYSTEM_STATE.+slice.+state.+changed )|(ment ac)|(multiple cpu faults)|(system.+state.+changed )|(\[timeout)|(PRM\|1\|D)|(kpr)|(kdp)|(\|lc)|(penalty))" /e /r /s</v>
      </c>
      <c r="AG164" s="1" t="str">
        <f t="shared" si="66"/>
        <v>NW</v>
      </c>
      <c r="AH164" s="86" t="str">
        <f t="shared" si="51"/>
        <v>"%USERPROFILE%\Documents\GitHub\eaglep3\Utilities\RefineRTDCRunTimes.py" --tripid 1807-05 --locoid 4003 --swversion DE.1.0.8.0 --startMP 204:1016 --initTime 2017-02-05T08:55:48 --startdatetime 2017-02-05T09:21:31 --delay 0 --endMP 300:58929 --enddatetime 2017-02-05T09:33:21 --enforcementcount 0 &gt;&gt;C:\Users\stu\Documents\GitHub\eaglep3-reporting\EC\2017-02-05-refined-times.txt</v>
      </c>
      <c r="AI164" s="108" t="str">
        <f t="shared" si="52"/>
        <v>echo {"issue":{"subject":"","project_id":79,"tracker_id":40,"status_id":1,"priority_id":2,"assigned_to_id":23,"start_date":"2017-02-05","description":"","custom_fields":[{"id":1,"name":"Subdivision","value":"NW"},{"id":4,"name":"Milepost","value":"5.8929"},{"id":17,"name":"Train ID","value":"1807-05"},{"id":16,"name":"Locomotive ID","value":"4003"},{"id":130,"name":"Impact","value":""},{"id":150,"name":"Time of Event (Mountain Time)","value":"09:33:21"},{"id":151,"name":"Denver Issue ID","value":""},{"id":178,"name":"Operational Impact","value":"Yes"},{"id":179,"name":"Denver Segment Assigned","value":""}]}} | curl -X POST -H "Content-Type: application/json" -H "X-Redmine-API-Key: d6333d4a04012a730768444271f8ca06482dae87" https://secure.xorail.net/redmine/issues.json --data @-</v>
      </c>
      <c r="AJ164" s="48"/>
      <c r="AK164" s="48"/>
      <c r="AL164" s="48"/>
      <c r="AM164" s="158" t="str">
        <f t="shared" si="53"/>
        <v>start /low /b %USERPROFILE%\Documents\GitHub\eaglep3\Utilities\DownloadLogsFromS3.py --loco 4003 --day 2017-02-05</v>
      </c>
      <c r="AN164" s="167" t="str">
        <f>"grep -SE -B400 ""CHR.+\|PRM\|1\|D.+(SWITCH|SIGNAL).+UNKNOWN"" "&amp;search_path&amp;"\RTDC"&amp;B164&amp;"\*"&amp;B164&amp;"*"&amp;TEXT(AVERAGE(F164,I164)-utc_offset/24,"YYYYMMDD")&amp;"*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row>
    <row r="165" spans="1:91" x14ac:dyDescent="0.25">
      <c r="A165" s="33" t="s">
        <v>597</v>
      </c>
      <c r="B165" s="7">
        <v>4004</v>
      </c>
      <c r="C165" s="21" t="s">
        <v>193</v>
      </c>
      <c r="D165" s="21" t="s">
        <v>797</v>
      </c>
      <c r="E165" s="13">
        <v>42771.399525462963</v>
      </c>
      <c r="F165" s="13">
        <v>42771.403425925928</v>
      </c>
      <c r="G165" s="7">
        <v>1</v>
      </c>
      <c r="H165" s="21" t="s">
        <v>798</v>
      </c>
      <c r="I165" s="13">
        <v>42771.412430555552</v>
      </c>
      <c r="J165" s="7">
        <v>0</v>
      </c>
      <c r="K165" s="98" t="str">
        <f t="shared" si="54"/>
        <v>4003/4004</v>
      </c>
      <c r="L165" s="21" t="str">
        <f>VLOOKUP(A165,'Trips&amp;Operators'!$C$1:$G$99999,5,FALSE)</f>
        <v>YORK EDGAR</v>
      </c>
      <c r="M165" s="6">
        <f t="shared" si="55"/>
        <v>9.0046296245418489E-3</v>
      </c>
      <c r="N165" s="7">
        <f t="shared" si="72"/>
        <v>12.966666659340262</v>
      </c>
      <c r="O165" s="7"/>
      <c r="P165" s="7"/>
      <c r="Q165" s="22"/>
      <c r="R165" s="22"/>
      <c r="S165" s="31">
        <f t="shared" si="56"/>
        <v>1</v>
      </c>
      <c r="T165" s="46" t="str">
        <f t="shared" si="57"/>
        <v>Southbound</v>
      </c>
      <c r="U165" s="190">
        <f>IF(AG165="EC",COUNTIFS(Variables!$M$2:$M$19,IF(T165="NorthBound","&gt;=","&lt;=")&amp;Y165,Variables!$M$2:$M$19,IF(T165="NorthBound","&lt;=","&gt;=")&amp;Z165),COUNTIFS(Variables!$P$2:$P$19,IF(T165="NorthBound","&gt;=","&lt;=")&amp;Y165,Variables!$P$2:$P$19,IF(T165="NorthBound","&lt;=","&gt;=")&amp;Z165))</f>
        <v>1</v>
      </c>
      <c r="V165" s="191" t="str">
        <f t="shared" si="58"/>
        <v>https://d0f6bd738d7f1b3e5a7ca70fe4ff75f0.us-east-1.aws.found.io/app/kibana#/discover/Steve-Slow-Train-Analysis-(2080s-and-2083s)?_g=(refreshInterval:(display:Off,pause:!f,section:0,value:0),time:(from:'2017-02-05T08:35:19-0700',mode:absolute,to:'2017-02-05T10:53:54-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65" s="192" t="str">
        <f t="shared" si="59"/>
        <v>N</v>
      </c>
      <c r="X165" s="192">
        <f t="shared" si="73"/>
        <v>1</v>
      </c>
      <c r="Y165" s="62">
        <f t="shared" si="71"/>
        <v>5.8616999999999999</v>
      </c>
      <c r="Z165" s="62">
        <f t="shared" si="70"/>
        <v>7.3599999999999999E-2</v>
      </c>
      <c r="AA165" s="62">
        <f t="shared" si="62"/>
        <v>5.7881</v>
      </c>
      <c r="AB165" s="59" t="e">
        <f>VLOOKUP(A165,Enforcements!$C$7:$K$16,8,0)</f>
        <v>#N/A</v>
      </c>
      <c r="AC165" s="55" t="e">
        <f>VLOOKUP(A165,Enforcements!$C$7:$E$16,3,0)</f>
        <v>#N/A</v>
      </c>
      <c r="AD165" s="56" t="str">
        <f t="shared" si="63"/>
        <v>1808-05</v>
      </c>
      <c r="AE165"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65" s="82" t="str">
        <f t="shared" si="65"/>
        <v>"C:\Program Files (x86)\AstroGrep\AstroGrep.exe" /spath="%USERPROFILE%\AppData\Local\Temp\OnboardLogs" /stypes="app*4004*20170205*" /stext=" 16:.+((SYSTEM_STATE.+slice.+state.+changed )|(ment ac)|(multiple cpu faults)|(system.+state.+changed )|(\[timeout)|(PRM\|1\|D)|(kpr)|(kdp)|(\|lc)|(penalty))" /e /r /s</v>
      </c>
      <c r="AG165" s="1" t="str">
        <f t="shared" si="66"/>
        <v>NW</v>
      </c>
      <c r="AH165" s="86" t="str">
        <f t="shared" si="51"/>
        <v>"%USERPROFILE%\Documents\GitHub\eaglep3\Utilities\RefineRTDCRunTimes.py" --tripid 1808-05 --locoid 4004 --swversion DE.1.0.8.0 --startMP 300:58617 --initTime 2017-02-05T09:35:19 --startdatetime 2017-02-05T09:40:56 --delay 1 --endMP 204:736 --enddatetime 2017-02-05T09:53:54 --enforcementcount 0 &gt;&gt;C:\Users\stu\Documents\GitHub\eaglep3-reporting\EC\2017-02-05-refined-times.txt</v>
      </c>
      <c r="AI165" s="108" t="str">
        <f t="shared" si="52"/>
        <v>echo {"issue":{"subject":"","project_id":79,"tracker_id":40,"status_id":1,"priority_id":2,"assigned_to_id":23,"start_date":"2017-02-05","description":"","custom_fields":[{"id":1,"name":"Subdivision","value":"NW"},{"id":4,"name":"Milepost","value":"0.0736"},{"id":17,"name":"Train ID","value":"1808-05"},{"id":16,"name":"Locomotive ID","value":"4004"},{"id":130,"name":"Impact","value":""},{"id":150,"name":"Time of Event (Mountain Time)","value":"09:53:54"},{"id":151,"name":"Denver Issue ID","value":""},{"id":178,"name":"Operational Impact","value":"Yes"},{"id":179,"name":"Denver Segment Assigned","value":""}]}} | curl -X POST -H "Content-Type: application/json" -H "X-Redmine-API-Key: d6333d4a04012a730768444271f8ca06482dae87" https://secure.xorail.net/redmine/issues.json --data @-</v>
      </c>
      <c r="AJ165" s="48"/>
      <c r="AK165" s="48"/>
      <c r="AL165" s="48"/>
      <c r="AM165" s="158" t="str">
        <f t="shared" si="53"/>
        <v>start /low /b %USERPROFILE%\Documents\GitHub\eaglep3\Utilities\DownloadLogsFromS3.py --loco 4004 --day 2017-02-05</v>
      </c>
      <c r="AN165" s="167" t="str">
        <f>"grep -SE -B400 ""CHR.+\|PRM\|1\|D.+(SWITCH|SIGNAL).+UNKNOWN"" "&amp;search_path&amp;"\RTDC"&amp;B165&amp;"\*"&amp;B165&amp;"*"&amp;TEXT(AVERAGE(F165,I165)-utc_offset/24,"YYYYMMDD")&amp;"*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66" spans="1:91" x14ac:dyDescent="0.25">
      <c r="A166" s="33" t="s">
        <v>599</v>
      </c>
      <c r="B166" s="7">
        <v>4003</v>
      </c>
      <c r="C166" s="21" t="s">
        <v>193</v>
      </c>
      <c r="D166" s="21" t="s">
        <v>795</v>
      </c>
      <c r="E166" s="13">
        <v>42771.413622685184</v>
      </c>
      <c r="F166" s="13">
        <v>42771.432071759256</v>
      </c>
      <c r="G166" s="7">
        <v>0</v>
      </c>
      <c r="H166" s="21" t="s">
        <v>796</v>
      </c>
      <c r="I166" s="13">
        <v>42771.440868055557</v>
      </c>
      <c r="J166" s="7">
        <v>0</v>
      </c>
      <c r="K166" s="98" t="str">
        <f t="shared" si="54"/>
        <v>4003/4004</v>
      </c>
      <c r="L166" s="21" t="str">
        <f>VLOOKUP(A166,'Trips&amp;Operators'!$C$1:$G$99999,5,FALSE)</f>
        <v>YORK EDGAR</v>
      </c>
      <c r="M166" s="6">
        <f t="shared" si="55"/>
        <v>8.7962963007157668E-3</v>
      </c>
      <c r="N166" s="7">
        <f t="shared" si="72"/>
        <v>12.666666673030704</v>
      </c>
      <c r="O166" s="7"/>
      <c r="P166" s="7"/>
      <c r="Q166" s="22"/>
      <c r="R166" s="22"/>
      <c r="S166" s="31">
        <f t="shared" si="56"/>
        <v>1</v>
      </c>
      <c r="T166" s="46" t="str">
        <f t="shared" si="57"/>
        <v>NorthBound</v>
      </c>
      <c r="U166" s="190">
        <f>IF(AG166="EC",COUNTIFS(Variables!$M$2:$M$19,IF(T166="NorthBound","&gt;=","&lt;=")&amp;Y166,Variables!$M$2:$M$19,IF(T166="NorthBound","&lt;=","&gt;=")&amp;Z166),COUNTIFS(Variables!$P$2:$P$19,IF(T166="NorthBound","&gt;=","&lt;=")&amp;Y166,Variables!$P$2:$P$19,IF(T166="NorthBound","&lt;=","&gt;=")&amp;Z166))</f>
        <v>1</v>
      </c>
      <c r="V166" s="191" t="str">
        <f t="shared" si="58"/>
        <v>https://d0f6bd738d7f1b3e5a7ca70fe4ff75f0.us-east-1.aws.found.io/app/kibana#/discover/Steve-Slow-Train-Analysis-(2080s-and-2083s)?_g=(refreshInterval:(display:Off,pause:!f,section:0,value:0),time:(from:'2017-02-05T08:55:37-0700',mode:absolute,to:'2017-02-05T11:34:51-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66" s="192" t="str">
        <f t="shared" si="59"/>
        <v>N</v>
      </c>
      <c r="X166" s="192">
        <f t="shared" si="73"/>
        <v>1</v>
      </c>
      <c r="Y166" s="62">
        <f t="shared" si="71"/>
        <v>0.1016</v>
      </c>
      <c r="Z166" s="62">
        <f t="shared" si="70"/>
        <v>5.8929</v>
      </c>
      <c r="AA166" s="62">
        <f t="shared" si="62"/>
        <v>5.7912999999999997</v>
      </c>
      <c r="AB166" s="59" t="e">
        <f>VLOOKUP(A166,Enforcements!$C$7:$K$16,8,0)</f>
        <v>#N/A</v>
      </c>
      <c r="AC166" s="55" t="e">
        <f>VLOOKUP(A166,Enforcements!$C$7:$E$16,3,0)</f>
        <v>#N/A</v>
      </c>
      <c r="AD166" s="56" t="str">
        <f t="shared" si="63"/>
        <v>1809-05</v>
      </c>
      <c r="AE166"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66" s="82" t="str">
        <f t="shared" si="65"/>
        <v>"C:\Program Files (x86)\AstroGrep\AstroGrep.exe" /spath="%USERPROFILE%\AppData\Local\Temp\OnboardLogs" /stypes="app*4003*20170205*" /stext=" 17:.+((SYSTEM_STATE.+slice.+state.+changed )|(ment ac)|(multiple cpu faults)|(system.+state.+changed )|(\[timeout)|(PRM\|1\|D)|(kpr)|(kdp)|(\|lc)|(penalty))" /e /r /s</v>
      </c>
      <c r="AG166" s="1" t="str">
        <f t="shared" si="66"/>
        <v>NW</v>
      </c>
      <c r="AH166" s="86" t="str">
        <f t="shared" si="51"/>
        <v>"%USERPROFILE%\Documents\GitHub\eaglep3\Utilities\RefineRTDCRunTimes.py" --tripid 1809-05 --locoid 4003 --swversion DE.1.0.8.0 --startMP 204:1016 --initTime 2017-02-05T09:55:37 --startdatetime 2017-02-05T10:22:11 --delay 0 --endMP 300:58929 --enddatetime 2017-02-05T10:34:51 --enforcementcount 0 &gt;&gt;C:\Users\stu\Documents\GitHub\eaglep3-reporting\EC\2017-02-05-refined-times.txt</v>
      </c>
      <c r="AI166" s="108" t="str">
        <f t="shared" si="52"/>
        <v>echo {"issue":{"subject":"","project_id":79,"tracker_id":40,"status_id":1,"priority_id":2,"assigned_to_id":23,"start_date":"2017-02-05","description":"","custom_fields":[{"id":1,"name":"Subdivision","value":"NW"},{"id":4,"name":"Milepost","value":"5.8929"},{"id":17,"name":"Train ID","value":"1809-05"},{"id":16,"name":"Locomotive ID","value":"4003"},{"id":130,"name":"Impact","value":""},{"id":150,"name":"Time of Event (Mountain Time)","value":"10:34:51"},{"id":151,"name":"Denver Issue ID","value":""},{"id":178,"name":"Operational Impact","value":"Yes"},{"id":179,"name":"Denver Segment Assigned","value":""}]}} | curl -X POST -H "Content-Type: application/json" -H "X-Redmine-API-Key: d6333d4a04012a730768444271f8ca06482dae87" https://secure.xorail.net/redmine/issues.json --data @-</v>
      </c>
      <c r="AJ166" s="48"/>
      <c r="AK166" s="48"/>
      <c r="AL166" s="48"/>
      <c r="AM166" s="158" t="str">
        <f t="shared" si="53"/>
        <v>start /low /b %USERPROFILE%\Documents\GitHub\eaglep3\Utilities\DownloadLogsFromS3.py --loco 4003 --day 2017-02-05</v>
      </c>
      <c r="AN166" s="167" t="str">
        <f>"grep -SE -B400 ""CHR.+\|PRM\|1\|D.+(SWITCH|SIGNAL).+UNKNOWN"" "&amp;search_path&amp;"\RTDC"&amp;B166&amp;"\*"&amp;B166&amp;"*"&amp;TEXT(AVERAGE(F166,I166)-utc_offset/24,"YYYYMMDD")&amp;"*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row>
    <row r="167" spans="1:91" x14ac:dyDescent="0.25">
      <c r="A167" s="33" t="s">
        <v>606</v>
      </c>
      <c r="B167" s="7">
        <v>4004</v>
      </c>
      <c r="C167" s="21" t="s">
        <v>193</v>
      </c>
      <c r="D167" s="21" t="s">
        <v>797</v>
      </c>
      <c r="E167" s="13">
        <v>42771.442303240743</v>
      </c>
      <c r="F167" s="13">
        <v>42771.443738425929</v>
      </c>
      <c r="G167" s="7">
        <v>1</v>
      </c>
      <c r="H167" s="21" t="s">
        <v>800</v>
      </c>
      <c r="I167" s="13">
        <v>42771.45453703704</v>
      </c>
      <c r="J167" s="7">
        <v>0</v>
      </c>
      <c r="K167" s="98" t="str">
        <f t="shared" si="54"/>
        <v>4003/4004</v>
      </c>
      <c r="L167" s="21" t="str">
        <f>VLOOKUP(A167,'Trips&amp;Operators'!$C$1:$G$99999,5,FALSE)</f>
        <v>YORK EDGAR</v>
      </c>
      <c r="M167" s="6">
        <f t="shared" si="55"/>
        <v>1.0798611110658385E-2</v>
      </c>
      <c r="N167" s="7">
        <f t="shared" si="72"/>
        <v>15.549999999348074</v>
      </c>
      <c r="O167" s="7"/>
      <c r="P167" s="7"/>
      <c r="Q167" s="22"/>
      <c r="R167" s="22"/>
      <c r="S167" s="31">
        <f t="shared" si="56"/>
        <v>1</v>
      </c>
      <c r="T167" s="46" t="str">
        <f t="shared" si="57"/>
        <v>Southbound</v>
      </c>
      <c r="U167" s="190">
        <f>IF(AG167="EC",COUNTIFS(Variables!$M$2:$M$19,IF(T167="NorthBound","&gt;=","&lt;=")&amp;Y167,Variables!$M$2:$M$19,IF(T167="NorthBound","&lt;=","&gt;=")&amp;Z167),COUNTIFS(Variables!$P$2:$P$19,IF(T167="NorthBound","&gt;=","&lt;=")&amp;Y167,Variables!$P$2:$P$19,IF(T167="NorthBound","&lt;=","&gt;=")&amp;Z167))</f>
        <v>1</v>
      </c>
      <c r="V167" s="191" t="str">
        <f t="shared" si="58"/>
        <v>https://d0f6bd738d7f1b3e5a7ca70fe4ff75f0.us-east-1.aws.found.io/app/kibana#/discover/Steve-Slow-Train-Analysis-(2080s-and-2083s)?_g=(refreshInterval:(display:Off,pause:!f,section:0,value:0),time:(from:'2017-02-05T09:36:55-0700',mode:absolute,to:'2017-02-05T11:54:32-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67" s="192" t="str">
        <f t="shared" si="59"/>
        <v>N</v>
      </c>
      <c r="X167" s="192">
        <f t="shared" si="73"/>
        <v>1</v>
      </c>
      <c r="Y167" s="62">
        <f t="shared" si="71"/>
        <v>5.8616999999999999</v>
      </c>
      <c r="Z167" s="62">
        <f t="shared" si="70"/>
        <v>7.4499999999999997E-2</v>
      </c>
      <c r="AA167" s="62">
        <f t="shared" si="62"/>
        <v>5.7872000000000003</v>
      </c>
      <c r="AB167" s="59" t="e">
        <f>VLOOKUP(A167,Enforcements!$C$7:$K$16,8,0)</f>
        <v>#N/A</v>
      </c>
      <c r="AC167" s="55" t="e">
        <f>VLOOKUP(A167,Enforcements!$C$7:$E$16,3,0)</f>
        <v>#N/A</v>
      </c>
      <c r="AD167" s="56" t="str">
        <f t="shared" si="63"/>
        <v>1810-05</v>
      </c>
      <c r="AE167"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67" s="82" t="str">
        <f t="shared" si="65"/>
        <v>"C:\Program Files (x86)\AstroGrep\AstroGrep.exe" /spath="%USERPROFILE%\AppData\Local\Temp\OnboardLogs" /stypes="app*4004*20170205*" /stext=" 17:.+((SYSTEM_STATE.+slice.+state.+changed )|(ment ac)|(multiple cpu faults)|(system.+state.+changed )|(\[timeout)|(PRM\|1\|D)|(kpr)|(kdp)|(\|lc)|(penalty))" /e /r /s</v>
      </c>
      <c r="AG167" s="1" t="str">
        <f t="shared" si="66"/>
        <v>NW</v>
      </c>
      <c r="AH167" s="86" t="str">
        <f t="shared" si="51"/>
        <v>"%USERPROFILE%\Documents\GitHub\eaglep3\Utilities\RefineRTDCRunTimes.py" --tripid 1810-05 --locoid 4004 --swversion DE.1.0.8.0 --startMP 300:58617 --initTime 2017-02-05T10:36:55 --startdatetime 2017-02-05T10:38:59 --delay 1 --endMP 204:745 --enddatetime 2017-02-05T10:54:32 --enforcementcount 0 &gt;&gt;C:\Users\stu\Documents\GitHub\eaglep3-reporting\EC\2017-02-05-refined-times.txt</v>
      </c>
      <c r="AI167" s="108" t="str">
        <f t="shared" si="52"/>
        <v>echo {"issue":{"subject":"","project_id":79,"tracker_id":40,"status_id":1,"priority_id":2,"assigned_to_id":23,"start_date":"2017-02-05","description":"","custom_fields":[{"id":1,"name":"Subdivision","value":"NW"},{"id":4,"name":"Milepost","value":"0.0745"},{"id":17,"name":"Train ID","value":"1810-05"},{"id":16,"name":"Locomotive ID","value":"4004"},{"id":130,"name":"Impact","value":""},{"id":150,"name":"Time of Event (Mountain Time)","value":"10:54:32"},{"id":151,"name":"Denver Issue ID","value":""},{"id":178,"name":"Operational Impact","value":"Yes"},{"id":179,"name":"Denver Segment Assigned","value":""}]}} | curl -X POST -H "Content-Type: application/json" -H "X-Redmine-API-Key: d6333d4a04012a730768444271f8ca06482dae87" https://secure.xorail.net/redmine/issues.json --data @-</v>
      </c>
      <c r="AJ167" s="48"/>
      <c r="AK167" s="48"/>
      <c r="AL167" s="48"/>
      <c r="AM167" s="158" t="str">
        <f t="shared" si="53"/>
        <v>start /low /b %USERPROFILE%\Documents\GitHub\eaglep3\Utilities\DownloadLogsFromS3.py --loco 4004 --day 2017-02-05</v>
      </c>
      <c r="AN167" s="167" t="str">
        <f>"grep -SE -B400 ""CHR.+\|PRM\|1\|D.+(SWITCH|SIGNAL).+UNKNOWN"" "&amp;search_path&amp;"\RTDC"&amp;B167&amp;"\*"&amp;B167&amp;"*"&amp;TEXT(AVERAGE(F167,I167)-utc_offset/24,"YYYYMMDD")&amp;"*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68" spans="1:91" s="20" customFormat="1" x14ac:dyDescent="0.25">
      <c r="A168" s="33" t="s">
        <v>612</v>
      </c>
      <c r="B168" s="7">
        <v>4003</v>
      </c>
      <c r="C168" s="21" t="s">
        <v>193</v>
      </c>
      <c r="D168" s="21" t="s">
        <v>801</v>
      </c>
      <c r="E168" s="13">
        <v>42771.455740740741</v>
      </c>
      <c r="F168" s="13">
        <v>42771.473136574074</v>
      </c>
      <c r="G168" s="7">
        <v>0</v>
      </c>
      <c r="H168" s="21" t="s">
        <v>796</v>
      </c>
      <c r="I168" s="13">
        <v>42771.481898148151</v>
      </c>
      <c r="J168" s="7">
        <v>0</v>
      </c>
      <c r="K168" s="98" t="str">
        <f t="shared" si="54"/>
        <v>4003/4004</v>
      </c>
      <c r="L168" s="21" t="str">
        <f>VLOOKUP(A168,'Trips&amp;Operators'!$C$1:$G$99999,5,FALSE)</f>
        <v>YORK EDGAR</v>
      </c>
      <c r="M168" s="6">
        <f t="shared" si="55"/>
        <v>8.7615740776527673E-3</v>
      </c>
      <c r="N168" s="7">
        <f t="shared" si="72"/>
        <v>12.616666671819985</v>
      </c>
      <c r="O168" s="7"/>
      <c r="P168" s="7"/>
      <c r="Q168" s="22"/>
      <c r="R168" s="22"/>
      <c r="S168" s="31">
        <f t="shared" si="56"/>
        <v>1</v>
      </c>
      <c r="T168" s="46" t="str">
        <f t="shared" si="57"/>
        <v>NorthBound</v>
      </c>
      <c r="U168" s="190">
        <f>IF(AG168="EC",COUNTIFS(Variables!$M$2:$M$19,IF(T168="NorthBound","&gt;=","&lt;=")&amp;Y168,Variables!$M$2:$M$19,IF(T168="NorthBound","&lt;=","&gt;=")&amp;Z168),COUNTIFS(Variables!$P$2:$P$19,IF(T168="NorthBound","&gt;=","&lt;=")&amp;Y168,Variables!$P$2:$P$19,IF(T168="NorthBound","&lt;=","&gt;=")&amp;Z168))</f>
        <v>1</v>
      </c>
      <c r="V168" s="191" t="str">
        <f t="shared" si="58"/>
        <v>https://d0f6bd738d7f1b3e5a7ca70fe4ff75f0.us-east-1.aws.found.io/app/kibana#/discover/Steve-Slow-Train-Analysis-(2080s-and-2083s)?_g=(refreshInterval:(display:Off,pause:!f,section:0,value:0),time:(from:'2017-02-05T09:56:16-0700',mode:absolute,to:'2017-02-05T12:33:56-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68" s="192" t="str">
        <f t="shared" si="59"/>
        <v>N</v>
      </c>
      <c r="X168" s="192">
        <f t="shared" si="73"/>
        <v>1</v>
      </c>
      <c r="Y168" s="62">
        <f t="shared" si="71"/>
        <v>0.1018</v>
      </c>
      <c r="Z168" s="62">
        <f t="shared" si="70"/>
        <v>5.8929</v>
      </c>
      <c r="AA168" s="62">
        <f t="shared" si="62"/>
        <v>5.7911000000000001</v>
      </c>
      <c r="AB168" s="59" t="e">
        <f>VLOOKUP(A168,Enforcements!$C$7:$K$16,8,0)</f>
        <v>#N/A</v>
      </c>
      <c r="AC168" s="55" t="e">
        <f>VLOOKUP(A168,Enforcements!$C$7:$E$16,3,0)</f>
        <v>#N/A</v>
      </c>
      <c r="AD168" s="56" t="str">
        <f t="shared" si="63"/>
        <v>1811-05</v>
      </c>
      <c r="AE168"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68" s="82" t="str">
        <f t="shared" si="65"/>
        <v>"C:\Program Files (x86)\AstroGrep\AstroGrep.exe" /spath="%USERPROFILE%\AppData\Local\Temp\OnboardLogs" /stypes="app*4003*20170205*" /stext=" 18:.+((SYSTEM_STATE.+slice.+state.+changed )|(ment ac)|(multiple cpu faults)|(system.+state.+changed )|(\[timeout)|(PRM\|1\|D)|(kpr)|(kdp)|(\|lc)|(penalty))" /e /r /s</v>
      </c>
      <c r="AG168" s="1" t="str">
        <f t="shared" si="66"/>
        <v>NW</v>
      </c>
      <c r="AH168" s="86" t="str">
        <f t="shared" si="51"/>
        <v>"%USERPROFILE%\Documents\GitHub\eaglep3\Utilities\RefineRTDCRunTimes.py" --tripid 1811-05 --locoid 4003 --swversion DE.1.0.8.0 --startMP 204:1018 --initTime 2017-02-05T10:56:16 --startdatetime 2017-02-05T11:21:19 --delay 0 --endMP 300:58929 --enddatetime 2017-02-05T11:33:56 --enforcementcount 0 &gt;&gt;C:\Users\stu\Documents\GitHub\eaglep3-reporting\EC\2017-02-05-refined-times.txt</v>
      </c>
      <c r="AI168" s="108" t="str">
        <f t="shared" si="52"/>
        <v>echo {"issue":{"subject":"","project_id":79,"tracker_id":40,"status_id":1,"priority_id":2,"assigned_to_id":23,"start_date":"2017-02-05","description":"","custom_fields":[{"id":1,"name":"Subdivision","value":"NW"},{"id":4,"name":"Milepost","value":"5.8929"},{"id":17,"name":"Train ID","value":"1811-05"},{"id":16,"name":"Locomotive ID","value":"4003"},{"id":130,"name":"Impact","value":""},{"id":150,"name":"Time of Event (Mountain Time)","value":"11:33:56"},{"id":151,"name":"Denver Issue ID","value":""},{"id":178,"name":"Operational Impact","value":"Yes"},{"id":179,"name":"Denver Segment Assigned","value":""}]}} | curl -X POST -H "Content-Type: application/json" -H "X-Redmine-API-Key: d6333d4a04012a730768444271f8ca06482dae87" https://secure.xorail.net/redmine/issues.json --data @-</v>
      </c>
      <c r="AJ168" s="48"/>
      <c r="AK168" s="48"/>
      <c r="AL168" s="48"/>
      <c r="AM168" s="158" t="str">
        <f t="shared" si="53"/>
        <v>start /low /b %USERPROFILE%\Documents\GitHub\eaglep3\Utilities\DownloadLogsFromS3.py --loco 4003 --day 2017-02-05</v>
      </c>
      <c r="AN168" s="167" t="str">
        <f>"grep -SE -B400 ""CHR.+\|PRM\|1\|D.+(SWITCH|SIGNAL).+UNKNOWN"" "&amp;search_path&amp;"\RTDC"&amp;B168&amp;"\*"&amp;B168&amp;"*"&amp;TEXT(AVERAGE(F168,I168)-utc_offset/24,"YYYYMMDD")&amp;"*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spans="1:91" x14ac:dyDescent="0.25">
      <c r="A169" s="33" t="s">
        <v>621</v>
      </c>
      <c r="B169" s="7">
        <v>4004</v>
      </c>
      <c r="C169" s="21" t="s">
        <v>193</v>
      </c>
      <c r="D169" s="21" t="s">
        <v>802</v>
      </c>
      <c r="E169" s="13">
        <v>42771.482847222222</v>
      </c>
      <c r="F169" s="13">
        <v>42771.485208333332</v>
      </c>
      <c r="G169" s="7">
        <v>1</v>
      </c>
      <c r="H169" s="21" t="s">
        <v>803</v>
      </c>
      <c r="I169" s="13">
        <v>42771.495798611111</v>
      </c>
      <c r="J169" s="7">
        <v>0</v>
      </c>
      <c r="K169" s="98" t="str">
        <f t="shared" si="54"/>
        <v>4003/4004</v>
      </c>
      <c r="L169" s="21" t="str">
        <f>VLOOKUP(A169,'Trips&amp;Operators'!$C$1:$G$99999,5,FALSE)</f>
        <v>YORK EDGAR</v>
      </c>
      <c r="M169" s="6">
        <f t="shared" si="55"/>
        <v>1.0590277779556345E-2</v>
      </c>
      <c r="N169" s="7">
        <f t="shared" si="72"/>
        <v>15.250000002561137</v>
      </c>
      <c r="O169" s="7"/>
      <c r="P169" s="7"/>
      <c r="Q169" s="22"/>
      <c r="R169" s="22"/>
      <c r="S169" s="31">
        <f t="shared" si="56"/>
        <v>1</v>
      </c>
      <c r="T169" s="46" t="str">
        <f t="shared" si="57"/>
        <v>Southbound</v>
      </c>
      <c r="U169" s="190">
        <f>IF(AG169="EC",COUNTIFS(Variables!$M$2:$M$19,IF(T169="NorthBound","&gt;=","&lt;=")&amp;Y169,Variables!$M$2:$M$19,IF(T169="NorthBound","&lt;=","&gt;=")&amp;Z169),COUNTIFS(Variables!$P$2:$P$19,IF(T169="NorthBound","&gt;=","&lt;=")&amp;Y169,Variables!$P$2:$P$19,IF(T169="NorthBound","&lt;=","&gt;=")&amp;Z169))</f>
        <v>1</v>
      </c>
      <c r="V169" s="191" t="str">
        <f t="shared" si="58"/>
        <v>https://d0f6bd738d7f1b3e5a7ca70fe4ff75f0.us-east-1.aws.found.io/app/kibana#/discover/Steve-Slow-Train-Analysis-(2080s-and-2083s)?_g=(refreshInterval:(display:Off,pause:!f,section:0,value:0),time:(from:'2017-02-05T10:35:18-0700',mode:absolute,to:'2017-02-05T12:53:57-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69" s="192" t="str">
        <f t="shared" si="59"/>
        <v>N</v>
      </c>
      <c r="X169" s="192">
        <f t="shared" si="73"/>
        <v>1</v>
      </c>
      <c r="Y169" s="62">
        <f t="shared" si="71"/>
        <v>5.8609</v>
      </c>
      <c r="Z169" s="62">
        <f t="shared" si="70"/>
        <v>7.5499999999999998E-2</v>
      </c>
      <c r="AA169" s="62">
        <f t="shared" si="62"/>
        <v>5.7854000000000001</v>
      </c>
      <c r="AB169" s="59" t="e">
        <f>VLOOKUP(A169,Enforcements!$C$7:$K$16,8,0)</f>
        <v>#N/A</v>
      </c>
      <c r="AC169" s="55" t="e">
        <f>VLOOKUP(A169,Enforcements!$C$7:$E$16,3,0)</f>
        <v>#N/A</v>
      </c>
      <c r="AD169" s="56" t="str">
        <f t="shared" si="63"/>
        <v>1812-05</v>
      </c>
      <c r="AE169"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69" s="82" t="str">
        <f t="shared" si="65"/>
        <v>"C:\Program Files (x86)\AstroGrep\AstroGrep.exe" /spath="%USERPROFILE%\AppData\Local\Temp\OnboardLogs" /stypes="app*4004*20170205*" /stext=" 18:.+((SYSTEM_STATE.+slice.+state.+changed )|(ment ac)|(multiple cpu faults)|(system.+state.+changed )|(\[timeout)|(PRM\|1\|D)|(kpr)|(kdp)|(\|lc)|(penalty))" /e /r /s</v>
      </c>
      <c r="AG169" s="1" t="str">
        <f t="shared" si="66"/>
        <v>NW</v>
      </c>
      <c r="AH169" s="86" t="str">
        <f t="shared" si="51"/>
        <v>"%USERPROFILE%\Documents\GitHub\eaglep3\Utilities\RefineRTDCRunTimes.py" --tripid 1812-05 --locoid 4004 --swversion DE.1.0.8.0 --startMP 300:58609 --initTime 2017-02-05T11:35:18 --startdatetime 2017-02-05T11:38:42 --delay 1 --endMP 204:755 --enddatetime 2017-02-05T11:53:57 --enforcementcount 0 &gt;&gt;C:\Users\stu\Documents\GitHub\eaglep3-reporting\EC\2017-02-05-refined-times.txt</v>
      </c>
      <c r="AI169" s="108" t="str">
        <f t="shared" si="52"/>
        <v>echo {"issue":{"subject":"","project_id":79,"tracker_id":40,"status_id":1,"priority_id":2,"assigned_to_id":23,"start_date":"2017-02-05","description":"","custom_fields":[{"id":1,"name":"Subdivision","value":"NW"},{"id":4,"name":"Milepost","value":"0.0755"},{"id":17,"name":"Train ID","value":"1812-05"},{"id":16,"name":"Locomotive ID","value":"4004"},{"id":130,"name":"Impact","value":""},{"id":150,"name":"Time of Event (Mountain Time)","value":"11:53:57"},{"id":151,"name":"Denver Issue ID","value":""},{"id":178,"name":"Operational Impact","value":"Yes"},{"id":179,"name":"Denver Segment Assigned","value":""}]}} | curl -X POST -H "Content-Type: application/json" -H "X-Redmine-API-Key: d6333d4a04012a730768444271f8ca06482dae87" https://secure.xorail.net/redmine/issues.json --data @-</v>
      </c>
      <c r="AJ169" s="48"/>
      <c r="AK169" s="48"/>
      <c r="AL169" s="48"/>
      <c r="AM169" s="158" t="str">
        <f t="shared" si="53"/>
        <v>start /low /b %USERPROFILE%\Documents\GitHub\eaglep3\Utilities\DownloadLogsFromS3.py --loco 4004 --day 2017-02-05</v>
      </c>
      <c r="AN169" s="167" t="str">
        <f>"grep -SE -B400 ""CHR.+\|PRM\|1\|D.+(SWITCH|SIGNAL).+UNKNOWN"" "&amp;search_path&amp;"\RTDC"&amp;B169&amp;"\*"&amp;B169&amp;"*"&amp;TEXT(AVERAGE(F169,I169)-utc_offset/24,"YYYYMMDD")&amp;"*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70" spans="1:91" x14ac:dyDescent="0.25">
      <c r="A170" s="33" t="s">
        <v>627</v>
      </c>
      <c r="B170" s="7">
        <v>4003</v>
      </c>
      <c r="C170" s="21" t="s">
        <v>193</v>
      </c>
      <c r="D170" s="21" t="s">
        <v>422</v>
      </c>
      <c r="E170" s="13">
        <v>42771.498090277775</v>
      </c>
      <c r="F170" s="13">
        <v>42771.514756944445</v>
      </c>
      <c r="G170" s="7">
        <v>0</v>
      </c>
      <c r="H170" s="21" t="s">
        <v>786</v>
      </c>
      <c r="I170" s="13">
        <v>42771.5237037037</v>
      </c>
      <c r="J170" s="7">
        <v>0</v>
      </c>
      <c r="K170" s="98" t="str">
        <f t="shared" si="54"/>
        <v>4003/4004</v>
      </c>
      <c r="L170" s="21" t="str">
        <f>VLOOKUP(A170,'Trips&amp;Operators'!$C$1:$G$99999,5,FALSE)</f>
        <v>YORK EDGAR</v>
      </c>
      <c r="M170" s="6">
        <f t="shared" si="55"/>
        <v>8.9467592551955022E-3</v>
      </c>
      <c r="N170" s="7">
        <f t="shared" si="72"/>
        <v>12.883333327481523</v>
      </c>
      <c r="O170" s="7"/>
      <c r="P170" s="7"/>
      <c r="Q170" s="22"/>
      <c r="R170" s="22"/>
      <c r="S170" s="31">
        <f t="shared" si="56"/>
        <v>1</v>
      </c>
      <c r="T170" s="46" t="str">
        <f t="shared" si="57"/>
        <v>NorthBound</v>
      </c>
      <c r="U170" s="190">
        <f>IF(AG170="EC",COUNTIFS(Variables!$M$2:$M$19,IF(T170="NorthBound","&gt;=","&lt;=")&amp;Y170,Variables!$M$2:$M$19,IF(T170="NorthBound","&lt;=","&gt;=")&amp;Z170),COUNTIFS(Variables!$P$2:$P$19,IF(T170="NorthBound","&gt;=","&lt;=")&amp;Y170,Variables!$P$2:$P$19,IF(T170="NorthBound","&lt;=","&gt;=")&amp;Z170))</f>
        <v>1</v>
      </c>
      <c r="V170" s="191" t="str">
        <f t="shared" si="58"/>
        <v>https://d0f6bd738d7f1b3e5a7ca70fe4ff75f0.us-east-1.aws.found.io/app/kibana#/discover/Steve-Slow-Train-Analysis-(2080s-and-2083s)?_g=(refreshInterval:(display:Off,pause:!f,section:0,value:0),time:(from:'2017-02-05T10:57:15-0700',mode:absolute,to:'2017-02-05T13:34:08-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70" s="192" t="str">
        <f t="shared" si="59"/>
        <v>N</v>
      </c>
      <c r="X170" s="192">
        <f t="shared" si="73"/>
        <v>1</v>
      </c>
      <c r="Y170" s="62">
        <f t="shared" si="71"/>
        <v>0.1027</v>
      </c>
      <c r="Z170" s="62">
        <f t="shared" si="70"/>
        <v>5.8928000000000003</v>
      </c>
      <c r="AA170" s="62">
        <f t="shared" si="62"/>
        <v>5.7901000000000007</v>
      </c>
      <c r="AB170" s="59" t="e">
        <f>VLOOKUP(A170,Enforcements!$C$7:$K$16,8,0)</f>
        <v>#N/A</v>
      </c>
      <c r="AC170" s="55" t="e">
        <f>VLOOKUP(A170,Enforcements!$C$7:$E$16,3,0)</f>
        <v>#N/A</v>
      </c>
      <c r="AD170" s="56" t="str">
        <f t="shared" si="63"/>
        <v>1813-05</v>
      </c>
      <c r="AE170"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70" s="82" t="str">
        <f t="shared" si="65"/>
        <v>"C:\Program Files (x86)\AstroGrep\AstroGrep.exe" /spath="%USERPROFILE%\AppData\Local\Temp\OnboardLogs" /stypes="app*4003*20170205*" /stext=" 19:.+((SYSTEM_STATE.+slice.+state.+changed )|(ment ac)|(multiple cpu faults)|(system.+state.+changed )|(\[timeout)|(PRM\|1\|D)|(kpr)|(kdp)|(\|lc)|(penalty))" /e /r /s</v>
      </c>
      <c r="AG170" s="1" t="str">
        <f t="shared" si="66"/>
        <v>NW</v>
      </c>
      <c r="AH170" s="86" t="str">
        <f t="shared" si="51"/>
        <v>"%USERPROFILE%\Documents\GitHub\eaglep3\Utilities\RefineRTDCRunTimes.py" --tripid 1813-05 --locoid 4003 --swversion DE.1.0.8.0 --startMP 204:1027 --initTime 2017-02-05T11:57:15 --startdatetime 2017-02-05T12:21:15 --delay 0 --endMP 300:58928 --enddatetime 2017-02-05T12:34:08 --enforcementcount 0 &gt;&gt;C:\Users\stu\Documents\GitHub\eaglep3-reporting\EC\2017-02-05-refined-times.txt</v>
      </c>
      <c r="AI170" s="108" t="str">
        <f t="shared" si="52"/>
        <v>echo {"issue":{"subject":"","project_id":79,"tracker_id":40,"status_id":1,"priority_id":2,"assigned_to_id":23,"start_date":"2017-02-05","description":"","custom_fields":[{"id":1,"name":"Subdivision","value":"NW"},{"id":4,"name":"Milepost","value":"5.8928"},{"id":17,"name":"Train ID","value":"1813-05"},{"id":16,"name":"Locomotive ID","value":"4003"},{"id":130,"name":"Impact","value":""},{"id":150,"name":"Time of Event (Mountain Time)","value":"12:34:08"},{"id":151,"name":"Denver Issue ID","value":""},{"id":178,"name":"Operational Impact","value":"Yes"},{"id":179,"name":"Denver Segment Assigned","value":""}]}} | curl -X POST -H "Content-Type: application/json" -H "X-Redmine-API-Key: d6333d4a04012a730768444271f8ca06482dae87" https://secure.xorail.net/redmine/issues.json --data @-</v>
      </c>
      <c r="AJ170" s="48"/>
      <c r="AK170" s="48"/>
      <c r="AL170" s="48"/>
      <c r="AM170" s="158" t="str">
        <f t="shared" si="53"/>
        <v>start /low /b %USERPROFILE%\Documents\GitHub\eaglep3\Utilities\DownloadLogsFromS3.py --loco 4003 --day 2017-02-05</v>
      </c>
      <c r="AN170" s="167" t="str">
        <f>"grep -SE -B400 ""CHR.+\|PRM\|1\|D.+(SWITCH|SIGNAL).+UNKNOWN"" "&amp;search_path&amp;"\RTDC"&amp;B170&amp;"\*"&amp;B170&amp;"*"&amp;TEXT(AVERAGE(F170,I170)-utc_offset/24,"YYYYMMDD")&amp;"*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row>
    <row r="171" spans="1:91" x14ac:dyDescent="0.25">
      <c r="A171" s="33" t="s">
        <v>635</v>
      </c>
      <c r="B171" s="7">
        <v>4004</v>
      </c>
      <c r="C171" s="21" t="s">
        <v>193</v>
      </c>
      <c r="D171" s="21" t="s">
        <v>785</v>
      </c>
      <c r="E171" s="13">
        <v>42771.525972222225</v>
      </c>
      <c r="F171" s="13">
        <v>42771.527337962965</v>
      </c>
      <c r="G171" s="7">
        <v>1</v>
      </c>
      <c r="H171" s="21" t="s">
        <v>798</v>
      </c>
      <c r="I171" s="13">
        <v>42771.537534722222</v>
      </c>
      <c r="J171" s="7">
        <v>0</v>
      </c>
      <c r="K171" s="98" t="str">
        <f t="shared" si="54"/>
        <v>4003/4004</v>
      </c>
      <c r="L171" s="21" t="str">
        <f>VLOOKUP(A171,'Trips&amp;Operators'!$C$1:$G$99999,5,FALSE)</f>
        <v>YORK EDGAR</v>
      </c>
      <c r="M171" s="6">
        <f t="shared" si="55"/>
        <v>1.0196759256359655E-2</v>
      </c>
      <c r="N171" s="7">
        <f t="shared" si="72"/>
        <v>14.683333329157904</v>
      </c>
      <c r="O171" s="7"/>
      <c r="P171" s="7"/>
      <c r="Q171" s="22"/>
      <c r="R171" s="22"/>
      <c r="S171" s="31">
        <f t="shared" si="56"/>
        <v>1</v>
      </c>
      <c r="T171" s="46" t="str">
        <f t="shared" si="57"/>
        <v>Southbound</v>
      </c>
      <c r="U171" s="190">
        <f>IF(AG171="EC",COUNTIFS(Variables!$M$2:$M$19,IF(T171="NorthBound","&gt;=","&lt;=")&amp;Y171,Variables!$M$2:$M$19,IF(T171="NorthBound","&lt;=","&gt;=")&amp;Z171),COUNTIFS(Variables!$P$2:$P$19,IF(T171="NorthBound","&gt;=","&lt;=")&amp;Y171,Variables!$P$2:$P$19,IF(T171="NorthBound","&lt;=","&gt;=")&amp;Z171))</f>
        <v>1</v>
      </c>
      <c r="V171" s="191" t="str">
        <f t="shared" si="58"/>
        <v>https://d0f6bd738d7f1b3e5a7ca70fe4ff75f0.us-east-1.aws.found.io/app/kibana#/discover/Steve-Slow-Train-Analysis-(2080s-and-2083s)?_g=(refreshInterval:(display:Off,pause:!f,section:0,value:0),time:(from:'2017-02-05T11:37:24-0700',mode:absolute,to:'2017-02-05T13:54:03-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71" s="192" t="str">
        <f t="shared" si="59"/>
        <v>N</v>
      </c>
      <c r="X171" s="192">
        <f t="shared" si="73"/>
        <v>1</v>
      </c>
      <c r="Y171" s="62">
        <f t="shared" si="71"/>
        <v>5.8625999999999996</v>
      </c>
      <c r="Z171" s="62">
        <f t="shared" si="70"/>
        <v>7.3599999999999999E-2</v>
      </c>
      <c r="AA171" s="62">
        <f t="shared" si="62"/>
        <v>5.7889999999999997</v>
      </c>
      <c r="AB171" s="59" t="e">
        <f>VLOOKUP(A171,Enforcements!$C$7:$K$16,8,0)</f>
        <v>#N/A</v>
      </c>
      <c r="AC171" s="55" t="e">
        <f>VLOOKUP(A171,Enforcements!$C$7:$E$16,3,0)</f>
        <v>#N/A</v>
      </c>
      <c r="AD171" s="56" t="str">
        <f t="shared" si="63"/>
        <v>1814-05</v>
      </c>
      <c r="AE171"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71" s="82" t="str">
        <f t="shared" si="65"/>
        <v>"C:\Program Files (x86)\AstroGrep\AstroGrep.exe" /spath="%USERPROFILE%\AppData\Local\Temp\OnboardLogs" /stypes="app*4004*20170205*" /stext=" 19:.+((SYSTEM_STATE.+slice.+state.+changed )|(ment ac)|(multiple cpu faults)|(system.+state.+changed )|(\[timeout)|(PRM\|1\|D)|(kpr)|(kdp)|(\|lc)|(penalty))" /e /r /s</v>
      </c>
      <c r="AG171" s="1" t="str">
        <f t="shared" si="66"/>
        <v>NW</v>
      </c>
      <c r="AH171" s="86" t="str">
        <f t="shared" si="51"/>
        <v>"%USERPROFILE%\Documents\GitHub\eaglep3\Utilities\RefineRTDCRunTimes.py" --tripid 1814-05 --locoid 4004 --swversion DE.1.0.8.0 --startMP 300:58626 --initTime 2017-02-05T12:37:24 --startdatetime 2017-02-05T12:39:22 --delay 1 --endMP 204:736 --enddatetime 2017-02-05T12:54:03 --enforcementcount 0 &gt;&gt;C:\Users\stu\Documents\GitHub\eaglep3-reporting\EC\2017-02-05-refined-times.txt</v>
      </c>
      <c r="AI171" s="108" t="str">
        <f t="shared" si="52"/>
        <v>echo {"issue":{"subject":"","project_id":79,"tracker_id":40,"status_id":1,"priority_id":2,"assigned_to_id":23,"start_date":"2017-02-05","description":"","custom_fields":[{"id":1,"name":"Subdivision","value":"NW"},{"id":4,"name":"Milepost","value":"0.0736"},{"id":17,"name":"Train ID","value":"1814-05"},{"id":16,"name":"Locomotive ID","value":"4004"},{"id":130,"name":"Impact","value":""},{"id":150,"name":"Time of Event (Mountain Time)","value":"12:54:03"},{"id":151,"name":"Denver Issue ID","value":""},{"id":178,"name":"Operational Impact","value":"Yes"},{"id":179,"name":"Denver Segment Assigned","value":""}]}} | curl -X POST -H "Content-Type: application/json" -H "X-Redmine-API-Key: d6333d4a04012a730768444271f8ca06482dae87" https://secure.xorail.net/redmine/issues.json --data @-</v>
      </c>
      <c r="AJ171" s="48"/>
      <c r="AK171" s="48"/>
      <c r="AL171" s="48"/>
      <c r="AM171" s="158" t="str">
        <f t="shared" si="53"/>
        <v>start /low /b %USERPROFILE%\Documents\GitHub\eaglep3\Utilities\DownloadLogsFromS3.py --loco 4004 --day 2017-02-05</v>
      </c>
      <c r="AN171" s="167" t="str">
        <f>"grep -SE -B400 ""CHR.+\|PRM\|1\|D.+(SWITCH|SIGNAL).+UNKNOWN"" "&amp;search_path&amp;"\RTDC"&amp;B171&amp;"\*"&amp;B171&amp;"*"&amp;TEXT(AVERAGE(F171,I171)-utc_offset/24,"YYYYMMDD")&amp;"*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72" spans="1:91" x14ac:dyDescent="0.25">
      <c r="A172" s="33" t="s">
        <v>641</v>
      </c>
      <c r="B172" s="7">
        <v>4003</v>
      </c>
      <c r="C172" s="21" t="s">
        <v>193</v>
      </c>
      <c r="D172" s="21" t="s">
        <v>804</v>
      </c>
      <c r="E172" s="13">
        <v>42771.5387962963</v>
      </c>
      <c r="F172" s="13">
        <v>42771.556631944448</v>
      </c>
      <c r="G172" s="7">
        <v>1</v>
      </c>
      <c r="H172" s="21" t="s">
        <v>796</v>
      </c>
      <c r="I172" s="13">
        <v>42771.565347222226</v>
      </c>
      <c r="J172" s="7">
        <v>0</v>
      </c>
      <c r="K172" s="98" t="str">
        <f t="shared" si="54"/>
        <v>4003/4004</v>
      </c>
      <c r="L172" s="21" t="str">
        <f>VLOOKUP(A172,'Trips&amp;Operators'!$C$1:$G$99999,5,FALSE)</f>
        <v>YORK EDGAR</v>
      </c>
      <c r="M172" s="6">
        <f t="shared" si="55"/>
        <v>8.7152777778101154E-3</v>
      </c>
      <c r="N172" s="7">
        <f t="shared" si="72"/>
        <v>12.550000000046566</v>
      </c>
      <c r="O172" s="7"/>
      <c r="P172" s="7"/>
      <c r="Q172" s="22"/>
      <c r="R172" s="22"/>
      <c r="S172" s="31">
        <f t="shared" si="56"/>
        <v>1</v>
      </c>
      <c r="T172" s="46" t="str">
        <f t="shared" si="57"/>
        <v>NorthBound</v>
      </c>
      <c r="U172" s="190">
        <f>IF(AG172="EC",COUNTIFS(Variables!$M$2:$M$19,IF(T172="NorthBound","&gt;=","&lt;=")&amp;Y172,Variables!$M$2:$M$19,IF(T172="NorthBound","&lt;=","&gt;=")&amp;Z172),COUNTIFS(Variables!$P$2:$P$19,IF(T172="NorthBound","&gt;=","&lt;=")&amp;Y172,Variables!$P$2:$P$19,IF(T172="NorthBound","&lt;=","&gt;=")&amp;Z172))</f>
        <v>1</v>
      </c>
      <c r="V172" s="191" t="str">
        <f t="shared" si="58"/>
        <v>https://d0f6bd738d7f1b3e5a7ca70fe4ff75f0.us-east-1.aws.found.io/app/kibana#/discover/Steve-Slow-Train-Analysis-(2080s-and-2083s)?_g=(refreshInterval:(display:Off,pause:!f,section:0,value:0),time:(from:'2017-02-05T11:55:52-0700',mode:absolute,to:'2017-02-05T14:34:06-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72" s="192" t="str">
        <f t="shared" si="59"/>
        <v>N</v>
      </c>
      <c r="X172" s="192">
        <f t="shared" si="73"/>
        <v>1</v>
      </c>
      <c r="Y172" s="62">
        <f t="shared" si="71"/>
        <v>0.1023</v>
      </c>
      <c r="Z172" s="62">
        <f t="shared" si="70"/>
        <v>5.8929</v>
      </c>
      <c r="AA172" s="62">
        <f t="shared" si="62"/>
        <v>5.7906000000000004</v>
      </c>
      <c r="AB172" s="59" t="e">
        <f>VLOOKUP(A172,Enforcements!$C$7:$K$16,8,0)</f>
        <v>#N/A</v>
      </c>
      <c r="AC172" s="55" t="e">
        <f>VLOOKUP(A172,Enforcements!$C$7:$E$16,3,0)</f>
        <v>#N/A</v>
      </c>
      <c r="AD172" s="56" t="str">
        <f t="shared" si="63"/>
        <v>1815-05</v>
      </c>
      <c r="AE172"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72" s="82" t="str">
        <f t="shared" si="65"/>
        <v>"C:\Program Files (x86)\AstroGrep\AstroGrep.exe" /spath="%USERPROFILE%\AppData\Local\Temp\OnboardLogs" /stypes="app*4003*20170205*" /stext=" 20:.+((SYSTEM_STATE.+slice.+state.+changed )|(ment ac)|(multiple cpu faults)|(system.+state.+changed )|(\[timeout)|(PRM\|1\|D)|(kpr)|(kdp)|(\|lc)|(penalty))" /e /r /s</v>
      </c>
      <c r="AG172" s="1" t="str">
        <f t="shared" si="66"/>
        <v>NW</v>
      </c>
      <c r="AH172" s="86" t="str">
        <f t="shared" si="51"/>
        <v>"%USERPROFILE%\Documents\GitHub\eaglep3\Utilities\RefineRTDCRunTimes.py" --tripid 1815-05 --locoid 4003 --swversion DE.1.0.8.0 --startMP 204:1023 --initTime 2017-02-05T12:55:52 --startdatetime 2017-02-05T13:21:33 --delay 1 --endMP 300:58929 --enddatetime 2017-02-05T13:34:06 --enforcementcount 0 &gt;&gt;C:\Users\stu\Documents\GitHub\eaglep3-reporting\EC\2017-02-05-refined-times.txt</v>
      </c>
      <c r="AI172" s="108" t="str">
        <f t="shared" si="52"/>
        <v>echo {"issue":{"subject":"","project_id":79,"tracker_id":40,"status_id":1,"priority_id":2,"assigned_to_id":23,"start_date":"2017-02-05","description":"","custom_fields":[{"id":1,"name":"Subdivision","value":"NW"},{"id":4,"name":"Milepost","value":"5.8929"},{"id":17,"name":"Train ID","value":"1815-05"},{"id":16,"name":"Locomotive ID","value":"4003"},{"id":130,"name":"Impact","value":""},{"id":150,"name":"Time of Event (Mountain Time)","value":"13:34:06"},{"id":151,"name":"Denver Issue ID","value":""},{"id":178,"name":"Operational Impact","value":"Yes"},{"id":179,"name":"Denver Segment Assigned","value":""}]}} | curl -X POST -H "Content-Type: application/json" -H "X-Redmine-API-Key: d6333d4a04012a730768444271f8ca06482dae87" https://secure.xorail.net/redmine/issues.json --data @-</v>
      </c>
      <c r="AJ172" s="48"/>
      <c r="AK172" s="48"/>
      <c r="AL172" s="48"/>
      <c r="AM172" s="158" t="str">
        <f t="shared" si="53"/>
        <v>start /low /b %USERPROFILE%\Documents\GitHub\eaglep3\Utilities\DownloadLogsFromS3.py --loco 4003 --day 2017-02-05</v>
      </c>
      <c r="AN172" s="167" t="str">
        <f>"grep -SE -B400 ""CHR.+\|PRM\|1\|D.+(SWITCH|SIGNAL).+UNKNOWN"" "&amp;search_path&amp;"\RTDC"&amp;B172&amp;"\*"&amp;B172&amp;"*"&amp;TEXT(AVERAGE(F172,I172)-utc_offset/24,"YYYYMMDD")&amp;"*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row>
    <row r="173" spans="1:91" x14ac:dyDescent="0.25">
      <c r="A173" s="33" t="s">
        <v>647</v>
      </c>
      <c r="B173" s="7">
        <v>4004</v>
      </c>
      <c r="C173" s="21" t="s">
        <v>193</v>
      </c>
      <c r="D173" s="21" t="s">
        <v>791</v>
      </c>
      <c r="E173" s="13">
        <v>42771.566134259258</v>
      </c>
      <c r="F173" s="13">
        <v>42771.568912037037</v>
      </c>
      <c r="G173" s="7">
        <v>1</v>
      </c>
      <c r="H173" s="21" t="s">
        <v>805</v>
      </c>
      <c r="I173" s="13">
        <v>42771.579456018517</v>
      </c>
      <c r="J173" s="7">
        <v>0</v>
      </c>
      <c r="K173" s="98" t="str">
        <f t="shared" si="54"/>
        <v>4003/4004</v>
      </c>
      <c r="L173" s="21" t="str">
        <f>VLOOKUP(A173,'Trips&amp;Operators'!$C$1:$G$99999,5,FALSE)</f>
        <v>YORK EDGAR</v>
      </c>
      <c r="M173" s="6">
        <f t="shared" si="55"/>
        <v>1.0543981479713693E-2</v>
      </c>
      <c r="N173" s="7">
        <f t="shared" si="72"/>
        <v>15.183333330787718</v>
      </c>
      <c r="O173" s="7"/>
      <c r="P173" s="7"/>
      <c r="Q173" s="22"/>
      <c r="R173" s="22"/>
      <c r="S173" s="31">
        <f t="shared" si="56"/>
        <v>1</v>
      </c>
      <c r="T173" s="46" t="str">
        <f t="shared" si="57"/>
        <v>Southbound</v>
      </c>
      <c r="U173" s="190">
        <f>IF(AG173="EC",COUNTIFS(Variables!$M$2:$M$19,IF(T173="NorthBound","&gt;=","&lt;=")&amp;Y173,Variables!$M$2:$M$19,IF(T173="NorthBound","&lt;=","&gt;=")&amp;Z173),COUNTIFS(Variables!$P$2:$P$19,IF(T173="NorthBound","&gt;=","&lt;=")&amp;Y173,Variables!$P$2:$P$19,IF(T173="NorthBound","&lt;=","&gt;=")&amp;Z173))</f>
        <v>1</v>
      </c>
      <c r="V173" s="191" t="str">
        <f t="shared" si="58"/>
        <v>https://d0f6bd738d7f1b3e5a7ca70fe4ff75f0.us-east-1.aws.found.io/app/kibana#/discover/Steve-Slow-Train-Analysis-(2080s-and-2083s)?_g=(refreshInterval:(display:Off,pause:!f,section:0,value:0),time:(from:'2017-02-05T12:35:14-0700',mode:absolute,to:'2017-02-05T14:54: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73" s="192" t="str">
        <f t="shared" si="59"/>
        <v>N</v>
      </c>
      <c r="X173" s="192">
        <f t="shared" si="73"/>
        <v>1</v>
      </c>
      <c r="Y173" s="62">
        <f t="shared" si="71"/>
        <v>5.8613</v>
      </c>
      <c r="Z173" s="62">
        <f t="shared" si="70"/>
        <v>7.9200000000000007E-2</v>
      </c>
      <c r="AA173" s="62">
        <f t="shared" si="62"/>
        <v>5.7820999999999998</v>
      </c>
      <c r="AB173" s="59" t="e">
        <f>VLOOKUP(A173,Enforcements!$C$7:$K$16,8,0)</f>
        <v>#N/A</v>
      </c>
      <c r="AC173" s="55" t="e">
        <f>VLOOKUP(A173,Enforcements!$C$7:$E$16,3,0)</f>
        <v>#N/A</v>
      </c>
      <c r="AD173" s="56" t="str">
        <f t="shared" si="63"/>
        <v>1816-05</v>
      </c>
      <c r="AE173"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73" s="82" t="str">
        <f t="shared" si="65"/>
        <v>"C:\Program Files (x86)\AstroGrep\AstroGrep.exe" /spath="%USERPROFILE%\AppData\Local\Temp\OnboardLogs" /stypes="app*4004*20170205*" /stext=" 20:.+((SYSTEM_STATE.+slice.+state.+changed )|(ment ac)|(multiple cpu faults)|(system.+state.+changed )|(\[timeout)|(PRM\|1\|D)|(kpr)|(kdp)|(\|lc)|(penalty))" /e /r /s</v>
      </c>
      <c r="AG173" s="1" t="str">
        <f t="shared" si="66"/>
        <v>NW</v>
      </c>
      <c r="AH173" s="86" t="str">
        <f t="shared" si="51"/>
        <v>"%USERPROFILE%\Documents\GitHub\eaglep3\Utilities\RefineRTDCRunTimes.py" --tripid 1816-05 --locoid 4004 --swversion DE.1.0.8.0 --startMP 300:58613 --initTime 2017-02-05T13:35:14 --startdatetime 2017-02-05T13:39:14 --delay 1 --endMP 204:792 --enddatetime 2017-02-05T13:54:25 --enforcementcount 0 &gt;&gt;C:\Users\stu\Documents\GitHub\eaglep3-reporting\EC\2017-02-05-refined-times.txt</v>
      </c>
      <c r="AI173" s="108" t="str">
        <f t="shared" si="52"/>
        <v>echo {"issue":{"subject":"","project_id":79,"tracker_id":40,"status_id":1,"priority_id":2,"assigned_to_id":23,"start_date":"2017-02-05","description":"","custom_fields":[{"id":1,"name":"Subdivision","value":"NW"},{"id":4,"name":"Milepost","value":"0.0792"},{"id":17,"name":"Train ID","value":"1816-05"},{"id":16,"name":"Locomotive ID","value":"4004"},{"id":130,"name":"Impact","value":""},{"id":150,"name":"Time of Event (Mountain Time)","value":"13:54:25"},{"id":151,"name":"Denver Issue ID","value":""},{"id":178,"name":"Operational Impact","value":"Yes"},{"id":179,"name":"Denver Segment Assigned","value":""}]}} | curl -X POST -H "Content-Type: application/json" -H "X-Redmine-API-Key: d6333d4a04012a730768444271f8ca06482dae87" https://secure.xorail.net/redmine/issues.json --data @-</v>
      </c>
      <c r="AJ173" s="48"/>
      <c r="AK173" s="48"/>
      <c r="AL173" s="48"/>
      <c r="AM173" s="158" t="str">
        <f t="shared" si="53"/>
        <v>start /low /b %USERPROFILE%\Documents\GitHub\eaglep3\Utilities\DownloadLogsFromS3.py --loco 4004 --day 2017-02-05</v>
      </c>
      <c r="AN173" s="167" t="str">
        <f>"grep -SE -B400 ""CHR.+\|PRM\|1\|D.+(SWITCH|SIGNAL).+UNKNOWN"" "&amp;search_path&amp;"\RTDC"&amp;B173&amp;"\*"&amp;B173&amp;"*"&amp;TEXT(AVERAGE(F173,I173)-utc_offset/24,"YYYYMMDD")&amp;"*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74" spans="1:91" s="20" customFormat="1" x14ac:dyDescent="0.25">
      <c r="A174" s="33" t="s">
        <v>654</v>
      </c>
      <c r="B174" s="7">
        <v>4003</v>
      </c>
      <c r="C174" s="21" t="s">
        <v>193</v>
      </c>
      <c r="D174" s="21" t="s">
        <v>806</v>
      </c>
      <c r="E174" s="13">
        <v>42771.593784722223</v>
      </c>
      <c r="F174" s="13">
        <v>42771.598124999997</v>
      </c>
      <c r="G174" s="7">
        <v>1</v>
      </c>
      <c r="H174" s="21" t="s">
        <v>807</v>
      </c>
      <c r="I174" s="13">
        <v>42771.607314814813</v>
      </c>
      <c r="J174" s="7">
        <v>0</v>
      </c>
      <c r="K174" s="98" t="str">
        <f t="shared" si="54"/>
        <v>4003/4004</v>
      </c>
      <c r="L174" s="21" t="str">
        <f>VLOOKUP(A174,'Trips&amp;Operators'!$C$1:$G$99999,5,FALSE)</f>
        <v>HELVIE ADAM</v>
      </c>
      <c r="M174" s="6">
        <f t="shared" si="55"/>
        <v>9.189814816636499E-3</v>
      </c>
      <c r="N174" s="7">
        <f t="shared" si="72"/>
        <v>13.233333335956559</v>
      </c>
      <c r="O174" s="7"/>
      <c r="P174" s="7"/>
      <c r="Q174" s="22"/>
      <c r="R174" s="22"/>
      <c r="S174" s="31">
        <f t="shared" si="56"/>
        <v>1</v>
      </c>
      <c r="T174" s="46" t="str">
        <f t="shared" si="57"/>
        <v>NorthBound</v>
      </c>
      <c r="U174" s="190">
        <f>IF(AG174="EC",COUNTIFS(Variables!$M$2:$M$19,IF(T174="NorthBound","&gt;=","&lt;=")&amp;Y174,Variables!$M$2:$M$19,IF(T174="NorthBound","&lt;=","&gt;=")&amp;Z174),COUNTIFS(Variables!$P$2:$P$19,IF(T174="NorthBound","&gt;=","&lt;=")&amp;Y174,Variables!$P$2:$P$19,IF(T174="NorthBound","&lt;=","&gt;=")&amp;Z174))</f>
        <v>1</v>
      </c>
      <c r="V174" s="191" t="str">
        <f t="shared" si="58"/>
        <v>https://d0f6bd738d7f1b3e5a7ca70fe4ff75f0.us-east-1.aws.found.io/app/kibana#/discover/Steve-Slow-Train-Analysis-(2080s-and-2083s)?_g=(refreshInterval:(display:Off,pause:!f,section:0,value:0),time:(from:'2017-02-05T13:15:03-0700',mode:absolute,to:'2017-02-05T15:34:32-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74" s="192" t="str">
        <f t="shared" si="59"/>
        <v>N</v>
      </c>
      <c r="X174" s="192">
        <f t="shared" si="73"/>
        <v>1</v>
      </c>
      <c r="Y174" s="62">
        <f t="shared" si="71"/>
        <v>0.10829999999999999</v>
      </c>
      <c r="Z174" s="62">
        <f t="shared" si="70"/>
        <v>5.8940999999999999</v>
      </c>
      <c r="AA174" s="62">
        <f t="shared" si="62"/>
        <v>5.7858000000000001</v>
      </c>
      <c r="AB174" s="59" t="e">
        <f>VLOOKUP(A174,Enforcements!$C$7:$K$16,8,0)</f>
        <v>#N/A</v>
      </c>
      <c r="AC174" s="55" t="e">
        <f>VLOOKUP(A174,Enforcements!$C$7:$E$16,3,0)</f>
        <v>#N/A</v>
      </c>
      <c r="AD174" s="56" t="str">
        <f t="shared" si="63"/>
        <v>1817-05</v>
      </c>
      <c r="AE174"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74" s="82" t="str">
        <f t="shared" si="65"/>
        <v>"C:\Program Files (x86)\AstroGrep\AstroGrep.exe" /spath="%USERPROFILE%\AppData\Local\Temp\OnboardLogs" /stypes="app*4003*20170205*" /stext=" 21:.+((SYSTEM_STATE.+slice.+state.+changed )|(ment ac)|(multiple cpu faults)|(system.+state.+changed )|(\[timeout)|(PRM\|1\|D)|(kpr)|(kdp)|(\|lc)|(penalty))" /e /r /s</v>
      </c>
      <c r="AG174" s="1" t="str">
        <f t="shared" si="66"/>
        <v>NW</v>
      </c>
      <c r="AH174" s="86" t="str">
        <f t="shared" si="51"/>
        <v>"%USERPROFILE%\Documents\GitHub\eaglep3\Utilities\RefineRTDCRunTimes.py" --tripid 1817-05 --locoid 4003 --swversion DE.1.0.8.0 --startMP 204:1083 --initTime 2017-02-05T14:15:03 --startdatetime 2017-02-05T14:21:18 --delay 1 --endMP 300:58941 --enddatetime 2017-02-05T14:34:32 --enforcementcount 0 &gt;&gt;C:\Users\stu\Documents\GitHub\eaglep3-reporting\EC\2017-02-05-refined-times.txt</v>
      </c>
      <c r="AI174" s="108" t="str">
        <f t="shared" si="52"/>
        <v>echo {"issue":{"subject":"","project_id":79,"tracker_id":40,"status_id":1,"priority_id":2,"assigned_to_id":23,"start_date":"2017-02-05","description":"","custom_fields":[{"id":1,"name":"Subdivision","value":"NW"},{"id":4,"name":"Milepost","value":"5.8941"},{"id":17,"name":"Train ID","value":"1817-05"},{"id":16,"name":"Locomotive ID","value":"4003"},{"id":130,"name":"Impact","value":""},{"id":150,"name":"Time of Event (Mountain Time)","value":"14:34:32"},{"id":151,"name":"Denver Issue ID","value":""},{"id":178,"name":"Operational Impact","value":"Yes"},{"id":179,"name":"Denver Segment Assigned","value":""}]}} | curl -X POST -H "Content-Type: application/json" -H "X-Redmine-API-Key: d6333d4a04012a730768444271f8ca06482dae87" https://secure.xorail.net/redmine/issues.json --data @-</v>
      </c>
      <c r="AJ174" s="48"/>
      <c r="AK174" s="48"/>
      <c r="AL174" s="48"/>
      <c r="AM174" s="158" t="str">
        <f t="shared" si="53"/>
        <v>start /low /b %USERPROFILE%\Documents\GitHub\eaglep3\Utilities\DownloadLogsFromS3.py --loco 4003 --day 2017-02-05</v>
      </c>
      <c r="AN174" s="167" t="str">
        <f>"grep -SE -B400 ""CHR.+\|PRM\|1\|D.+(SWITCH|SIGNAL).+UNKNOWN"" "&amp;search_path&amp;"\RTDC"&amp;B174&amp;"\*"&amp;B174&amp;"*"&amp;TEXT(AVERAGE(F174,I174)-utc_offset/24,"YYYYMMDD")&amp;"*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spans="1:91" x14ac:dyDescent="0.25">
      <c r="A175" s="33" t="s">
        <v>509</v>
      </c>
      <c r="B175" s="7">
        <v>4004</v>
      </c>
      <c r="C175" s="21" t="s">
        <v>193</v>
      </c>
      <c r="D175" s="21" t="s">
        <v>808</v>
      </c>
      <c r="E175" s="13">
        <v>42771.608067129629</v>
      </c>
      <c r="F175" s="13">
        <v>42771.609895833331</v>
      </c>
      <c r="G175" s="7">
        <v>1</v>
      </c>
      <c r="H175" s="21" t="s">
        <v>352</v>
      </c>
      <c r="I175" s="13">
        <v>42771.621168981481</v>
      </c>
      <c r="J175" s="7">
        <v>0</v>
      </c>
      <c r="K175" s="98" t="str">
        <f t="shared" si="54"/>
        <v>4003/4004</v>
      </c>
      <c r="L175" s="21" t="str">
        <f>VLOOKUP(A175,'Trips&amp;Operators'!$C$1:$G$99999,5,FALSE)</f>
        <v>HELVIE ADAM</v>
      </c>
      <c r="M175" s="6">
        <f t="shared" si="55"/>
        <v>1.1273148149484769E-2</v>
      </c>
      <c r="N175" s="7">
        <f t="shared" si="72"/>
        <v>16.233333335258067</v>
      </c>
      <c r="O175" s="7"/>
      <c r="P175" s="7"/>
      <c r="Q175" s="22"/>
      <c r="R175" s="22"/>
      <c r="S175" s="31">
        <f t="shared" si="56"/>
        <v>1</v>
      </c>
      <c r="T175" s="46" t="str">
        <f t="shared" si="57"/>
        <v>Southbound</v>
      </c>
      <c r="U175" s="190">
        <f>IF(AG175="EC",COUNTIFS(Variables!$M$2:$M$19,IF(T175="NorthBound","&gt;=","&lt;=")&amp;Y175,Variables!$M$2:$M$19,IF(T175="NorthBound","&lt;=","&gt;=")&amp;Z175),COUNTIFS(Variables!$P$2:$P$19,IF(T175="NorthBound","&gt;=","&lt;=")&amp;Y175,Variables!$P$2:$P$19,IF(T175="NorthBound","&lt;=","&gt;=")&amp;Z175))</f>
        <v>1</v>
      </c>
      <c r="V175" s="191" t="str">
        <f t="shared" si="58"/>
        <v>https://d0f6bd738d7f1b3e5a7ca70fe4ff75f0.us-east-1.aws.found.io/app/kibana#/discover/Steve-Slow-Train-Analysis-(2080s-and-2083s)?_g=(refreshInterval:(display:Off,pause:!f,section:0,value:0),time:(from:'2017-02-05T13:35:37-0700',mode:absolute,to:'2017-02-05T15:54:29-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75" s="192" t="str">
        <f t="shared" si="59"/>
        <v>N</v>
      </c>
      <c r="X175" s="192">
        <f t="shared" si="73"/>
        <v>1</v>
      </c>
      <c r="Y175" s="62">
        <f t="shared" si="71"/>
        <v>5.8634000000000004</v>
      </c>
      <c r="Z175" s="62">
        <f t="shared" si="70"/>
        <v>7.4999999999999997E-2</v>
      </c>
      <c r="AA175" s="62">
        <f t="shared" si="62"/>
        <v>5.7884000000000002</v>
      </c>
      <c r="AB175" s="59" t="e">
        <f>VLOOKUP(A175,Enforcements!$C$7:$K$16,8,0)</f>
        <v>#N/A</v>
      </c>
      <c r="AC175" s="55" t="e">
        <f>VLOOKUP(A175,Enforcements!$C$7:$E$16,3,0)</f>
        <v>#N/A</v>
      </c>
      <c r="AD175" s="56" t="str">
        <f t="shared" si="63"/>
        <v>1818-05</v>
      </c>
      <c r="AE175"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75" s="82" t="str">
        <f t="shared" si="65"/>
        <v>"C:\Program Files (x86)\AstroGrep\AstroGrep.exe" /spath="%USERPROFILE%\AppData\Local\Temp\OnboardLogs" /stypes="app*4004*20170205*" /stext=" 21:.+((SYSTEM_STATE.+slice.+state.+changed )|(ment ac)|(multiple cpu faults)|(system.+state.+changed )|(\[timeout)|(PRM\|1\|D)|(kpr)|(kdp)|(\|lc)|(penalty))" /e /r /s</v>
      </c>
      <c r="AG175" s="1" t="str">
        <f t="shared" si="66"/>
        <v>NW</v>
      </c>
      <c r="AH175" s="86" t="str">
        <f t="shared" si="51"/>
        <v>"%USERPROFILE%\Documents\GitHub\eaglep3\Utilities\RefineRTDCRunTimes.py" --tripid 1818-05 --locoid 4004 --swversion DE.1.0.8.0 --startMP 300:58634 --initTime 2017-02-05T14:35:37 --startdatetime 2017-02-05T14:38:15 --delay 1 --endMP 204:750 --enddatetime 2017-02-05T14:54:29 --enforcementcount 0 &gt;&gt;C:\Users\stu\Documents\GitHub\eaglep3-reporting\EC\2017-02-05-refined-times.txt</v>
      </c>
      <c r="AI175" s="108" t="str">
        <f t="shared" si="52"/>
        <v>echo {"issue":{"subject":"","project_id":79,"tracker_id":40,"status_id":1,"priority_id":2,"assigned_to_id":23,"start_date":"2017-02-05","description":"","custom_fields":[{"id":1,"name":"Subdivision","value":"NW"},{"id":4,"name":"Milepost","value":"0.075"},{"id":17,"name":"Train ID","value":"1818-05"},{"id":16,"name":"Locomotive ID","value":"4004"},{"id":130,"name":"Impact","value":""},{"id":150,"name":"Time of Event (Mountain Time)","value":"14:54:29"},{"id":151,"name":"Denver Issue ID","value":""},{"id":178,"name":"Operational Impact","value":"Yes"},{"id":179,"name":"Denver Segment Assigned","value":""}]}} | curl -X POST -H "Content-Type: application/json" -H "X-Redmine-API-Key: d6333d4a04012a730768444271f8ca06482dae87" https://secure.xorail.net/redmine/issues.json --data @-</v>
      </c>
      <c r="AJ175" s="48"/>
      <c r="AK175" s="48"/>
      <c r="AL175" s="48"/>
      <c r="AM175" s="158" t="str">
        <f t="shared" si="53"/>
        <v>start /low /b %USERPROFILE%\Documents\GitHub\eaglep3\Utilities\DownloadLogsFromS3.py --loco 4004 --day 2017-02-05</v>
      </c>
      <c r="AN175" s="167" t="str">
        <f>"grep -SE -B400 ""CHR.+\|PRM\|1\|D.+(SWITCH|SIGNAL).+UNKNOWN"" "&amp;search_path&amp;"\RTDC"&amp;B175&amp;"\*"&amp;B175&amp;"*"&amp;TEXT(AVERAGE(F175,I175)-utc_offset/24,"YYYYMMDD")&amp;"*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76" spans="1:91" x14ac:dyDescent="0.25">
      <c r="A176" s="33" t="s">
        <v>661</v>
      </c>
      <c r="B176" s="7">
        <v>4003</v>
      </c>
      <c r="C176" s="21" t="s">
        <v>193</v>
      </c>
      <c r="D176" s="21" t="s">
        <v>809</v>
      </c>
      <c r="E176" s="13">
        <v>42771.637442129628</v>
      </c>
      <c r="F176" s="13">
        <v>42771.63989583333</v>
      </c>
      <c r="G176" s="7">
        <v>1</v>
      </c>
      <c r="H176" s="21" t="s">
        <v>807</v>
      </c>
      <c r="I176" s="13">
        <v>42771.649363425924</v>
      </c>
      <c r="J176" s="7">
        <v>0</v>
      </c>
      <c r="K176" s="98" t="str">
        <f t="shared" si="54"/>
        <v>4003/4004</v>
      </c>
      <c r="L176" s="21" t="str">
        <f>VLOOKUP(A176,'Trips&amp;Operators'!$C$1:$G$99999,5,FALSE)</f>
        <v>HELVIE ADAM</v>
      </c>
      <c r="M176" s="6">
        <f t="shared" si="55"/>
        <v>9.4675925938645378E-3</v>
      </c>
      <c r="N176" s="7">
        <f t="shared" si="72"/>
        <v>13.633333335164934</v>
      </c>
      <c r="O176" s="7"/>
      <c r="P176" s="7"/>
      <c r="Q176" s="22"/>
      <c r="R176" s="22"/>
      <c r="S176" s="31">
        <f t="shared" si="56"/>
        <v>1</v>
      </c>
      <c r="T176" s="46" t="str">
        <f t="shared" si="57"/>
        <v>NorthBound</v>
      </c>
      <c r="U176" s="190">
        <f>IF(AG176="EC",COUNTIFS(Variables!$M$2:$M$19,IF(T176="NorthBound","&gt;=","&lt;=")&amp;Y176,Variables!$M$2:$M$19,IF(T176="NorthBound","&lt;=","&gt;=")&amp;Z176),COUNTIFS(Variables!$P$2:$P$19,IF(T176="NorthBound","&gt;=","&lt;=")&amp;Y176,Variables!$P$2:$P$19,IF(T176="NorthBound","&lt;=","&gt;=")&amp;Z176))</f>
        <v>1</v>
      </c>
      <c r="V176" s="191" t="str">
        <f t="shared" si="58"/>
        <v>https://d0f6bd738d7f1b3e5a7ca70fe4ff75f0.us-east-1.aws.found.io/app/kibana#/discover/Steve-Slow-Train-Analysis-(2080s-and-2083s)?_g=(refreshInterval:(display:Off,pause:!f,section:0,value:0),time:(from:'2017-02-05T14:17:55-0700',mode:absolute,to:'2017-02-05T16:35:05-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76" s="192" t="str">
        <f t="shared" si="59"/>
        <v>N</v>
      </c>
      <c r="X176" s="192">
        <f t="shared" si="73"/>
        <v>1</v>
      </c>
      <c r="Y176" s="62">
        <f t="shared" si="71"/>
        <v>0.10489999999999999</v>
      </c>
      <c r="Z176" s="62">
        <f t="shared" si="70"/>
        <v>5.8940999999999999</v>
      </c>
      <c r="AA176" s="62">
        <f t="shared" si="62"/>
        <v>5.7892000000000001</v>
      </c>
      <c r="AB176" s="59" t="e">
        <f>VLOOKUP(A176,Enforcements!$C$7:$K$16,8,0)</f>
        <v>#N/A</v>
      </c>
      <c r="AC176" s="55" t="e">
        <f>VLOOKUP(A176,Enforcements!$C$7:$E$16,3,0)</f>
        <v>#N/A</v>
      </c>
      <c r="AD176" s="56" t="str">
        <f t="shared" si="63"/>
        <v>1819-05</v>
      </c>
      <c r="AE176"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76" s="82" t="str">
        <f t="shared" si="65"/>
        <v>"C:\Program Files (x86)\AstroGrep\AstroGrep.exe" /spath="%USERPROFILE%\AppData\Local\Temp\OnboardLogs" /stypes="app*4003*20170205*" /stext=" 22:.+((SYSTEM_STATE.+slice.+state.+changed )|(ment ac)|(multiple cpu faults)|(system.+state.+changed )|(\[timeout)|(PRM\|1\|D)|(kpr)|(kdp)|(\|lc)|(penalty))" /e /r /s</v>
      </c>
      <c r="AG176" s="1" t="str">
        <f t="shared" si="66"/>
        <v>NW</v>
      </c>
      <c r="AH176" s="86" t="str">
        <f t="shared" si="51"/>
        <v>"%USERPROFILE%\Documents\GitHub\eaglep3\Utilities\RefineRTDCRunTimes.py" --tripid 1819-05 --locoid 4003 --swversion DE.1.0.8.0 --startMP 204:1049 --initTime 2017-02-05T15:17:55 --startdatetime 2017-02-05T15:21:27 --delay 1 --endMP 300:58941 --enddatetime 2017-02-05T15:35:05 --enforcementcount 0 &gt;&gt;C:\Users\stu\Documents\GitHub\eaglep3-reporting\EC\2017-02-05-refined-times.txt</v>
      </c>
      <c r="AI176" s="108" t="str">
        <f t="shared" si="52"/>
        <v>echo {"issue":{"subject":"","project_id":79,"tracker_id":40,"status_id":1,"priority_id":2,"assigned_to_id":23,"start_date":"2017-02-05","description":"","custom_fields":[{"id":1,"name":"Subdivision","value":"NW"},{"id":4,"name":"Milepost","value":"5.8941"},{"id":17,"name":"Train ID","value":"1819-05"},{"id":16,"name":"Locomotive ID","value":"4003"},{"id":130,"name":"Impact","value":""},{"id":150,"name":"Time of Event (Mountain Time)","value":"15:35:05"},{"id":151,"name":"Denver Issue ID","value":""},{"id":178,"name":"Operational Impact","value":"Yes"},{"id":179,"name":"Denver Segment Assigned","value":""}]}} | curl -X POST -H "Content-Type: application/json" -H "X-Redmine-API-Key: d6333d4a04012a730768444271f8ca06482dae87" https://secure.xorail.net/redmine/issues.json --data @-</v>
      </c>
      <c r="AJ176" s="48"/>
      <c r="AK176" s="48"/>
      <c r="AL176" s="48"/>
      <c r="AM176" s="158" t="str">
        <f t="shared" si="53"/>
        <v>start /low /b %USERPROFILE%\Documents\GitHub\eaglep3\Utilities\DownloadLogsFromS3.py --loco 4003 --day 2017-02-05</v>
      </c>
      <c r="AN176" s="167" t="str">
        <f>"grep -SE -B400 ""CHR.+\|PRM\|1\|D.+(SWITCH|SIGNAL).+UNKNOWN"" "&amp;search_path&amp;"\RTDC"&amp;B176&amp;"\*"&amp;B176&amp;"*"&amp;TEXT(AVERAGE(F176,I176)-utc_offset/24,"YYYYMMDD")&amp;"*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row>
    <row r="177" spans="1:91" x14ac:dyDescent="0.25">
      <c r="A177" s="33" t="s">
        <v>664</v>
      </c>
      <c r="B177" s="7">
        <v>4004</v>
      </c>
      <c r="C177" s="21" t="s">
        <v>193</v>
      </c>
      <c r="D177" s="21" t="s">
        <v>791</v>
      </c>
      <c r="E177" s="13">
        <v>42771.650949074072</v>
      </c>
      <c r="F177" s="13">
        <v>42771.65252314815</v>
      </c>
      <c r="G177" s="7">
        <v>1</v>
      </c>
      <c r="H177" s="21" t="s">
        <v>811</v>
      </c>
      <c r="I177" s="13">
        <v>42771.663703703707</v>
      </c>
      <c r="J177" s="7">
        <v>0</v>
      </c>
      <c r="K177" s="98" t="str">
        <f t="shared" si="54"/>
        <v>4003/4004</v>
      </c>
      <c r="L177" s="21" t="str">
        <f>VLOOKUP(A177,'Trips&amp;Operators'!$C$1:$G$99999,5,FALSE)</f>
        <v>HELVIE ADAM</v>
      </c>
      <c r="M177" s="6">
        <f t="shared" si="55"/>
        <v>1.1180555557075422E-2</v>
      </c>
      <c r="N177" s="7">
        <f t="shared" si="72"/>
        <v>16.100000002188608</v>
      </c>
      <c r="O177" s="7"/>
      <c r="P177" s="7"/>
      <c r="Q177" s="22"/>
      <c r="R177" s="22"/>
      <c r="S177" s="31">
        <f t="shared" si="56"/>
        <v>1</v>
      </c>
      <c r="T177" s="46" t="str">
        <f t="shared" si="57"/>
        <v>Southbound</v>
      </c>
      <c r="U177" s="190">
        <f>IF(AG177="EC",COUNTIFS(Variables!$M$2:$M$19,IF(T177="NorthBound","&gt;=","&lt;=")&amp;Y177,Variables!$M$2:$M$19,IF(T177="NorthBound","&lt;=","&gt;=")&amp;Z177),COUNTIFS(Variables!$P$2:$P$19,IF(T177="NorthBound","&gt;=","&lt;=")&amp;Y177,Variables!$P$2:$P$19,IF(T177="NorthBound","&lt;=","&gt;=")&amp;Z177))</f>
        <v>1</v>
      </c>
      <c r="V177" s="191" t="str">
        <f t="shared" si="58"/>
        <v>https://d0f6bd738d7f1b3e5a7ca70fe4ff75f0.us-east-1.aws.found.io/app/kibana#/discover/Steve-Slow-Train-Analysis-(2080s-and-2083s)?_g=(refreshInterval:(display:Off,pause:!f,section:0,value:0),time:(from:'2017-02-05T14:37:22-0700',mode:absolute,to:'2017-02-05T16:55:44-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77" s="192" t="str">
        <f t="shared" si="59"/>
        <v>N</v>
      </c>
      <c r="X177" s="192">
        <f t="shared" si="73"/>
        <v>1</v>
      </c>
      <c r="Y177" s="62">
        <f t="shared" si="71"/>
        <v>5.8613</v>
      </c>
      <c r="Z177" s="62">
        <f t="shared" si="70"/>
        <v>7.22E-2</v>
      </c>
      <c r="AA177" s="62">
        <f t="shared" si="62"/>
        <v>5.7891000000000004</v>
      </c>
      <c r="AB177" s="59" t="e">
        <f>VLOOKUP(A177,Enforcements!$C$7:$K$16,8,0)</f>
        <v>#N/A</v>
      </c>
      <c r="AC177" s="55" t="e">
        <f>VLOOKUP(A177,Enforcements!$C$7:$E$16,3,0)</f>
        <v>#N/A</v>
      </c>
      <c r="AD177" s="56" t="str">
        <f t="shared" si="63"/>
        <v>1820-05</v>
      </c>
      <c r="AE177"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77" s="82" t="str">
        <f t="shared" si="65"/>
        <v>"C:\Program Files (x86)\AstroGrep\AstroGrep.exe" /spath="%USERPROFILE%\AppData\Local\Temp\OnboardLogs" /stypes="app*4004*20170205*" /stext=" 22:.+((SYSTEM_STATE.+slice.+state.+changed )|(ment ac)|(multiple cpu faults)|(system.+state.+changed )|(\[timeout)|(PRM\|1\|D)|(kpr)|(kdp)|(\|lc)|(penalty))" /e /r /s</v>
      </c>
      <c r="AG177" s="1" t="str">
        <f t="shared" si="66"/>
        <v>NW</v>
      </c>
      <c r="AH177" s="86" t="str">
        <f t="shared" si="51"/>
        <v>"%USERPROFILE%\Documents\GitHub\eaglep3\Utilities\RefineRTDCRunTimes.py" --tripid 1820-05 --locoid 4004 --swversion DE.1.0.8.0 --startMP 300:58613 --initTime 2017-02-05T15:37:22 --startdatetime 2017-02-05T15:39:38 --delay 1 --endMP 204:722 --enddatetime 2017-02-05T15:55:44 --enforcementcount 0 &gt;&gt;C:\Users\stu\Documents\GitHub\eaglep3-reporting\EC\2017-02-05-refined-times.txt</v>
      </c>
      <c r="AI177" s="108" t="str">
        <f t="shared" si="52"/>
        <v>echo {"issue":{"subject":"","project_id":79,"tracker_id":40,"status_id":1,"priority_id":2,"assigned_to_id":23,"start_date":"2017-02-05","description":"","custom_fields":[{"id":1,"name":"Subdivision","value":"NW"},{"id":4,"name":"Milepost","value":"0.0722"},{"id":17,"name":"Train ID","value":"1820-05"},{"id":16,"name":"Locomotive ID","value":"4004"},{"id":130,"name":"Impact","value":""},{"id":150,"name":"Time of Event (Mountain Time)","value":"15:55:44"},{"id":151,"name":"Denver Issue ID","value":""},{"id":178,"name":"Operational Impact","value":"Yes"},{"id":179,"name":"Denver Segment Assigned","value":""}]}} | curl -X POST -H "Content-Type: application/json" -H "X-Redmine-API-Key: d6333d4a04012a730768444271f8ca06482dae87" https://secure.xorail.net/redmine/issues.json --data @-</v>
      </c>
      <c r="AJ177" s="48"/>
      <c r="AK177" s="48"/>
      <c r="AL177" s="48"/>
      <c r="AM177" s="158" t="str">
        <f t="shared" si="53"/>
        <v>start /low /b %USERPROFILE%\Documents\GitHub\eaglep3\Utilities\DownloadLogsFromS3.py --loco 4004 --day 2017-02-05</v>
      </c>
      <c r="AN177" s="167" t="str">
        <f>"grep -SE -B400 ""CHR.+\|PRM\|1\|D.+(SWITCH|SIGNAL).+UNKNOWN"" "&amp;search_path&amp;"\RTDC"&amp;B177&amp;"\*"&amp;B177&amp;"*"&amp;TEXT(AVERAGE(F177,I177)-utc_offset/24,"YYYYMMDD")&amp;"*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78" spans="1:91" s="20" customFormat="1" x14ac:dyDescent="0.25">
      <c r="A178" s="33" t="s">
        <v>512</v>
      </c>
      <c r="B178" s="7">
        <v>4003</v>
      </c>
      <c r="C178" s="21" t="s">
        <v>193</v>
      </c>
      <c r="D178" s="21" t="s">
        <v>789</v>
      </c>
      <c r="E178" s="13">
        <v>42771.679189814815</v>
      </c>
      <c r="F178" s="13">
        <v>42771.681493055556</v>
      </c>
      <c r="G178" s="7">
        <v>2</v>
      </c>
      <c r="H178" s="21" t="s">
        <v>807</v>
      </c>
      <c r="I178" s="13">
        <v>42771.690868055557</v>
      </c>
      <c r="J178" s="7">
        <v>0</v>
      </c>
      <c r="K178" s="98" t="str">
        <f t="shared" si="54"/>
        <v>4003/4004</v>
      </c>
      <c r="L178" s="21" t="str">
        <f>VLOOKUP(A178,'Trips&amp;Operators'!$C$1:$G$99999,5,FALSE)</f>
        <v>HELVIE ADAM</v>
      </c>
      <c r="M178" s="6">
        <f t="shared" si="55"/>
        <v>9.3750000014551915E-3</v>
      </c>
      <c r="N178" s="7">
        <f t="shared" si="72"/>
        <v>13.500000002095476</v>
      </c>
      <c r="O178" s="7"/>
      <c r="P178" s="7"/>
      <c r="Q178" s="22"/>
      <c r="R178" s="22"/>
      <c r="S178" s="31">
        <f t="shared" si="56"/>
        <v>1</v>
      </c>
      <c r="T178" s="46" t="str">
        <f t="shared" si="57"/>
        <v>NorthBound</v>
      </c>
      <c r="U178" s="190">
        <f>IF(AG178="EC",COUNTIFS(Variables!$M$2:$M$19,IF(T178="NorthBound","&gt;=","&lt;=")&amp;Y178,Variables!$M$2:$M$19,IF(T178="NorthBound","&lt;=","&gt;=")&amp;Z178),COUNTIFS(Variables!$P$2:$P$19,IF(T178="NorthBound","&gt;=","&lt;=")&amp;Y178,Variables!$P$2:$P$19,IF(T178="NorthBound","&lt;=","&gt;=")&amp;Z178))</f>
        <v>1</v>
      </c>
      <c r="V178" s="191" t="str">
        <f t="shared" si="58"/>
        <v>https://d0f6bd738d7f1b3e5a7ca70fe4ff75f0.us-east-1.aws.found.io/app/kibana#/discover/Steve-Slow-Train-Analysis-(2080s-and-2083s)?_g=(refreshInterval:(display:Off,pause:!f,section:0,value:0),time:(from:'2017-02-05T15:18:02-0700',mode:absolute,to:'2017-02-05T17:34:51-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78" s="192" t="str">
        <f t="shared" si="59"/>
        <v>N</v>
      </c>
      <c r="X178" s="192">
        <f t="shared" si="73"/>
        <v>1</v>
      </c>
      <c r="Y178" s="62">
        <f t="shared" si="71"/>
        <v>0.1009</v>
      </c>
      <c r="Z178" s="62">
        <f t="shared" si="70"/>
        <v>5.8940999999999999</v>
      </c>
      <c r="AA178" s="62">
        <f t="shared" si="62"/>
        <v>5.7931999999999997</v>
      </c>
      <c r="AB178" s="59" t="e">
        <f>VLOOKUP(A178,Enforcements!$C$7:$K$16,8,0)</f>
        <v>#N/A</v>
      </c>
      <c r="AC178" s="55" t="e">
        <f>VLOOKUP(A178,Enforcements!$C$7:$E$16,3,0)</f>
        <v>#N/A</v>
      </c>
      <c r="AD178" s="56" t="str">
        <f t="shared" si="63"/>
        <v>1821-05</v>
      </c>
      <c r="AE178"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78" s="82" t="str">
        <f t="shared" si="65"/>
        <v>"C:\Program Files (x86)\AstroGrep\AstroGrep.exe" /spath="%USERPROFILE%\AppData\Local\Temp\OnboardLogs" /stypes="app*4003*20170205*" /stext=" 23:.+((SYSTEM_STATE.+slice.+state.+changed )|(ment ac)|(multiple cpu faults)|(system.+state.+changed )|(\[timeout)|(PRM\|1\|D)|(kpr)|(kdp)|(\|lc)|(penalty))" /e /r /s</v>
      </c>
      <c r="AG178" s="1" t="str">
        <f t="shared" si="66"/>
        <v>NW</v>
      </c>
      <c r="AH178" s="86" t="str">
        <f t="shared" si="51"/>
        <v>"%USERPROFILE%\Documents\GitHub\eaglep3\Utilities\RefineRTDCRunTimes.py" --tripid 1821-05 --locoid 4003 --swversion DE.1.0.8.0 --startMP 204:1009 --initTime 2017-02-05T16:18:02 --startdatetime 2017-02-05T16:21:21 --delay 2 --endMP 300:58941 --enddatetime 2017-02-05T16:34:51 --enforcementcount 0 &gt;&gt;C:\Users\stu\Documents\GitHub\eaglep3-reporting\EC\2017-02-05-refined-times.txt</v>
      </c>
      <c r="AI178" s="108" t="str">
        <f t="shared" si="52"/>
        <v>echo {"issue":{"subject":"","project_id":79,"tracker_id":40,"status_id":1,"priority_id":2,"assigned_to_id":23,"start_date":"2017-02-05","description":"","custom_fields":[{"id":1,"name":"Subdivision","value":"NW"},{"id":4,"name":"Milepost","value":"5.8941"},{"id":17,"name":"Train ID","value":"1821-05"},{"id":16,"name":"Locomotive ID","value":"4003"},{"id":130,"name":"Impact","value":""},{"id":150,"name":"Time of Event (Mountain Time)","value":"16:34:51"},{"id":151,"name":"Denver Issue ID","value":""},{"id":178,"name":"Operational Impact","value":"Yes"},{"id":179,"name":"Denver Segment Assigned","value":""}]}} | curl -X POST -H "Content-Type: application/json" -H "X-Redmine-API-Key: d6333d4a04012a730768444271f8ca06482dae87" https://secure.xorail.net/redmine/issues.json --data @-</v>
      </c>
      <c r="AJ178" s="48"/>
      <c r="AK178" s="48"/>
      <c r="AL178" s="48"/>
      <c r="AM178" s="158" t="str">
        <f t="shared" si="53"/>
        <v>start /low /b %USERPROFILE%\Documents\GitHub\eaglep3\Utilities\DownloadLogsFromS3.py --loco 4003 --day 2017-02-05</v>
      </c>
      <c r="AN178" s="167" t="str">
        <f>"grep -SE -B400 ""CHR.+\|PRM\|1\|D.+(SWITCH|SIGNAL).+UNKNOWN"" "&amp;search_path&amp;"\RTDC"&amp;B178&amp;"\*"&amp;B178&amp;"*"&amp;TEXT(AVERAGE(F178,I178)-utc_offset/24,"YYYYMMDD")&amp;"*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spans="1:91" x14ac:dyDescent="0.25">
      <c r="A179" s="33" t="s">
        <v>672</v>
      </c>
      <c r="B179" s="7">
        <v>4004</v>
      </c>
      <c r="C179" s="21" t="s">
        <v>193</v>
      </c>
      <c r="D179" s="21" t="s">
        <v>336</v>
      </c>
      <c r="E179" s="13">
        <v>42771.693912037037</v>
      </c>
      <c r="F179" s="13">
        <v>42771.695208333331</v>
      </c>
      <c r="G179" s="7">
        <v>1</v>
      </c>
      <c r="H179" s="21" t="s">
        <v>812</v>
      </c>
      <c r="I179" s="13">
        <v>42771.704722222225</v>
      </c>
      <c r="J179" s="7">
        <v>0</v>
      </c>
      <c r="K179" s="98" t="str">
        <f t="shared" si="54"/>
        <v>4003/4004</v>
      </c>
      <c r="L179" s="21" t="str">
        <f>VLOOKUP(A179,'Trips&amp;Operators'!$C$1:$G$99999,5,FALSE)</f>
        <v>HELVIE ADAM</v>
      </c>
      <c r="M179" s="6">
        <f t="shared" si="55"/>
        <v>9.5138888937071897E-3</v>
      </c>
      <c r="N179" s="7">
        <f t="shared" si="72"/>
        <v>13.700000006938353</v>
      </c>
      <c r="O179" s="7"/>
      <c r="P179" s="7"/>
      <c r="Q179" s="22"/>
      <c r="R179" s="22"/>
      <c r="S179" s="31">
        <f t="shared" si="56"/>
        <v>1</v>
      </c>
      <c r="T179" s="46" t="str">
        <f t="shared" si="57"/>
        <v>Southbound</v>
      </c>
      <c r="U179" s="190">
        <f>IF(AG179="EC",COUNTIFS(Variables!$M$2:$M$19,IF(T179="NorthBound","&gt;=","&lt;=")&amp;Y179,Variables!$M$2:$M$19,IF(T179="NorthBound","&lt;=","&gt;=")&amp;Z179),COUNTIFS(Variables!$P$2:$P$19,IF(T179="NorthBound","&gt;=","&lt;=")&amp;Y179,Variables!$P$2:$P$19,IF(T179="NorthBound","&lt;=","&gt;=")&amp;Z179))</f>
        <v>1</v>
      </c>
      <c r="V179" s="191" t="str">
        <f t="shared" si="58"/>
        <v>https://d0f6bd738d7f1b3e5a7ca70fe4ff75f0.us-east-1.aws.found.io/app/kibana#/discover/Steve-Slow-Train-Analysis-(2080s-and-2083s)?_g=(refreshInterval:(display:Off,pause:!f,section:0,value:0),time:(from:'2017-02-05T15:39:14-0700',mode:absolute,to:'2017-02-05T17:54:48-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79" s="192" t="str">
        <f t="shared" si="59"/>
        <v>N</v>
      </c>
      <c r="X179" s="192">
        <f t="shared" si="73"/>
        <v>1</v>
      </c>
      <c r="Y179" s="62">
        <f t="shared" si="71"/>
        <v>5.8624000000000001</v>
      </c>
      <c r="Z179" s="62">
        <f t="shared" si="70"/>
        <v>7.2599999999999998E-2</v>
      </c>
      <c r="AA179" s="62">
        <f t="shared" si="62"/>
        <v>5.7897999999999996</v>
      </c>
      <c r="AB179" s="59" t="e">
        <f>VLOOKUP(A179,Enforcements!$C$7:$K$16,8,0)</f>
        <v>#N/A</v>
      </c>
      <c r="AC179" s="55" t="e">
        <f>VLOOKUP(A179,Enforcements!$C$7:$E$16,3,0)</f>
        <v>#N/A</v>
      </c>
      <c r="AD179" s="56" t="str">
        <f t="shared" si="63"/>
        <v>1822-05</v>
      </c>
      <c r="AE179"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79" s="82" t="str">
        <f t="shared" si="65"/>
        <v>"C:\Program Files (x86)\AstroGrep\AstroGrep.exe" /spath="%USERPROFILE%\AppData\Local\Temp\OnboardLogs" /stypes="app*4004*20170205*" /stext=" 23:.+((SYSTEM_STATE.+slice.+state.+changed )|(ment ac)|(multiple cpu faults)|(system.+state.+changed )|(\[timeout)|(PRM\|1\|D)|(kpr)|(kdp)|(\|lc)|(penalty))" /e /r /s</v>
      </c>
      <c r="AG179" s="1" t="str">
        <f t="shared" si="66"/>
        <v>NW</v>
      </c>
      <c r="AH179" s="86" t="str">
        <f t="shared" si="51"/>
        <v>"%USERPROFILE%\Documents\GitHub\eaglep3\Utilities\RefineRTDCRunTimes.py" --tripid 1822-05 --locoid 4004 --swversion DE.1.0.8.0 --startMP 300:58624 --initTime 2017-02-05T16:39:14 --startdatetime 2017-02-05T16:41:06 --delay 1 --endMP 204:726 --enddatetime 2017-02-05T16:54:48 --enforcementcount 0 &gt;&gt;C:\Users\stu\Documents\GitHub\eaglep3-reporting\EC\2017-02-05-refined-times.txt</v>
      </c>
      <c r="AI179" s="108" t="str">
        <f t="shared" si="52"/>
        <v>echo {"issue":{"subject":"","project_id":79,"tracker_id":40,"status_id":1,"priority_id":2,"assigned_to_id":23,"start_date":"2017-02-05","description":"","custom_fields":[{"id":1,"name":"Subdivision","value":"NW"},{"id":4,"name":"Milepost","value":"0.0726"},{"id":17,"name":"Train ID","value":"1822-05"},{"id":16,"name":"Locomotive ID","value":"4004"},{"id":130,"name":"Impact","value":""},{"id":150,"name":"Time of Event (Mountain Time)","value":"16:54:48"},{"id":151,"name":"Denver Issue ID","value":""},{"id":178,"name":"Operational Impact","value":"Yes"},{"id":179,"name":"Denver Segment Assigned","value":""}]}} | curl -X POST -H "Content-Type: application/json" -H "X-Redmine-API-Key: d6333d4a04012a730768444271f8ca06482dae87" https://secure.xorail.net/redmine/issues.json --data @-</v>
      </c>
      <c r="AJ179" s="48"/>
      <c r="AK179" s="48"/>
      <c r="AL179" s="48"/>
      <c r="AM179" s="158" t="str">
        <f t="shared" si="53"/>
        <v>start /low /b %USERPROFILE%\Documents\GitHub\eaglep3\Utilities\DownloadLogsFromS3.py --loco 4004 --day 2017-02-05</v>
      </c>
      <c r="AN179" s="167" t="str">
        <f>"grep -SE -B400 ""CHR.+\|PRM\|1\|D.+(SWITCH|SIGNAL).+UNKNOWN"" "&amp;search_path&amp;"\RTDC"&amp;B179&amp;"\*"&amp;B179&amp;"*"&amp;TEXT(AVERAGE(F179,I179)-utc_offset/24,"YYYYMMDD")&amp;"*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80" spans="1:91" x14ac:dyDescent="0.25">
      <c r="A180" s="33" t="s">
        <v>683</v>
      </c>
      <c r="B180" s="7">
        <v>4003</v>
      </c>
      <c r="C180" s="21" t="s">
        <v>193</v>
      </c>
      <c r="D180" s="21" t="s">
        <v>813</v>
      </c>
      <c r="E180" s="13">
        <v>42771.720648148148</v>
      </c>
      <c r="F180" s="13">
        <v>42771.72315972222</v>
      </c>
      <c r="G180" s="7">
        <v>1</v>
      </c>
      <c r="H180" s="21" t="s">
        <v>814</v>
      </c>
      <c r="I180" s="13">
        <v>42771.732395833336</v>
      </c>
      <c r="J180" s="7">
        <v>0</v>
      </c>
      <c r="K180" s="98" t="str">
        <f t="shared" si="54"/>
        <v>4003/4004</v>
      </c>
      <c r="L180" s="21" t="str">
        <f>VLOOKUP(A180,'Trips&amp;Operators'!$C$1:$G$99999,5,FALSE)</f>
        <v>HELVIE ADAM</v>
      </c>
      <c r="M180" s="6">
        <f t="shared" si="55"/>
        <v>9.236111116479151E-3</v>
      </c>
      <c r="N180" s="7">
        <f t="shared" si="72"/>
        <v>13.300000007729977</v>
      </c>
      <c r="O180" s="7"/>
      <c r="P180" s="7"/>
      <c r="Q180" s="22"/>
      <c r="R180" s="22"/>
      <c r="S180" s="31">
        <f t="shared" si="56"/>
        <v>1</v>
      </c>
      <c r="T180" s="46" t="str">
        <f t="shared" si="57"/>
        <v>NorthBound</v>
      </c>
      <c r="U180" s="190">
        <f>IF(AG180="EC",COUNTIFS(Variables!$M$2:$M$19,IF(T180="NorthBound","&gt;=","&lt;=")&amp;Y180,Variables!$M$2:$M$19,IF(T180="NorthBound","&lt;=","&gt;=")&amp;Z180),COUNTIFS(Variables!$P$2:$P$19,IF(T180="NorthBound","&gt;=","&lt;=")&amp;Y180,Variables!$P$2:$P$19,IF(T180="NorthBound","&lt;=","&gt;=")&amp;Z180))</f>
        <v>1</v>
      </c>
      <c r="V180" s="191" t="str">
        <f t="shared" si="58"/>
        <v>https://d0f6bd738d7f1b3e5a7ca70fe4ff75f0.us-east-1.aws.found.io/app/kibana#/discover/Steve-Slow-Train-Analysis-(2080s-and-2083s)?_g=(refreshInterval:(display:Off,pause:!f,section:0,value:0),time:(from:'2017-02-05T16:17:44-0700',mode:absolute,to:'2017-02-05T18:34: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80" s="192" t="str">
        <f t="shared" si="59"/>
        <v>N</v>
      </c>
      <c r="X180" s="192">
        <f t="shared" si="73"/>
        <v>1</v>
      </c>
      <c r="Y180" s="62">
        <f t="shared" si="71"/>
        <v>0.1004</v>
      </c>
      <c r="Z180" s="62">
        <f t="shared" si="70"/>
        <v>5.8943000000000003</v>
      </c>
      <c r="AA180" s="62">
        <f t="shared" si="62"/>
        <v>5.7939000000000007</v>
      </c>
      <c r="AB180" s="59" t="e">
        <f>VLOOKUP(A180,Enforcements!$C$7:$K$16,8,0)</f>
        <v>#N/A</v>
      </c>
      <c r="AC180" s="55" t="e">
        <f>VLOOKUP(A180,Enforcements!$C$7:$E$16,3,0)</f>
        <v>#N/A</v>
      </c>
      <c r="AD180" s="56" t="str">
        <f t="shared" si="63"/>
        <v>1823-05</v>
      </c>
      <c r="AE180"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80" s="82" t="str">
        <f t="shared" si="65"/>
        <v>"C:\Program Files (x86)\AstroGrep\AstroGrep.exe" /spath="%USERPROFILE%\AppData\Local\Temp\OnboardLogs" /stypes="app*4003*20170206*" /stext=" 00:.+((SYSTEM_STATE.+slice.+state.+changed )|(ment ac)|(multiple cpu faults)|(system.+state.+changed )|(\[timeout)|(PRM\|1\|D)|(kpr)|(kdp)|(\|lc)|(penalty))" /e /r /s</v>
      </c>
      <c r="AG180" s="1" t="str">
        <f t="shared" si="66"/>
        <v>NW</v>
      </c>
      <c r="AH180" s="86" t="str">
        <f t="shared" si="51"/>
        <v>"%USERPROFILE%\Documents\GitHub\eaglep3\Utilities\RefineRTDCRunTimes.py" --tripid 1823-05 --locoid 4003 --swversion DE.1.0.8.0 --startMP 204:1004 --initTime 2017-02-05T17:17:44 --startdatetime 2017-02-05T17:21:21 --delay 1 --endMP 300:58943 --enddatetime 2017-02-05T17:34:39 --enforcementcount 0 &gt;&gt;C:\Users\stu\Documents\GitHub\eaglep3-reporting\EC\2017-02-05-refined-times.txt</v>
      </c>
      <c r="AI180" s="108" t="str">
        <f t="shared" si="52"/>
        <v>echo {"issue":{"subject":"","project_id":79,"tracker_id":40,"status_id":1,"priority_id":2,"assigned_to_id":23,"start_date":"2017-02-05","description":"","custom_fields":[{"id":1,"name":"Subdivision","value":"NW"},{"id":4,"name":"Milepost","value":"5.8943"},{"id":17,"name":"Train ID","value":"1823-05"},{"id":16,"name":"Locomotive ID","value":"4003"},{"id":130,"name":"Impact","value":""},{"id":150,"name":"Time of Event (Mountain Time)","value":"17:34:39"},{"id":151,"name":"Denver Issue ID","value":""},{"id":178,"name":"Operational Impact","value":"Yes"},{"id":179,"name":"Denver Segment Assigned","value":""}]}} | curl -X POST -H "Content-Type: application/json" -H "X-Redmine-API-Key: d6333d4a04012a730768444271f8ca06482dae87" https://secure.xorail.net/redmine/issues.json --data @-</v>
      </c>
      <c r="AJ180" s="48"/>
      <c r="AK180" s="48"/>
      <c r="AL180" s="48"/>
      <c r="AM180" s="158" t="str">
        <f t="shared" si="53"/>
        <v>start /low /b %USERPROFILE%\Documents\GitHub\eaglep3\Utilities\DownloadLogsFromS3.py --loco 4003 --day 2017-02-05</v>
      </c>
      <c r="AN180" s="167" t="str">
        <f>"grep -SE -B400 ""CHR.+\|PRM\|1\|D.+(SWITCH|SIGNAL).+UNKNOWN"" "&amp;search_path&amp;"\RTDC"&amp;B180&amp;"\*"&amp;B180&amp;"*"&amp;TEXT(AVERAGE(F180,I180)-utc_offset/24,"YYYYMMDD")&amp;"* | grep -SE ""(Enforcement Action)|(\[TIMEOUT)|(CHR.+\|PRM\|1\|D.+(SWITCH|SIGNAL).+UNKNOWN)"" - &gt;&gt; "&amp;TEXT(Variables!$A$2,"YYYY-MM-DD")&amp;"-UncaughtWiMAX.txt"</f>
        <v>grep -SE -B400 "CHR.+\|PRM\|1\|D.+(SWITCH|SIGNAL).+UNKNOWN" "%USERPROFILE%\AppData\Local\Temp\OnboardLogs"\RTDC4003\*4003*20170206* | grep -SE "(Enforcement Action)|(\[TIMEOUT)|(CHR.+\|PRM\|1\|D.+(SWITCH|SIGNAL).+UNKNOWN)" - &gt;&gt; 2017-02-05-UncaughtWiMAX.txt</v>
      </c>
    </row>
    <row r="181" spans="1:91" x14ac:dyDescent="0.25">
      <c r="A181" s="33" t="s">
        <v>687</v>
      </c>
      <c r="B181" s="7">
        <v>4004</v>
      </c>
      <c r="C181" s="21" t="s">
        <v>193</v>
      </c>
      <c r="D181" s="21" t="s">
        <v>787</v>
      </c>
      <c r="E181" s="13">
        <v>42771.734016203707</v>
      </c>
      <c r="F181" s="13">
        <v>42771.735289351855</v>
      </c>
      <c r="G181" s="7">
        <v>1</v>
      </c>
      <c r="H181" s="21" t="s">
        <v>815</v>
      </c>
      <c r="I181" s="13">
        <v>42771.746192129627</v>
      </c>
      <c r="J181" s="7">
        <v>0</v>
      </c>
      <c r="K181" s="98" t="str">
        <f t="shared" si="54"/>
        <v>4003/4004</v>
      </c>
      <c r="L181" s="21" t="str">
        <f>VLOOKUP(A181,'Trips&amp;Operators'!$C$1:$G$99999,5,FALSE)</f>
        <v>HELVIE ADAM</v>
      </c>
      <c r="M181" s="6">
        <f t="shared" si="55"/>
        <v>1.0902777772571426E-2</v>
      </c>
      <c r="N181" s="7">
        <f t="shared" si="72"/>
        <v>15.699999992502853</v>
      </c>
      <c r="O181" s="7"/>
      <c r="P181" s="7"/>
      <c r="Q181" s="22"/>
      <c r="R181" s="22"/>
      <c r="S181" s="31">
        <f t="shared" si="56"/>
        <v>1</v>
      </c>
      <c r="T181" s="46" t="str">
        <f t="shared" si="57"/>
        <v>Southbound</v>
      </c>
      <c r="U181" s="190">
        <f>IF(AG181="EC",COUNTIFS(Variables!$M$2:$M$19,IF(T181="NorthBound","&gt;=","&lt;=")&amp;Y181,Variables!$M$2:$M$19,IF(T181="NorthBound","&lt;=","&gt;=")&amp;Z181),COUNTIFS(Variables!$P$2:$P$19,IF(T181="NorthBound","&gt;=","&lt;=")&amp;Y181,Variables!$P$2:$P$19,IF(T181="NorthBound","&lt;=","&gt;=")&amp;Z181))</f>
        <v>1</v>
      </c>
      <c r="V181" s="191" t="str">
        <f t="shared" si="58"/>
        <v>https://d0f6bd738d7f1b3e5a7ca70fe4ff75f0.us-east-1.aws.found.io/app/kibana#/discover/Steve-Slow-Train-Analysis-(2080s-and-2083s)?_g=(refreshInterval:(display:Off,pause:!f,section:0,value:0),time:(from:'2017-02-05T16:36:59-0700',mode:absolute,to:'2017-02-05T18:54:31-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81" s="192" t="str">
        <f t="shared" si="59"/>
        <v>N</v>
      </c>
      <c r="X181" s="192">
        <f t="shared" si="73"/>
        <v>1</v>
      </c>
      <c r="Y181" s="62">
        <f t="shared" si="71"/>
        <v>5.8620999999999999</v>
      </c>
      <c r="Z181" s="62">
        <f t="shared" si="70"/>
        <v>7.6399999999999996E-2</v>
      </c>
      <c r="AA181" s="62">
        <f t="shared" si="62"/>
        <v>5.7857000000000003</v>
      </c>
      <c r="AB181" s="59" t="e">
        <f>VLOOKUP(A181,Enforcements!$C$7:$K$16,8,0)</f>
        <v>#N/A</v>
      </c>
      <c r="AC181" s="55" t="e">
        <f>VLOOKUP(A181,Enforcements!$C$7:$E$16,3,0)</f>
        <v>#N/A</v>
      </c>
      <c r="AD181" s="56" t="str">
        <f t="shared" si="63"/>
        <v>1824-05</v>
      </c>
      <c r="AE181"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81" s="82" t="str">
        <f t="shared" si="65"/>
        <v>"C:\Program Files (x86)\AstroGrep\AstroGrep.exe" /spath="%USERPROFILE%\AppData\Local\Temp\OnboardLogs" /stypes="app*4004*20170206*" /stext=" 00:.+((SYSTEM_STATE.+slice.+state.+changed )|(ment ac)|(multiple cpu faults)|(system.+state.+changed )|(\[timeout)|(PRM\|1\|D)|(kpr)|(kdp)|(\|lc)|(penalty))" /e /r /s</v>
      </c>
      <c r="AG181" s="1" t="str">
        <f t="shared" si="66"/>
        <v>NW</v>
      </c>
      <c r="AH181" s="86" t="str">
        <f t="shared" si="51"/>
        <v>"%USERPROFILE%\Documents\GitHub\eaglep3\Utilities\RefineRTDCRunTimes.py" --tripid 1824-05 --locoid 4004 --swversion DE.1.0.8.0 --startMP 300:58621 --initTime 2017-02-05T17:36:59 --startdatetime 2017-02-05T17:38:49 --delay 1 --endMP 204:764 --enddatetime 2017-02-05T17:54:31 --enforcementcount 0 &gt;&gt;C:\Users\stu\Documents\GitHub\eaglep3-reporting\EC\2017-02-05-refined-times.txt</v>
      </c>
      <c r="AI181" s="108" t="str">
        <f t="shared" si="52"/>
        <v>echo {"issue":{"subject":"","project_id":79,"tracker_id":40,"status_id":1,"priority_id":2,"assigned_to_id":23,"start_date":"2017-02-05","description":"","custom_fields":[{"id":1,"name":"Subdivision","value":"NW"},{"id":4,"name":"Milepost","value":"0.0764"},{"id":17,"name":"Train ID","value":"1824-05"},{"id":16,"name":"Locomotive ID","value":"4004"},{"id":130,"name":"Impact","value":""},{"id":150,"name":"Time of Event (Mountain Time)","value":"17:54:31"},{"id":151,"name":"Denver Issue ID","value":""},{"id":178,"name":"Operational Impact","value":"Yes"},{"id":179,"name":"Denver Segment Assigned","value":""}]}} | curl -X POST -H "Content-Type: application/json" -H "X-Redmine-API-Key: d6333d4a04012a730768444271f8ca06482dae87" https://secure.xorail.net/redmine/issues.json --data @-</v>
      </c>
      <c r="AJ181" s="48"/>
      <c r="AK181" s="48"/>
      <c r="AL181" s="48"/>
      <c r="AM181" s="158" t="str">
        <f t="shared" si="53"/>
        <v>start /low /b %USERPROFILE%\Documents\GitHub\eaglep3\Utilities\DownloadLogsFromS3.py --loco 4004 --day 2017-02-05</v>
      </c>
      <c r="AN181" s="167" t="str">
        <f>"grep -SE -B400 ""CHR.+\|PRM\|1\|D.+(SWITCH|SIGNAL).+UNKNOWN"" "&amp;search_path&amp;"\RTDC"&amp;B181&amp;"\*"&amp;B181&amp;"*"&amp;TEXT(AVERAGE(F181,I181)-utc_offset/24,"YYYYMMDD")&amp;"* | grep -SE ""(Enforcement Action)|(\[TIMEOUT)|(CHR.+\|PRM\|1\|D.+(SWITCH|SIGNAL).+UNKNOWN)"" - &gt;&gt; "&amp;TEXT(Variables!$A$2,"YYYY-MM-DD")&amp;"-UncaughtWiMAX.txt"</f>
        <v>grep -SE -B400 "CHR.+\|PRM\|1\|D.+(SWITCH|SIGNAL).+UNKNOWN" "%USERPROFILE%\AppData\Local\Temp\OnboardLogs"\RTDC4004\*4004*20170206* | grep -SE "(Enforcement Action)|(\[TIMEOUT)|(CHR.+\|PRM\|1\|D.+(SWITCH|SIGNAL).+UNKNOWN)" - &gt;&gt; 2017-02-05-UncaughtWiMAX.txt</v>
      </c>
    </row>
    <row r="182" spans="1:91" s="20" customFormat="1" x14ac:dyDescent="0.25">
      <c r="A182" s="33" t="s">
        <v>517</v>
      </c>
      <c r="B182" s="7">
        <v>4003</v>
      </c>
      <c r="C182" s="21" t="s">
        <v>193</v>
      </c>
      <c r="D182" s="21" t="s">
        <v>809</v>
      </c>
      <c r="E182" s="13">
        <v>42771.760995370372</v>
      </c>
      <c r="F182" s="13">
        <v>42771.764768518522</v>
      </c>
      <c r="G182" s="7">
        <v>1</v>
      </c>
      <c r="H182" s="21" t="s">
        <v>816</v>
      </c>
      <c r="I182" s="13">
        <v>42771.77447916667</v>
      </c>
      <c r="J182" s="7">
        <v>0</v>
      </c>
      <c r="K182" s="98" t="str">
        <f t="shared" si="54"/>
        <v>4003/4004</v>
      </c>
      <c r="L182" s="21" t="str">
        <f>VLOOKUP(A182,'Trips&amp;Operators'!$C$1:$G$99999,5,FALSE)</f>
        <v>HELVIE ADAM</v>
      </c>
      <c r="M182" s="6">
        <f t="shared" si="55"/>
        <v>9.710648148029577E-3</v>
      </c>
      <c r="N182" s="7">
        <f t="shared" si="72"/>
        <v>13.983333333162591</v>
      </c>
      <c r="O182" s="7"/>
      <c r="P182" s="7"/>
      <c r="Q182" s="22"/>
      <c r="R182" s="22"/>
      <c r="S182" s="31">
        <f t="shared" si="56"/>
        <v>1</v>
      </c>
      <c r="T182" s="46" t="str">
        <f t="shared" si="57"/>
        <v>NorthBound</v>
      </c>
      <c r="U182" s="190">
        <f>IF(AG182="EC",COUNTIFS(Variables!$M$2:$M$19,IF(T182="NorthBound","&gt;=","&lt;=")&amp;Y182,Variables!$M$2:$M$19,IF(T182="NorthBound","&lt;=","&gt;=")&amp;Z182),COUNTIFS(Variables!$P$2:$P$19,IF(T182="NorthBound","&gt;=","&lt;=")&amp;Y182,Variables!$P$2:$P$19,IF(T182="NorthBound","&lt;=","&gt;=")&amp;Z182))</f>
        <v>1</v>
      </c>
      <c r="V182" s="191" t="str">
        <f t="shared" si="58"/>
        <v>https://d0f6bd738d7f1b3e5a7ca70fe4ff75f0.us-east-1.aws.found.io/app/kibana#/discover/Steve-Slow-Train-Analysis-(2080s-and-2083s)?_g=(refreshInterval:(display:Off,pause:!f,section:0,value:0),time:(from:'2017-02-05T17:15:50-0700',mode:absolute,to:'2017-02-05T19:35:15-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82" s="192" t="str">
        <f t="shared" si="59"/>
        <v>N</v>
      </c>
      <c r="X182" s="192">
        <f t="shared" si="73"/>
        <v>1</v>
      </c>
      <c r="Y182" s="62">
        <f t="shared" si="71"/>
        <v>0.10489999999999999</v>
      </c>
      <c r="Z182" s="62">
        <f t="shared" si="70"/>
        <v>5.8936999999999999</v>
      </c>
      <c r="AA182" s="62">
        <f t="shared" si="62"/>
        <v>5.7888000000000002</v>
      </c>
      <c r="AB182" s="59" t="e">
        <f>VLOOKUP(A182,Enforcements!$C$7:$K$16,8,0)</f>
        <v>#N/A</v>
      </c>
      <c r="AC182" s="55" t="e">
        <f>VLOOKUP(A182,Enforcements!$C$7:$E$16,3,0)</f>
        <v>#N/A</v>
      </c>
      <c r="AD182" s="56" t="str">
        <f t="shared" si="63"/>
        <v>1825-05</v>
      </c>
      <c r="AE182"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82" s="82" t="str">
        <f t="shared" si="65"/>
        <v>"C:\Program Files (x86)\AstroGrep\AstroGrep.exe" /spath="%USERPROFILE%\AppData\Local\Temp\OnboardLogs" /stypes="app*4003*20170206*" /stext=" 01:.+((SYSTEM_STATE.+slice.+state.+changed )|(ment ac)|(multiple cpu faults)|(system.+state.+changed )|(\[timeout)|(PRM\|1\|D)|(kpr)|(kdp)|(\|lc)|(penalty))" /e /r /s</v>
      </c>
      <c r="AG182" s="1" t="str">
        <f t="shared" si="66"/>
        <v>NW</v>
      </c>
      <c r="AH182" s="86" t="str">
        <f t="shared" si="51"/>
        <v>"%USERPROFILE%\Documents\GitHub\eaglep3\Utilities\RefineRTDCRunTimes.py" --tripid 1825-05 --locoid 4003 --swversion DE.1.0.8.0 --startMP 204:1049 --initTime 2017-02-05T18:15:50 --startdatetime 2017-02-05T18:21:16 --delay 1 --endMP 300:58937 --enddatetime 2017-02-05T18:35:15 --enforcementcount 0 &gt;&gt;C:\Users\stu\Documents\GitHub\eaglep3-reporting\EC\2017-02-05-refined-times.txt</v>
      </c>
      <c r="AI182" s="108" t="str">
        <f t="shared" si="52"/>
        <v>echo {"issue":{"subject":"","project_id":79,"tracker_id":40,"status_id":1,"priority_id":2,"assigned_to_id":23,"start_date":"2017-02-05","description":"","custom_fields":[{"id":1,"name":"Subdivision","value":"NW"},{"id":4,"name":"Milepost","value":"5.8937"},{"id":17,"name":"Train ID","value":"1825-05"},{"id":16,"name":"Locomotive ID","value":"4003"},{"id":130,"name":"Impact","value":""},{"id":150,"name":"Time of Event (Mountain Time)","value":"18:35:15"},{"id":151,"name":"Denver Issue ID","value":""},{"id":178,"name":"Operational Impact","value":"Yes"},{"id":179,"name":"Denver Segment Assigned","value":""}]}} | curl -X POST -H "Content-Type: application/json" -H "X-Redmine-API-Key: d6333d4a04012a730768444271f8ca06482dae87" https://secure.xorail.net/redmine/issues.json --data @-</v>
      </c>
      <c r="AJ182" s="48"/>
      <c r="AK182" s="48"/>
      <c r="AL182" s="48"/>
      <c r="AM182" s="158" t="str">
        <f t="shared" si="53"/>
        <v>start /low /b %USERPROFILE%\Documents\GitHub\eaglep3\Utilities\DownloadLogsFromS3.py --loco 4003 --day 2017-02-05</v>
      </c>
      <c r="AN182" s="167" t="str">
        <f>"grep -SE -B400 ""CHR.+\|PRM\|1\|D.+(SWITCH|SIGNAL).+UNKNOWN"" "&amp;search_path&amp;"\RTDC"&amp;B182&amp;"\*"&amp;B182&amp;"*"&amp;TEXT(AVERAGE(F182,I182)-utc_offset/24,"YYYYMMDD")&amp;"* | grep -SE ""(Enforcement Action)|(\[TIMEOUT)|(CHR.+\|PRM\|1\|D.+(SWITCH|SIGNAL).+UNKNOWN)"" - &gt;&gt; "&amp;TEXT(Variables!$A$2,"YYYY-MM-DD")&amp;"-UncaughtWiMAX.txt"</f>
        <v>grep -SE -B400 "CHR.+\|PRM\|1\|D.+(SWITCH|SIGNAL).+UNKNOWN" "%USERPROFILE%\AppData\Local\Temp\OnboardLogs"\RTDC4003\*4003*20170206* | grep -SE "(Enforcement Action)|(\[TIMEOUT)|(CHR.+\|PRM\|1\|D.+(SWITCH|SIGNAL).+UNKNOWN)" - &gt;&gt; 2017-02-05-UncaughtWiMAX.txt</v>
      </c>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row>
    <row r="183" spans="1:91" x14ac:dyDescent="0.25">
      <c r="A183" s="33" t="s">
        <v>698</v>
      </c>
      <c r="B183" s="7">
        <v>4004</v>
      </c>
      <c r="C183" s="21" t="s">
        <v>193</v>
      </c>
      <c r="D183" s="21" t="s">
        <v>785</v>
      </c>
      <c r="E183" s="13">
        <v>42771.776122685187</v>
      </c>
      <c r="F183" s="13">
        <v>42771.777696759258</v>
      </c>
      <c r="G183" s="7">
        <v>1</v>
      </c>
      <c r="H183" s="21" t="s">
        <v>817</v>
      </c>
      <c r="I183" s="13">
        <v>42771.789594907408</v>
      </c>
      <c r="J183" s="7">
        <v>0</v>
      </c>
      <c r="K183" s="98" t="str">
        <f t="shared" si="54"/>
        <v>4003/4004</v>
      </c>
      <c r="L183" s="21" t="str">
        <f>VLOOKUP(A183,'Trips&amp;Operators'!$C$1:$G$99999,5,FALSE)</f>
        <v>HELVIE ADAM</v>
      </c>
      <c r="M183" s="6">
        <f t="shared" si="55"/>
        <v>1.1898148150066845E-2</v>
      </c>
      <c r="N183" s="7">
        <f t="shared" si="72"/>
        <v>17.133333336096257</v>
      </c>
      <c r="O183" s="7"/>
      <c r="P183" s="7"/>
      <c r="Q183" s="22"/>
      <c r="R183" s="22"/>
      <c r="S183" s="31">
        <f t="shared" si="56"/>
        <v>1</v>
      </c>
      <c r="T183" s="46" t="str">
        <f t="shared" si="57"/>
        <v>Southbound</v>
      </c>
      <c r="U183" s="190">
        <f>IF(AG183="EC",COUNTIFS(Variables!$M$2:$M$19,IF(T183="NorthBound","&gt;=","&lt;=")&amp;Y183,Variables!$M$2:$M$19,IF(T183="NorthBound","&lt;=","&gt;=")&amp;Z183),COUNTIFS(Variables!$P$2:$P$19,IF(T183="NorthBound","&gt;=","&lt;=")&amp;Y183,Variables!$P$2:$P$19,IF(T183="NorthBound","&lt;=","&gt;=")&amp;Z183))</f>
        <v>1</v>
      </c>
      <c r="V183" s="191" t="str">
        <f t="shared" si="58"/>
        <v>https://d0f6bd738d7f1b3e5a7ca70fe4ff75f0.us-east-1.aws.found.io/app/kibana#/discover/Steve-Slow-Train-Analysis-(2080s-and-2083s)?_g=(refreshInterval:(display:Off,pause:!f,section:0,value:0),time:(from:'2017-02-05T17:37:37-0700',mode:absolute,to:'2017-02-05T19:57:01-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83" s="192" t="str">
        <f t="shared" si="59"/>
        <v>N</v>
      </c>
      <c r="X183" s="192">
        <f t="shared" si="73"/>
        <v>1</v>
      </c>
      <c r="Y183" s="62">
        <f t="shared" si="71"/>
        <v>5.8625999999999996</v>
      </c>
      <c r="Z183" s="62">
        <f t="shared" si="70"/>
        <v>7.6200000000000004E-2</v>
      </c>
      <c r="AA183" s="62">
        <f t="shared" si="62"/>
        <v>5.7863999999999995</v>
      </c>
      <c r="AB183" s="59" t="e">
        <f>VLOOKUP(A183,Enforcements!$C$7:$K$16,8,0)</f>
        <v>#N/A</v>
      </c>
      <c r="AC183" s="55" t="e">
        <f>VLOOKUP(A183,Enforcements!$C$7:$E$16,3,0)</f>
        <v>#N/A</v>
      </c>
      <c r="AD183" s="56" t="str">
        <f t="shared" si="63"/>
        <v>1826-05</v>
      </c>
      <c r="AE183"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83" s="82" t="str">
        <f t="shared" si="65"/>
        <v>"C:\Program Files (x86)\AstroGrep\AstroGrep.exe" /spath="%USERPROFILE%\AppData\Local\Temp\OnboardLogs" /stypes="app*4004*20170206*" /stext=" 01:.+((SYSTEM_STATE.+slice.+state.+changed )|(ment ac)|(multiple cpu faults)|(system.+state.+changed )|(\[timeout)|(PRM\|1\|D)|(kpr)|(kdp)|(\|lc)|(penalty))" /e /r /s</v>
      </c>
      <c r="AG183" s="1" t="str">
        <f t="shared" si="66"/>
        <v>NW</v>
      </c>
      <c r="AH183" s="86" t="str">
        <f t="shared" si="51"/>
        <v>"%USERPROFILE%\Documents\GitHub\eaglep3\Utilities\RefineRTDCRunTimes.py" --tripid 1826-05 --locoid 4004 --swversion DE.1.0.8.0 --startMP 300:58626 --initTime 2017-02-05T18:37:37 --startdatetime 2017-02-05T18:39:53 --delay 1 --endMP 204:762 --enddatetime 2017-02-05T18:57:01 --enforcementcount 0 &gt;&gt;C:\Users\stu\Documents\GitHub\eaglep3-reporting\EC\2017-02-05-refined-times.txt</v>
      </c>
      <c r="AI183" s="108" t="str">
        <f t="shared" si="52"/>
        <v>echo {"issue":{"subject":"","project_id":79,"tracker_id":40,"status_id":1,"priority_id":2,"assigned_to_id":23,"start_date":"2017-02-05","description":"","custom_fields":[{"id":1,"name":"Subdivision","value":"NW"},{"id":4,"name":"Milepost","value":"0.0762"},{"id":17,"name":"Train ID","value":"1826-05"},{"id":16,"name":"Locomotive ID","value":"4004"},{"id":130,"name":"Impact","value":""},{"id":150,"name":"Time of Event (Mountain Time)","value":"18:57:01"},{"id":151,"name":"Denver Issue ID","value":""},{"id":178,"name":"Operational Impact","value":"Yes"},{"id":179,"name":"Denver Segment Assigned","value":""}]}} | curl -X POST -H "Content-Type: application/json" -H "X-Redmine-API-Key: d6333d4a04012a730768444271f8ca06482dae87" https://secure.xorail.net/redmine/issues.json --data @-</v>
      </c>
      <c r="AJ183" s="48"/>
      <c r="AK183" s="48"/>
      <c r="AL183" s="48"/>
      <c r="AM183" s="158" t="str">
        <f t="shared" si="53"/>
        <v>start /low /b %USERPROFILE%\Documents\GitHub\eaglep3\Utilities\DownloadLogsFromS3.py --loco 4004 --day 2017-02-05</v>
      </c>
      <c r="AN183" s="167" t="str">
        <f>"grep -SE -B400 ""CHR.+\|PRM\|1\|D.+(SWITCH|SIGNAL).+UNKNOWN"" "&amp;search_path&amp;"\RTDC"&amp;B183&amp;"\*"&amp;B183&amp;"*"&amp;TEXT(AVERAGE(F183,I183)-utc_offset/24,"YYYYMMDD")&amp;"* | grep -SE ""(Enforcement Action)|(\[TIMEOUT)|(CHR.+\|PRM\|1\|D.+(SWITCH|SIGNAL).+UNKNOWN)"" - &gt;&gt; "&amp;TEXT(Variables!$A$2,"YYYY-MM-DD")&amp;"-UncaughtWiMAX.txt"</f>
        <v>grep -SE -B400 "CHR.+\|PRM\|1\|D.+(SWITCH|SIGNAL).+UNKNOWN" "%USERPROFILE%\AppData\Local\Temp\OnboardLogs"\RTDC4004\*4004*20170206* | grep -SE "(Enforcement Action)|(\[TIMEOUT)|(CHR.+\|PRM\|1\|D.+(SWITCH|SIGNAL).+UNKNOWN)" - &gt;&gt; 2017-02-05-UncaughtWiMAX.txt</v>
      </c>
    </row>
    <row r="184" spans="1:91" s="20" customFormat="1" x14ac:dyDescent="0.25">
      <c r="A184" s="33" t="s">
        <v>704</v>
      </c>
      <c r="B184" s="7">
        <v>4003</v>
      </c>
      <c r="C184" s="21" t="s">
        <v>193</v>
      </c>
      <c r="D184" s="21" t="s">
        <v>818</v>
      </c>
      <c r="E184" s="13">
        <v>42771.803912037038</v>
      </c>
      <c r="F184" s="13">
        <v>42771.806562500002</v>
      </c>
      <c r="G184" s="7">
        <v>1</v>
      </c>
      <c r="H184" s="21" t="s">
        <v>335</v>
      </c>
      <c r="I184" s="13">
        <v>42771.816041666665</v>
      </c>
      <c r="J184" s="7">
        <v>0</v>
      </c>
      <c r="K184" s="98" t="str">
        <f t="shared" si="54"/>
        <v>4003/4004</v>
      </c>
      <c r="L184" s="21" t="str">
        <f>VLOOKUP(A184,'Trips&amp;Operators'!$C$1:$G$99999,5,FALSE)</f>
        <v>HELVIE ADAM</v>
      </c>
      <c r="M184" s="6">
        <f t="shared" si="55"/>
        <v>9.4791666633682325E-3</v>
      </c>
      <c r="N184" s="7">
        <f t="shared" si="72"/>
        <v>13.649999995250255</v>
      </c>
      <c r="O184" s="7"/>
      <c r="P184" s="7"/>
      <c r="Q184" s="22"/>
      <c r="R184" s="22"/>
      <c r="S184" s="31">
        <f t="shared" si="56"/>
        <v>1</v>
      </c>
      <c r="T184" s="46" t="str">
        <f t="shared" si="57"/>
        <v>NorthBound</v>
      </c>
      <c r="U184" s="190">
        <f>IF(AG184="EC",COUNTIFS(Variables!$M$2:$M$19,IF(T184="NorthBound","&gt;=","&lt;=")&amp;Y184,Variables!$M$2:$M$19,IF(T184="NorthBound","&lt;=","&gt;=")&amp;Z184),COUNTIFS(Variables!$P$2:$P$19,IF(T184="NorthBound","&gt;=","&lt;=")&amp;Y184,Variables!$P$2:$P$19,IF(T184="NorthBound","&lt;=","&gt;=")&amp;Z184))</f>
        <v>1</v>
      </c>
      <c r="V184" s="191" t="str">
        <f t="shared" si="58"/>
        <v>https://d0f6bd738d7f1b3e5a7ca70fe4ff75f0.us-east-1.aws.found.io/app/kibana#/discover/Steve-Slow-Train-Analysis-(2080s-and-2083s)?_g=(refreshInterval:(display:Off,pause:!f,section:0,value:0),time:(from:'2017-02-05T18:17:38-0700',mode:absolute,to:'2017-02-05T20:35:06-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84" s="192" t="str">
        <f t="shared" si="59"/>
        <v>N</v>
      </c>
      <c r="X184" s="192">
        <f t="shared" si="73"/>
        <v>1</v>
      </c>
      <c r="Y184" s="62">
        <f t="shared" si="71"/>
        <v>0.1041</v>
      </c>
      <c r="Z184" s="62">
        <f t="shared" ref="Z184:Z218" si="74">RIGHT(H184,LEN(H184)-4)/10000</f>
        <v>5.8944000000000001</v>
      </c>
      <c r="AA184" s="62">
        <f t="shared" si="62"/>
        <v>5.7903000000000002</v>
      </c>
      <c r="AB184" s="59" t="e">
        <f>VLOOKUP(A184,Enforcements!$C$7:$K$16,8,0)</f>
        <v>#N/A</v>
      </c>
      <c r="AC184" s="55" t="e">
        <f>VLOOKUP(A184,Enforcements!$C$7:$E$16,3,0)</f>
        <v>#N/A</v>
      </c>
      <c r="AD184" s="56" t="str">
        <f t="shared" si="63"/>
        <v>1827-05</v>
      </c>
      <c r="AE184"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84" s="82" t="str">
        <f t="shared" si="65"/>
        <v>"C:\Program Files (x86)\AstroGrep\AstroGrep.exe" /spath="%USERPROFILE%\AppData\Local\Temp\OnboardLogs" /stypes="app*4003*20170206*" /stext=" 02:.+((SYSTEM_STATE.+slice.+state.+changed )|(ment ac)|(multiple cpu faults)|(system.+state.+changed )|(\[timeout)|(PRM\|1\|D)|(kpr)|(kdp)|(\|lc)|(penalty))" /e /r /s</v>
      </c>
      <c r="AG184" s="1" t="str">
        <f t="shared" si="66"/>
        <v>NW</v>
      </c>
      <c r="AH184" s="86" t="str">
        <f t="shared" si="51"/>
        <v>"%USERPROFILE%\Documents\GitHub\eaglep3\Utilities\RefineRTDCRunTimes.py" --tripid 1827-05 --locoid 4003 --swversion DE.1.0.8.0 --startMP 204:1041 --initTime 2017-02-05T19:17:38 --startdatetime 2017-02-05T19:21:27 --delay 1 --endMP 300:58944 --enddatetime 2017-02-05T19:35:06 --enforcementcount 0 &gt;&gt;C:\Users\stu\Documents\GitHub\eaglep3-reporting\EC\2017-02-05-refined-times.txt</v>
      </c>
      <c r="AI184" s="108" t="str">
        <f t="shared" si="52"/>
        <v>echo {"issue":{"subject":"","project_id":79,"tracker_id":40,"status_id":1,"priority_id":2,"assigned_to_id":23,"start_date":"2017-02-05","description":"","custom_fields":[{"id":1,"name":"Subdivision","value":"NW"},{"id":4,"name":"Milepost","value":"5.8944"},{"id":17,"name":"Train ID","value":"1827-05"},{"id":16,"name":"Locomotive ID","value":"4003"},{"id":130,"name":"Impact","value":""},{"id":150,"name":"Time of Event (Mountain Time)","value":"19:35:06"},{"id":151,"name":"Denver Issue ID","value":""},{"id":178,"name":"Operational Impact","value":"Yes"},{"id":179,"name":"Denver Segment Assigned","value":""}]}} | curl -X POST -H "Content-Type: application/json" -H "X-Redmine-API-Key: d6333d4a04012a730768444271f8ca06482dae87" https://secure.xorail.net/redmine/issues.json --data @-</v>
      </c>
      <c r="AJ184" s="48"/>
      <c r="AK184" s="48"/>
      <c r="AL184" s="48"/>
      <c r="AM184" s="158" t="str">
        <f t="shared" si="53"/>
        <v>start /low /b %USERPROFILE%\Documents\GitHub\eaglep3\Utilities\DownloadLogsFromS3.py --loco 4003 --day 2017-02-05</v>
      </c>
      <c r="AN184" s="167" t="str">
        <f>"grep -SE -B400 ""CHR.+\|PRM\|1\|D.+(SWITCH|SIGNAL).+UNKNOWN"" "&amp;search_path&amp;"\RTDC"&amp;B184&amp;"\*"&amp;B184&amp;"*"&amp;TEXT(AVERAGE(F184,I184)-utc_offset/24,"YYYYMMDD")&amp;"* | grep -SE ""(Enforcement Action)|(\[TIMEOUT)|(CHR.+\|PRM\|1\|D.+(SWITCH|SIGNAL).+UNKNOWN)"" - &gt;&gt; "&amp;TEXT(Variables!$A$2,"YYYY-MM-DD")&amp;"-UncaughtWiMAX.txt"</f>
        <v>grep -SE -B400 "CHR.+\|PRM\|1\|D.+(SWITCH|SIGNAL).+UNKNOWN" "%USERPROFILE%\AppData\Local\Temp\OnboardLogs"\RTDC4003\*4003*20170206* | grep -SE "(Enforcement Action)|(\[TIMEOUT)|(CHR.+\|PRM\|1\|D.+(SWITCH|SIGNAL).+UNKNOWN)" - &gt;&gt; 2017-02-05-UncaughtWiMAX.txt</v>
      </c>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row>
    <row r="185" spans="1:91" x14ac:dyDescent="0.25">
      <c r="A185" s="33" t="s">
        <v>707</v>
      </c>
      <c r="B185" s="7">
        <v>4004</v>
      </c>
      <c r="C185" s="21" t="s">
        <v>193</v>
      </c>
      <c r="D185" s="21" t="s">
        <v>819</v>
      </c>
      <c r="E185" s="13">
        <v>42771.81753472222</v>
      </c>
      <c r="F185" s="13">
        <v>42771.819120370368</v>
      </c>
      <c r="G185" s="7">
        <v>1</v>
      </c>
      <c r="H185" s="21" t="s">
        <v>803</v>
      </c>
      <c r="I185" s="13">
        <v>42771.831759259258</v>
      </c>
      <c r="J185" s="7">
        <v>0</v>
      </c>
      <c r="K185" s="98" t="str">
        <f t="shared" si="54"/>
        <v>4003/4004</v>
      </c>
      <c r="L185" s="21" t="str">
        <f>VLOOKUP(A185,'Trips&amp;Operators'!$C$1:$G$99999,5,FALSE)</f>
        <v>HELVIE ADAM</v>
      </c>
      <c r="M185" s="6">
        <f t="shared" si="55"/>
        <v>1.2638888889341615E-2</v>
      </c>
      <c r="N185" s="7">
        <f t="shared" si="72"/>
        <v>18.200000000651926</v>
      </c>
      <c r="O185" s="7"/>
      <c r="P185" s="7"/>
      <c r="Q185" s="22"/>
      <c r="R185" s="22"/>
      <c r="S185" s="31">
        <f t="shared" si="56"/>
        <v>1</v>
      </c>
      <c r="T185" s="46" t="str">
        <f t="shared" si="57"/>
        <v>Southbound</v>
      </c>
      <c r="U185" s="190">
        <f>IF(AG185="EC",COUNTIFS(Variables!$M$2:$M$19,IF(T185="NorthBound","&gt;=","&lt;=")&amp;Y185,Variables!$M$2:$M$19,IF(T185="NorthBound","&lt;=","&gt;=")&amp;Z185),COUNTIFS(Variables!$P$2:$P$19,IF(T185="NorthBound","&gt;=","&lt;=")&amp;Y185,Variables!$P$2:$P$19,IF(T185="NorthBound","&lt;=","&gt;=")&amp;Z185))</f>
        <v>1</v>
      </c>
      <c r="V185" s="191" t="str">
        <f t="shared" si="58"/>
        <v>https://d0f6bd738d7f1b3e5a7ca70fe4ff75f0.us-east-1.aws.found.io/app/kibana#/discover/Steve-Slow-Train-Analysis-(2080s-and-2083s)?_g=(refreshInterval:(display:Off,pause:!f,section:0,value:0),time:(from:'2017-02-05T18:37:15-0700',mode:absolute,to:'2017-02-05T20:57:44-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85" s="192" t="str">
        <f t="shared" si="59"/>
        <v>N</v>
      </c>
      <c r="X185" s="192">
        <f t="shared" si="73"/>
        <v>1</v>
      </c>
      <c r="Y185" s="62">
        <f t="shared" si="71"/>
        <v>5.8638000000000003</v>
      </c>
      <c r="Z185" s="62">
        <f t="shared" si="74"/>
        <v>7.5499999999999998E-2</v>
      </c>
      <c r="AA185" s="62">
        <f t="shared" si="62"/>
        <v>5.7883000000000004</v>
      </c>
      <c r="AB185" s="59" t="e">
        <f>VLOOKUP(A185,Enforcements!$C$7:$K$16,8,0)</f>
        <v>#N/A</v>
      </c>
      <c r="AC185" s="55" t="e">
        <f>VLOOKUP(A185,Enforcements!$C$7:$E$16,3,0)</f>
        <v>#N/A</v>
      </c>
      <c r="AD185" s="56" t="str">
        <f t="shared" si="63"/>
        <v>1828-05</v>
      </c>
      <c r="AE185"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85" s="82" t="str">
        <f t="shared" si="65"/>
        <v>"C:\Program Files (x86)\AstroGrep\AstroGrep.exe" /spath="%USERPROFILE%\AppData\Local\Temp\OnboardLogs" /stypes="app*4004*20170206*" /stext=" 02:.+((SYSTEM_STATE.+slice.+state.+changed )|(ment ac)|(multiple cpu faults)|(system.+state.+changed )|(\[timeout)|(PRM\|1\|D)|(kpr)|(kdp)|(\|lc)|(penalty))" /e /r /s</v>
      </c>
      <c r="AG185" s="1" t="str">
        <f t="shared" si="66"/>
        <v>NW</v>
      </c>
      <c r="AH185" s="86" t="str">
        <f t="shared" si="51"/>
        <v>"%USERPROFILE%\Documents\GitHub\eaglep3\Utilities\RefineRTDCRunTimes.py" --tripid 1828-05 --locoid 4004 --swversion DE.1.0.8.0 --startMP 300:58638 --initTime 2017-02-05T19:37:15 --startdatetime 2017-02-05T19:39:32 --delay 1 --endMP 204:755 --enddatetime 2017-02-05T19:57:44 --enforcementcount 0 &gt;&gt;C:\Users\stu\Documents\GitHub\eaglep3-reporting\EC\2017-02-05-refined-times.txt</v>
      </c>
      <c r="AI185" s="108" t="str">
        <f t="shared" si="52"/>
        <v>echo {"issue":{"subject":"","project_id":79,"tracker_id":40,"status_id":1,"priority_id":2,"assigned_to_id":23,"start_date":"2017-02-05","description":"","custom_fields":[{"id":1,"name":"Subdivision","value":"NW"},{"id":4,"name":"Milepost","value":"0.0755"},{"id":17,"name":"Train ID","value":"1828-05"},{"id":16,"name":"Locomotive ID","value":"4004"},{"id":130,"name":"Impact","value":""},{"id":150,"name":"Time of Event (Mountain Time)","value":"19:57:44"},{"id":151,"name":"Denver Issue ID","value":""},{"id":178,"name":"Operational Impact","value":"Yes"},{"id":179,"name":"Denver Segment Assigned","value":""}]}} | curl -X POST -H "Content-Type: application/json" -H "X-Redmine-API-Key: d6333d4a04012a730768444271f8ca06482dae87" https://secure.xorail.net/redmine/issues.json --data @-</v>
      </c>
      <c r="AJ185" s="48"/>
      <c r="AK185" s="48"/>
      <c r="AL185" s="48"/>
      <c r="AM185" s="158" t="str">
        <f t="shared" si="53"/>
        <v>start /low /b %USERPROFILE%\Documents\GitHub\eaglep3\Utilities\DownloadLogsFromS3.py --loco 4004 --day 2017-02-05</v>
      </c>
      <c r="AN185" s="167" t="str">
        <f>"grep -SE -B400 ""CHR.+\|PRM\|1\|D.+(SWITCH|SIGNAL).+UNKNOWN"" "&amp;search_path&amp;"\RTDC"&amp;B185&amp;"\*"&amp;B185&amp;"*"&amp;TEXT(AVERAGE(F185,I185)-utc_offset/24,"YYYYMMDD")&amp;"* | grep -SE ""(Enforcement Action)|(\[TIMEOUT)|(CHR.+\|PRM\|1\|D.+(SWITCH|SIGNAL).+UNKNOWN)"" - &gt;&gt; "&amp;TEXT(Variables!$A$2,"YYYY-MM-DD")&amp;"-UncaughtWiMAX.txt"</f>
        <v>grep -SE -B400 "CHR.+\|PRM\|1\|D.+(SWITCH|SIGNAL).+UNKNOWN" "%USERPROFILE%\AppData\Local\Temp\OnboardLogs"\RTDC4004\*4004*20170206* | grep -SE "(Enforcement Action)|(\[TIMEOUT)|(CHR.+\|PRM\|1\|D.+(SWITCH|SIGNAL).+UNKNOWN)" - &gt;&gt; 2017-02-05-UncaughtWiMAX.txt</v>
      </c>
    </row>
    <row r="186" spans="1:91" x14ac:dyDescent="0.25">
      <c r="A186" s="33" t="s">
        <v>712</v>
      </c>
      <c r="B186" s="7">
        <v>4003</v>
      </c>
      <c r="C186" s="21" t="s">
        <v>193</v>
      </c>
      <c r="D186" s="21" t="s">
        <v>370</v>
      </c>
      <c r="E186" s="13">
        <v>42771.84652777778</v>
      </c>
      <c r="F186" s="13">
        <v>42771.848182870373</v>
      </c>
      <c r="G186" s="7">
        <v>1</v>
      </c>
      <c r="H186" s="21" t="s">
        <v>335</v>
      </c>
      <c r="I186" s="13">
        <v>42771.857291666667</v>
      </c>
      <c r="J186" s="7">
        <v>0</v>
      </c>
      <c r="K186" s="98" t="str">
        <f t="shared" si="54"/>
        <v>4003/4004</v>
      </c>
      <c r="L186" s="21" t="str">
        <f>VLOOKUP(A186,'Trips&amp;Operators'!$C$1:$G$99999,5,FALSE)</f>
        <v>HELVIE ADAM</v>
      </c>
      <c r="M186" s="6">
        <f t="shared" si="55"/>
        <v>9.1087962937308475E-3</v>
      </c>
      <c r="N186" s="7">
        <f t="shared" si="72"/>
        <v>13.11666666297242</v>
      </c>
      <c r="O186" s="7"/>
      <c r="P186" s="7"/>
      <c r="Q186" s="22"/>
      <c r="R186" s="22"/>
      <c r="S186" s="31">
        <f t="shared" si="56"/>
        <v>1</v>
      </c>
      <c r="T186" s="46" t="str">
        <f t="shared" si="57"/>
        <v>NorthBound</v>
      </c>
      <c r="U186" s="190">
        <f>IF(AG186="EC",COUNTIFS(Variables!$M$2:$M$19,IF(T186="NorthBound","&gt;=","&lt;=")&amp;Y186,Variables!$M$2:$M$19,IF(T186="NorthBound","&lt;=","&gt;=")&amp;Z186),COUNTIFS(Variables!$P$2:$P$19,IF(T186="NorthBound","&gt;=","&lt;=")&amp;Y186,Variables!$P$2:$P$19,IF(T186="NorthBound","&lt;=","&gt;=")&amp;Z186))</f>
        <v>1</v>
      </c>
      <c r="V186" s="191" t="str">
        <f t="shared" si="58"/>
        <v>https://d0f6bd738d7f1b3e5a7ca70fe4ff75f0.us-east-1.aws.found.io/app/kibana#/discover/Steve-Slow-Train-Analysis-(2080s-and-2083s)?_g=(refreshInterval:(display:Off,pause:!f,section:0,value:0),time:(from:'2017-02-05T19:19:00-0700',mode:absolute,to:'2017-02-05T21:34:30-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86" s="192" t="str">
        <f t="shared" si="59"/>
        <v>N</v>
      </c>
      <c r="X186" s="192">
        <f t="shared" si="73"/>
        <v>1</v>
      </c>
      <c r="Y186" s="62">
        <f t="shared" si="71"/>
        <v>0.1032</v>
      </c>
      <c r="Z186" s="62">
        <f t="shared" si="74"/>
        <v>5.8944000000000001</v>
      </c>
      <c r="AA186" s="62">
        <f t="shared" si="62"/>
        <v>5.7911999999999999</v>
      </c>
      <c r="AB186" s="59" t="e">
        <f>VLOOKUP(A186,Enforcements!$C$7:$K$16,8,0)</f>
        <v>#N/A</v>
      </c>
      <c r="AC186" s="55" t="e">
        <f>VLOOKUP(A186,Enforcements!$C$7:$E$16,3,0)</f>
        <v>#N/A</v>
      </c>
      <c r="AD186" s="56" t="str">
        <f t="shared" si="63"/>
        <v>1829-05</v>
      </c>
      <c r="AE186"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86" s="82" t="str">
        <f t="shared" si="65"/>
        <v>"C:\Program Files (x86)\AstroGrep\AstroGrep.exe" /spath="%USERPROFILE%\AppData\Local\Temp\OnboardLogs" /stypes="app*4003*20170206*" /stext=" 03:.+((SYSTEM_STATE.+slice.+state.+changed )|(ment ac)|(multiple cpu faults)|(system.+state.+changed )|(\[timeout)|(PRM\|1\|D)|(kpr)|(kdp)|(\|lc)|(penalty))" /e /r /s</v>
      </c>
      <c r="AG186" s="1" t="str">
        <f t="shared" si="66"/>
        <v>NW</v>
      </c>
      <c r="AH186" s="86" t="str">
        <f t="shared" si="51"/>
        <v>"%USERPROFILE%\Documents\GitHub\eaglep3\Utilities\RefineRTDCRunTimes.py" --tripid 1829-05 --locoid 4003 --swversion DE.1.0.8.0 --startMP 204:1032 --initTime 2017-02-05T20:19:00 --startdatetime 2017-02-05T20:21:23 --delay 1 --endMP 300:58944 --enddatetime 2017-02-05T20:34:30 --enforcementcount 0 &gt;&gt;C:\Users\stu\Documents\GitHub\eaglep3-reporting\EC\2017-02-05-refined-times.txt</v>
      </c>
      <c r="AI186" s="108" t="str">
        <f t="shared" si="52"/>
        <v>echo {"issue":{"subject":"","project_id":79,"tracker_id":40,"status_id":1,"priority_id":2,"assigned_to_id":23,"start_date":"2017-02-05","description":"","custom_fields":[{"id":1,"name":"Subdivision","value":"NW"},{"id":4,"name":"Milepost","value":"5.8944"},{"id":17,"name":"Train ID","value":"1829-05"},{"id":16,"name":"Locomotive ID","value":"4003"},{"id":130,"name":"Impact","value":""},{"id":150,"name":"Time of Event (Mountain Time)","value":"20:34:30"},{"id":151,"name":"Denver Issue ID","value":""},{"id":178,"name":"Operational Impact","value":"Yes"},{"id":179,"name":"Denver Segment Assigned","value":""}]}} | curl -X POST -H "Content-Type: application/json" -H "X-Redmine-API-Key: d6333d4a04012a730768444271f8ca06482dae87" https://secure.xorail.net/redmine/issues.json --data @-</v>
      </c>
      <c r="AJ186" s="48"/>
      <c r="AK186" s="48"/>
      <c r="AL186" s="48"/>
      <c r="AM186" s="158" t="str">
        <f t="shared" si="53"/>
        <v>start /low /b %USERPROFILE%\Documents\GitHub\eaglep3\Utilities\DownloadLogsFromS3.py --loco 4003 --day 2017-02-05</v>
      </c>
      <c r="AN186" s="167" t="str">
        <f>"grep -SE -B400 ""CHR.+\|PRM\|1\|D.+(SWITCH|SIGNAL).+UNKNOWN"" "&amp;search_path&amp;"\RTDC"&amp;B186&amp;"\*"&amp;B186&amp;"*"&amp;TEXT(AVERAGE(F186,I186)-utc_offset/24,"YYYYMMDD")&amp;"* | grep -SE ""(Enforcement Action)|(\[TIMEOUT)|(CHR.+\|PRM\|1\|D.+(SWITCH|SIGNAL).+UNKNOWN)"" - &gt;&gt; "&amp;TEXT(Variables!$A$2,"YYYY-MM-DD")&amp;"-UncaughtWiMAX.txt"</f>
        <v>grep -SE -B400 "CHR.+\|PRM\|1\|D.+(SWITCH|SIGNAL).+UNKNOWN" "%USERPROFILE%\AppData\Local\Temp\OnboardLogs"\RTDC4003\*4003*20170206* | grep -SE "(Enforcement Action)|(\[TIMEOUT)|(CHR.+\|PRM\|1\|D.+(SWITCH|SIGNAL).+UNKNOWN)" - &gt;&gt; 2017-02-05-UncaughtWiMAX.txt</v>
      </c>
    </row>
    <row r="187" spans="1:91" s="20" customFormat="1" x14ac:dyDescent="0.25">
      <c r="A187" s="33" t="s">
        <v>715</v>
      </c>
      <c r="B187" s="7">
        <v>4004</v>
      </c>
      <c r="C187" s="21" t="s">
        <v>193</v>
      </c>
      <c r="D187" s="21" t="s">
        <v>336</v>
      </c>
      <c r="E187" s="13">
        <v>42771.858981481484</v>
      </c>
      <c r="F187" s="13">
        <v>42771.860347222224</v>
      </c>
      <c r="G187" s="7">
        <v>1</v>
      </c>
      <c r="H187" s="21" t="s">
        <v>800</v>
      </c>
      <c r="I187" s="13">
        <v>42771.871099537035</v>
      </c>
      <c r="J187" s="7">
        <v>0</v>
      </c>
      <c r="K187" s="98" t="str">
        <f t="shared" si="54"/>
        <v>4003/4004</v>
      </c>
      <c r="L187" s="21" t="str">
        <f>VLOOKUP(A187,'Trips&amp;Operators'!$C$1:$G$99999,5,FALSE)</f>
        <v>HELVIE ADAM</v>
      </c>
      <c r="M187" s="6">
        <f t="shared" si="55"/>
        <v>1.0752314810815733E-2</v>
      </c>
      <c r="N187" s="7">
        <f t="shared" si="72"/>
        <v>15.483333327574655</v>
      </c>
      <c r="O187" s="7"/>
      <c r="P187" s="7"/>
      <c r="Q187" s="22"/>
      <c r="R187" s="22"/>
      <c r="S187" s="31">
        <f t="shared" si="56"/>
        <v>1</v>
      </c>
      <c r="T187" s="46" t="str">
        <f t="shared" si="57"/>
        <v>Southbound</v>
      </c>
      <c r="U187" s="190">
        <f>IF(AG187="EC",COUNTIFS(Variables!$M$2:$M$19,IF(T187="NorthBound","&gt;=","&lt;=")&amp;Y187,Variables!$M$2:$M$19,IF(T187="NorthBound","&lt;=","&gt;=")&amp;Z187),COUNTIFS(Variables!$P$2:$P$19,IF(T187="NorthBound","&gt;=","&lt;=")&amp;Y187,Variables!$P$2:$P$19,IF(T187="NorthBound","&lt;=","&gt;=")&amp;Z187))</f>
        <v>1</v>
      </c>
      <c r="V187" s="191" t="str">
        <f t="shared" si="58"/>
        <v>https://d0f6bd738d7f1b3e5a7ca70fe4ff75f0.us-east-1.aws.found.io/app/kibana#/discover/Steve-Slow-Train-Analysis-(2080s-and-2083s)?_g=(refreshInterval:(display:Off,pause:!f,section:0,value:0),time:(from:'2017-02-05T19:36:56-0700',mode:absolute,to:'2017-02-05T21:54:23-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87" s="192" t="str">
        <f t="shared" si="59"/>
        <v>N</v>
      </c>
      <c r="X187" s="192">
        <f t="shared" si="73"/>
        <v>1</v>
      </c>
      <c r="Y187" s="62">
        <f t="shared" si="71"/>
        <v>5.8624000000000001</v>
      </c>
      <c r="Z187" s="62">
        <f t="shared" si="74"/>
        <v>7.4499999999999997E-2</v>
      </c>
      <c r="AA187" s="62">
        <f t="shared" si="62"/>
        <v>5.7879000000000005</v>
      </c>
      <c r="AB187" s="59" t="e">
        <f>VLOOKUP(A187,Enforcements!$C$7:$K$16,8,0)</f>
        <v>#N/A</v>
      </c>
      <c r="AC187" s="55" t="e">
        <f>VLOOKUP(A187,Enforcements!$C$7:$E$16,3,0)</f>
        <v>#N/A</v>
      </c>
      <c r="AD187" s="56" t="str">
        <f t="shared" si="63"/>
        <v>1830-05</v>
      </c>
      <c r="AE187"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87" s="82" t="str">
        <f t="shared" si="65"/>
        <v>"C:\Program Files (x86)\AstroGrep\AstroGrep.exe" /spath="%USERPROFILE%\AppData\Local\Temp\OnboardLogs" /stypes="app*4004*20170206*" /stext=" 03:.+((SYSTEM_STATE.+slice.+state.+changed )|(ment ac)|(multiple cpu faults)|(system.+state.+changed )|(\[timeout)|(PRM\|1\|D)|(kpr)|(kdp)|(\|lc)|(penalty))" /e /r /s</v>
      </c>
      <c r="AG187" s="1" t="str">
        <f t="shared" si="66"/>
        <v>NW</v>
      </c>
      <c r="AH187" s="86" t="str">
        <f t="shared" si="51"/>
        <v>"%USERPROFILE%\Documents\GitHub\eaglep3\Utilities\RefineRTDCRunTimes.py" --tripid 1830-05 --locoid 4004 --swversion DE.1.0.8.0 --startMP 300:58624 --initTime 2017-02-05T20:36:56 --startdatetime 2017-02-05T20:38:54 --delay 1 --endMP 204:745 --enddatetime 2017-02-05T20:54:23 --enforcementcount 0 &gt;&gt;C:\Users\stu\Documents\GitHub\eaglep3-reporting\EC\2017-02-05-refined-times.txt</v>
      </c>
      <c r="AI187" s="108" t="str">
        <f t="shared" si="52"/>
        <v>echo {"issue":{"subject":"","project_id":79,"tracker_id":40,"status_id":1,"priority_id":2,"assigned_to_id":23,"start_date":"2017-02-05","description":"","custom_fields":[{"id":1,"name":"Subdivision","value":"NW"},{"id":4,"name":"Milepost","value":"0.0745"},{"id":17,"name":"Train ID","value":"1830-05"},{"id":16,"name":"Locomotive ID","value":"4004"},{"id":130,"name":"Impact","value":""},{"id":150,"name":"Time of Event (Mountain Time)","value":"20:54:23"},{"id":151,"name":"Denver Issue ID","value":""},{"id":178,"name":"Operational Impact","value":"Yes"},{"id":179,"name":"Denver Segment Assigned","value":""}]}} | curl -X POST -H "Content-Type: application/json" -H "X-Redmine-API-Key: d6333d4a04012a730768444271f8ca06482dae87" https://secure.xorail.net/redmine/issues.json --data @-</v>
      </c>
      <c r="AJ187" s="48"/>
      <c r="AK187" s="48"/>
      <c r="AL187" s="48"/>
      <c r="AM187" s="158" t="str">
        <f t="shared" si="53"/>
        <v>start /low /b %USERPROFILE%\Documents\GitHub\eaglep3\Utilities\DownloadLogsFromS3.py --loco 4004 --day 2017-02-05</v>
      </c>
      <c r="AN187" s="167" t="str">
        <f>"grep -SE -B400 ""CHR.+\|PRM\|1\|D.+(SWITCH|SIGNAL).+UNKNOWN"" "&amp;search_path&amp;"\RTDC"&amp;B187&amp;"\*"&amp;B187&amp;"*"&amp;TEXT(AVERAGE(F187,I187)-utc_offset/24,"YYYYMMDD")&amp;"* | grep -SE ""(Enforcement Action)|(\[TIMEOUT)|(CHR.+\|PRM\|1\|D.+(SWITCH|SIGNAL).+UNKNOWN)"" - &gt;&gt; "&amp;TEXT(Variables!$A$2,"YYYY-MM-DD")&amp;"-UncaughtWiMAX.txt"</f>
        <v>grep -SE -B400 "CHR.+\|PRM\|1\|D.+(SWITCH|SIGNAL).+UNKNOWN" "%USERPROFILE%\AppData\Local\Temp\OnboardLogs"\RTDC4004\*4004*20170206* | grep -SE "(Enforcement Action)|(\[TIMEOUT)|(CHR.+\|PRM\|1\|D.+(SWITCH|SIGNAL).+UNKNOWN)" - &gt;&gt; 2017-02-05-UncaughtWiMAX.txt</v>
      </c>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spans="1:91" x14ac:dyDescent="0.25">
      <c r="A188" s="33" t="s">
        <v>719</v>
      </c>
      <c r="B188" s="7">
        <v>4003</v>
      </c>
      <c r="C188" s="21" t="s">
        <v>193</v>
      </c>
      <c r="D188" s="21" t="s">
        <v>818</v>
      </c>
      <c r="E188" s="13">
        <v>42771.887627314813</v>
      </c>
      <c r="F188" s="13">
        <v>42771.889872685184</v>
      </c>
      <c r="G188" s="7">
        <v>1</v>
      </c>
      <c r="H188" s="21" t="s">
        <v>821</v>
      </c>
      <c r="I188" s="13">
        <v>42771.898958333331</v>
      </c>
      <c r="J188" s="7">
        <v>0</v>
      </c>
      <c r="K188" s="98" t="str">
        <f t="shared" si="54"/>
        <v>4003/4004</v>
      </c>
      <c r="L188" s="21" t="str">
        <f>VLOOKUP(A188,'Trips&amp;Operators'!$C$1:$G$99999,5,FALSE)</f>
        <v>HELVIE ADAM</v>
      </c>
      <c r="M188" s="6">
        <f t="shared" si="55"/>
        <v>9.0856481474475004E-3</v>
      </c>
      <c r="N188" s="7">
        <f t="shared" si="72"/>
        <v>13.083333332324401</v>
      </c>
      <c r="O188" s="7"/>
      <c r="P188" s="7"/>
      <c r="Q188" s="22"/>
      <c r="R188" s="22"/>
      <c r="S188" s="31">
        <f t="shared" si="56"/>
        <v>1</v>
      </c>
      <c r="T188" s="46" t="str">
        <f t="shared" si="57"/>
        <v>NorthBound</v>
      </c>
      <c r="U188" s="190">
        <f>IF(AG188="EC",COUNTIFS(Variables!$M$2:$M$19,IF(T188="NorthBound","&gt;=","&lt;=")&amp;Y188,Variables!$M$2:$M$19,IF(T188="NorthBound","&lt;=","&gt;=")&amp;Z188),COUNTIFS(Variables!$P$2:$P$19,IF(T188="NorthBound","&gt;=","&lt;=")&amp;Y188,Variables!$P$2:$P$19,IF(T188="NorthBound","&lt;=","&gt;=")&amp;Z188))</f>
        <v>1</v>
      </c>
      <c r="V188" s="191" t="str">
        <f t="shared" si="58"/>
        <v>https://d0f6bd738d7f1b3e5a7ca70fe4ff75f0.us-east-1.aws.found.io/app/kibana#/discover/Steve-Slow-Train-Analysis-(2080s-and-2083s)?_g=(refreshInterval:(display:Off,pause:!f,section:0,value:0),time:(from:'2017-02-05T20:18:11-0700',mode:absolute,to:'2017-02-05T22:34:30-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88" s="192" t="str">
        <f t="shared" si="59"/>
        <v>N</v>
      </c>
      <c r="X188" s="192">
        <f t="shared" si="73"/>
        <v>1</v>
      </c>
      <c r="Y188" s="62">
        <f t="shared" ref="Y188:Y218" si="75">RIGHT(D188,LEN(D188)-4)/10000</f>
        <v>0.1041</v>
      </c>
      <c r="Z188" s="62">
        <f t="shared" si="74"/>
        <v>5.8939000000000004</v>
      </c>
      <c r="AA188" s="62">
        <f t="shared" si="62"/>
        <v>5.7898000000000005</v>
      </c>
      <c r="AB188" s="59" t="e">
        <f>VLOOKUP(A188,Enforcements!$C$7:$K$16,8,0)</f>
        <v>#N/A</v>
      </c>
      <c r="AC188" s="55" t="e">
        <f>VLOOKUP(A188,Enforcements!$C$7:$E$16,3,0)</f>
        <v>#N/A</v>
      </c>
      <c r="AD188" s="56" t="str">
        <f t="shared" si="63"/>
        <v>1831-05</v>
      </c>
      <c r="AE188"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88" s="82" t="str">
        <f t="shared" si="65"/>
        <v>"C:\Program Files (x86)\AstroGrep\AstroGrep.exe" /spath="%USERPROFILE%\AppData\Local\Temp\OnboardLogs" /stypes="app*4003*20170206*" /stext=" 04:.+((SYSTEM_STATE.+slice.+state.+changed )|(ment ac)|(multiple cpu faults)|(system.+state.+changed )|(\[timeout)|(PRM\|1\|D)|(kpr)|(kdp)|(\|lc)|(penalty))" /e /r /s</v>
      </c>
      <c r="AG188" s="1" t="str">
        <f t="shared" si="66"/>
        <v>NW</v>
      </c>
      <c r="AH188" s="86" t="str">
        <f t="shared" si="51"/>
        <v>"%USERPROFILE%\Documents\GitHub\eaglep3\Utilities\RefineRTDCRunTimes.py" --tripid 1831-05 --locoid 4003 --swversion DE.1.0.8.0 --startMP 204:1041 --initTime 2017-02-05T21:18:11 --startdatetime 2017-02-05T21:21:25 --delay 1 --endMP 300:58939 --enddatetime 2017-02-05T21:34:30 --enforcementcount 0 &gt;&gt;C:\Users\stu\Documents\GitHub\eaglep3-reporting\EC\2017-02-05-refined-times.txt</v>
      </c>
      <c r="AI188" s="108" t="str">
        <f t="shared" si="52"/>
        <v>echo {"issue":{"subject":"","project_id":79,"tracker_id":40,"status_id":1,"priority_id":2,"assigned_to_id":23,"start_date":"2017-02-05","description":"","custom_fields":[{"id":1,"name":"Subdivision","value":"NW"},{"id":4,"name":"Milepost","value":"5.8939"},{"id":17,"name":"Train ID","value":"1831-05"},{"id":16,"name":"Locomotive ID","value":"4003"},{"id":130,"name":"Impact","value":""},{"id":150,"name":"Time of Event (Mountain Time)","value":"21:34:30"},{"id":151,"name":"Denver Issue ID","value":""},{"id":178,"name":"Operational Impact","value":"Yes"},{"id":179,"name":"Denver Segment Assigned","value":""}]}} | curl -X POST -H "Content-Type: application/json" -H "X-Redmine-API-Key: d6333d4a04012a730768444271f8ca06482dae87" https://secure.xorail.net/redmine/issues.json --data @-</v>
      </c>
      <c r="AJ188" s="48"/>
      <c r="AK188" s="48"/>
      <c r="AL188" s="48"/>
      <c r="AM188" s="158" t="str">
        <f t="shared" si="53"/>
        <v>start /low /b %USERPROFILE%\Documents\GitHub\eaglep3\Utilities\DownloadLogsFromS3.py --loco 4003 --day 2017-02-05</v>
      </c>
      <c r="AN188" s="167" t="str">
        <f>"grep -SE -B400 ""CHR.+\|PRM\|1\|D.+(SWITCH|SIGNAL).+UNKNOWN"" "&amp;search_path&amp;"\RTDC"&amp;B188&amp;"\*"&amp;B188&amp;"*"&amp;TEXT(AVERAGE(F188,I188)-utc_offset/24,"YYYYMMDD")&amp;"* | grep -SE ""(Enforcement Action)|(\[TIMEOUT)|(CHR.+\|PRM\|1\|D.+(SWITCH|SIGNAL).+UNKNOWN)"" - &gt;&gt; "&amp;TEXT(Variables!$A$2,"YYYY-MM-DD")&amp;"-UncaughtWiMAX.txt"</f>
        <v>grep -SE -B400 "CHR.+\|PRM\|1\|D.+(SWITCH|SIGNAL).+UNKNOWN" "%USERPROFILE%\AppData\Local\Temp\OnboardLogs"\RTDC4003\*4003*20170206* | grep -SE "(Enforcement Action)|(\[TIMEOUT)|(CHR.+\|PRM\|1\|D.+(SWITCH|SIGNAL).+UNKNOWN)" - &gt;&gt; 2017-02-05-UncaughtWiMAX.txt</v>
      </c>
    </row>
    <row r="189" spans="1:91" s="20" customFormat="1" x14ac:dyDescent="0.25">
      <c r="A189" s="33" t="s">
        <v>721</v>
      </c>
      <c r="B189" s="7">
        <v>4004</v>
      </c>
      <c r="C189" s="21" t="s">
        <v>193</v>
      </c>
      <c r="D189" s="21" t="s">
        <v>371</v>
      </c>
      <c r="E189" s="13">
        <v>42771.900208333333</v>
      </c>
      <c r="F189" s="13">
        <v>42771.902951388889</v>
      </c>
      <c r="G189" s="7">
        <v>1</v>
      </c>
      <c r="H189" s="21" t="s">
        <v>822</v>
      </c>
      <c r="I189" s="13">
        <v>42771.912789351853</v>
      </c>
      <c r="J189" s="7">
        <v>0</v>
      </c>
      <c r="K189" s="98" t="str">
        <f t="shared" si="54"/>
        <v>4003/4004</v>
      </c>
      <c r="L189" s="21" t="str">
        <f>VLOOKUP(A189,'Trips&amp;Operators'!$C$1:$G$99999,5,FALSE)</f>
        <v>HELVIE ADAM</v>
      </c>
      <c r="M189" s="6">
        <f t="shared" si="55"/>
        <v>9.8379629635019228E-3</v>
      </c>
      <c r="N189" s="7">
        <f t="shared" ref="N189:N218" si="76">24*60*SUM($M189:$M189)</f>
        <v>14.166666667442769</v>
      </c>
      <c r="O189" s="7"/>
      <c r="P189" s="7"/>
      <c r="Q189" s="22"/>
      <c r="R189" s="22"/>
      <c r="S189" s="31">
        <f t="shared" si="56"/>
        <v>1</v>
      </c>
      <c r="T189" s="46" t="str">
        <f t="shared" si="57"/>
        <v>Southbound</v>
      </c>
      <c r="U189" s="190">
        <f>IF(AG189="EC",COUNTIFS(Variables!$M$2:$M$19,IF(T189="NorthBound","&gt;=","&lt;=")&amp;Y189,Variables!$M$2:$M$19,IF(T189="NorthBound","&lt;=","&gt;=")&amp;Z189),COUNTIFS(Variables!$P$2:$P$19,IF(T189="NorthBound","&gt;=","&lt;=")&amp;Y189,Variables!$P$2:$P$19,IF(T189="NorthBound","&lt;=","&gt;=")&amp;Z189))</f>
        <v>1</v>
      </c>
      <c r="V189" s="191" t="str">
        <f t="shared" si="58"/>
        <v>https://d0f6bd738d7f1b3e5a7ca70fe4ff75f0.us-east-1.aws.found.io/app/kibana#/discover/Steve-Slow-Train-Analysis-(2080s-and-2083s)?_g=(refreshInterval:(display:Off,pause:!f,section:0,value:0),time:(from:'2017-02-05T20:36:18-0700',mode:absolute,to:'2017-02-05T22:54: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89" s="192" t="str">
        <f t="shared" si="59"/>
        <v>N</v>
      </c>
      <c r="X189" s="192">
        <f t="shared" si="73"/>
        <v>1</v>
      </c>
      <c r="Y189" s="62">
        <f t="shared" si="75"/>
        <v>5.8623000000000003</v>
      </c>
      <c r="Z189" s="62">
        <f t="shared" si="74"/>
        <v>7.5899999999999995E-2</v>
      </c>
      <c r="AA189" s="62">
        <f t="shared" si="62"/>
        <v>5.7864000000000004</v>
      </c>
      <c r="AB189" s="59" t="e">
        <f>VLOOKUP(A189,Enforcements!$C$7:$K$16,8,0)</f>
        <v>#N/A</v>
      </c>
      <c r="AC189" s="55" t="e">
        <f>VLOOKUP(A189,Enforcements!$C$7:$E$16,3,0)</f>
        <v>#N/A</v>
      </c>
      <c r="AD189" s="56" t="str">
        <f t="shared" si="63"/>
        <v>1832-05</v>
      </c>
      <c r="AE189"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89" s="82" t="str">
        <f t="shared" si="65"/>
        <v>"C:\Program Files (x86)\AstroGrep\AstroGrep.exe" /spath="%USERPROFILE%\AppData\Local\Temp\OnboardLogs" /stypes="app*4004*20170206*" /stext=" 04:.+((SYSTEM_STATE.+slice.+state.+changed )|(ment ac)|(multiple cpu faults)|(system.+state.+changed )|(\[timeout)|(PRM\|1\|D)|(kpr)|(kdp)|(\|lc)|(penalty))" /e /r /s</v>
      </c>
      <c r="AG189" s="1" t="str">
        <f t="shared" si="66"/>
        <v>NW</v>
      </c>
      <c r="AH189" s="86" t="str">
        <f t="shared" si="51"/>
        <v>"%USERPROFILE%\Documents\GitHub\eaglep3\Utilities\RefineRTDCRunTimes.py" --tripid 1832-05 --locoid 4004 --swversion DE.1.0.8.0 --startMP 300:58623 --initTime 2017-02-05T21:36:18 --startdatetime 2017-02-05T21:40:15 --delay 1 --endMP 204:759 --enddatetime 2017-02-05T21:54:25 --enforcementcount 0 &gt;&gt;C:\Users\stu\Documents\GitHub\eaglep3-reporting\EC\2017-02-05-refined-times.txt</v>
      </c>
      <c r="AI189" s="108" t="str">
        <f t="shared" si="52"/>
        <v>echo {"issue":{"subject":"","project_id":79,"tracker_id":40,"status_id":1,"priority_id":2,"assigned_to_id":23,"start_date":"2017-02-05","description":"","custom_fields":[{"id":1,"name":"Subdivision","value":"NW"},{"id":4,"name":"Milepost","value":"0.0759"},{"id":17,"name":"Train ID","value":"1832-05"},{"id":16,"name":"Locomotive ID","value":"4004"},{"id":130,"name":"Impact","value":""},{"id":150,"name":"Time of Event (Mountain Time)","value":"21:54:25"},{"id":151,"name":"Denver Issue ID","value":""},{"id":178,"name":"Operational Impact","value":"Yes"},{"id":179,"name":"Denver Segment Assigned","value":""}]}} | curl -X POST -H "Content-Type: application/json" -H "X-Redmine-API-Key: d6333d4a04012a730768444271f8ca06482dae87" https://secure.xorail.net/redmine/issues.json --data @-</v>
      </c>
      <c r="AJ189" s="48"/>
      <c r="AK189" s="48"/>
      <c r="AL189" s="48"/>
      <c r="AM189" s="158" t="str">
        <f t="shared" si="53"/>
        <v>start /low /b %USERPROFILE%\Documents\GitHub\eaglep3\Utilities\DownloadLogsFromS3.py --loco 4004 --day 2017-02-05</v>
      </c>
      <c r="AN189" s="167" t="str">
        <f>"grep -SE -B400 ""CHR.+\|PRM\|1\|D.+(SWITCH|SIGNAL).+UNKNOWN"" "&amp;search_path&amp;"\RTDC"&amp;B189&amp;"\*"&amp;B189&amp;"*"&amp;TEXT(AVERAGE(F189,I189)-utc_offset/24,"YYYYMMDD")&amp;"* | grep -SE ""(Enforcement Action)|(\[TIMEOUT)|(CHR.+\|PRM\|1\|D.+(SWITCH|SIGNAL).+UNKNOWN)"" - &gt;&gt; "&amp;TEXT(Variables!$A$2,"YYYY-MM-DD")&amp;"-UncaughtWiMAX.txt"</f>
        <v>grep -SE -B400 "CHR.+\|PRM\|1\|D.+(SWITCH|SIGNAL).+UNKNOWN" "%USERPROFILE%\AppData\Local\Temp\OnboardLogs"\RTDC4004\*4004*20170206* | grep -SE "(Enforcement Action)|(\[TIMEOUT)|(CHR.+\|PRM\|1\|D.+(SWITCH|SIGNAL).+UNKNOWN)" - &gt;&gt; 2017-02-05-UncaughtWiMAX.txt</v>
      </c>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spans="1:91" x14ac:dyDescent="0.25">
      <c r="A190" s="33" t="s">
        <v>725</v>
      </c>
      <c r="B190" s="7">
        <v>4003</v>
      </c>
      <c r="C190" s="21" t="s">
        <v>193</v>
      </c>
      <c r="D190" s="21" t="s">
        <v>823</v>
      </c>
      <c r="E190" s="13">
        <v>42771.926527777781</v>
      </c>
      <c r="F190" s="13">
        <v>42771.931435185186</v>
      </c>
      <c r="G190" s="7">
        <v>1</v>
      </c>
      <c r="H190" s="21" t="s">
        <v>821</v>
      </c>
      <c r="I190" s="13">
        <v>42771.940509259257</v>
      </c>
      <c r="J190" s="7">
        <v>0</v>
      </c>
      <c r="K190" s="98" t="str">
        <f t="shared" si="54"/>
        <v>4003/4004</v>
      </c>
      <c r="L190" s="21" t="str">
        <f>VLOOKUP(A190,'Trips&amp;Operators'!$C$1:$G$99999,5,FALSE)</f>
        <v>HELVIE ADAM</v>
      </c>
      <c r="M190" s="6">
        <f t="shared" si="55"/>
        <v>9.074074070667848E-3</v>
      </c>
      <c r="N190" s="7">
        <f t="shared" si="76"/>
        <v>13.066666661761701</v>
      </c>
      <c r="O190" s="7"/>
      <c r="P190" s="7"/>
      <c r="Q190" s="22"/>
      <c r="R190" s="22"/>
      <c r="S190" s="31">
        <f t="shared" si="56"/>
        <v>1</v>
      </c>
      <c r="T190" s="46" t="str">
        <f t="shared" si="57"/>
        <v>NorthBound</v>
      </c>
      <c r="U190" s="190">
        <f>IF(AG190="EC",COUNTIFS(Variables!$M$2:$M$19,IF(T190="NorthBound","&gt;=","&lt;=")&amp;Y190,Variables!$M$2:$M$19,IF(T190="NorthBound","&lt;=","&gt;=")&amp;Z190),COUNTIFS(Variables!$P$2:$P$19,IF(T190="NorthBound","&gt;=","&lt;=")&amp;Y190,Variables!$P$2:$P$19,IF(T190="NorthBound","&lt;=","&gt;=")&amp;Z190))</f>
        <v>1</v>
      </c>
      <c r="V190" s="191" t="str">
        <f t="shared" si="58"/>
        <v>https://d0f6bd738d7f1b3e5a7ca70fe4ff75f0.us-east-1.aws.found.io/app/kibana#/discover/Steve-Slow-Train-Analysis-(2080s-and-2083s)?_g=(refreshInterval:(display:Off,pause:!f,section:0,value:0),time:(from:'2017-02-05T21:14:12-0700',mode:absolute,to:'2017-02-05T23:34:20-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90" s="192" t="str">
        <f t="shared" si="59"/>
        <v>N</v>
      </c>
      <c r="X190" s="192">
        <f t="shared" si="73"/>
        <v>1</v>
      </c>
      <c r="Y190" s="62">
        <f t="shared" si="75"/>
        <v>0.1051</v>
      </c>
      <c r="Z190" s="62">
        <f t="shared" si="74"/>
        <v>5.8939000000000004</v>
      </c>
      <c r="AA190" s="62">
        <f t="shared" si="62"/>
        <v>5.7888000000000002</v>
      </c>
      <c r="AB190" s="59" t="e">
        <f>VLOOKUP(A190,Enforcements!$C$7:$K$16,8,0)</f>
        <v>#N/A</v>
      </c>
      <c r="AC190" s="55" t="e">
        <f>VLOOKUP(A190,Enforcements!$C$7:$E$16,3,0)</f>
        <v>#N/A</v>
      </c>
      <c r="AD190" s="56" t="str">
        <f t="shared" si="63"/>
        <v>1833-05</v>
      </c>
      <c r="AE190"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90" s="82" t="str">
        <f t="shared" si="65"/>
        <v>"C:\Program Files (x86)\AstroGrep\AstroGrep.exe" /spath="%USERPROFILE%\AppData\Local\Temp\OnboardLogs" /stypes="app*4003*20170206*" /stext=" 05:.+((SYSTEM_STATE.+slice.+state.+changed )|(ment ac)|(multiple cpu faults)|(system.+state.+changed )|(\[timeout)|(PRM\|1\|D)|(kpr)|(kdp)|(\|lc)|(penalty))" /e /r /s</v>
      </c>
      <c r="AG190" s="1" t="str">
        <f t="shared" si="66"/>
        <v>NW</v>
      </c>
      <c r="AH190" s="86" t="str">
        <f t="shared" si="51"/>
        <v>"%USERPROFILE%\Documents\GitHub\eaglep3\Utilities\RefineRTDCRunTimes.py" --tripid 1833-05 --locoid 4003 --swversion DE.1.0.8.0 --startMP 204:1051 --initTime 2017-02-05T22:14:12 --startdatetime 2017-02-05T22:21:16 --delay 1 --endMP 300:58939 --enddatetime 2017-02-05T22:34:20 --enforcementcount 0 &gt;&gt;C:\Users\stu\Documents\GitHub\eaglep3-reporting\EC\2017-02-05-refined-times.txt</v>
      </c>
      <c r="AI190" s="108" t="str">
        <f t="shared" si="52"/>
        <v>echo {"issue":{"subject":"","project_id":79,"tracker_id":40,"status_id":1,"priority_id":2,"assigned_to_id":23,"start_date":"2017-02-05","description":"","custom_fields":[{"id":1,"name":"Subdivision","value":"NW"},{"id":4,"name":"Milepost","value":"5.8939"},{"id":17,"name":"Train ID","value":"1833-05"},{"id":16,"name":"Locomotive ID","value":"4003"},{"id":130,"name":"Impact","value":""},{"id":150,"name":"Time of Event (Mountain Time)","value":"22:34:20"},{"id":151,"name":"Denver Issue ID","value":""},{"id":178,"name":"Operational Impact","value":"Yes"},{"id":179,"name":"Denver Segment Assigned","value":""}]}} | curl -X POST -H "Content-Type: application/json" -H "X-Redmine-API-Key: d6333d4a04012a730768444271f8ca06482dae87" https://secure.xorail.net/redmine/issues.json --data @-</v>
      </c>
      <c r="AJ190" s="48"/>
      <c r="AK190" s="48"/>
      <c r="AL190" s="48"/>
      <c r="AM190" s="158" t="str">
        <f t="shared" si="53"/>
        <v>start /low /b %USERPROFILE%\Documents\GitHub\eaglep3\Utilities\DownloadLogsFromS3.py --loco 4003 --day 2017-02-05</v>
      </c>
      <c r="AN190" s="167" t="str">
        <f>"grep -SE -B400 ""CHR.+\|PRM\|1\|D.+(SWITCH|SIGNAL).+UNKNOWN"" "&amp;search_path&amp;"\RTDC"&amp;B190&amp;"\*"&amp;B190&amp;"*"&amp;TEXT(AVERAGE(F190,I190)-utc_offset/24,"YYYYMMDD")&amp;"* | grep -SE ""(Enforcement Action)|(\[TIMEOUT)|(CHR.+\|PRM\|1\|D.+(SWITCH|SIGNAL).+UNKNOWN)"" - &gt;&gt; "&amp;TEXT(Variables!$A$2,"YYYY-MM-DD")&amp;"-UncaughtWiMAX.txt"</f>
        <v>grep -SE -B400 "CHR.+\|PRM\|1\|D.+(SWITCH|SIGNAL).+UNKNOWN" "%USERPROFILE%\AppData\Local\Temp\OnboardLogs"\RTDC4003\*4003*20170206* | grep -SE "(Enforcement Action)|(\[TIMEOUT)|(CHR.+\|PRM\|1\|D.+(SWITCH|SIGNAL).+UNKNOWN)" - &gt;&gt; 2017-02-05-UncaughtWiMAX.txt</v>
      </c>
    </row>
    <row r="191" spans="1:91" x14ac:dyDescent="0.25">
      <c r="A191" s="33" t="s">
        <v>702</v>
      </c>
      <c r="B191" s="7">
        <v>4009</v>
      </c>
      <c r="C191" s="21" t="s">
        <v>193</v>
      </c>
      <c r="D191" s="21" t="s">
        <v>778</v>
      </c>
      <c r="E191" s="13">
        <v>42771.798981481479</v>
      </c>
      <c r="F191" s="13">
        <v>25568.708333333332</v>
      </c>
      <c r="G191" s="7">
        <v>1</v>
      </c>
      <c r="H191" s="21" t="s">
        <v>857</v>
      </c>
      <c r="I191" s="13">
        <v>25568.708333333332</v>
      </c>
      <c r="J191" s="7">
        <v>0</v>
      </c>
      <c r="K191" s="98" t="str">
        <f t="shared" si="54"/>
        <v>4009/4010</v>
      </c>
      <c r="L191" s="21" t="str">
        <f>VLOOKUP(A191,'Trips&amp;Operators'!$C$1:$G$99999,5,FALSE)</f>
        <v>CRAYTON QUNTRELL</v>
      </c>
      <c r="M191" s="6">
        <f t="shared" si="55"/>
        <v>0</v>
      </c>
      <c r="N191" s="7">
        <f t="shared" si="76"/>
        <v>0</v>
      </c>
      <c r="O191" s="7"/>
      <c r="P191" s="7"/>
      <c r="Q191" s="22"/>
      <c r="R191" s="22"/>
      <c r="S191" s="31">
        <f t="shared" si="56"/>
        <v>1</v>
      </c>
      <c r="T191" s="46" t="str">
        <f t="shared" si="57"/>
        <v>NorthBound</v>
      </c>
      <c r="U191" s="190">
        <f>IF(AG191="EC",COUNTIFS(Variables!$M$2:$M$19,IF(T191="NorthBound","&gt;=","&lt;=")&amp;Y191,Variables!$M$2:$M$19,IF(T191="NorthBound","&lt;=","&gt;=")&amp;Z191),COUNTIFS(Variables!$P$2:$P$19,IF(T191="NorthBound","&gt;=","&lt;=")&amp;Y191,Variables!$P$2:$P$19,IF(T191="NorthBound","&lt;=","&gt;=")&amp;Z191))</f>
        <v>1</v>
      </c>
      <c r="V191" s="191" t="str">
        <f t="shared" si="58"/>
        <v>https://d0f6bd738d7f1b3e5a7ca70fe4ff75f0.us-east-1.aws.found.io/app/kibana#/discover/Steve-Slow-Train-Analysis-(2080s-and-2083s)?_g=(refreshInterval:(display:Off,pause:!f,section:0,value:0),time:(from:'2017-02-05T18:10:32-0700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91" s="192" t="str">
        <f t="shared" si="59"/>
        <v>Y</v>
      </c>
      <c r="X191" s="192">
        <f t="shared" si="73"/>
        <v>-1528</v>
      </c>
      <c r="Y191" s="62">
        <f t="shared" si="75"/>
        <v>4.9299999999999997E-2</v>
      </c>
      <c r="Z191" s="62">
        <f t="shared" si="74"/>
        <v>2.3306</v>
      </c>
      <c r="AA191" s="62">
        <f t="shared" si="62"/>
        <v>2.2812999999999999</v>
      </c>
      <c r="AB191" s="59" t="e">
        <f>VLOOKUP(A191,Enforcements!$C$7:$K$16,8,0)</f>
        <v>#N/A</v>
      </c>
      <c r="AC191" s="55" t="e">
        <f>VLOOKUP(A191,Enforcements!$C$7:$E$16,3,0)</f>
        <v>#N/A</v>
      </c>
      <c r="AD191" s="56" t="str">
        <f t="shared" si="63"/>
        <v>0305-05</v>
      </c>
      <c r="AE191" s="85" t="str">
        <f t="shared" si="64"/>
        <v>aws s3 cp s3://rtdc.mdm.uploadarchive.raw/RTDC4009/ "%USERPROFILE%\AppData\Local\Temp\OnboardLogs"\RTDC4009\1969-12-31 --exclude "*" --recursive --include "*19691231*" &amp; "%USERPROFILE%\Documents\GitHub\mrs-test-scripts\Headless Mode &amp; Sideloading\WalkAndUnGZ.bat" "%USERPROFILE%\AppData\Local\Temp\OnboardLogs"\RTDC4009\1969-12-31 &amp; aws s3 cp s3://rtdc.mdm.uploadarchive.raw/RTDC4009/ "%USERPROFILE%\AppData\Local\Temp\OnboardLogs"\RTDC4009\1970-01-01 --exclude "*" --recursive --include "*19700101*" &amp; "%USERPROFILE%\Documents\GitHub\mrs-test-scripts\Headless Mode &amp; Sideloading\WalkAndUnGZ.bat" "%USERPROFILE%\AppData\Local\Temp\OnboardLogs"\RTDC4009\1970-01-01</v>
      </c>
      <c r="AF191" s="82" t="str">
        <f t="shared" si="65"/>
        <v>"C:\Program Files (x86)\AstroGrep\AstroGrep.exe" /spath="%USERPROFILE%\AppData\Local\Temp\OnboardLogs" /stypes="app*4009*19700101*" /stext=" 00:.+((SYSTEM_STATE.+slice.+state.+changed )|(ment ac)|(multiple cpu faults)|(system.+state.+changed )|(\[timeout)|(PRM\|1\|D)|(kpr)|(kdp)|(\|lc)|(penalty))" /e /r /s</v>
      </c>
      <c r="AG191" s="1" t="str">
        <f t="shared" si="66"/>
        <v>Other</v>
      </c>
      <c r="AH191" s="86" t="str">
        <f t="shared" si="51"/>
        <v>"%USERPROFILE%\Documents\GitHub\eaglep3\Utilities\RefineRTDCRunTimes.py" --tripid 305-05 --locoid 4009 --swversion DE.1.0.8.0 --startMP 204:493 --initTime 2017-02-05T19:10:32 --startdatetime 1969-12-31T17:00:00 --delay 1 --endMP 300:23306 --enddatetime 1969-12-31T17:00:00 --enforcementcount 0 &gt;&gt;C:\Users\stu\Documents\GitHub\eaglep3-reporting\EC\2017-02-05-refined-times.txt</v>
      </c>
      <c r="AI191" s="108" t="str">
        <f t="shared" si="52"/>
        <v>echo {"issue":{"subject":"","project_id":79,"tracker_id":40,"status_id":1,"priority_id":2,"assigned_to_id":23,"start_date":"1969-12-31","description":"","custom_fields":[{"id":1,"name":"Subdivision","value":"Other"},{"id":4,"name":"Milepost","value":"2.3306"},{"id":17,"name":"Train ID","value":"305-05"},{"id":16,"name":"Locomotive ID","value":"4009"},{"id":130,"name":"Impact","value":""},{"id":150,"name":"Time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191" s="48"/>
      <c r="AK191" s="48"/>
      <c r="AL191" s="48"/>
      <c r="AM191" s="158" t="str">
        <f t="shared" si="53"/>
        <v>start /low /b %USERPROFILE%\Documents\GitHub\eaglep3\Utilities\DownloadLogsFromS3.py --loco 4009 --day 1969-12-31</v>
      </c>
      <c r="AN191" s="167" t="str">
        <f>"grep -SE -B400 ""CHR.+\|PRM\|1\|D.+(SWITCH|SIGNAL).+UNKNOWN"" "&amp;search_path&amp;"\RTDC"&amp;B191&amp;"\*"&amp;B191&amp;"*"&amp;TEXT(AVERAGE(F191,I191)-utc_offset/24,"YYYYMMDD")&amp;"* | grep -SE ""(Enforcement Action)|(\[TIMEOUT)|(CHR.+\|PRM\|1\|D.+(SWITCH|SIGNAL).+UNKNOWN)"" - &gt;&gt; "&amp;TEXT(Variables!$A$2,"YYYY-MM-DD")&amp;"-UncaughtWiMAX.txt"</f>
        <v>grep -SE -B400 "CHR.+\|PRM\|1\|D.+(SWITCH|SIGNAL).+UNKNOWN" "%USERPROFILE%\AppData\Local\Temp\OnboardLogs"\RTDC4009\*4009*19700101* | grep -SE "(Enforcement Action)|(\[TIMEOUT)|(CHR.+\|PRM\|1\|D.+(SWITCH|SIGNAL).+UNKNOWN)" - &gt;&gt; 2017-02-05-UncaughtWiMAX.txt</v>
      </c>
    </row>
    <row r="192" spans="1:91" x14ac:dyDescent="0.25">
      <c r="A192" s="33" t="s">
        <v>541</v>
      </c>
      <c r="B192" s="7">
        <v>4037</v>
      </c>
      <c r="C192" s="21" t="s">
        <v>193</v>
      </c>
      <c r="D192" s="21" t="s">
        <v>858</v>
      </c>
      <c r="E192" s="13">
        <v>42771.166018518517</v>
      </c>
      <c r="F192" s="13">
        <v>42771.167430555557</v>
      </c>
      <c r="G192" s="7">
        <v>1</v>
      </c>
      <c r="H192" s="21" t="s">
        <v>237</v>
      </c>
      <c r="I192" s="13">
        <v>42771.173495370371</v>
      </c>
      <c r="J192" s="7">
        <v>0</v>
      </c>
      <c r="K192" s="98" t="str">
        <f t="shared" si="54"/>
        <v>4037/4038</v>
      </c>
      <c r="L192" s="21" t="str">
        <f>VLOOKUP(A192,'Trips&amp;Operators'!$C$1:$G$99999,5,FALSE)</f>
        <v>BADERTSCHER DIANE</v>
      </c>
      <c r="M192" s="6">
        <f t="shared" si="55"/>
        <v>6.064814813726116E-3</v>
      </c>
      <c r="N192" s="7">
        <f t="shared" si="76"/>
        <v>8.733333331765607</v>
      </c>
      <c r="O192" s="7"/>
      <c r="P192" s="7"/>
      <c r="Q192" s="22"/>
      <c r="R192" s="22"/>
      <c r="S192" s="31">
        <f t="shared" si="56"/>
        <v>1</v>
      </c>
      <c r="T192" s="46" t="str">
        <f t="shared" si="57"/>
        <v>Southbound</v>
      </c>
      <c r="U192" s="190">
        <f>IF(AG192="EC",COUNTIFS(Variables!$M$2:$M$19,IF(T192="NorthBound","&gt;=","&lt;=")&amp;Y192,Variables!$M$2:$M$19,IF(T192="NorthBound","&lt;=","&gt;=")&amp;Z192),COUNTIFS(Variables!$P$2:$P$19,IF(T192="NorthBound","&gt;=","&lt;=")&amp;Y192,Variables!$P$2:$P$19,IF(T192="NorthBound","&lt;=","&gt;=")&amp;Z192))</f>
        <v>1</v>
      </c>
      <c r="V192" s="191" t="str">
        <f t="shared" si="58"/>
        <v>https://d0f6bd738d7f1b3e5a7ca70fe4ff75f0.us-east-1.aws.found.io/app/kibana#/discover/Steve-Slow-Train-Analysis-(2080s-and-2083s)?_g=(refreshInterval:(display:Off,pause:!f,section:0,value:0),time:(from:'2017-02-05T02:59:04-0700',mode:absolute,to:'2017-02-05T05:09:50-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192" s="192" t="str">
        <f t="shared" si="59"/>
        <v>Y</v>
      </c>
      <c r="X192" s="192">
        <f t="shared" si="73"/>
        <v>1</v>
      </c>
      <c r="Y192" s="62">
        <f t="shared" si="75"/>
        <v>2.3062999999999998</v>
      </c>
      <c r="Z192" s="62">
        <f t="shared" si="74"/>
        <v>1.43E-2</v>
      </c>
      <c r="AA192" s="62">
        <f t="shared" si="62"/>
        <v>2.2919999999999998</v>
      </c>
      <c r="AB192" s="59" t="e">
        <f>VLOOKUP(A192,Enforcements!$C$7:$K$16,8,0)</f>
        <v>#N/A</v>
      </c>
      <c r="AC192" s="55" t="e">
        <f>VLOOKUP(A192,Enforcements!$C$7:$E$16,3,0)</f>
        <v>#N/A</v>
      </c>
      <c r="AD192" s="56" t="str">
        <f t="shared" si="63"/>
        <v>0306-05</v>
      </c>
      <c r="AE192" s="85" t="str">
        <f t="shared" si="64"/>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192" s="82" t="str">
        <f t="shared" si="65"/>
        <v>"C:\Program Files (x86)\AstroGrep\AstroGrep.exe" /spath="%USERPROFILE%\AppData\Local\Temp\OnboardLogs" /stypes="app*4037*20170205*" /stext=" 11:.+((SYSTEM_STATE.+slice.+state.+changed )|(ment ac)|(multiple cpu faults)|(system.+state.+changed )|(\[timeout)|(PRM\|1\|D)|(kpr)|(kdp)|(\|lc)|(penalty))" /e /r /s</v>
      </c>
      <c r="AG192" s="1" t="str">
        <f t="shared" si="66"/>
        <v>Other</v>
      </c>
      <c r="AH192" s="86" t="str">
        <f t="shared" si="51"/>
        <v>"%USERPROFILE%\Documents\GitHub\eaglep3\Utilities\RefineRTDCRunTimes.py" --tripid 306-05 --locoid 4037 --swversion DE.1.0.8.0 --startMP 300:23063 --initTime 2017-02-05T03:59:04 --startdatetime 2017-02-05T04:01:06 --delay 1 --endMP 204:143 --enddatetime 2017-02-05T04:09:50 --enforcementcount 0 &gt;&gt;C:\Users\stu\Documents\GitHub\eaglep3-reporting\EC\2017-02-05-refined-times.txt</v>
      </c>
      <c r="AI192" s="108" t="str">
        <f t="shared" si="52"/>
        <v>echo {"issue":{"subject":"","project_id":79,"tracker_id":40,"status_id":1,"priority_id":2,"assigned_to_id":23,"start_date":"2017-02-05","description":"","custom_fields":[{"id":1,"name":"Subdivision","value":"Other"},{"id":4,"name":"Milepost","value":"0.0143"},{"id":17,"name":"Train ID","value":"306-05"},{"id":16,"name":"Locomotive ID","value":"4037"},{"id":130,"name":"Impact","value":""},{"id":150,"name":"Time of Event (Mountain Time)","value":"04:09:50"},{"id":151,"name":"Denver Issue ID","value":""},{"id":178,"name":"Operational Impact","value":"Yes"},{"id":179,"name":"Denver Segment Assigned","value":""}]}} | curl -X POST -H "Content-Type: application/json" -H "X-Redmine-API-Key: d6333d4a04012a730768444271f8ca06482dae87" https://secure.xorail.net/redmine/issues.json --data @-</v>
      </c>
      <c r="AJ192" s="48"/>
      <c r="AK192" s="48"/>
      <c r="AL192" s="48"/>
      <c r="AM192" s="158" t="str">
        <f t="shared" si="53"/>
        <v>start /low /b %USERPROFILE%\Documents\GitHub\eaglep3\Utilities\DownloadLogsFromS3.py --loco 4037 --day 2017-02-05</v>
      </c>
      <c r="AN192" s="167" t="str">
        <f>"grep -SE -B400 ""CHR.+\|PRM\|1\|D.+(SWITCH|SIGNAL).+UNKNOWN"" "&amp;search_path&amp;"\RTDC"&amp;B192&amp;"\*"&amp;B192&amp;"*"&amp;TEXT(AVERAGE(F192,I192)-utc_offset/24,"YYYYMMDD")&amp;"* | grep -SE ""(Enforcement Action)|(\[TIMEOUT)|(CHR.+\|PRM\|1\|D.+(SWITCH|SIGNAL).+UNKNOWN)"" - &gt;&gt; "&amp;TEXT(Variables!$A$2,"YYYY-MM-DD")&amp;"-UncaughtWiMAX.txt"</f>
        <v>grep -SE -B400 "CHR.+\|PRM\|1\|D.+(SWITCH|SIGNAL).+UNKNOWN" "%USERPROFILE%\AppData\Local\Temp\OnboardLogs"\RTDC4037\*4037*20170205* | grep -SE "(Enforcement Action)|(\[TIMEOUT)|(CHR.+\|PRM\|1\|D.+(SWITCH|SIGNAL).+UNKNOWN)" - &gt;&gt; 2017-02-05-UncaughtWiMAX.txt</v>
      </c>
    </row>
    <row r="193" spans="1:91" s="20" customFormat="1" x14ac:dyDescent="0.25">
      <c r="A193" s="33" t="s">
        <v>544</v>
      </c>
      <c r="B193" s="7">
        <v>4021</v>
      </c>
      <c r="C193" s="21" t="s">
        <v>193</v>
      </c>
      <c r="D193" s="21" t="s">
        <v>859</v>
      </c>
      <c r="E193" s="13">
        <v>42771.175416666665</v>
      </c>
      <c r="F193" s="13">
        <v>42771.176689814813</v>
      </c>
      <c r="G193" s="7">
        <v>1</v>
      </c>
      <c r="H193" s="21" t="s">
        <v>225</v>
      </c>
      <c r="I193" s="13">
        <v>42771.182650462964</v>
      </c>
      <c r="J193" s="7">
        <v>0</v>
      </c>
      <c r="K193" s="98" t="str">
        <f t="shared" si="54"/>
        <v>4021/4022</v>
      </c>
      <c r="L193" s="21" t="str">
        <f>VLOOKUP(A193,'Trips&amp;Operators'!$C$1:$G$99999,5,FALSE)</f>
        <v>DAVIS WENDY</v>
      </c>
      <c r="M193" s="6">
        <f t="shared" si="55"/>
        <v>5.9606481518130749E-3</v>
      </c>
      <c r="N193" s="7">
        <f t="shared" si="76"/>
        <v>8.5833333386108279</v>
      </c>
      <c r="O193" s="7"/>
      <c r="P193" s="7"/>
      <c r="Q193" s="22"/>
      <c r="R193" s="22"/>
      <c r="S193" s="31">
        <f t="shared" si="56"/>
        <v>1</v>
      </c>
      <c r="T193" s="46" t="str">
        <f t="shared" si="57"/>
        <v>Southbound</v>
      </c>
      <c r="U193" s="190">
        <f>IF(AG193="EC",COUNTIFS(Variables!$M$2:$M$19,IF(T193="NorthBound","&gt;=","&lt;=")&amp;Y193,Variables!$M$2:$M$19,IF(T193="NorthBound","&lt;=","&gt;=")&amp;Z193),COUNTIFS(Variables!$P$2:$P$19,IF(T193="NorthBound","&gt;=","&lt;=")&amp;Y193,Variables!$P$2:$P$19,IF(T193="NorthBound","&lt;=","&gt;=")&amp;Z193))</f>
        <v>1</v>
      </c>
      <c r="V193" s="191" t="str">
        <f t="shared" si="58"/>
        <v>https://d0f6bd738d7f1b3e5a7ca70fe4ff75f0.us-east-1.aws.found.io/app/kibana#/discover/Steve-Slow-Train-Analysis-(2080s-and-2083s)?_g=(refreshInterval:(display:Off,pause:!f,section:0,value:0),time:(from:'2017-02-05T03:12:36-0700',mode:absolute,to:'2017-02-05T05:23:01-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93" s="192" t="str">
        <f t="shared" si="59"/>
        <v>Y</v>
      </c>
      <c r="X193" s="192">
        <f t="shared" si="73"/>
        <v>2</v>
      </c>
      <c r="Y193" s="62">
        <f t="shared" si="75"/>
        <v>2.3481000000000001</v>
      </c>
      <c r="Z193" s="62">
        <f t="shared" si="74"/>
        <v>1.54E-2</v>
      </c>
      <c r="AA193" s="62">
        <f t="shared" si="62"/>
        <v>2.3327</v>
      </c>
      <c r="AB193" s="59" t="e">
        <f>VLOOKUP(A193,Enforcements!$C$7:$K$16,8,0)</f>
        <v>#N/A</v>
      </c>
      <c r="AC193" s="55" t="e">
        <f>VLOOKUP(A193,Enforcements!$C$7:$E$16,3,0)</f>
        <v>#N/A</v>
      </c>
      <c r="AD193" s="56" t="str">
        <f t="shared" si="63"/>
        <v>0308-05</v>
      </c>
      <c r="AE193" s="85" t="str">
        <f t="shared" si="64"/>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193" s="82" t="str">
        <f t="shared" si="65"/>
        <v>"C:\Program Files (x86)\AstroGrep\AstroGrep.exe" /spath="%USERPROFILE%\AppData\Local\Temp\OnboardLogs" /stypes="app*4021*20170205*" /stext=" 11:.+((SYSTEM_STATE.+slice.+state.+changed )|(ment ac)|(multiple cpu faults)|(system.+state.+changed )|(\[timeout)|(PRM\|1\|D)|(kpr)|(kdp)|(\|lc)|(penalty))" /e /r /s</v>
      </c>
      <c r="AG193" s="1" t="str">
        <f t="shared" si="66"/>
        <v>Other</v>
      </c>
      <c r="AH193" s="86" t="str">
        <f t="shared" si="51"/>
        <v>"%USERPROFILE%\Documents\GitHub\eaglep3\Utilities\RefineRTDCRunTimes.py" --tripid 308-05 --locoid 4021 --swversion DE.1.0.8.0 --startMP 300:23481 --initTime 2017-02-05T04:12:36 --startdatetime 2017-02-05T04:14:26 --delay 1 --endMP 204:154 --enddatetime 2017-02-05T04:23:01 --enforcementcount 0 &gt;&gt;C:\Users\stu\Documents\GitHub\eaglep3-reporting\EC\2017-02-05-refined-times.txt</v>
      </c>
      <c r="AI193" s="108" t="str">
        <f t="shared" si="52"/>
        <v>echo {"issue":{"subject":"","project_id":79,"tracker_id":40,"status_id":1,"priority_id":2,"assigned_to_id":23,"start_date":"2017-02-05","description":"","custom_fields":[{"id":1,"name":"Subdivision","value":"Other"},{"id":4,"name":"Milepost","value":"0.0154"},{"id":17,"name":"Train ID","value":"308-05"},{"id":16,"name":"Locomotive ID","value":"4021"},{"id":130,"name":"Impact","value":""},{"id":150,"name":"Time of Event (Mountain Time)","value":"04:23:01"},{"id":151,"name":"Denver Issue ID","value":""},{"id":178,"name":"Operational Impact","value":"Yes"},{"id":179,"name":"Denver Segment Assigned","value":""}]}} | curl -X POST -H "Content-Type: application/json" -H "X-Redmine-API-Key: d6333d4a04012a730768444271f8ca06482dae87" https://secure.xorail.net/redmine/issues.json --data @-</v>
      </c>
      <c r="AJ193" s="48"/>
      <c r="AK193" s="48"/>
      <c r="AL193" s="48"/>
      <c r="AM193" s="158" t="str">
        <f t="shared" si="53"/>
        <v>start /low /b %USERPROFILE%\Documents\GitHub\eaglep3\Utilities\DownloadLogsFromS3.py --loco 4021 --day 2017-02-05</v>
      </c>
      <c r="AN193" s="167" t="str">
        <f>"grep -SE -B400 ""CHR.+\|PRM\|1\|D.+(SWITCH|SIGNAL).+UNKNOWN"" "&amp;search_path&amp;"\RTDC"&amp;B193&amp;"\*"&amp;B193&amp;"*"&amp;TEXT(AVERAGE(F193,I193)-utc_offset/24,"YYYYMMDD")&amp;"*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spans="1:91" x14ac:dyDescent="0.25">
      <c r="A194" s="33" t="s">
        <v>548</v>
      </c>
      <c r="B194" s="7">
        <v>4001</v>
      </c>
      <c r="C194" s="21" t="s">
        <v>193</v>
      </c>
      <c r="D194" s="21" t="s">
        <v>860</v>
      </c>
      <c r="E194" s="13">
        <v>42771.180763888886</v>
      </c>
      <c r="F194" s="13">
        <v>42771.181631944448</v>
      </c>
      <c r="G194" s="7">
        <v>1</v>
      </c>
      <c r="H194" s="21" t="s">
        <v>213</v>
      </c>
      <c r="I194" s="13">
        <v>42771.190821759257</v>
      </c>
      <c r="J194" s="7">
        <v>0</v>
      </c>
      <c r="K194" s="98" t="str">
        <f t="shared" si="54"/>
        <v>4001/4002</v>
      </c>
      <c r="L194" s="21" t="str">
        <f>VLOOKUP(A194,'Trips&amp;Operators'!$C$1:$G$99999,5,FALSE)</f>
        <v>BERLING GARY</v>
      </c>
      <c r="M194" s="6">
        <f t="shared" si="55"/>
        <v>9.1898148093605414E-3</v>
      </c>
      <c r="N194" s="7">
        <f t="shared" si="76"/>
        <v>13.23333332547918</v>
      </c>
      <c r="O194" s="7"/>
      <c r="P194" s="7"/>
      <c r="Q194" s="22"/>
      <c r="R194" s="22"/>
      <c r="S194" s="31">
        <f t="shared" si="56"/>
        <v>1</v>
      </c>
      <c r="T194" s="46" t="str">
        <f t="shared" si="57"/>
        <v>Southbound</v>
      </c>
      <c r="U194" s="190">
        <f>IF(AG194="EC",COUNTIFS(Variables!$M$2:$M$19,IF(T194="NorthBound","&gt;=","&lt;=")&amp;Y194,Variables!$M$2:$M$19,IF(T194="NorthBound","&lt;=","&gt;=")&amp;Z194),COUNTIFS(Variables!$P$2:$P$19,IF(T194="NorthBound","&gt;=","&lt;=")&amp;Y194,Variables!$P$2:$P$19,IF(T194="NorthBound","&lt;=","&gt;=")&amp;Z194))</f>
        <v>1</v>
      </c>
      <c r="V194" s="191" t="str">
        <f t="shared" si="58"/>
        <v>https://d0f6bd738d7f1b3e5a7ca70fe4ff75f0.us-east-1.aws.found.io/app/kibana#/discover/Steve-Slow-Train-Analysis-(2080s-and-2083s)?_g=(refreshInterval:(display:Off,pause:!f,section:0,value:0),time:(from:'2017-02-05T03:20:18-0700',mode:absolute,to:'2017-02-05T05:34:47-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94" s="192" t="str">
        <f t="shared" si="59"/>
        <v>Y</v>
      </c>
      <c r="X194" s="192">
        <f t="shared" ref="X194:X218" si="77">VALUE(LEFT(AD194,4))-VALUE(LEFT(AD193,4))</f>
        <v>2</v>
      </c>
      <c r="Y194" s="62">
        <f t="shared" si="75"/>
        <v>2.3292000000000002</v>
      </c>
      <c r="Z194" s="62">
        <f t="shared" si="74"/>
        <v>1.5800000000000002E-2</v>
      </c>
      <c r="AA194" s="62">
        <f t="shared" si="62"/>
        <v>2.3134000000000001</v>
      </c>
      <c r="AB194" s="59" t="e">
        <f>VLOOKUP(A194,Enforcements!$C$7:$K$16,8,0)</f>
        <v>#N/A</v>
      </c>
      <c r="AC194" s="55" t="e">
        <f>VLOOKUP(A194,Enforcements!$C$7:$E$16,3,0)</f>
        <v>#N/A</v>
      </c>
      <c r="AD194" s="56" t="str">
        <f t="shared" si="63"/>
        <v>0310-05</v>
      </c>
      <c r="AE194" s="85" t="str">
        <f t="shared" si="64"/>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194" s="82" t="str">
        <f t="shared" si="65"/>
        <v>"C:\Program Files (x86)\AstroGrep\AstroGrep.exe" /spath="%USERPROFILE%\AppData\Local\Temp\OnboardLogs" /stypes="app*4001*20170205*" /stext=" 11:.+((SYSTEM_STATE.+slice.+state.+changed )|(ment ac)|(multiple cpu faults)|(system.+state.+changed )|(\[timeout)|(PRM\|1\|D)|(kpr)|(kdp)|(\|lc)|(penalty))" /e /r /s</v>
      </c>
      <c r="AG194" s="1" t="str">
        <f t="shared" si="66"/>
        <v>Other</v>
      </c>
      <c r="AH194" s="86" t="str">
        <f t="shared" si="51"/>
        <v>"%USERPROFILE%\Documents\GitHub\eaglep3\Utilities\RefineRTDCRunTimes.py" --tripid 310-05 --locoid 4001 --swversion DE.1.0.8.0 --startMP 300:23292 --initTime 2017-02-05T04:20:18 --startdatetime 2017-02-05T04:21:33 --delay 1 --endMP 204:158 --enddatetime 2017-02-05T04:34:47 --enforcementcount 0 &gt;&gt;C:\Users\stu\Documents\GitHub\eaglep3-reporting\EC\2017-02-05-refined-times.txt</v>
      </c>
      <c r="AI194" s="108" t="str">
        <f t="shared" si="52"/>
        <v>echo {"issue":{"subject":"","project_id":79,"tracker_id":40,"status_id":1,"priority_id":2,"assigned_to_id":23,"start_date":"2017-02-05","description":"","custom_fields":[{"id":1,"name":"Subdivision","value":"Other"},{"id":4,"name":"Milepost","value":"0.0158"},{"id":17,"name":"Train ID","value":"310-05"},{"id":16,"name":"Locomotive ID","value":"4001"},{"id":130,"name":"Impact","value":""},{"id":150,"name":"Time of Event (Mountain Time)","value":"04:34:47"},{"id":151,"name":"Denver Issue ID","value":""},{"id":178,"name":"Operational Impact","value":"Yes"},{"id":179,"name":"Denver Segment Assigned","value":""}]}} | curl -X POST -H "Content-Type: application/json" -H "X-Redmine-API-Key: d6333d4a04012a730768444271f8ca06482dae87" https://secure.xorail.net/redmine/issues.json --data @-</v>
      </c>
      <c r="AJ194" s="48"/>
      <c r="AK194" s="48"/>
      <c r="AL194" s="48"/>
      <c r="AM194" s="158" t="str">
        <f t="shared" si="53"/>
        <v>start /low /b %USERPROFILE%\Documents\GitHub\eaglep3\Utilities\DownloadLogsFromS3.py --loco 4001 --day 2017-02-05</v>
      </c>
      <c r="AN194" s="167" t="str">
        <f>"grep -SE -B400 ""CHR.+\|PRM\|1\|D.+(SWITCH|SIGNAL).+UNKNOWN"" "&amp;search_path&amp;"\RTDC"&amp;B194&amp;"\*"&amp;B194&amp;"*"&amp;TEXT(AVERAGE(F194,I194)-utc_offset/24,"YYYYMMDD")&amp;"*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row>
    <row r="195" spans="1:91" s="20" customFormat="1" x14ac:dyDescent="0.25">
      <c r="A195" s="33" t="s">
        <v>736</v>
      </c>
      <c r="B195" s="7">
        <v>4031</v>
      </c>
      <c r="C195" s="21" t="s">
        <v>193</v>
      </c>
      <c r="D195" s="21" t="s">
        <v>226</v>
      </c>
      <c r="E195" s="13">
        <v>42772.040289351855</v>
      </c>
      <c r="F195" s="13">
        <v>25568.708333333332</v>
      </c>
      <c r="G195" s="7">
        <v>2</v>
      </c>
      <c r="H195" s="21" t="s">
        <v>419</v>
      </c>
      <c r="I195" s="13">
        <v>25568.708333333332</v>
      </c>
      <c r="J195" s="7">
        <v>0</v>
      </c>
      <c r="K195" s="98" t="str">
        <f t="shared" si="54"/>
        <v>4031/4032</v>
      </c>
      <c r="L195" s="21" t="str">
        <f>VLOOKUP(A195,'Trips&amp;Operators'!$C$1:$G$99999,5,FALSE)</f>
        <v>MAGEE KENYA</v>
      </c>
      <c r="M195" s="6">
        <f t="shared" si="55"/>
        <v>0</v>
      </c>
      <c r="N195" s="7">
        <f t="shared" si="76"/>
        <v>0</v>
      </c>
      <c r="O195" s="7"/>
      <c r="P195" s="7"/>
      <c r="Q195" s="22"/>
      <c r="R195" s="22"/>
      <c r="S195" s="31">
        <f t="shared" si="56"/>
        <v>1</v>
      </c>
      <c r="T195" s="46" t="str">
        <f t="shared" si="57"/>
        <v>NorthBound</v>
      </c>
      <c r="U195" s="190">
        <f>IF(AG195="EC",COUNTIFS(Variables!$M$2:$M$19,IF(T195="NorthBound","&gt;=","&lt;=")&amp;Y195,Variables!$M$2:$M$19,IF(T195="NorthBound","&lt;=","&gt;=")&amp;Z195),COUNTIFS(Variables!$P$2:$P$19,IF(T195="NorthBound","&gt;=","&lt;=")&amp;Y195,Variables!$P$2:$P$19,IF(T195="NorthBound","&lt;=","&gt;=")&amp;Z195))</f>
        <v>1</v>
      </c>
      <c r="V195" s="191" t="str">
        <f t="shared" si="58"/>
        <v>https://d0f6bd738d7f1b3e5a7ca70fe4ff75f0.us-east-1.aws.found.io/app/kibana#/discover/Steve-Slow-Train-Analysis-(2080s-and-2083s)?_g=(refreshInterval:(display:Off,pause:!f,section:0,value:0),time:(from:'2017-02-05T23:58:01-0700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95" s="192" t="str">
        <f t="shared" si="59"/>
        <v>Y</v>
      </c>
      <c r="X195" s="192">
        <f t="shared" si="77"/>
        <v>1</v>
      </c>
      <c r="Y195" s="62">
        <f t="shared" si="75"/>
        <v>4.58E-2</v>
      </c>
      <c r="Z195" s="62">
        <f t="shared" si="74"/>
        <v>2.3311999999999999</v>
      </c>
      <c r="AA195" s="62">
        <f t="shared" si="62"/>
        <v>2.2854000000000001</v>
      </c>
      <c r="AB195" s="59" t="e">
        <f>VLOOKUP(A195,Enforcements!$C$7:$K$16,8,0)</f>
        <v>#N/A</v>
      </c>
      <c r="AC195" s="55" t="e">
        <f>VLOOKUP(A195,Enforcements!$C$7:$E$16,3,0)</f>
        <v>#N/A</v>
      </c>
      <c r="AD195" s="56" t="str">
        <f t="shared" si="63"/>
        <v>0311-05</v>
      </c>
      <c r="AE195" s="85" t="str">
        <f t="shared" si="64"/>
        <v>aws s3 cp s3://rtdc.mdm.uploadarchive.raw/RTDC4031/ "%USERPROFILE%\AppData\Local\Temp\OnboardLogs"\RTDC4031\1969-12-31 --exclude "*" --recursive --include "*19691231*" &amp; "%USERPROFILE%\Documents\GitHub\mrs-test-scripts\Headless Mode &amp; Sideloading\WalkAndUnGZ.bat" "%USERPROFILE%\AppData\Local\Temp\OnboardLogs"\RTDC4031\1969-12-31 &amp; aws s3 cp s3://rtdc.mdm.uploadarchive.raw/RTDC4031/ "%USERPROFILE%\AppData\Local\Temp\OnboardLogs"\RTDC4031\1970-01-01 --exclude "*" --recursive --include "*19700101*" &amp; "%USERPROFILE%\Documents\GitHub\mrs-test-scripts\Headless Mode &amp; Sideloading\WalkAndUnGZ.bat" "%USERPROFILE%\AppData\Local\Temp\OnboardLogs"\RTDC4031\1970-01-01</v>
      </c>
      <c r="AF195" s="82" t="str">
        <f t="shared" si="65"/>
        <v>"C:\Program Files (x86)\AstroGrep\AstroGrep.exe" /spath="%USERPROFILE%\AppData\Local\Temp\OnboardLogs" /stypes="app*4031*19700101*" /stext=" 00:.+((SYSTEM_STATE.+slice.+state.+changed )|(ment ac)|(multiple cpu faults)|(system.+state.+changed )|(\[timeout)|(PRM\|1\|D)|(kpr)|(kdp)|(\|lc)|(penalty))" /e /r /s</v>
      </c>
      <c r="AG195" s="1" t="str">
        <f t="shared" si="66"/>
        <v>Other</v>
      </c>
      <c r="AH195" s="86" t="str">
        <f t="shared" si="51"/>
        <v>"%USERPROFILE%\Documents\GitHub\eaglep3\Utilities\RefineRTDCRunTimes.py" --tripid 311-05 --locoid 4031 --swversion DE.1.0.8.0 --startMP 204:458 --initTime 2017-02-06T00:58:01 --startdatetime 1969-12-31T17:00:00 --delay 2 --endMP 300:23312 --enddatetime 1969-12-31T17:00:00 --enforcementcount 0 &gt;&gt;C:\Users\stu\Documents\GitHub\eaglep3-reporting\EC\2017-02-05-refined-times.txt</v>
      </c>
      <c r="AI195" s="108" t="str">
        <f t="shared" si="52"/>
        <v>echo {"issue":{"subject":"","project_id":79,"tracker_id":40,"status_id":1,"priority_id":2,"assigned_to_id":23,"start_date":"1969-12-31","description":"","custom_fields":[{"id":1,"name":"Subdivision","value":"Other"},{"id":4,"name":"Milepost","value":"2.3312"},{"id":17,"name":"Train ID","value":"311-05"},{"id":16,"name":"Locomotive ID","value":"4031"},{"id":130,"name":"Impact","value":""},{"id":150,"name":"Time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195" s="48"/>
      <c r="AK195" s="48"/>
      <c r="AL195" s="48"/>
      <c r="AM195" s="158" t="str">
        <f t="shared" si="53"/>
        <v>start /low /b %USERPROFILE%\Documents\GitHub\eaglep3\Utilities\DownloadLogsFromS3.py --loco 4031 --day 1969-12-31</v>
      </c>
      <c r="AN195" s="167" t="str">
        <f>"grep -SE -B400 ""CHR.+\|PRM\|1\|D.+(SWITCH|SIGNAL).+UNKNOWN"" "&amp;search_path&amp;"\RTDC"&amp;B195&amp;"\*"&amp;B195&amp;"*"&amp;TEXT(AVERAGE(F195,I195)-utc_offset/24,"YYYYMMDD")&amp;"* | grep -SE ""(Enforcement Action)|(\[TIMEOUT)|(CHR.+\|PRM\|1\|D.+(SWITCH|SIGNAL).+UNKNOWN)"" - &gt;&gt; "&amp;TEXT(Variables!$A$2,"YYYY-MM-DD")&amp;"-UncaughtWiMAX.txt"</f>
        <v>grep -SE -B400 "CHR.+\|PRM\|1\|D.+(SWITCH|SIGNAL).+UNKNOWN" "%USERPROFILE%\AppData\Local\Temp\OnboardLogs"\RTDC4031\*4031*19700101* | grep -SE "(Enforcement Action)|(\[TIMEOUT)|(CHR.+\|PRM\|1\|D.+(SWITCH|SIGNAL).+UNKNOWN)" - &gt;&gt; 2017-02-05-UncaughtWiMAX.txt</v>
      </c>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spans="1:91" x14ac:dyDescent="0.25">
      <c r="A196" s="33" t="s">
        <v>738</v>
      </c>
      <c r="B196" s="7">
        <v>4016</v>
      </c>
      <c r="C196" s="21" t="s">
        <v>193</v>
      </c>
      <c r="D196" s="21" t="s">
        <v>209</v>
      </c>
      <c r="E196" s="13">
        <v>42772.075555555559</v>
      </c>
      <c r="F196" s="13">
        <v>42772.077453703707</v>
      </c>
      <c r="G196" s="7">
        <v>2</v>
      </c>
      <c r="H196" s="21" t="s">
        <v>861</v>
      </c>
      <c r="I196" s="13">
        <v>42772.082592592589</v>
      </c>
      <c r="J196" s="7">
        <v>0</v>
      </c>
      <c r="K196" s="98" t="str">
        <f t="shared" si="54"/>
        <v>4015/4016</v>
      </c>
      <c r="L196" s="21" t="str">
        <f>VLOOKUP(A196,'Trips&amp;Operators'!$C$1:$G$99999,5,FALSE)</f>
        <v>SMITH MICHAEL</v>
      </c>
      <c r="M196" s="6">
        <f t="shared" si="55"/>
        <v>5.1388888823566958E-3</v>
      </c>
      <c r="N196" s="7">
        <f t="shared" si="76"/>
        <v>7.399999990593642</v>
      </c>
      <c r="O196" s="7"/>
      <c r="P196" s="7"/>
      <c r="Q196" s="22"/>
      <c r="R196" s="22"/>
      <c r="S196" s="31">
        <f t="shared" si="56"/>
        <v>1</v>
      </c>
      <c r="T196" s="46" t="str">
        <f t="shared" si="57"/>
        <v>NorthBound</v>
      </c>
      <c r="U196" s="190">
        <f>IF(AG196="EC",COUNTIFS(Variables!$M$2:$M$19,IF(T196="NorthBound","&gt;=","&lt;=")&amp;Y196,Variables!$M$2:$M$19,IF(T196="NorthBound","&lt;=","&gt;=")&amp;Z196),COUNTIFS(Variables!$P$2:$P$19,IF(T196="NorthBound","&gt;=","&lt;=")&amp;Y196,Variables!$P$2:$P$19,IF(T196="NorthBound","&lt;=","&gt;=")&amp;Z196))</f>
        <v>1</v>
      </c>
      <c r="V196" s="191" t="str">
        <f t="shared" si="58"/>
        <v>https://d0f6bd738d7f1b3e5a7ca70fe4ff75f0.us-east-1.aws.found.io/app/kibana#/discover/Steve-Slow-Train-Analysis-(2080s-and-2083s)?_g=(refreshInterval:(display:Off,pause:!f,section:0,value:0),time:(from:'2017-02-06T00:48:48-0700',mode:absolute,to:'2017-02-06T02:58:56-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96" s="192" t="str">
        <f t="shared" si="59"/>
        <v>Y</v>
      </c>
      <c r="X196" s="192">
        <f t="shared" si="77"/>
        <v>2</v>
      </c>
      <c r="Y196" s="62">
        <f t="shared" si="75"/>
        <v>4.6199999999999998E-2</v>
      </c>
      <c r="Z196" s="62">
        <f t="shared" si="74"/>
        <v>2.3308</v>
      </c>
      <c r="AA196" s="62">
        <f t="shared" si="62"/>
        <v>2.2846000000000002</v>
      </c>
      <c r="AB196" s="59" t="e">
        <f>VLOOKUP(A196,Enforcements!$C$7:$K$16,8,0)</f>
        <v>#N/A</v>
      </c>
      <c r="AC196" s="55" t="e">
        <f>VLOOKUP(A196,Enforcements!$C$7:$E$16,3,0)</f>
        <v>#N/A</v>
      </c>
      <c r="AD196" s="56" t="str">
        <f t="shared" si="63"/>
        <v>0313-05</v>
      </c>
      <c r="AE196" s="85" t="str">
        <f t="shared" si="64"/>
        <v>aws s3 cp s3://rtdc.mdm.uploadarchive.raw/RTDC4016/ "%USERPROFILE%\AppData\Local\Temp\OnboardLogs"\RTDC4016\2017-02-06 --exclude "*" --recursive --include "*20170206*" &amp; "%USERPROFILE%\Documents\GitHub\mrs-test-scripts\Headless Mode &amp; Sideloading\WalkAndUnGZ.bat" "%USERPROFILE%\AppData\Local\Temp\OnboardLogs"\RTDC4016\2017-02-06 &amp; aws s3 cp s3://rtdc.mdm.uploadarchive.raw/RTDC4016/ "%USERPROFILE%\AppData\Local\Temp\OnboardLogs"\RTDC4016\2017-02-07 --exclude "*" --recursive --include "*20170207*" &amp; "%USERPROFILE%\Documents\GitHub\mrs-test-scripts\Headless Mode &amp; Sideloading\WalkAndUnGZ.bat" "%USERPROFILE%\AppData\Local\Temp\OnboardLogs"\RTDC4016\2017-02-07</v>
      </c>
      <c r="AF196" s="82" t="str">
        <f t="shared" si="65"/>
        <v>"C:\Program Files (x86)\AstroGrep\AstroGrep.exe" /spath="%USERPROFILE%\AppData\Local\Temp\OnboardLogs" /stypes="app*4016*20170206*" /stext=" 08:.+((SYSTEM_STATE.+slice.+state.+changed )|(ment ac)|(multiple cpu faults)|(system.+state.+changed )|(\[timeout)|(PRM\|1\|D)|(kpr)|(kdp)|(\|lc)|(penalty))" /e /r /s</v>
      </c>
      <c r="AG196" s="1" t="str">
        <f t="shared" si="66"/>
        <v>Other</v>
      </c>
      <c r="AH196" s="86" t="str">
        <f t="shared" si="51"/>
        <v>"%USERPROFILE%\Documents\GitHub\eaglep3\Utilities\RefineRTDCRunTimes.py" --tripid 313-05 --locoid 4016 --swversion DE.1.0.8.0 --startMP 204:462 --initTime 2017-02-06T01:48:48 --startdatetime 2017-02-06T01:51:32 --delay 2 --endMP 300:23308 --enddatetime 2017-02-06T01:58:56 --enforcementcount 0 &gt;&gt;C:\Users\stu\Documents\GitHub\eaglep3-reporting\EC\2017-02-05-refined-times.txt</v>
      </c>
      <c r="AI196" s="108" t="str">
        <f t="shared" si="52"/>
        <v>echo {"issue":{"subject":"","project_id":79,"tracker_id":40,"status_id":1,"priority_id":2,"assigned_to_id":23,"start_date":"2017-02-06","description":"","custom_fields":[{"id":1,"name":"Subdivision","value":"Other"},{"id":4,"name":"Milepost","value":"2.3308"},{"id":17,"name":"Train ID","value":"313-05"},{"id":16,"name":"Locomotive ID","value":"4016"},{"id":130,"name":"Impact","value":""},{"id":150,"name":"Time of Event (Mountain Time)","value":"01:58:56"},{"id":151,"name":"Denver Issue ID","value":""},{"id":178,"name":"Operational Impact","value":"Yes"},{"id":179,"name":"Denver Segment Assigned","value":""}]}} | curl -X POST -H "Content-Type: application/json" -H "X-Redmine-API-Key: d6333d4a04012a730768444271f8ca06482dae87" https://secure.xorail.net/redmine/issues.json --data @-</v>
      </c>
      <c r="AJ196" s="48"/>
      <c r="AK196" s="48"/>
      <c r="AL196" s="48"/>
      <c r="AM196" s="158" t="str">
        <f t="shared" si="53"/>
        <v>start /low /b %USERPROFILE%\Documents\GitHub\eaglep3\Utilities\DownloadLogsFromS3.py --loco 4016 --day 2017-02-06</v>
      </c>
      <c r="AN196" s="167" t="str">
        <f>"grep -SE -B400 ""CHR.+\|PRM\|1\|D.+(SWITCH|SIGNAL).+UNKNOWN"" "&amp;search_path&amp;"\RTDC"&amp;B196&amp;"\*"&amp;B196&amp;"*"&amp;TEXT(AVERAGE(F196,I196)-utc_offset/24,"YYYYMMDD")&amp;"* | grep -SE ""(Enforcement Action)|(\[TIMEOUT)|(CHR.+\|PRM\|1\|D.+(SWITCH|SIGNAL).+UNKNOWN)"" - &gt;&gt; "&amp;TEXT(Variables!$A$2,"YYYY-MM-DD")&amp;"-UncaughtWiMAX.txt"</f>
        <v>grep -SE -B400 "CHR.+\|PRM\|1\|D.+(SWITCH|SIGNAL).+UNKNOWN" "%USERPROFILE%\AppData\Local\Temp\OnboardLogs"\RTDC4016\*4016*20170206* | grep -SE "(Enforcement Action)|(\[TIMEOUT)|(CHR.+\|PRM\|1\|D.+(SWITCH|SIGNAL).+UNKNOWN)" - &gt;&gt; 2017-02-05-UncaughtWiMAX.txt</v>
      </c>
    </row>
    <row r="197" spans="1:91" x14ac:dyDescent="0.25">
      <c r="A197" s="33" t="s">
        <v>498</v>
      </c>
      <c r="B197" s="7">
        <v>4007</v>
      </c>
      <c r="C197" s="21" t="s">
        <v>193</v>
      </c>
      <c r="D197" s="21" t="s">
        <v>862</v>
      </c>
      <c r="E197" s="13">
        <v>42771.112233796295</v>
      </c>
      <c r="F197" s="13">
        <v>42771.114062499997</v>
      </c>
      <c r="G197" s="7">
        <v>1</v>
      </c>
      <c r="H197" s="21" t="s">
        <v>863</v>
      </c>
      <c r="I197" s="13">
        <v>42771.119270833333</v>
      </c>
      <c r="J197" s="7">
        <v>0</v>
      </c>
      <c r="K197" s="98" t="str">
        <f t="shared" si="54"/>
        <v>4007/4008</v>
      </c>
      <c r="L197" s="21" t="str">
        <f>VLOOKUP(A197,'Trips&amp;Operators'!$C$1:$G$99999,5,FALSE)</f>
        <v>BROWN JACOB</v>
      </c>
      <c r="M197" s="6">
        <f t="shared" si="55"/>
        <v>5.2083333357586525E-3</v>
      </c>
      <c r="N197" s="7">
        <f t="shared" si="76"/>
        <v>7.5000000034924597</v>
      </c>
      <c r="O197" s="7"/>
      <c r="P197" s="7"/>
      <c r="Q197" s="22"/>
      <c r="R197" s="22"/>
      <c r="S197" s="31">
        <f t="shared" si="56"/>
        <v>1</v>
      </c>
      <c r="T197" s="46" t="str">
        <f t="shared" si="57"/>
        <v>NorthBound</v>
      </c>
      <c r="U197" s="190">
        <f>IF(AG197="EC",COUNTIFS(Variables!$M$2:$M$19,IF(T197="NorthBound","&gt;=","&lt;=")&amp;Y197,Variables!$M$2:$M$19,IF(T197="NorthBound","&lt;=","&gt;=")&amp;Z197),COUNTIFS(Variables!$P$2:$P$19,IF(T197="NorthBound","&gt;=","&lt;=")&amp;Y197,Variables!$P$2:$P$19,IF(T197="NorthBound","&lt;=","&gt;=")&amp;Z197))</f>
        <v>1</v>
      </c>
      <c r="V197" s="191" t="str">
        <f t="shared" si="58"/>
        <v>https://d0f6bd738d7f1b3e5a7ca70fe4ff75f0.us-east-1.aws.found.io/app/kibana#/discover/Steve-Slow-Train-Analysis-(2080s-and-2083s)?_g=(refreshInterval:(display:Off,pause:!f,section:0,value:0),time:(from:'2017-02-05T01:41:37-0700',mode:absolute,to:'2017-02-05T03:51: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197" s="192" t="str">
        <f t="shared" si="59"/>
        <v>Y</v>
      </c>
      <c r="X197" s="192">
        <f t="shared" si="77"/>
        <v>2</v>
      </c>
      <c r="Y197" s="62">
        <f t="shared" si="75"/>
        <v>0.1182</v>
      </c>
      <c r="Z197" s="62">
        <f t="shared" si="74"/>
        <v>3.1856</v>
      </c>
      <c r="AA197" s="62">
        <f t="shared" si="62"/>
        <v>3.0674000000000001</v>
      </c>
      <c r="AB197" s="59" t="e">
        <f>VLOOKUP(A197,Enforcements!$C$7:$K$16,8,0)</f>
        <v>#N/A</v>
      </c>
      <c r="AC197" s="55" t="e">
        <f>VLOOKUP(A197,Enforcements!$C$7:$E$16,3,0)</f>
        <v>#N/A</v>
      </c>
      <c r="AD197" s="56" t="str">
        <f t="shared" si="63"/>
        <v>0315-04</v>
      </c>
      <c r="AE197" s="85" t="str">
        <f t="shared" si="64"/>
        <v>aws s3 cp s3://rtdc.mdm.uploadarchive.raw/RTDC4007/ "%USERPROFILE%\AppData\Local\Temp\OnboardLogs"\RTDC4007\2017-02-05 --exclude "*" --recursive --include "*20170205*" &amp; "%USERPROFILE%\Documents\GitHub\mrs-test-scripts\Headless Mode &amp; Sideloading\WalkAndUnGZ.bat" "%USERPROFILE%\AppData\Local\Temp\OnboardLogs"\RTDC4007\2017-02-05 &amp; aws s3 cp s3://rtdc.mdm.uploadarchive.raw/RTDC4007/ "%USERPROFILE%\AppData\Local\Temp\OnboardLogs"\RTDC4007\2017-02-06 --exclude "*" --recursive --include "*20170206*" &amp; "%USERPROFILE%\Documents\GitHub\mrs-test-scripts\Headless Mode &amp; Sideloading\WalkAndUnGZ.bat" "%USERPROFILE%\AppData\Local\Temp\OnboardLogs"\RTDC4007\2017-02-06</v>
      </c>
      <c r="AF197" s="82" t="str">
        <f t="shared" si="65"/>
        <v>"C:\Program Files (x86)\AstroGrep\AstroGrep.exe" /spath="%USERPROFILE%\AppData\Local\Temp\OnboardLogs" /stypes="app*4007*20170205*" /stext=" 09:.+((SYSTEM_STATE.+slice.+state.+changed )|(ment ac)|(multiple cpu faults)|(system.+state.+changed )|(\[timeout)|(PRM\|1\|D)|(kpr)|(kdp)|(\|lc)|(penalty))" /e /r /s</v>
      </c>
      <c r="AG197" s="1" t="str">
        <f t="shared" si="66"/>
        <v>Other</v>
      </c>
      <c r="AH197" s="86" t="str">
        <f t="shared" si="51"/>
        <v>"%USERPROFILE%\Documents\GitHub\eaglep3\Utilities\RefineRTDCRunTimes.py" --tripid 315-04 --locoid 4007 --swversion DE.1.0.8.0 --startMP 204:1182 --initTime 2017-02-05T02:41:37 --startdatetime 2017-02-05T02:44:15 --delay 1 --endMP 300:31856 --enddatetime 2017-02-05T02:51:45 --enforcementcount 0 &gt;&gt;C:\Users\stu\Documents\GitHub\eaglep3-reporting\EC\2017-02-05-refined-times.txt</v>
      </c>
      <c r="AI197" s="108" t="str">
        <f t="shared" si="52"/>
        <v>echo {"issue":{"subject":"","project_id":79,"tracker_id":40,"status_id":1,"priority_id":2,"assigned_to_id":23,"start_date":"2017-02-05","description":"","custom_fields":[{"id":1,"name":"Subdivision","value":"Other"},{"id":4,"name":"Milepost","value":"3.1856"},{"id":17,"name":"Train ID","value":"315-04"},{"id":16,"name":"Locomotive ID","value":"4007"},{"id":130,"name":"Impact","value":""},{"id":150,"name":"Time of Event (Mountain Time)","value":"02:51:45"},{"id":151,"name":"Denver Issue ID","value":""},{"id":178,"name":"Operational Impact","value":"Yes"},{"id":179,"name":"Denver Segment Assigned","value":""}]}} | curl -X POST -H "Content-Type: application/json" -H "X-Redmine-API-Key: d6333d4a04012a730768444271f8ca06482dae87" https://secure.xorail.net/redmine/issues.json --data @-</v>
      </c>
      <c r="AJ197" s="48"/>
      <c r="AK197" s="48"/>
      <c r="AL197" s="48"/>
      <c r="AM197" s="158" t="str">
        <f t="shared" si="53"/>
        <v>start /low /b %USERPROFILE%\Documents\GitHub\eaglep3\Utilities\DownloadLogsFromS3.py --loco 4007 --day 2017-02-05</v>
      </c>
      <c r="AN197" s="167" t="str">
        <f>"grep -SE -B400 ""CHR.+\|PRM\|1\|D.+(SWITCH|SIGNAL).+UNKNOWN"" "&amp;search_path&amp;"\RTDC"&amp;B197&amp;"\*"&amp;B197&amp;"*"&amp;TEXT(AVERAGE(F197,I197)-utc_offset/24,"YYYYMMDD")&amp;"* | grep -SE ""(Enforcement Action)|(\[TIMEOUT)|(CHR.+\|PRM\|1\|D.+(SWITCH|SIGNAL).+UNKNOWN)"" - &gt;&gt; "&amp;TEXT(Variables!$A$2,"YYYY-MM-DD")&amp;"-UncaughtWiMAX.txt"</f>
        <v>grep -SE -B400 "CHR.+\|PRM\|1\|D.+(SWITCH|SIGNAL).+UNKNOWN" "%USERPROFILE%\AppData\Local\Temp\OnboardLogs"\RTDC4007\*4007*20170205* | grep -SE "(Enforcement Action)|(\[TIMEOUT)|(CHR.+\|PRM\|1\|D.+(SWITCH|SIGNAL).+UNKNOWN)" - &gt;&gt; 2017-02-05-UncaughtWiMAX.txt</v>
      </c>
    </row>
    <row r="198" spans="1:91" x14ac:dyDescent="0.25">
      <c r="A198" s="33" t="s">
        <v>735</v>
      </c>
      <c r="B198" s="7">
        <v>4031</v>
      </c>
      <c r="C198" s="21" t="s">
        <v>193</v>
      </c>
      <c r="D198" s="21" t="s">
        <v>226</v>
      </c>
      <c r="E198" s="13">
        <v>42772.03465277778</v>
      </c>
      <c r="F198" s="13">
        <v>25568.708333333332</v>
      </c>
      <c r="G198" s="7">
        <v>10</v>
      </c>
      <c r="H198" s="21" t="s">
        <v>419</v>
      </c>
      <c r="I198" s="13">
        <v>25568.708333333332</v>
      </c>
      <c r="J198" s="7">
        <v>0</v>
      </c>
      <c r="K198" s="98" t="str">
        <f t="shared" si="54"/>
        <v>4031/4032</v>
      </c>
      <c r="L198" s="21" t="str">
        <f>VLOOKUP(A198,'Trips&amp;Operators'!$C$1:$G$99999,5,FALSE)</f>
        <v>MAGEE KENYA</v>
      </c>
      <c r="M198" s="6">
        <f t="shared" si="55"/>
        <v>0</v>
      </c>
      <c r="N198" s="7">
        <f t="shared" si="76"/>
        <v>0</v>
      </c>
      <c r="O198" s="7"/>
      <c r="P198" s="7"/>
      <c r="Q198" s="22"/>
      <c r="R198" s="22"/>
      <c r="S198" s="31">
        <f t="shared" si="56"/>
        <v>1</v>
      </c>
      <c r="T198" s="46" t="str">
        <f t="shared" si="57"/>
        <v>NorthBound</v>
      </c>
      <c r="U198" s="190">
        <f>IF(AG198="EC",COUNTIFS(Variables!$M$2:$M$19,IF(T198="NorthBound","&gt;=","&lt;=")&amp;Y198,Variables!$M$2:$M$19,IF(T198="NorthBound","&lt;=","&gt;=")&amp;Z198),COUNTIFS(Variables!$P$2:$P$19,IF(T198="NorthBound","&gt;=","&lt;=")&amp;Y198,Variables!$P$2:$P$19,IF(T198="NorthBound","&lt;=","&gt;=")&amp;Z198))</f>
        <v>1</v>
      </c>
      <c r="V198" s="191" t="str">
        <f t="shared" si="58"/>
        <v>https://d0f6bd738d7f1b3e5a7ca70fe4ff75f0.us-east-1.aws.found.io/app/kibana#/discover/Steve-Slow-Train-Analysis-(2080s-and-2083s)?_g=(refreshInterval:(display:Off,pause:!f,section:0,value:0),time:(from:'2017-02-05T23:49:54-0700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98" s="192" t="str">
        <f t="shared" si="59"/>
        <v>Y</v>
      </c>
      <c r="X198" s="192">
        <f t="shared" si="77"/>
        <v>0</v>
      </c>
      <c r="Y198" s="62">
        <f t="shared" si="75"/>
        <v>4.58E-2</v>
      </c>
      <c r="Z198" s="62">
        <f t="shared" si="74"/>
        <v>2.3311999999999999</v>
      </c>
      <c r="AA198" s="62">
        <f t="shared" si="62"/>
        <v>2.2854000000000001</v>
      </c>
      <c r="AB198" s="59" t="e">
        <f>VLOOKUP(A198,Enforcements!$C$7:$K$16,8,0)</f>
        <v>#N/A</v>
      </c>
      <c r="AC198" s="55" t="e">
        <f>VLOOKUP(A198,Enforcements!$C$7:$E$16,3,0)</f>
        <v>#N/A</v>
      </c>
      <c r="AD198" s="56" t="str">
        <f t="shared" si="63"/>
        <v>0315-05</v>
      </c>
      <c r="AE198" s="85" t="str">
        <f t="shared" si="64"/>
        <v>aws s3 cp s3://rtdc.mdm.uploadarchive.raw/RTDC4031/ "%USERPROFILE%\AppData\Local\Temp\OnboardLogs"\RTDC4031\1969-12-31 --exclude "*" --recursive --include "*19691231*" &amp; "%USERPROFILE%\Documents\GitHub\mrs-test-scripts\Headless Mode &amp; Sideloading\WalkAndUnGZ.bat" "%USERPROFILE%\AppData\Local\Temp\OnboardLogs"\RTDC4031\1969-12-31 &amp; aws s3 cp s3://rtdc.mdm.uploadarchive.raw/RTDC4031/ "%USERPROFILE%\AppData\Local\Temp\OnboardLogs"\RTDC4031\1970-01-01 --exclude "*" --recursive --include "*19700101*" &amp; "%USERPROFILE%\Documents\GitHub\mrs-test-scripts\Headless Mode &amp; Sideloading\WalkAndUnGZ.bat" "%USERPROFILE%\AppData\Local\Temp\OnboardLogs"\RTDC4031\1970-01-01</v>
      </c>
      <c r="AF198" s="82" t="str">
        <f t="shared" si="65"/>
        <v>"C:\Program Files (x86)\AstroGrep\AstroGrep.exe" /spath="%USERPROFILE%\AppData\Local\Temp\OnboardLogs" /stypes="app*4031*19700101*" /stext=" 00:.+((SYSTEM_STATE.+slice.+state.+changed )|(ment ac)|(multiple cpu faults)|(system.+state.+changed )|(\[timeout)|(PRM\|1\|D)|(kpr)|(kdp)|(\|lc)|(penalty))" /e /r /s</v>
      </c>
      <c r="AG198" s="1" t="str">
        <f t="shared" si="66"/>
        <v>Other</v>
      </c>
      <c r="AH198" s="86" t="str">
        <f t="shared" si="51"/>
        <v>"%USERPROFILE%\Documents\GitHub\eaglep3\Utilities\RefineRTDCRunTimes.py" --tripid 315-05 --locoid 4031 --swversion DE.1.0.8.0 --startMP 204:458 --initTime 2017-02-06T00:49:54 --startdatetime 1969-12-31T17:00:00 --delay 10 --endMP 300:23312 --enddatetime 1969-12-31T17:00:00 --enforcementcount 0 &gt;&gt;C:\Users\stu\Documents\GitHub\eaglep3-reporting\EC\2017-02-05-refined-times.txt</v>
      </c>
      <c r="AI198" s="108" t="str">
        <f t="shared" si="52"/>
        <v>echo {"issue":{"subject":"","project_id":79,"tracker_id":40,"status_id":1,"priority_id":2,"assigned_to_id":23,"start_date":"1969-12-31","description":"","custom_fields":[{"id":1,"name":"Subdivision","value":"Other"},{"id":4,"name":"Milepost","value":"2.3312"},{"id":17,"name":"Train ID","value":"315-05"},{"id":16,"name":"Locomotive ID","value":"4031"},{"id":130,"name":"Impact","value":""},{"id":150,"name":"Time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198" s="48"/>
      <c r="AK198" s="48"/>
      <c r="AL198" s="48"/>
      <c r="AM198" s="158" t="str">
        <f t="shared" si="53"/>
        <v>start /low /b %USERPROFILE%\Documents\GitHub\eaglep3\Utilities\DownloadLogsFromS3.py --loco 4031 --day 1969-12-31</v>
      </c>
      <c r="AN198" s="167" t="str">
        <f>"grep -SE -B400 ""CHR.+\|PRM\|1\|D.+(SWITCH|SIGNAL).+UNKNOWN"" "&amp;search_path&amp;"\RTDC"&amp;B198&amp;"\*"&amp;B198&amp;"*"&amp;TEXT(AVERAGE(F198,I198)-utc_offset/24,"YYYYMMDD")&amp;"* | grep -SE ""(Enforcement Action)|(\[TIMEOUT)|(CHR.+\|PRM\|1\|D.+(SWITCH|SIGNAL).+UNKNOWN)"" - &gt;&gt; "&amp;TEXT(Variables!$A$2,"YYYY-MM-DD")&amp;"-UncaughtWiMAX.txt"</f>
        <v>grep -SE -B400 "CHR.+\|PRM\|1\|D.+(SWITCH|SIGNAL).+UNKNOWN" "%USERPROFILE%\AppData\Local\Temp\OnboardLogs"\RTDC4031\*4031*19700101* | grep -SE "(Enforcement Action)|(\[TIMEOUT)|(CHR.+\|PRM\|1\|D.+(SWITCH|SIGNAL).+UNKNOWN)" - &gt;&gt; 2017-02-05-UncaughtWiMAX.txt</v>
      </c>
    </row>
    <row r="199" spans="1:91" x14ac:dyDescent="0.25">
      <c r="A199" s="33" t="s">
        <v>557</v>
      </c>
      <c r="B199" s="7">
        <v>4003</v>
      </c>
      <c r="C199" s="21" t="s">
        <v>193</v>
      </c>
      <c r="D199" s="21" t="s">
        <v>831</v>
      </c>
      <c r="E199" s="13">
        <v>42771.225115740737</v>
      </c>
      <c r="F199" s="13">
        <v>42771.226145833331</v>
      </c>
      <c r="G199" s="7">
        <v>1</v>
      </c>
      <c r="H199" s="21" t="s">
        <v>821</v>
      </c>
      <c r="I199" s="13">
        <v>42771.231354166666</v>
      </c>
      <c r="J199" s="7">
        <v>0</v>
      </c>
      <c r="K199" s="98" t="str">
        <f t="shared" si="54"/>
        <v>4003/4004</v>
      </c>
      <c r="L199" s="21" t="str">
        <f>VLOOKUP(A199,'Trips&amp;Operators'!$C$1:$G$99999,5,FALSE)</f>
        <v>YORK EDGAR</v>
      </c>
      <c r="M199" s="6">
        <f t="shared" si="55"/>
        <v>5.2083333357586525E-3</v>
      </c>
      <c r="N199" s="7">
        <f t="shared" si="76"/>
        <v>7.5000000034924597</v>
      </c>
      <c r="O199" s="7"/>
      <c r="P199" s="7"/>
      <c r="Q199" s="22"/>
      <c r="R199" s="22"/>
      <c r="S199" s="31">
        <f t="shared" si="56"/>
        <v>0</v>
      </c>
      <c r="T199" s="46" t="str">
        <f t="shared" si="57"/>
        <v>NorthBound</v>
      </c>
      <c r="U199" s="190">
        <f>IF(AG199="EC",COUNTIFS(Variables!$M$2:$M$19,IF(T199="NorthBound","&gt;=","&lt;=")&amp;Y199,Variables!$M$2:$M$19,IF(T199="NorthBound","&lt;=","&gt;=")&amp;Z199),COUNTIFS(Variables!$P$2:$P$19,IF(T199="NorthBound","&gt;=","&lt;=")&amp;Y199,Variables!$P$2:$P$19,IF(T199="NorthBound","&lt;=","&gt;=")&amp;Z199))</f>
        <v>0</v>
      </c>
      <c r="V199" s="191" t="str">
        <f t="shared" si="58"/>
        <v>https://d0f6bd738d7f1b3e5a7ca70fe4ff75f0.us-east-1.aws.found.io/app/kibana#/discover/Steve-Slow-Train-Analysis-(2080s-and-2083s)?_g=(refreshInterval:(display:Off,pause:!f,section:0,value:0),time:(from:'2017-02-05T04:24:10-0700',mode:absolute,to:'2017-02-05T06:33:09-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99" s="192" t="str">
        <f t="shared" si="59"/>
        <v>Y</v>
      </c>
      <c r="X199" s="192">
        <f t="shared" si="77"/>
        <v>1586</v>
      </c>
      <c r="Y199" s="62">
        <f t="shared" si="75"/>
        <v>3.0249999999999999</v>
      </c>
      <c r="Z199" s="62">
        <f t="shared" si="74"/>
        <v>5.8939000000000004</v>
      </c>
      <c r="AA199" s="62">
        <f t="shared" si="62"/>
        <v>2.8689000000000004</v>
      </c>
      <c r="AB199" s="59" t="e">
        <f>VLOOKUP(A199,Enforcements!$C$7:$K$16,8,0)</f>
        <v>#N/A</v>
      </c>
      <c r="AC199" s="55" t="e">
        <f>VLOOKUP(A199,Enforcements!$C$7:$E$16,3,0)</f>
        <v>#N/A</v>
      </c>
      <c r="AD199" s="56" t="str">
        <f t="shared" si="63"/>
        <v>1901-05</v>
      </c>
      <c r="AE199" s="85" t="str">
        <f t="shared" si="64"/>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99" s="82" t="str">
        <f t="shared" si="65"/>
        <v>"C:\Program Files (x86)\AstroGrep\AstroGrep.exe" /spath="%USERPROFILE%\AppData\Local\Temp\OnboardLogs" /stypes="app*4003*20170205*" /stext=" 12:.+((SYSTEM_STATE.+slice.+state.+changed )|(ment ac)|(multiple cpu faults)|(system.+state.+changed )|(\[timeout)|(PRM\|1\|D)|(kpr)|(kdp)|(\|lc)|(penalty))" /e /r /s</v>
      </c>
      <c r="AG199" s="1" t="str">
        <f t="shared" si="66"/>
        <v>Other</v>
      </c>
      <c r="AH199" s="86" t="str">
        <f t="shared" si="51"/>
        <v>"%USERPROFILE%\Documents\GitHub\eaglep3\Utilities\RefineRTDCRunTimes.py" --tripid 1901-05 --locoid 4003 --swversion DE.1.0.8.0 --startMP 300:30250 --initTime 2017-02-05T05:24:10 --startdatetime 2017-02-05T05:25:39 --delay 1 --endMP 300:58939 --enddatetime 2017-02-05T05:33:09 --enforcementcount 0 &gt;&gt;C:\Users\stu\Documents\GitHub\eaglep3-reporting\EC\2017-02-05-refined-times.txt</v>
      </c>
      <c r="AI199" s="108" t="str">
        <f t="shared" si="52"/>
        <v>echo {"issue":{"subject":"","project_id":79,"tracker_id":40,"status_id":1,"priority_id":2,"assigned_to_id":23,"start_date":"2017-02-05","description":"","custom_fields":[{"id":1,"name":"Subdivision","value":"Other"},{"id":4,"name":"Milepost","value":"5.8939"},{"id":17,"name":"Train ID","value":"1901-05"},{"id":16,"name":"Locomotive ID","value":"4003"},{"id":130,"name":"Impact","value":""},{"id":150,"name":"Time of Event (Mountain Time)","value":"05:33:09"},{"id":151,"name":"Denver Issue ID","value":""},{"id":178,"name":"Operational Impact","value":"Yes"},{"id":179,"name":"Denver Segment Assigned","value":""}]}} | curl -X POST -H "Content-Type: application/json" -H "X-Redmine-API-Key: d6333d4a04012a730768444271f8ca06482dae87" https://secure.xorail.net/redmine/issues.json --data @-</v>
      </c>
      <c r="AJ199" s="48"/>
      <c r="AK199" s="48"/>
      <c r="AL199" s="48"/>
      <c r="AM199" s="158" t="str">
        <f t="shared" si="53"/>
        <v>start /low /b %USERPROFILE%\Documents\GitHub\eaglep3\Utilities\DownloadLogsFromS3.py --loco 4003 --day 2017-02-05</v>
      </c>
      <c r="AN199" s="167" t="str">
        <f>"grep -SE -B400 ""CHR.+\|PRM\|1\|D.+(SWITCH|SIGNAL).+UNKNOWN"" "&amp;search_path&amp;"\RTDC"&amp;B199&amp;"\*"&amp;B199&amp;"*"&amp;TEXT(AVERAGE(F199,I199)-utc_offset/24,"YYYYMMDD")&amp;"*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row>
    <row r="200" spans="1:91" x14ac:dyDescent="0.25">
      <c r="A200" s="33" t="s">
        <v>727</v>
      </c>
      <c r="B200" s="7">
        <v>4004</v>
      </c>
      <c r="C200" s="21" t="s">
        <v>193</v>
      </c>
      <c r="D200" s="21" t="s">
        <v>832</v>
      </c>
      <c r="E200" s="13">
        <v>42771.941516203704</v>
      </c>
      <c r="F200" s="13">
        <v>42771.942662037036</v>
      </c>
      <c r="G200" s="7">
        <v>1</v>
      </c>
      <c r="H200" s="21" t="s">
        <v>833</v>
      </c>
      <c r="I200" s="13">
        <v>42771.947025462963</v>
      </c>
      <c r="J200" s="7">
        <v>0</v>
      </c>
      <c r="K200" s="98" t="str">
        <f t="shared" si="54"/>
        <v>4003/4004</v>
      </c>
      <c r="L200" s="21" t="str">
        <f>VLOOKUP(A200,'Trips&amp;Operators'!$C$1:$G$99999,5,FALSE)</f>
        <v>HELVIE ADAM</v>
      </c>
      <c r="M200" s="6">
        <f t="shared" si="55"/>
        <v>4.3634259272948839E-3</v>
      </c>
      <c r="N200" s="7">
        <f t="shared" si="76"/>
        <v>6.2833333353046328</v>
      </c>
      <c r="O200" s="7"/>
      <c r="P200" s="7"/>
      <c r="Q200" s="22"/>
      <c r="R200" s="22"/>
      <c r="S200" s="31">
        <f t="shared" si="56"/>
        <v>0</v>
      </c>
      <c r="T200" s="46" t="str">
        <f t="shared" si="57"/>
        <v>Southbound</v>
      </c>
      <c r="U200" s="190">
        <f>IF(AG200="EC",COUNTIFS(Variables!$M$2:$M$19,IF(T200="NorthBound","&gt;=","&lt;=")&amp;Y200,Variables!$M$2:$M$19,IF(T200="NorthBound","&lt;=","&gt;=")&amp;Z200),COUNTIFS(Variables!$P$2:$P$19,IF(T200="NorthBound","&gt;=","&lt;=")&amp;Y200,Variables!$P$2:$P$19,IF(T200="NorthBound","&lt;=","&gt;=")&amp;Z200))</f>
        <v>0</v>
      </c>
      <c r="V200" s="191" t="str">
        <f t="shared" si="58"/>
        <v>https://d0f6bd738d7f1b3e5a7ca70fe4ff75f0.us-east-1.aws.found.io/app/kibana#/discover/Steve-Slow-Train-Analysis-(2080s-and-2083s)?_g=(refreshInterval:(display:Off,pause:!f,section:0,value:0),time:(from:'2017-02-05T21:35:47-0700',mode:absolute,to:'2017-02-05T23:43:43-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200" s="192" t="str">
        <f t="shared" si="59"/>
        <v>Y</v>
      </c>
      <c r="X200" s="192">
        <f t="shared" si="77"/>
        <v>1</v>
      </c>
      <c r="Y200" s="62">
        <f t="shared" si="75"/>
        <v>5.8630000000000004</v>
      </c>
      <c r="Z200" s="62">
        <f t="shared" si="74"/>
        <v>2.1758999999999999</v>
      </c>
      <c r="AA200" s="62">
        <f t="shared" si="62"/>
        <v>3.6871000000000005</v>
      </c>
      <c r="AB200" s="59" t="e">
        <f>VLOOKUP(A200,Enforcements!$C$7:$K$16,8,0)</f>
        <v>#N/A</v>
      </c>
      <c r="AC200" s="55" t="e">
        <f>VLOOKUP(A200,Enforcements!$C$7:$E$16,3,0)</f>
        <v>#N/A</v>
      </c>
      <c r="AD200" s="56" t="str">
        <f t="shared" si="63"/>
        <v>1902-05</v>
      </c>
      <c r="AE200" s="85" t="str">
        <f t="shared" si="64"/>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200" s="82" t="str">
        <f t="shared" si="65"/>
        <v>"C:\Program Files (x86)\AstroGrep\AstroGrep.exe" /spath="%USERPROFILE%\AppData\Local\Temp\OnboardLogs" /stypes="app*4004*20170206*" /stext=" 05:.+((SYSTEM_STATE.+slice.+state.+changed )|(ment ac)|(multiple cpu faults)|(system.+state.+changed )|(\[timeout)|(PRM\|1\|D)|(kpr)|(kdp)|(\|lc)|(penalty))" /e /r /s</v>
      </c>
      <c r="AG200" s="1" t="str">
        <f t="shared" si="66"/>
        <v>Other</v>
      </c>
      <c r="AH200" s="86" t="str">
        <f t="shared" ref="AH200:AH218" si="78">refinertdcruntimes&amp;" --tripid "&amp;A200&amp;" --locoid "&amp;B200&amp;" --swversion "&amp;C200&amp;" --startMP "&amp;D200&amp;" --initTime "&amp;TEXT(E200,"yyyy-mm-ddTHH:MM:SS")&amp;" --startdatetime "&amp;TEXT(F200,"yyyy-mm-ddTHH:MM:SS")&amp;" --delay "&amp;G200&amp;" --endMP "&amp;H200&amp;" --enddatetime "&amp;TEXT(I200,"yyyy-mm-ddTHH:MM:SS")&amp;" --enforcementcount "&amp;J200&amp;IF(outputrefinedruntimes," &gt;&gt;"&amp;RefinedRTDCRunTimesOutputFile,"")</f>
        <v>"%USERPROFILE%\Documents\GitHub\eaglep3\Utilities\RefineRTDCRunTimes.py" --tripid 1902-05 --locoid 4004 --swversion DE.1.0.8.0 --startMP 300:58630 --initTime 2017-02-05T22:35:47 --startdatetime 2017-02-05T22:37:26 --delay 1 --endMP 300:21759 --enddatetime 2017-02-05T22:43:43 --enforcementcount 0 &gt;&gt;C:\Users\stu\Documents\GitHub\eaglep3-reporting\EC\2017-02-05-refined-times.txt</v>
      </c>
      <c r="AI200" s="108" t="str">
        <f t="shared" ref="AI200:AI218" si="79">"echo {""issue"":{""subject"":"""&amp;R200&amp;""",""project_id"":79,""tracker_id"":40,""status_id"":"&amp;redmine_status&amp;",""priority_id"":"&amp;redmine_priority&amp;",""assigned_to_id"":"&amp;redmine_assignee&amp;",""start_date"":"""&amp;TEXT(I200,"YYYY-mm-dd")&amp;""",""description"":"""&amp;AJ200&amp;""",""custom_fields"":[{""id"":1,""name"":""Subdivision"",""value"":"""&amp;AG200&amp;"""},{""id"":4,""name"":""Milepost"",""value"":"""&amp;Z200&amp;"""},{""id"":17,""name"":""Train ID"",""value"":"""&amp;A200&amp;"""},{""id"":16,""name"":""Locomotive ID"",""value"":"""&amp;B200&amp;"""},{""id"":130,""name"":""Impact"",""value"":"""&amp;AK200&amp;"""},{""id"":150,""name"":""Time of Event (Mountain Time)"",""value"":"""&amp;TEXT(I200,"hh:mm:ss")&amp;"""},{""id"":151,""name"":""Denver Issue ID"",""value"":"""&amp;"""},{""id"":178,""name"":""Operational Impact"",""value"":"""&amp;redmine_op_impact&amp;"""},{""id"":179,""name"":""Denver Segment Assigned"",""value"":"""&amp;AL200&amp;"""}]}}"&amp;" | curl -X POST -H ""Content-Type: application/json"" -H ""X-Redmine-API-Key: "&amp;redm_api_key&amp;""" "&amp;redm_url&amp;" --data @-"</f>
        <v>echo {"issue":{"subject":"","project_id":79,"tracker_id":40,"status_id":1,"priority_id":2,"assigned_to_id":23,"start_date":"2017-02-05","description":"","custom_fields":[{"id":1,"name":"Subdivision","value":"Other"},{"id":4,"name":"Milepost","value":"2.1759"},{"id":17,"name":"Train ID","value":"1902-05"},{"id":16,"name":"Locomotive ID","value":"4004"},{"id":130,"name":"Impact","value":""},{"id":150,"name":"Time of Event (Mountain Time)","value":"22:43:43"},{"id":151,"name":"Denver Issue ID","value":""},{"id":178,"name":"Operational Impact","value":"Yes"},{"id":179,"name":"Denver Segment Assigned","value":""}]}} | curl -X POST -H "Content-Type: application/json" -H "X-Redmine-API-Key: d6333d4a04012a730768444271f8ca06482dae87" https://secure.xorail.net/redmine/issues.json --data @-</v>
      </c>
      <c r="AJ200" s="48"/>
      <c r="AK200" s="48"/>
      <c r="AL200" s="48"/>
      <c r="AM200" s="158" t="str">
        <f t="shared" ref="AM200:AM218" si="80">"start /low /b "&amp;dls3logs&amp;" --loco "&amp;B200&amp;" --day "&amp;TEXT(F200,"YYYY-MM-DD")</f>
        <v>start /low /b %USERPROFILE%\Documents\GitHub\eaglep3\Utilities\DownloadLogsFromS3.py --loco 4004 --day 2017-02-05</v>
      </c>
      <c r="AN200" s="167" t="str">
        <f>"grep -SE -B400 ""CHR.+\|PRM\|1\|D.+(SWITCH|SIGNAL).+UNKNOWN"" "&amp;search_path&amp;"\RTDC"&amp;B200&amp;"\*"&amp;B200&amp;"*"&amp;TEXT(AVERAGE(F200,I200)-utc_offset/24,"YYYYMMDD")&amp;"* | grep -SE ""(Enforcement Action)|(\[TIMEOUT)|(CHR.+\|PRM\|1\|D.+(SWITCH|SIGNAL).+UNKNOWN)"" - &gt;&gt; "&amp;TEXT(Variables!$A$2,"YYYY-MM-DD")&amp;"-UncaughtWiMAX.txt"</f>
        <v>grep -SE -B400 "CHR.+\|PRM\|1\|D.+(SWITCH|SIGNAL).+UNKNOWN" "%USERPROFILE%\AppData\Local\Temp\OnboardLogs"\RTDC4004\*4004*20170206* | grep -SE "(Enforcement Action)|(\[TIMEOUT)|(CHR.+\|PRM\|1\|D.+(SWITCH|SIGNAL).+UNKNOWN)" - &gt;&gt; 2017-02-05-UncaughtWiMAX.txt</v>
      </c>
    </row>
    <row r="201" spans="1:91" x14ac:dyDescent="0.25">
      <c r="A201" s="33" t="s">
        <v>507</v>
      </c>
      <c r="B201" s="7">
        <v>4030</v>
      </c>
      <c r="C201" s="21" t="s">
        <v>193</v>
      </c>
      <c r="D201" s="21" t="s">
        <v>864</v>
      </c>
      <c r="E201" s="13">
        <v>42771.459965277776</v>
      </c>
      <c r="F201" s="13">
        <v>42771.461053240739</v>
      </c>
      <c r="G201" s="7">
        <v>1</v>
      </c>
      <c r="H201" s="21" t="s">
        <v>325</v>
      </c>
      <c r="I201" s="13">
        <v>42771.466296296298</v>
      </c>
      <c r="J201" s="7">
        <v>0</v>
      </c>
      <c r="K201" s="98" t="str">
        <f t="shared" si="54"/>
        <v>4029/4030</v>
      </c>
      <c r="L201" s="21" t="str">
        <f>VLOOKUP(A201,'Trips&amp;Operators'!$C$1:$G$99999,5,FALSE)</f>
        <v>MACDONALD THOMAS</v>
      </c>
      <c r="M201" s="6">
        <f t="shared" si="55"/>
        <v>5.2430555588216521E-3</v>
      </c>
      <c r="N201" s="7">
        <f t="shared" si="76"/>
        <v>7.550000004703179</v>
      </c>
      <c r="O201" s="7"/>
      <c r="P201" s="7"/>
      <c r="Q201" s="22"/>
      <c r="R201" s="22"/>
      <c r="S201" s="31">
        <f t="shared" si="56"/>
        <v>0</v>
      </c>
      <c r="T201" s="46" t="e">
        <f t="shared" si="57"/>
        <v>#VALUE!</v>
      </c>
      <c r="U201" s="190">
        <f>IF(AG201="EC",COUNTIFS(Variables!$M$2:$M$19,IF(T201="NorthBound","&gt;=","&lt;=")&amp;Y201,Variables!$M$2:$M$19,IF(T201="NorthBound","&lt;=","&gt;=")&amp;Z201),COUNTIFS(Variables!$P$2:$P$19,IF(T201="NorthBound","&gt;=","&lt;=")&amp;Y201,Variables!$P$2:$P$19,IF(T201="NorthBound","&lt;=","&gt;=")&amp;Z201))</f>
        <v>0</v>
      </c>
      <c r="V201" s="191" t="str">
        <f t="shared" si="58"/>
        <v>https://d0f6bd738d7f1b3e5a7ca70fe4ff75f0.us-east-1.aws.found.io/app/kibana#/discover/Steve-Slow-Train-Analysis-(2080s-and-2083s)?_g=(refreshInterval:(display:Off,pause:!f,section:0,value:0),time:(from:'2017-02-05T10:02:21-0700',mode:absolute,to:'2017-02-05T12:11:28-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4030%22')),sort:!(Time.ISO8601,asc))</v>
      </c>
      <c r="W201" s="192" t="str">
        <f t="shared" si="59"/>
        <v>Y</v>
      </c>
      <c r="X201" s="192" t="e">
        <f t="shared" si="77"/>
        <v>#VALUE!</v>
      </c>
      <c r="Y201" s="62">
        <f t="shared" si="75"/>
        <v>2.1818</v>
      </c>
      <c r="Z201" s="62">
        <f t="shared" si="74"/>
        <v>1.38E-2</v>
      </c>
      <c r="AA201" s="62">
        <f t="shared" si="62"/>
        <v>2.1680000000000001</v>
      </c>
      <c r="AB201" s="59" t="e">
        <f>VLOOKUP(A201,Enforcements!$C$7:$K$16,8,0)</f>
        <v>#N/A</v>
      </c>
      <c r="AC201" s="55" t="e">
        <f>VLOOKUP(A201,Enforcements!$C$7:$E$16,3,0)</f>
        <v>#N/A</v>
      </c>
      <c r="AD201" s="56" t="str">
        <f t="shared" si="63"/>
        <v>50-05</v>
      </c>
      <c r="AE201" s="85" t="str">
        <f t="shared" si="64"/>
        <v>aws s3 cp s3://rtdc.mdm.uploadarchive.raw/RTDC4030/ "%USERPROFILE%\AppData\Local\Temp\OnboardLogs"\RTDC4030\2017-02-05 --exclude "*" --recursive --include "*20170205*" &amp; "%USERPROFILE%\Documents\GitHub\mrs-test-scripts\Headless Mode &amp; Sideloading\WalkAndUnGZ.bat" "%USERPROFILE%\AppData\Local\Temp\OnboardLogs"\RTDC4030\2017-02-05 &amp; aws s3 cp s3://rtdc.mdm.uploadarchive.raw/RTDC4030/ "%USERPROFILE%\AppData\Local\Temp\OnboardLogs"\RTDC4030\2017-02-06 --exclude "*" --recursive --include "*20170206*" &amp; "%USERPROFILE%\Documents\GitHub\mrs-test-scripts\Headless Mode &amp; Sideloading\WalkAndUnGZ.bat" "%USERPROFILE%\AppData\Local\Temp\OnboardLogs"\RTDC4030\2017-02-06</v>
      </c>
      <c r="AF201" s="82" t="str">
        <f t="shared" si="65"/>
        <v>"C:\Program Files (x86)\AstroGrep\AstroGrep.exe" /spath="%USERPROFILE%\AppData\Local\Temp\OnboardLogs" /stypes="app*4030*20170205*" /stext=" 18:.+((SYSTEM_STATE.+slice.+state.+changed )|(ment ac)|(multiple cpu faults)|(system.+state.+changed )|(\[timeout)|(PRM\|1\|D)|(kpr)|(kdp)|(\|lc)|(penalty))" /e /r /s</v>
      </c>
      <c r="AG201" s="1" t="str">
        <f t="shared" si="66"/>
        <v>Other</v>
      </c>
      <c r="AH201" s="86" t="str">
        <f t="shared" si="78"/>
        <v>"%USERPROFILE%\Documents\GitHub\eaglep3\Utilities\RefineRTDCRunTimes.py" --tripid 50-05 --locoid 4030 --swversion DE.1.0.8.0 --startMP 300:21818 --initTime 2017-02-05T11:02:21 --startdatetime 2017-02-05T11:03:55 --delay 1 --endMP 204:138 --enddatetime 2017-02-05T11:11:28 --enforcementcount 0 &gt;&gt;C:\Users\stu\Documents\GitHub\eaglep3-reporting\EC\2017-02-05-refined-times.txt</v>
      </c>
      <c r="AI201" s="108" t="str">
        <f t="shared" si="79"/>
        <v>echo {"issue":{"subject":"","project_id":79,"tracker_id":40,"status_id":1,"priority_id":2,"assigned_to_id":23,"start_date":"2017-02-05","description":"","custom_fields":[{"id":1,"name":"Subdivision","value":"Other"},{"id":4,"name":"Milepost","value":"0.0138"},{"id":17,"name":"Train ID","value":"50-05"},{"id":16,"name":"Locomotive ID","value":"4030"},{"id":130,"name":"Impact","value":""},{"id":150,"name":"Time of Event (Mountain Time)","value":"11:11:28"},{"id":151,"name":"Denver Issue ID","value":""},{"id":178,"name":"Operational Impact","value":"Yes"},{"id":179,"name":"Denver Segment Assigned","value":""}]}} | curl -X POST -H "Content-Type: application/json" -H "X-Redmine-API-Key: d6333d4a04012a730768444271f8ca06482dae87" https://secure.xorail.net/redmine/issues.json --data @-</v>
      </c>
      <c r="AJ201" s="48"/>
      <c r="AK201" s="48"/>
      <c r="AL201" s="48"/>
      <c r="AM201" s="158" t="str">
        <f t="shared" si="80"/>
        <v>start /low /b %USERPROFILE%\Documents\GitHub\eaglep3\Utilities\DownloadLogsFromS3.py --loco 4030 --day 2017-02-05</v>
      </c>
      <c r="AN201" s="167" t="str">
        <f>"grep -SE -B400 ""CHR.+\|PRM\|1\|D.+(SWITCH|SIGNAL).+UNKNOWN"" "&amp;search_path&amp;"\RTDC"&amp;B201&amp;"\*"&amp;B201&amp;"*"&amp;TEXT(AVERAGE(F201,I201)-utc_offset/24,"YYYYMMDD")&amp;"* | grep -SE ""(Enforcement Action)|(\[TIMEOUT)|(CHR.+\|PRM\|1\|D.+(SWITCH|SIGNAL).+UNKNOWN)"" - &gt;&gt; "&amp;TEXT(Variables!$A$2,"YYYY-MM-DD")&amp;"-UncaughtWiMAX.txt"</f>
        <v>grep -SE -B400 "CHR.+\|PRM\|1\|D.+(SWITCH|SIGNAL).+UNKNOWN" "%USERPROFILE%\AppData\Local\Temp\OnboardLogs"\RTDC4030\*4030*20170205* | grep -SE "(Enforcement Action)|(\[TIMEOUT)|(CHR.+\|PRM\|1\|D.+(SWITCH|SIGNAL).+UNKNOWN)" - &gt;&gt; 2017-02-05-UncaughtWiMAX.txt</v>
      </c>
    </row>
    <row r="202" spans="1:91" x14ac:dyDescent="0.25">
      <c r="A202" s="33" t="s">
        <v>620</v>
      </c>
      <c r="B202" s="7">
        <v>4029</v>
      </c>
      <c r="C202" s="21" t="s">
        <v>193</v>
      </c>
      <c r="D202" s="21" t="s">
        <v>364</v>
      </c>
      <c r="E202" s="13">
        <v>42771.477685185186</v>
      </c>
      <c r="F202" s="13">
        <v>42771.484756944446</v>
      </c>
      <c r="G202" s="7">
        <v>1</v>
      </c>
      <c r="H202" s="21" t="s">
        <v>334</v>
      </c>
      <c r="I202" s="13">
        <v>42771.489270833335</v>
      </c>
      <c r="J202" s="7">
        <v>0</v>
      </c>
      <c r="K202" s="98" t="str">
        <f t="shared" si="54"/>
        <v>4029/4030</v>
      </c>
      <c r="L202" s="21" t="str">
        <f>VLOOKUP(A202,'Trips&amp;Operators'!$C$1:$G$99999,5,FALSE)</f>
        <v>DAVIS WENDY</v>
      </c>
      <c r="M202" s="6">
        <f t="shared" si="55"/>
        <v>4.5138888890505768E-3</v>
      </c>
      <c r="N202" s="7">
        <f t="shared" si="76"/>
        <v>6.5000000002328306</v>
      </c>
      <c r="O202" s="7"/>
      <c r="P202" s="7"/>
      <c r="Q202" s="22"/>
      <c r="R202" s="22"/>
      <c r="S202" s="31">
        <f t="shared" si="56"/>
        <v>0</v>
      </c>
      <c r="T202" s="46" t="e">
        <f t="shared" si="57"/>
        <v>#VALUE!</v>
      </c>
      <c r="U202" s="190">
        <f>IF(AG202="EC",COUNTIFS(Variables!$M$2:$M$19,IF(T202="NorthBound","&gt;=","&lt;=")&amp;Y202,Variables!$M$2:$M$19,IF(T202="NorthBound","&lt;=","&gt;=")&amp;Z202),COUNTIFS(Variables!$P$2:$P$19,IF(T202="NorthBound","&gt;=","&lt;=")&amp;Y202,Variables!$P$2:$P$19,IF(T202="NorthBound","&lt;=","&gt;=")&amp;Z202))</f>
        <v>0</v>
      </c>
      <c r="V202" s="191" t="str">
        <f t="shared" si="58"/>
        <v>https://d0f6bd738d7f1b3e5a7ca70fe4ff75f0.us-east-1.aws.found.io/app/kibana#/discover/Steve-Slow-Train-Analysis-(2080s-and-2083s)?_g=(refreshInterval:(display:Off,pause:!f,section:0,value:0),time:(from:'2017-02-05T10:27:52-0700',mode:absolute,to:'2017-02-05T12:44: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4029%22')),sort:!(Time.ISO8601,asc))</v>
      </c>
      <c r="W202" s="192" t="str">
        <f t="shared" si="59"/>
        <v>Y</v>
      </c>
      <c r="X202" s="192" t="e">
        <f t="shared" si="77"/>
        <v>#VALUE!</v>
      </c>
      <c r="Y202" s="62">
        <f t="shared" si="75"/>
        <v>4.7500000000000001E-2</v>
      </c>
      <c r="Z202" s="62">
        <f t="shared" si="74"/>
        <v>2.3346</v>
      </c>
      <c r="AA202" s="62">
        <f t="shared" si="62"/>
        <v>2.2871000000000001</v>
      </c>
      <c r="AB202" s="59" t="e">
        <f>VLOOKUP(A202,Enforcements!$C$7:$K$16,8,0)</f>
        <v>#N/A</v>
      </c>
      <c r="AC202" s="55" t="e">
        <f>VLOOKUP(A202,Enforcements!$C$7:$E$16,3,0)</f>
        <v>#N/A</v>
      </c>
      <c r="AD202" s="56" t="str">
        <f t="shared" si="63"/>
        <v>51-05</v>
      </c>
      <c r="AE202" s="85" t="str">
        <f t="shared" si="64"/>
        <v>aws s3 cp s3://rtdc.mdm.uploadarchive.raw/RTDC4029/ "%USERPROFILE%\AppData\Local\Temp\OnboardLogs"\RTDC4029\2017-02-05 --exclude "*" --recursive --include "*20170205*" &amp; "%USERPROFILE%\Documents\GitHub\mrs-test-scripts\Headless Mode &amp; Sideloading\WalkAndUnGZ.bat" "%USERPROFILE%\AppData\Local\Temp\OnboardLogs"\RTDC4029\2017-02-05 &amp; aws s3 cp s3://rtdc.mdm.uploadarchive.raw/RTDC4029/ "%USERPROFILE%\AppData\Local\Temp\OnboardLogs"\RTDC4029\2017-02-06 --exclude "*" --recursive --include "*20170206*" &amp; "%USERPROFILE%\Documents\GitHub\mrs-test-scripts\Headless Mode &amp; Sideloading\WalkAndUnGZ.bat" "%USERPROFILE%\AppData\Local\Temp\OnboardLogs"\RTDC4029\2017-02-06</v>
      </c>
      <c r="AF202" s="82" t="str">
        <f t="shared" si="65"/>
        <v>"C:\Program Files (x86)\AstroGrep\AstroGrep.exe" /spath="%USERPROFILE%\AppData\Local\Temp\OnboardLogs" /stypes="app*4029*20170205*" /stext=" 18:.+((SYSTEM_STATE.+slice.+state.+changed )|(ment ac)|(multiple cpu faults)|(system.+state.+changed )|(\[timeout)|(PRM\|1\|D)|(kpr)|(kdp)|(\|lc)|(penalty))" /e /r /s</v>
      </c>
      <c r="AG202" s="1" t="str">
        <f t="shared" si="66"/>
        <v>Other</v>
      </c>
      <c r="AH202" s="86" t="str">
        <f t="shared" si="78"/>
        <v>"%USERPROFILE%\Documents\GitHub\eaglep3\Utilities\RefineRTDCRunTimes.py" --tripid 51-05 --locoid 4029 --swversion DE.1.0.8.0 --startMP 204:475 --initTime 2017-02-05T11:27:52 --startdatetime 2017-02-05T11:38:03 --delay 1 --endMP 300:23346 --enddatetime 2017-02-05T11:44:33 --enforcementcount 0 &gt;&gt;C:\Users\stu\Documents\GitHub\eaglep3-reporting\EC\2017-02-05-refined-times.txt</v>
      </c>
      <c r="AI202" s="108" t="str">
        <f t="shared" si="79"/>
        <v>echo {"issue":{"subject":"","project_id":79,"tracker_id":40,"status_id":1,"priority_id":2,"assigned_to_id":23,"start_date":"2017-02-05","description":"","custom_fields":[{"id":1,"name":"Subdivision","value":"Other"},{"id":4,"name":"Milepost","value":"2.3346"},{"id":17,"name":"Train ID","value":"51-05"},{"id":16,"name":"Locomotive ID","value":"4029"},{"id":130,"name":"Impact","value":""},{"id":150,"name":"Time of Event (Mountain Time)","value":"11:44:33"},{"id":151,"name":"Denver Issue ID","value":""},{"id":178,"name":"Operational Impact","value":"Yes"},{"id":179,"name":"Denver Segment Assigned","value":""}]}} | curl -X POST -H "Content-Type: application/json" -H "X-Redmine-API-Key: d6333d4a04012a730768444271f8ca06482dae87" https://secure.xorail.net/redmine/issues.json --data @-</v>
      </c>
      <c r="AJ202" s="48"/>
      <c r="AK202" s="48"/>
      <c r="AL202" s="48"/>
      <c r="AM202" s="158" t="str">
        <f t="shared" si="80"/>
        <v>start /low /b %USERPROFILE%\Documents\GitHub\eaglep3\Utilities\DownloadLogsFromS3.py --loco 4029 --day 2017-02-05</v>
      </c>
      <c r="AN202" s="167" t="str">
        <f>"grep -SE -B400 ""CHR.+\|PRM\|1\|D.+(SWITCH|SIGNAL).+UNKNOWN"" "&amp;search_path&amp;"\RTDC"&amp;B202&amp;"\*"&amp;B202&amp;"*"&amp;TEXT(AVERAGE(F202,I202)-utc_offset/24,"YYYYMMDD")&amp;"* | grep -SE ""(Enforcement Action)|(\[TIMEOUT)|(CHR.+\|PRM\|1\|D.+(SWITCH|SIGNAL).+UNKNOWN)"" - &gt;&gt; "&amp;TEXT(Variables!$A$2,"YYYY-MM-DD")&amp;"-UncaughtWiMAX.txt"</f>
        <v>grep -SE -B400 "CHR.+\|PRM\|1\|D.+(SWITCH|SIGNAL).+UNKNOWN" "%USERPROFILE%\AppData\Local\Temp\OnboardLogs"\RTDC4029\*4029*20170205* | grep -SE "(Enforcement Action)|(\[TIMEOUT)|(CHR.+\|PRM\|1\|D.+(SWITCH|SIGNAL).+UNKNOWN)" - &gt;&gt; 2017-02-05-UncaughtWiMAX.txt</v>
      </c>
    </row>
    <row r="203" spans="1:91" x14ac:dyDescent="0.25">
      <c r="A203" s="33" t="s">
        <v>688</v>
      </c>
      <c r="B203" s="7">
        <v>4030</v>
      </c>
      <c r="C203" s="21" t="s">
        <v>193</v>
      </c>
      <c r="D203" s="21" t="s">
        <v>865</v>
      </c>
      <c r="E203" s="13">
        <v>42771.73474537037</v>
      </c>
      <c r="F203" s="13">
        <v>42771.743449074071</v>
      </c>
      <c r="G203" s="7">
        <v>12</v>
      </c>
      <c r="H203" s="21" t="s">
        <v>866</v>
      </c>
      <c r="I203" s="13">
        <v>42771.749745370369</v>
      </c>
      <c r="J203" s="7">
        <v>0</v>
      </c>
      <c r="K203" s="98" t="str">
        <f t="shared" si="54"/>
        <v>4029/4030</v>
      </c>
      <c r="L203" s="21" t="str">
        <f>VLOOKUP(A203,'Trips&amp;Operators'!$C$1:$G$99999,5,FALSE)</f>
        <v>SMITH MICHAEL</v>
      </c>
      <c r="M203" s="6">
        <f t="shared" si="55"/>
        <v>6.2962962983874604E-3</v>
      </c>
      <c r="N203" s="7">
        <f t="shared" si="76"/>
        <v>9.066666669677943</v>
      </c>
      <c r="O203" s="7"/>
      <c r="P203" s="7"/>
      <c r="Q203" s="22"/>
      <c r="R203" s="22"/>
      <c r="S203" s="31">
        <f t="shared" si="56"/>
        <v>0</v>
      </c>
      <c r="T203" s="46" t="e">
        <f t="shared" si="57"/>
        <v>#VALUE!</v>
      </c>
      <c r="U203" s="190">
        <f>IF(AG203="EC",COUNTIFS(Variables!$M$2:$M$19,IF(T203="NorthBound","&gt;=","&lt;=")&amp;Y203,Variables!$M$2:$M$19,IF(T203="NorthBound","&lt;=","&gt;=")&amp;Z203),COUNTIFS(Variables!$P$2:$P$19,IF(T203="NorthBound","&gt;=","&lt;=")&amp;Y203,Variables!$P$2:$P$19,IF(T203="NorthBound","&lt;=","&gt;=")&amp;Z203))</f>
        <v>0</v>
      </c>
      <c r="V203" s="191" t="str">
        <f t="shared" si="58"/>
        <v>https://d0f6bd738d7f1b3e5a7ca70fe4ff75f0.us-east-1.aws.found.io/app/kibana#/discover/Steve-Slow-Train-Analysis-(2080s-and-2083s)?_g=(refreshInterval:(display:Off,pause:!f,section:0,value:0),time:(from:'2017-02-05T16:38:02-0700',mode:absolute,to:'2017-02-05T18:59:38-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4030%22')),sort:!(Time.ISO8601,asc))</v>
      </c>
      <c r="W203" s="192" t="str">
        <f t="shared" si="59"/>
        <v>Y</v>
      </c>
      <c r="X203" s="192" t="e">
        <f t="shared" si="77"/>
        <v>#VALUE!</v>
      </c>
      <c r="Y203" s="62">
        <f t="shared" si="75"/>
        <v>2.3462999999999998</v>
      </c>
      <c r="Z203" s="62">
        <f t="shared" si="74"/>
        <v>8.0999999999999996E-3</v>
      </c>
      <c r="AA203" s="62">
        <f t="shared" si="62"/>
        <v>2.3381999999999996</v>
      </c>
      <c r="AB203" s="59" t="e">
        <f>VLOOKUP(A203,Enforcements!$C$7:$K$16,8,0)</f>
        <v>#N/A</v>
      </c>
      <c r="AC203" s="55" t="e">
        <f>VLOOKUP(A203,Enforcements!$C$7:$E$16,3,0)</f>
        <v>#N/A</v>
      </c>
      <c r="AD203" s="56" t="str">
        <f t="shared" si="63"/>
        <v>52-05</v>
      </c>
      <c r="AE203" s="85" t="str">
        <f t="shared" si="64"/>
        <v>aws s3 cp s3://rtdc.mdm.uploadarchive.raw/RTDC4030/ "%USERPROFILE%\AppData\Local\Temp\OnboardLogs"\RTDC4030\2017-02-05 --exclude "*" --recursive --include "*20170205*" &amp; "%USERPROFILE%\Documents\GitHub\mrs-test-scripts\Headless Mode &amp; Sideloading\WalkAndUnGZ.bat" "%USERPROFILE%\AppData\Local\Temp\OnboardLogs"\RTDC4030\2017-02-05 &amp; aws s3 cp s3://rtdc.mdm.uploadarchive.raw/RTDC4030/ "%USERPROFILE%\AppData\Local\Temp\OnboardLogs"\RTDC4030\2017-02-06 --exclude "*" --recursive --include "*20170206*" &amp; "%USERPROFILE%\Documents\GitHub\mrs-test-scripts\Headless Mode &amp; Sideloading\WalkAndUnGZ.bat" "%USERPROFILE%\AppData\Local\Temp\OnboardLogs"\RTDC4030\2017-02-06</v>
      </c>
      <c r="AF203" s="82" t="str">
        <f t="shared" si="65"/>
        <v>"C:\Program Files (x86)\AstroGrep\AstroGrep.exe" /spath="%USERPROFILE%\AppData\Local\Temp\OnboardLogs" /stypes="app*4030*20170206*" /stext=" 00:.+((SYSTEM_STATE.+slice.+state.+changed )|(ment ac)|(multiple cpu faults)|(system.+state.+changed )|(\[timeout)|(PRM\|1\|D)|(kpr)|(kdp)|(\|lc)|(penalty))" /e /r /s</v>
      </c>
      <c r="AG203" s="1" t="str">
        <f t="shared" si="66"/>
        <v>Other</v>
      </c>
      <c r="AH203" s="86" t="str">
        <f t="shared" si="78"/>
        <v>"%USERPROFILE%\Documents\GitHub\eaglep3\Utilities\RefineRTDCRunTimes.py" --tripid 52-05 --locoid 4030 --swversion DE.1.0.8.0 --startMP 300:23463 --initTime 2017-02-05T17:38:02 --startdatetime 2017-02-05T17:50:34 --delay 12 --endMP 204:81 --enddatetime 2017-02-05T17:59:38 --enforcementcount 0 &gt;&gt;C:\Users\stu\Documents\GitHub\eaglep3-reporting\EC\2017-02-05-refined-times.txt</v>
      </c>
      <c r="AI203" s="108" t="str">
        <f t="shared" si="79"/>
        <v>echo {"issue":{"subject":"","project_id":79,"tracker_id":40,"status_id":1,"priority_id":2,"assigned_to_id":23,"start_date":"2017-02-05","description":"","custom_fields":[{"id":1,"name":"Subdivision","value":"Other"},{"id":4,"name":"Milepost","value":"0.0081"},{"id":17,"name":"Train ID","value":"52-05"},{"id":16,"name":"Locomotive ID","value":"4030"},{"id":130,"name":"Impact","value":""},{"id":150,"name":"Time of Event (Mountain Time)","value":"17:59:38"},{"id":151,"name":"Denver Issue ID","value":""},{"id":178,"name":"Operational Impact","value":"Yes"},{"id":179,"name":"Denver Segment Assigned","value":""}]}} | curl -X POST -H "Content-Type: application/json" -H "X-Redmine-API-Key: d6333d4a04012a730768444271f8ca06482dae87" https://secure.xorail.net/redmine/issues.json --data @-</v>
      </c>
      <c r="AJ203" s="48"/>
      <c r="AK203" s="48"/>
      <c r="AL203" s="48"/>
      <c r="AM203" s="158" t="str">
        <f t="shared" si="80"/>
        <v>start /low /b %USERPROFILE%\Documents\GitHub\eaglep3\Utilities\DownloadLogsFromS3.py --loco 4030 --day 2017-02-05</v>
      </c>
      <c r="AN203" s="167" t="str">
        <f>"grep -SE -B400 ""CHR.+\|PRM\|1\|D.+(SWITCH|SIGNAL).+UNKNOWN"" "&amp;search_path&amp;"\RTDC"&amp;B203&amp;"\*"&amp;B203&amp;"*"&amp;TEXT(AVERAGE(F203,I203)-utc_offset/24,"YYYYMMDD")&amp;"* | grep -SE ""(Enforcement Action)|(\[TIMEOUT)|(CHR.+\|PRM\|1\|D.+(SWITCH|SIGNAL).+UNKNOWN)"" - &gt;&gt; "&amp;TEXT(Variables!$A$2,"YYYY-MM-DD")&amp;"-UncaughtWiMAX.txt"</f>
        <v>grep -SE -B400 "CHR.+\|PRM\|1\|D.+(SWITCH|SIGNAL).+UNKNOWN" "%USERPROFILE%\AppData\Local\Temp\OnboardLogs"\RTDC4030\*4030*20170206* | grep -SE "(Enforcement Action)|(\[TIMEOUT)|(CHR.+\|PRM\|1\|D.+(SWITCH|SIGNAL).+UNKNOWN)" - &gt;&gt; 2017-02-05-UncaughtWiMAX.txt</v>
      </c>
    </row>
    <row r="204" spans="1:91" x14ac:dyDescent="0.25">
      <c r="A204" s="33" t="s">
        <v>675</v>
      </c>
      <c r="B204" s="7">
        <v>4002</v>
      </c>
      <c r="C204" s="21" t="s">
        <v>193</v>
      </c>
      <c r="D204" s="21" t="s">
        <v>867</v>
      </c>
      <c r="E204" s="13">
        <v>42771.704444444447</v>
      </c>
      <c r="F204" s="13">
        <v>25568.708333333332</v>
      </c>
      <c r="G204" s="7">
        <v>1</v>
      </c>
      <c r="H204" s="21" t="s">
        <v>868</v>
      </c>
      <c r="I204" s="13">
        <v>25568.708333333332</v>
      </c>
      <c r="J204" s="7">
        <v>0</v>
      </c>
      <c r="K204" s="98" t="str">
        <f t="shared" si="54"/>
        <v>4001/4002</v>
      </c>
      <c r="L204" s="21" t="str">
        <f>VLOOKUP(A204,'Trips&amp;Operators'!$C$1:$G$99999,5,FALSE)</f>
        <v>HOLCOMB KAMDEN</v>
      </c>
      <c r="M204" s="6">
        <f t="shared" si="55"/>
        <v>0</v>
      </c>
      <c r="N204" s="7">
        <f t="shared" si="76"/>
        <v>0</v>
      </c>
      <c r="O204" s="7"/>
      <c r="P204" s="7"/>
      <c r="Q204" s="22"/>
      <c r="R204" s="22"/>
      <c r="S204" s="31">
        <f t="shared" si="56"/>
        <v>0</v>
      </c>
      <c r="T204" s="46" t="e">
        <f t="shared" si="57"/>
        <v>#VALUE!</v>
      </c>
      <c r="U204" s="190">
        <f>IF(AG204="EC",COUNTIFS(Variables!$M$2:$M$19,IF(T204="NorthBound","&gt;=","&lt;=")&amp;Y204,Variables!$M$2:$M$19,IF(T204="NorthBound","&lt;=","&gt;=")&amp;Z204),COUNTIFS(Variables!$P$2:$P$19,IF(T204="NorthBound","&gt;=","&lt;=")&amp;Y204,Variables!$P$2:$P$19,IF(T204="NorthBound","&lt;=","&gt;=")&amp;Z204))</f>
        <v>0</v>
      </c>
      <c r="V204" s="191" t="str">
        <f t="shared" si="58"/>
        <v>https://d0f6bd738d7f1b3e5a7ca70fe4ff75f0.us-east-1.aws.found.io/app/kibana#/discover/Steve-Slow-Train-Analysis-(2080s-and-2083s)?_g=(refreshInterval:(display:Off,pause:!f,section:0,value:0),time:(from:'2017-02-05T15:54:24-0700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204" s="192" t="str">
        <f t="shared" si="59"/>
        <v>Y</v>
      </c>
      <c r="X204" s="192" t="e">
        <f t="shared" si="77"/>
        <v>#VALUE!</v>
      </c>
      <c r="Y204" s="62">
        <f t="shared" si="75"/>
        <v>0.12659999999999999</v>
      </c>
      <c r="Z204" s="62">
        <f t="shared" si="74"/>
        <v>2.3294999999999999</v>
      </c>
      <c r="AA204" s="62">
        <f t="shared" si="62"/>
        <v>2.2029000000000001</v>
      </c>
      <c r="AB204" s="59" t="e">
        <f>VLOOKUP(A204,Enforcements!$C$7:$K$16,8,0)</f>
        <v>#N/A</v>
      </c>
      <c r="AC204" s="55" t="e">
        <f>VLOOKUP(A204,Enforcements!$C$7:$E$16,3,0)</f>
        <v>#N/A</v>
      </c>
      <c r="AD204" s="56" t="str">
        <f t="shared" si="63"/>
        <v>53-05</v>
      </c>
      <c r="AE204" s="85" t="str">
        <f t="shared" si="64"/>
        <v>aws s3 cp s3://rtdc.mdm.uploadarchive.raw/RTDC4002/ "%USERPROFILE%\AppData\Local\Temp\OnboardLogs"\RTDC4002\1969-12-31 --exclude "*" --recursive --include "*19691231*" &amp; "%USERPROFILE%\Documents\GitHub\mrs-test-scripts\Headless Mode &amp; Sideloading\WalkAndUnGZ.bat" "%USERPROFILE%\AppData\Local\Temp\OnboardLogs"\RTDC4002\1969-12-31 &amp; aws s3 cp s3://rtdc.mdm.uploadarchive.raw/RTDC4002/ "%USERPROFILE%\AppData\Local\Temp\OnboardLogs"\RTDC4002\1970-01-01 --exclude "*" --recursive --include "*19700101*" &amp; "%USERPROFILE%\Documents\GitHub\mrs-test-scripts\Headless Mode &amp; Sideloading\WalkAndUnGZ.bat" "%USERPROFILE%\AppData\Local\Temp\OnboardLogs"\RTDC4002\1970-01-01</v>
      </c>
      <c r="AF204" s="82" t="str">
        <f t="shared" si="65"/>
        <v>"C:\Program Files (x86)\AstroGrep\AstroGrep.exe" /spath="%USERPROFILE%\AppData\Local\Temp\OnboardLogs" /stypes="app*4002*19700101*" /stext=" 00:.+((SYSTEM_STATE.+slice.+state.+changed )|(ment ac)|(multiple cpu faults)|(system.+state.+changed )|(\[timeout)|(PRM\|1\|D)|(kpr)|(kdp)|(\|lc)|(penalty))" /e /r /s</v>
      </c>
      <c r="AG204" s="1" t="str">
        <f t="shared" si="66"/>
        <v>Other</v>
      </c>
      <c r="AH204" s="86" t="str">
        <f t="shared" si="78"/>
        <v>"%USERPROFILE%\Documents\GitHub\eaglep3\Utilities\RefineRTDCRunTimes.py" --tripid 53-05 --locoid 4002 --swversion DE.1.0.8.0 --startMP 204:1266 --initTime 2017-02-05T16:54:24 --startdatetime 1969-12-31T17:00:00 --delay 1 --endMP 300:23295 --enddatetime 1969-12-31T17:00:00 --enforcementcount 0 &gt;&gt;C:\Users\stu\Documents\GitHub\eaglep3-reporting\EC\2017-02-05-refined-times.txt</v>
      </c>
      <c r="AI204" s="108" t="str">
        <f t="shared" si="79"/>
        <v>echo {"issue":{"subject":"","project_id":79,"tracker_id":40,"status_id":1,"priority_id":2,"assigned_to_id":23,"start_date":"1969-12-31","description":"","custom_fields":[{"id":1,"name":"Subdivision","value":"Other"},{"id":4,"name":"Milepost","value":"2.3295"},{"id":17,"name":"Train ID","value":"53-05"},{"id":16,"name":"Locomotive ID","value":"4002"},{"id":130,"name":"Impact","value":""},{"id":150,"name":"Time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4" s="48"/>
      <c r="AK204" s="48"/>
      <c r="AL204" s="48"/>
      <c r="AM204" s="158" t="str">
        <f t="shared" si="80"/>
        <v>start /low /b %USERPROFILE%\Documents\GitHub\eaglep3\Utilities\DownloadLogsFromS3.py --loco 4002 --day 1969-12-31</v>
      </c>
      <c r="AN204" s="167" t="str">
        <f>"grep -SE -B400 ""CHR.+\|PRM\|1\|D.+(SWITCH|SIGNAL).+UNKNOWN"" "&amp;search_path&amp;"\RTDC"&amp;B204&amp;"\*"&amp;B204&amp;"*"&amp;TEXT(AVERAGE(F204,I204)-utc_offset/24,"YYYYMMDD")&amp;"* | grep -SE ""(Enforcement Action)|(\[TIMEOUT)|(CHR.+\|PRM\|1\|D.+(SWITCH|SIGNAL).+UNKNOWN)"" - &gt;&gt; "&amp;TEXT(Variables!$A$2,"YYYY-MM-DD")&amp;"-UncaughtWiMAX.txt"</f>
        <v>grep -SE -B400 "CHR.+\|PRM\|1\|D.+(SWITCH|SIGNAL).+UNKNOWN" "%USERPROFILE%\AppData\Local\Temp\OnboardLogs"\RTDC4002\*4002*19700101* | grep -SE "(Enforcement Action)|(\[TIMEOUT)|(CHR.+\|PRM\|1\|D.+(SWITCH|SIGNAL).+UNKNOWN)" - &gt;&gt; 2017-02-05-UncaughtWiMAX.txt</v>
      </c>
    </row>
    <row r="205" spans="1:91" x14ac:dyDescent="0.25">
      <c r="A205" s="33" t="s">
        <v>691</v>
      </c>
      <c r="B205" s="7">
        <v>4045</v>
      </c>
      <c r="C205" s="21" t="s">
        <v>193</v>
      </c>
      <c r="D205" s="21" t="s">
        <v>869</v>
      </c>
      <c r="E205" s="13">
        <v>42771.753495370373</v>
      </c>
      <c r="F205" s="13">
        <v>42771.754930555559</v>
      </c>
      <c r="G205" s="7">
        <v>1</v>
      </c>
      <c r="H205" s="21" t="s">
        <v>870</v>
      </c>
      <c r="I205" s="13">
        <v>42771.777789351851</v>
      </c>
      <c r="J205" s="7">
        <v>0</v>
      </c>
      <c r="K205" s="98" t="str">
        <f t="shared" ref="K205:K218" si="81">IF(ISEVEN(B205),(B205-1)&amp;"/"&amp;B205,B205&amp;"/"&amp;(B205+1))</f>
        <v>4045/4046</v>
      </c>
      <c r="L205" s="21" t="str">
        <f>VLOOKUP(A205,'Trips&amp;Operators'!$C$1:$G$99999,5,FALSE)</f>
        <v>COMELLA JUSTIN</v>
      </c>
      <c r="M205" s="6">
        <f t="shared" ref="M205:M218" si="82">I205-F205</f>
        <v>2.2858796291984618E-2</v>
      </c>
      <c r="N205" s="7">
        <f t="shared" si="76"/>
        <v>32.91666666045785</v>
      </c>
      <c r="O205" s="7"/>
      <c r="P205" s="7"/>
      <c r="Q205" s="22"/>
      <c r="R205" s="22"/>
      <c r="S205" s="31">
        <f t="shared" ref="S205:S218" si="83">SUM(U205:U205)/IF(AG205="EC",12,1)</f>
        <v>0</v>
      </c>
      <c r="T205" s="46" t="e">
        <f t="shared" ref="T205:T218" si="84">IF(ISEVEN(LEFT(AD205,4)),"Southbound","NorthBound")</f>
        <v>#VALUE!</v>
      </c>
      <c r="U205" s="190">
        <f>IF(AG205="EC",COUNTIFS(Variables!$M$2:$M$19,IF(T205="NorthBound","&gt;=","&lt;=")&amp;Y205,Variables!$M$2:$M$19,IF(T205="NorthBound","&lt;=","&gt;=")&amp;Z205),COUNTIFS(Variables!$P$2:$P$19,IF(T205="NorthBound","&gt;=","&lt;=")&amp;Y205,Variables!$P$2:$P$19,IF(T205="NorthBound","&lt;=","&gt;=")&amp;Z205))</f>
        <v>0</v>
      </c>
      <c r="V205" s="191" t="str">
        <f t="shared" ref="V205:V218" si="85">"https://d0f6bd738d7f1b3e5a7ca70fe4ff75f0.us-east-1.aws.found.io/app/kibana#/discover/Steve-Slow-Train-Analysis-(2080s-and-2083s)?_g="&amp;"(refreshInterval:(display:Off,pause:!f,section:0,value:0),time:(from:'"&amp;TEXT(E205-1/24,"yyyy-MM-DDThh:mm:ss")&amp;utc_offset&amp;"00"&amp;"',mode:absolute,to:'"&amp;TEXT(I205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205&amp;"%22')),sort:!(Time.ISO8601,asc))"</f>
        <v>https://d0f6bd738d7f1b3e5a7ca70fe4ff75f0.us-east-1.aws.found.io/app/kibana#/discover/Steve-Slow-Train-Analysis-(2080s-and-2083s)?_g=(refreshInterval:(display:Off,pause:!f,section:0,value:0),time:(from:'2017-02-05T17:05:02-0700',mode:absolute,to:'2017-02-05T19:40:01-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4045%22')),sort:!(Time.ISO8601,asc))</v>
      </c>
      <c r="W205" s="192" t="str">
        <f t="shared" ref="W205:W218" si="86">IF(AA205&lt;IF(AG205="EC",23,5.65),"Y","N")</f>
        <v>Y</v>
      </c>
      <c r="X205" s="192" t="e">
        <f t="shared" si="77"/>
        <v>#VALUE!</v>
      </c>
      <c r="Y205" s="62">
        <f t="shared" si="75"/>
        <v>2.3161</v>
      </c>
      <c r="Z205" s="62">
        <f t="shared" si="74"/>
        <v>0.20039999999999999</v>
      </c>
      <c r="AA205" s="62">
        <f t="shared" ref="AA205:AA218" si="87">ABS(Z205-Y205)</f>
        <v>2.1156999999999999</v>
      </c>
      <c r="AB205" s="59" t="e">
        <f>VLOOKUP(A205,Enforcements!$C$7:$K$16,8,0)</f>
        <v>#N/A</v>
      </c>
      <c r="AC205" s="55" t="e">
        <f>VLOOKUP(A205,Enforcements!$C$7:$E$16,3,0)</f>
        <v>#N/A</v>
      </c>
      <c r="AD205" s="56" t="str">
        <f t="shared" ref="AD205:AD218" si="88">IF(LEN(A205)=6,"0"&amp;A205,A205)</f>
        <v>54-05</v>
      </c>
      <c r="AE205" s="85" t="str">
        <f t="shared" ref="AE205:AE218" si="89">"aws s3 cp "&amp;s3_bucket&amp;"/RTDC"&amp;B205&amp;"/ "&amp;search_path&amp;"\RTDC"&amp;B205&amp;"\"&amp;TEXT(F205,"YYYY-MM-DD")&amp;" --exclude ""*"" --recursive --include ""*"&amp;TEXT(F205,"YYYYMMDD")&amp;"*"" &amp; """&amp;walkandungz&amp;""" "&amp;search_path&amp;"\RTDC"&amp;B205&amp;"\"&amp;TEXT(F205,"YYYY-MM-DD")
&amp;" &amp; "&amp;"aws s3 cp "&amp;s3_bucket&amp;"/RTDC"&amp;B205&amp;"/ "&amp;search_path&amp;"\RTDC"&amp;B205&amp;"\"&amp;TEXT(F205+1,"YYYY-MM-DD")&amp;" --exclude ""*"" --recursive --include ""*"&amp;TEXT(F205+1,"YYYYMMDD")&amp;"*"" &amp; """&amp;walkandungz&amp;""" "&amp;search_path&amp;"\RTDC"&amp;B205&amp;"\"&amp;TEXT(F205+1,"YYYY-MM-DD")</f>
        <v>aws s3 cp s3://rtdc.mdm.uploadarchive.raw/RTDC4045/ "%USERPROFILE%\AppData\Local\Temp\OnboardLogs"\RTDC4045\2017-02-05 --exclude "*" --recursive --include "*20170205*" &amp; "%USERPROFILE%\Documents\GitHub\mrs-test-scripts\Headless Mode &amp; Sideloading\WalkAndUnGZ.bat" "%USERPROFILE%\AppData\Local\Temp\OnboardLogs"\RTDC4045\2017-02-05 &amp; aws s3 cp s3://rtdc.mdm.uploadarchive.raw/RTDC4045/ "%USERPROFILE%\AppData\Local\Temp\OnboardLogs"\RTDC4045\2017-02-06 --exclude "*" --recursive --include "*20170206*" &amp; "%USERPROFILE%\Documents\GitHub\mrs-test-scripts\Headless Mode &amp; Sideloading\WalkAndUnGZ.bat" "%USERPROFILE%\AppData\Local\Temp\OnboardLogs"\RTDC4045\2017-02-06</v>
      </c>
      <c r="AF205" s="82" t="str">
        <f t="shared" ref="AF205:AF218" si="90">astrogrep_path&amp;" /spath="&amp;search_path&amp;" /stypes=""app*"&amp;B205&amp;"*"&amp;TEXT(I205-utc_offset/24,"YYYYMMDD")&amp;"*"" /stext="" "&amp;TEXT(I205-utc_offset/24,"HH")&amp;search_regexp&amp;""" /e /r /s"</f>
        <v>"C:\Program Files (x86)\AstroGrep\AstroGrep.exe" /spath="%USERPROFILE%\AppData\Local\Temp\OnboardLogs" /stypes="app*4045*20170206*" /stext=" 01:.+((SYSTEM_STATE.+slice.+state.+changed )|(ment ac)|(multiple cpu faults)|(system.+state.+changed )|(\[timeout)|(PRM\|1\|D)|(kpr)|(kdp)|(\|lc)|(penalty))" /e /r /s</v>
      </c>
      <c r="AG205" s="1" t="str">
        <f t="shared" ref="AG205:AG218" si="91">IFERROR(IF(VALUE(LEFT(AD205,2))&lt;=2,"EC",IF(OR(VALUE(LEFT(AD205,2))=8,VALUE(LEFT(AD205,2))=18),"NW","Other")),"Other")</f>
        <v>Other</v>
      </c>
      <c r="AH205" s="86" t="str">
        <f t="shared" si="78"/>
        <v>"%USERPROFILE%\Documents\GitHub\eaglep3\Utilities\RefineRTDCRunTimes.py" --tripid 54-05 --locoid 4045 --swversion DE.1.0.8.0 --startMP 300:23161 --initTime 2017-02-05T18:05:02 --startdatetime 2017-02-05T18:07:06 --delay 1 --endMP 204:2004 --enddatetime 2017-02-05T18:40:01 --enforcementcount 0 &gt;&gt;C:\Users\stu\Documents\GitHub\eaglep3-reporting\EC\2017-02-05-refined-times.txt</v>
      </c>
      <c r="AI205" s="108" t="str">
        <f t="shared" si="79"/>
        <v>echo {"issue":{"subject":"","project_id":79,"tracker_id":40,"status_id":1,"priority_id":2,"assigned_to_id":23,"start_date":"2017-02-05","description":"","custom_fields":[{"id":1,"name":"Subdivision","value":"Other"},{"id":4,"name":"Milepost","value":"0.2004"},{"id":17,"name":"Train ID","value":"54-05"},{"id":16,"name":"Locomotive ID","value":"4045"},{"id":130,"name":"Impact","value":""},{"id":150,"name":"Time of Event (Mountain Time)","value":"18:40:01"},{"id":151,"name":"Denver Issue ID","value":""},{"id":178,"name":"Operational Impact","value":"Yes"},{"id":179,"name":"Denver Segment Assigned","value":""}]}} | curl -X POST -H "Content-Type: application/json" -H "X-Redmine-API-Key: d6333d4a04012a730768444271f8ca06482dae87" https://secure.xorail.net/redmine/issues.json --data @-</v>
      </c>
      <c r="AJ205" s="48"/>
      <c r="AK205" s="48"/>
      <c r="AL205" s="48"/>
      <c r="AM205" s="158" t="str">
        <f t="shared" si="80"/>
        <v>start /low /b %USERPROFILE%\Documents\GitHub\eaglep3\Utilities\DownloadLogsFromS3.py --loco 4045 --day 2017-02-05</v>
      </c>
      <c r="AN205" s="167" t="str">
        <f>"grep -SE -B400 ""CHR.+\|PRM\|1\|D.+(SWITCH|SIGNAL).+UNKNOWN"" "&amp;search_path&amp;"\RTDC"&amp;B205&amp;"\*"&amp;B205&amp;"*"&amp;TEXT(AVERAGE(F205,I205)-utc_offset/24,"YYYYMMDD")&amp;"* | grep -SE ""(Enforcement Action)|(\[TIMEOUT)|(CHR.+\|PRM\|1\|D.+(SWITCH|SIGNAL).+UNKNOWN)"" - &gt;&gt; "&amp;TEXT(Variables!$A$2,"YYYY-MM-DD")&amp;"-UncaughtWiMAX.txt"</f>
        <v>grep -SE -B400 "CHR.+\|PRM\|1\|D.+(SWITCH|SIGNAL).+UNKNOWN" "%USERPROFILE%\AppData\Local\Temp\OnboardLogs"\RTDC4045\*4045*20170206* | grep -SE "(Enforcement Action)|(\[TIMEOUT)|(CHR.+\|PRM\|1\|D.+(SWITCH|SIGNAL).+UNKNOWN)" - &gt;&gt; 2017-02-05-UncaughtWiMAX.txt</v>
      </c>
    </row>
    <row r="206" spans="1:91" x14ac:dyDescent="0.25">
      <c r="A206" s="33" t="s">
        <v>695</v>
      </c>
      <c r="B206" s="7">
        <v>4029</v>
      </c>
      <c r="C206" s="21" t="s">
        <v>193</v>
      </c>
      <c r="D206" s="21" t="s">
        <v>871</v>
      </c>
      <c r="E206" s="13">
        <v>42771.767256944448</v>
      </c>
      <c r="F206" s="13">
        <v>25568.708333333332</v>
      </c>
      <c r="G206" s="7">
        <v>1</v>
      </c>
      <c r="H206" s="21" t="s">
        <v>334</v>
      </c>
      <c r="I206" s="13">
        <v>25568.708333333332</v>
      </c>
      <c r="J206" s="7">
        <v>0</v>
      </c>
      <c r="K206" s="98" t="str">
        <f t="shared" si="81"/>
        <v>4029/4030</v>
      </c>
      <c r="L206" s="21" t="str">
        <f>VLOOKUP(A206,'Trips&amp;Operators'!$C$1:$G$99999,5,FALSE)</f>
        <v>LEVIN SCOTT</v>
      </c>
      <c r="M206" s="6">
        <f t="shared" si="82"/>
        <v>0</v>
      </c>
      <c r="N206" s="7">
        <f t="shared" si="76"/>
        <v>0</v>
      </c>
      <c r="O206" s="7"/>
      <c r="P206" s="7"/>
      <c r="Q206" s="22"/>
      <c r="R206" s="22"/>
      <c r="S206" s="31">
        <f t="shared" si="83"/>
        <v>0</v>
      </c>
      <c r="T206" s="46" t="e">
        <f t="shared" si="84"/>
        <v>#VALUE!</v>
      </c>
      <c r="U206" s="190">
        <f>IF(AG206="EC",COUNTIFS(Variables!$M$2:$M$19,IF(T206="NorthBound","&gt;=","&lt;=")&amp;Y206,Variables!$M$2:$M$19,IF(T206="NorthBound","&lt;=","&gt;=")&amp;Z206),COUNTIFS(Variables!$P$2:$P$19,IF(T206="NorthBound","&gt;=","&lt;=")&amp;Y206,Variables!$P$2:$P$19,IF(T206="NorthBound","&lt;=","&gt;=")&amp;Z206))</f>
        <v>0</v>
      </c>
      <c r="V206" s="191" t="str">
        <f t="shared" si="85"/>
        <v>https://d0f6bd738d7f1b3e5a7ca70fe4ff75f0.us-east-1.aws.found.io/app/kibana#/discover/Steve-Slow-Train-Analysis-(2080s-and-2083s)?_g=(refreshInterval:(display:Off,pause:!f,section:0,value:0),time:(from:'2017-02-05T17:24:51-0700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4029%22')),sort:!(Time.ISO8601,asc))</v>
      </c>
      <c r="W206" s="192" t="str">
        <f t="shared" si="86"/>
        <v>Y</v>
      </c>
      <c r="X206" s="192" t="e">
        <f t="shared" si="77"/>
        <v>#VALUE!</v>
      </c>
      <c r="Y206" s="62">
        <f t="shared" si="75"/>
        <v>3.85E-2</v>
      </c>
      <c r="Z206" s="62">
        <f t="shared" si="74"/>
        <v>2.3346</v>
      </c>
      <c r="AA206" s="62">
        <f t="shared" si="87"/>
        <v>2.2961</v>
      </c>
      <c r="AB206" s="59" t="e">
        <f>VLOOKUP(A206,Enforcements!$C$7:$K$16,8,0)</f>
        <v>#N/A</v>
      </c>
      <c r="AC206" s="55" t="e">
        <f>VLOOKUP(A206,Enforcements!$C$7:$E$16,3,0)</f>
        <v>#N/A</v>
      </c>
      <c r="AD206" s="56" t="str">
        <f t="shared" si="88"/>
        <v>55-05</v>
      </c>
      <c r="AE206" s="85" t="str">
        <f t="shared" si="89"/>
        <v>aws s3 cp s3://rtdc.mdm.uploadarchive.raw/RTDC4029/ "%USERPROFILE%\AppData\Local\Temp\OnboardLogs"\RTDC4029\1969-12-31 --exclude "*" --recursive --include "*19691231*" &amp; "%USERPROFILE%\Documents\GitHub\mrs-test-scripts\Headless Mode &amp; Sideloading\WalkAndUnGZ.bat" "%USERPROFILE%\AppData\Local\Temp\OnboardLogs"\RTDC4029\1969-12-31 &amp; aws s3 cp s3://rtdc.mdm.uploadarchive.raw/RTDC4029/ "%USERPROFILE%\AppData\Local\Temp\OnboardLogs"\RTDC4029\1970-01-01 --exclude "*" --recursive --include "*19700101*" &amp; "%USERPROFILE%\Documents\GitHub\mrs-test-scripts\Headless Mode &amp; Sideloading\WalkAndUnGZ.bat" "%USERPROFILE%\AppData\Local\Temp\OnboardLogs"\RTDC4029\1970-01-01</v>
      </c>
      <c r="AF206" s="82" t="str">
        <f t="shared" si="90"/>
        <v>"C:\Program Files (x86)\AstroGrep\AstroGrep.exe" /spath="%USERPROFILE%\AppData\Local\Temp\OnboardLogs" /stypes="app*4029*19700101*" /stext=" 00:.+((SYSTEM_STATE.+slice.+state.+changed )|(ment ac)|(multiple cpu faults)|(system.+state.+changed )|(\[timeout)|(PRM\|1\|D)|(kpr)|(kdp)|(\|lc)|(penalty))" /e /r /s</v>
      </c>
      <c r="AG206" s="1" t="str">
        <f t="shared" si="91"/>
        <v>Other</v>
      </c>
      <c r="AH206" s="86" t="str">
        <f t="shared" si="78"/>
        <v>"%USERPROFILE%\Documents\GitHub\eaglep3\Utilities\RefineRTDCRunTimes.py" --tripid 55-05 --locoid 4029 --swversion DE.1.0.8.0 --startMP 204:385 --initTime 2017-02-05T18:24:51 --startdatetime 1969-12-31T17:00:00 --delay 1 --endMP 300:23346 --enddatetime 1969-12-31T17:00:00 --enforcementcount 0 &gt;&gt;C:\Users\stu\Documents\GitHub\eaglep3-reporting\EC\2017-02-05-refined-times.txt</v>
      </c>
      <c r="AI206" s="108" t="str">
        <f t="shared" si="79"/>
        <v>echo {"issue":{"subject":"","project_id":79,"tracker_id":40,"status_id":1,"priority_id":2,"assigned_to_id":23,"start_date":"1969-12-31","description":"","custom_fields":[{"id":1,"name":"Subdivision","value":"Other"},{"id":4,"name":"Milepost","value":"2.3346"},{"id":17,"name":"Train ID","value":"55-05"},{"id":16,"name":"Locomotive ID","value":"4029"},{"id":130,"name":"Impact","value":""},{"id":150,"name":"Time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6" s="48"/>
      <c r="AK206" s="48"/>
      <c r="AL206" s="48"/>
      <c r="AM206" s="158" t="str">
        <f t="shared" si="80"/>
        <v>start /low /b %USERPROFILE%\Documents\GitHub\eaglep3\Utilities\DownloadLogsFromS3.py --loco 4029 --day 1969-12-31</v>
      </c>
      <c r="AN206" s="167" t="str">
        <f>"grep -SE -B400 ""CHR.+\|PRM\|1\|D.+(SWITCH|SIGNAL).+UNKNOWN"" "&amp;search_path&amp;"\RTDC"&amp;B206&amp;"\*"&amp;B206&amp;"*"&amp;TEXT(AVERAGE(F206,I206)-utc_offset/24,"YYYYMMDD")&amp;"* | grep -SE ""(Enforcement Action)|(\[TIMEOUT)|(CHR.+\|PRM\|1\|D.+(SWITCH|SIGNAL).+UNKNOWN)"" - &gt;&gt; "&amp;TEXT(Variables!$A$2,"YYYY-MM-DD")&amp;"-UncaughtWiMAX.txt"</f>
        <v>grep -SE -B400 "CHR.+\|PRM\|1\|D.+(SWITCH|SIGNAL).+UNKNOWN" "%USERPROFILE%\AppData\Local\Temp\OnboardLogs"\RTDC4029\*4029*19700101* | grep -SE "(Enforcement Action)|(\[TIMEOUT)|(CHR.+\|PRM\|1\|D.+(SWITCH|SIGNAL).+UNKNOWN)" - &gt;&gt; 2017-02-05-UncaughtWiMAX.txt</v>
      </c>
    </row>
    <row r="207" spans="1:91" x14ac:dyDescent="0.25">
      <c r="A207" s="33" t="s">
        <v>705</v>
      </c>
      <c r="B207" s="7">
        <v>4056</v>
      </c>
      <c r="C207" s="21" t="s">
        <v>193</v>
      </c>
      <c r="D207" s="21" t="s">
        <v>872</v>
      </c>
      <c r="E207" s="13">
        <v>42771.80369212963</v>
      </c>
      <c r="F207" s="13">
        <v>42771.815243055556</v>
      </c>
      <c r="G207" s="7">
        <v>15</v>
      </c>
      <c r="H207" s="21">
        <v>8.5361111111111114</v>
      </c>
      <c r="I207" s="13">
        <v>42771.820763888885</v>
      </c>
      <c r="J207" s="7">
        <v>0</v>
      </c>
      <c r="K207" s="98" t="str">
        <f t="shared" si="81"/>
        <v>4055/4056</v>
      </c>
      <c r="L207" s="21" t="str">
        <f>VLOOKUP(A207,'Trips&amp;Operators'!$C$1:$G$99999,5,FALSE)</f>
        <v>SIMMONS SHYHESHA</v>
      </c>
      <c r="M207" s="6">
        <f t="shared" si="82"/>
        <v>5.5208333287737332E-3</v>
      </c>
      <c r="N207" s="7">
        <f t="shared" si="76"/>
        <v>7.9499999934341758</v>
      </c>
      <c r="O207" s="7"/>
      <c r="P207" s="7"/>
      <c r="Q207" s="22"/>
      <c r="R207" s="22"/>
      <c r="S207" s="31">
        <f t="shared" si="83"/>
        <v>0</v>
      </c>
      <c r="T207" s="46" t="e">
        <f t="shared" si="84"/>
        <v>#VALUE!</v>
      </c>
      <c r="U207" s="190">
        <f>IF(AG207="EC",COUNTIFS(Variables!$M$2:$M$19,IF(T207="NorthBound","&gt;=","&lt;=")&amp;Y207,Variables!$M$2:$M$19,IF(T207="NorthBound","&lt;=","&gt;=")&amp;Z207),COUNTIFS(Variables!$P$2:$P$19,IF(T207="NorthBound","&gt;=","&lt;=")&amp;Y207,Variables!$P$2:$P$19,IF(T207="NorthBound","&lt;=","&gt;=")&amp;Z207))</f>
        <v>0</v>
      </c>
      <c r="V207" s="191" t="str">
        <f t="shared" si="85"/>
        <v>https://d0f6bd738d7f1b3e5a7ca70fe4ff75f0.us-east-1.aws.found.io/app/kibana#/discover/Steve-Slow-Train-Analysis-(2080s-and-2083s)?_g=(refreshInterval:(display:Off,pause:!f,section:0,value:0),time:(from:'2017-02-05T18:17:19-0700',mode:absolute,to:'2017-02-05T20:41:54-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07" s="192" t="str">
        <f t="shared" si="86"/>
        <v>N</v>
      </c>
      <c r="X207" s="192" t="e">
        <f t="shared" si="77"/>
        <v>#VALUE!</v>
      </c>
      <c r="Y207" s="62">
        <f t="shared" si="75"/>
        <v>2.3108</v>
      </c>
      <c r="Z207" s="62">
        <f t="shared" si="74"/>
        <v>61111111.111100003</v>
      </c>
      <c r="AA207" s="62">
        <f t="shared" si="87"/>
        <v>61111108.800300002</v>
      </c>
      <c r="AB207" s="59" t="e">
        <f>VLOOKUP(A207,Enforcements!$C$7:$K$16,8,0)</f>
        <v>#N/A</v>
      </c>
      <c r="AC207" s="55" t="e">
        <f>VLOOKUP(A207,Enforcements!$C$7:$E$16,3,0)</f>
        <v>#N/A</v>
      </c>
      <c r="AD207" s="56" t="str">
        <f t="shared" si="88"/>
        <v>58-05</v>
      </c>
      <c r="AE207" s="85" t="str">
        <f t="shared" si="89"/>
        <v>aws s3 cp s3://rtdc.mdm.uploadarchive.raw/RTDC4056/ "%USERPROFILE%\AppData\Local\Temp\OnboardLogs"\RTDC4056\2017-02-05 --exclude "*" --recursive --include "*20170205*" &amp; "%USERPROFILE%\Documents\GitHub\mrs-test-scripts\Headless Mode &amp; Sideloading\WalkAndUnGZ.bat" "%USERPROFILE%\AppData\Local\Temp\OnboardLogs"\RTDC4056\2017-02-05 &amp; aws s3 cp s3://rtdc.mdm.uploadarchive.raw/RTDC4056/ "%USERPROFILE%\AppData\Local\Temp\OnboardLogs"\RTDC4056\2017-02-06 --exclude "*" --recursive --include "*20170206*" &amp; "%USERPROFILE%\Documents\GitHub\mrs-test-scripts\Headless Mode &amp; Sideloading\WalkAndUnGZ.bat" "%USERPROFILE%\AppData\Local\Temp\OnboardLogs"\RTDC4056\2017-02-06</v>
      </c>
      <c r="AF207" s="82" t="str">
        <f t="shared" si="90"/>
        <v>"C:\Program Files (x86)\AstroGrep\AstroGrep.exe" /spath="%USERPROFILE%\AppData\Local\Temp\OnboardLogs" /stypes="app*4056*20170206*" /stext=" 02:.+((SYSTEM_STATE.+slice.+state.+changed )|(ment ac)|(multiple cpu faults)|(system.+state.+changed )|(\[timeout)|(PRM\|1\|D)|(kpr)|(kdp)|(\|lc)|(penalty))" /e /r /s</v>
      </c>
      <c r="AG207" s="1" t="str">
        <f t="shared" si="91"/>
        <v>Other</v>
      </c>
      <c r="AH207" s="86" t="str">
        <f t="shared" si="78"/>
        <v>"%USERPROFILE%\Documents\GitHub\eaglep3\Utilities\RefineRTDCRunTimes.py" --tripid 58-05 --locoid 4056 --swversion DE.1.0.8.0 --startMP 300:23108 --initTime 2017-02-05T19:17:19 --startdatetime 2017-02-05T19:33:57 --delay 15 --endMP 8.53611111111111 --enddatetime 2017-02-05T19:41:54 --enforcementcount 0 &gt;&gt;C:\Users\stu\Documents\GitHub\eaglep3-reporting\EC\2017-02-05-refined-times.txt</v>
      </c>
      <c r="AI207" s="108" t="str">
        <f t="shared" si="79"/>
        <v>echo {"issue":{"subject":"","project_id":79,"tracker_id":40,"status_id":1,"priority_id":2,"assigned_to_id":23,"start_date":"2017-02-05","description":"","custom_fields":[{"id":1,"name":"Subdivision","value":"Other"},{"id":4,"name":"Milepost","value":"61111111.1111"},{"id":17,"name":"Train ID","value":"58-05"},{"id":16,"name":"Locomotive ID","value":"4056"},{"id":130,"name":"Impact","value":""},{"id":150,"name":"Time of Event (Mountain Time)","value":"19:41:54"},{"id":151,"name":"Denver Issue ID","value":""},{"id":178,"name":"Operational Impact","value":"Yes"},{"id":179,"name":"Denver Segment Assigned","value":""}]}} | curl -X POST -H "Content-Type: application/json" -H "X-Redmine-API-Key: d6333d4a04012a730768444271f8ca06482dae87" https://secure.xorail.net/redmine/issues.json --data @-</v>
      </c>
      <c r="AJ207" s="48"/>
      <c r="AK207" s="48"/>
      <c r="AL207" s="48"/>
      <c r="AM207" s="158" t="str">
        <f t="shared" si="80"/>
        <v>start /low /b %USERPROFILE%\Documents\GitHub\eaglep3\Utilities\DownloadLogsFromS3.py --loco 4056 --day 2017-02-05</v>
      </c>
      <c r="AN207" s="167" t="str">
        <f>"grep -SE -B400 ""CHR.+\|PRM\|1\|D.+(SWITCH|SIGNAL).+UNKNOWN"" "&amp;search_path&amp;"\RTDC"&amp;B207&amp;"\*"&amp;B207&amp;"*"&amp;TEXT(AVERAGE(F207,I207)-utc_offset/24,"YYYYMMDD")&amp;"* | grep -SE ""(Enforcement Action)|(\[TIMEOUT)|(CHR.+\|PRM\|1\|D.+(SWITCH|SIGNAL).+UNKNOWN)"" - &gt;&gt; "&amp;TEXT(Variables!$A$2,"YYYY-MM-DD")&amp;"-UncaughtWiMAX.txt"</f>
        <v>grep -SE -B400 "CHR.+\|PRM\|1\|D.+(SWITCH|SIGNAL).+UNKNOWN" "%USERPROFILE%\AppData\Local\Temp\OnboardLogs"\RTDC4056\*4056*20170206* | grep -SE "(Enforcement Action)|(\[TIMEOUT)|(CHR.+\|PRM\|1\|D.+(SWITCH|SIGNAL).+UNKNOWN)" - &gt;&gt; 2017-02-05-UncaughtWiMAX.txt</v>
      </c>
    </row>
    <row r="208" spans="1:91" x14ac:dyDescent="0.25">
      <c r="A208" s="33" t="s">
        <v>532</v>
      </c>
      <c r="B208" s="7">
        <v>4057</v>
      </c>
      <c r="C208" s="21" t="s">
        <v>193</v>
      </c>
      <c r="D208" s="21" t="s">
        <v>873</v>
      </c>
      <c r="E208" s="13">
        <v>42771.077662037038</v>
      </c>
      <c r="F208" s="13">
        <v>42771.078969907408</v>
      </c>
      <c r="G208" s="7">
        <v>0</v>
      </c>
      <c r="H208" s="21" t="s">
        <v>874</v>
      </c>
      <c r="I208" s="13">
        <v>42771.115937499999</v>
      </c>
      <c r="J208" s="7">
        <v>0</v>
      </c>
      <c r="K208" s="98" t="str">
        <f t="shared" si="81"/>
        <v>4057/4058</v>
      </c>
      <c r="L208" s="21" t="str">
        <f>VLOOKUP(A208,'Trips&amp;Operators'!$C$1:$G$99999,5,FALSE)</f>
        <v>SIMMONS SHYHESHA</v>
      </c>
      <c r="M208" s="6">
        <f t="shared" si="82"/>
        <v>3.6967592590372078E-2</v>
      </c>
      <c r="N208" s="7">
        <f t="shared" si="76"/>
        <v>53.233333330135792</v>
      </c>
      <c r="O208" s="7"/>
      <c r="P208" s="7"/>
      <c r="Q208" s="22"/>
      <c r="R208" s="22"/>
      <c r="S208" s="31">
        <f t="shared" si="83"/>
        <v>0</v>
      </c>
      <c r="T208" s="46" t="e">
        <f t="shared" si="84"/>
        <v>#VALUE!</v>
      </c>
      <c r="U208" s="190">
        <f>IF(AG208="EC",COUNTIFS(Variables!$M$2:$M$19,IF(T208="NorthBound","&gt;=","&lt;=")&amp;Y208,Variables!$M$2:$M$19,IF(T208="NorthBound","&lt;=","&gt;=")&amp;Z208),COUNTIFS(Variables!$P$2:$P$19,IF(T208="NorthBound","&gt;=","&lt;=")&amp;Y208,Variables!$P$2:$P$19,IF(T208="NorthBound","&lt;=","&gt;=")&amp;Z208))</f>
        <v>0</v>
      </c>
      <c r="V208" s="191" t="str">
        <f t="shared" si="85"/>
        <v>https://d0f6bd738d7f1b3e5a7ca70fe4ff75f0.us-east-1.aws.found.io/app/kibana#/discover/Steve-Slow-Train-Analysis-(2080s-and-2083s)?_g=(refreshInterval:(display:Off,pause:!f,section:0,value:0),time:(from:'2017-02-05T00:51:50-0700',mode:absolute,to:'2017-02-05T03:46:57-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4057%22')),sort:!(Time.ISO8601,asc))</v>
      </c>
      <c r="W208" s="192" t="str">
        <f t="shared" si="86"/>
        <v>N</v>
      </c>
      <c r="X208" s="192" t="e">
        <f t="shared" si="77"/>
        <v>#VALUE!</v>
      </c>
      <c r="Y208" s="62">
        <f t="shared" si="75"/>
        <v>23.264600000000002</v>
      </c>
      <c r="Z208" s="62">
        <f t="shared" si="74"/>
        <v>6.4000000000000003E-3</v>
      </c>
      <c r="AA208" s="62">
        <f t="shared" si="87"/>
        <v>23.258200000000002</v>
      </c>
      <c r="AB208" s="59" t="e">
        <f>VLOOKUP(A208,Enforcements!$C$7:$K$16,8,0)</f>
        <v>#N/A</v>
      </c>
      <c r="AC208" s="55" t="e">
        <f>VLOOKUP(A208,Enforcements!$C$7:$E$16,3,0)</f>
        <v>#N/A</v>
      </c>
      <c r="AD208" s="56" t="str">
        <f t="shared" si="88"/>
        <v>80-04</v>
      </c>
      <c r="AE208" s="85" t="str">
        <f t="shared" si="89"/>
        <v>aws s3 cp s3://rtdc.mdm.uploadarchive.raw/RTDC4057/ "%USERPROFILE%\AppData\Local\Temp\OnboardLogs"\RTDC4057\2017-02-05 --exclude "*" --recursive --include "*20170205*" &amp; "%USERPROFILE%\Documents\GitHub\mrs-test-scripts\Headless Mode &amp; Sideloading\WalkAndUnGZ.bat" "%USERPROFILE%\AppData\Local\Temp\OnboardLogs"\RTDC4057\2017-02-05 &amp; aws s3 cp s3://rtdc.mdm.uploadarchive.raw/RTDC4057/ "%USERPROFILE%\AppData\Local\Temp\OnboardLogs"\RTDC4057\2017-02-06 --exclude "*" --recursive --include "*20170206*" &amp; "%USERPROFILE%\Documents\GitHub\mrs-test-scripts\Headless Mode &amp; Sideloading\WalkAndUnGZ.bat" "%USERPROFILE%\AppData\Local\Temp\OnboardLogs"\RTDC4057\2017-02-06</v>
      </c>
      <c r="AF208" s="82" t="str">
        <f t="shared" si="90"/>
        <v>"C:\Program Files (x86)\AstroGrep\AstroGrep.exe" /spath="%USERPROFILE%\AppData\Local\Temp\OnboardLogs" /stypes="app*4057*20170205*" /stext=" 09:.+((SYSTEM_STATE.+slice.+state.+changed )|(ment ac)|(multiple cpu faults)|(system.+state.+changed )|(\[timeout)|(PRM\|1\|D)|(kpr)|(kdp)|(\|lc)|(penalty))" /e /r /s</v>
      </c>
      <c r="AG208" s="1" t="str">
        <f t="shared" si="91"/>
        <v>Other</v>
      </c>
      <c r="AH208" s="86" t="str">
        <f t="shared" si="78"/>
        <v>"%USERPROFILE%\Documents\GitHub\eaglep3\Utilities\RefineRTDCRunTimes.py" --tripid 80-04 --locoid 4057 --swversion DE.1.0.8.0 --startMP 204:232646 --initTime 2017-02-05T01:51:50 --startdatetime 2017-02-05T01:53:43 --delay 0 --endMP 204:64 --enddatetime 2017-02-05T02:46:57 --enforcementcount 0 &gt;&gt;C:\Users\stu\Documents\GitHub\eaglep3-reporting\EC\2017-02-05-refined-times.txt</v>
      </c>
      <c r="AI208" s="108" t="str">
        <f t="shared" si="79"/>
        <v>echo {"issue":{"subject":"","project_id":79,"tracker_id":40,"status_id":1,"priority_id":2,"assigned_to_id":23,"start_date":"2017-02-05","description":"","custom_fields":[{"id":1,"name":"Subdivision","value":"Other"},{"id":4,"name":"Milepost","value":"0.0064"},{"id":17,"name":"Train ID","value":"80-04"},{"id":16,"name":"Locomotive ID","value":"4057"},{"id":130,"name":"Impact","value":""},{"id":150,"name":"Time of Event (Mountain Time)","value":"02:46:57"},{"id":151,"name":"Denver Issue ID","value":""},{"id":178,"name":"Operational Impact","value":"Yes"},{"id":179,"name":"Denver Segment Assigned","value":""}]}} | curl -X POST -H "Content-Type: application/json" -H "X-Redmine-API-Key: d6333d4a04012a730768444271f8ca06482dae87" https://secure.xorail.net/redmine/issues.json --data @-</v>
      </c>
      <c r="AJ208" s="48"/>
      <c r="AK208" s="48"/>
      <c r="AL208" s="48"/>
      <c r="AM208" s="158" t="str">
        <f t="shared" si="80"/>
        <v>start /low /b %USERPROFILE%\Documents\GitHub\eaglep3\Utilities\DownloadLogsFromS3.py --loco 4057 --day 2017-02-05</v>
      </c>
      <c r="AN208" s="167" t="str">
        <f>"grep -SE -B400 ""CHR.+\|PRM\|1\|D.+(SWITCH|SIGNAL).+UNKNOWN"" "&amp;search_path&amp;"\RTDC"&amp;B208&amp;"\*"&amp;B208&amp;"*"&amp;TEXT(AVERAGE(F208,I208)-utc_offset/24,"YYYYMMDD")&amp;"* | grep -SE ""(Enforcement Action)|(\[TIMEOUT)|(CHR.+\|PRM\|1\|D.+(SWITCH|SIGNAL).+UNKNOWN)"" - &gt;&gt; "&amp;TEXT(Variables!$A$2,"YYYY-MM-DD")&amp;"-UncaughtWiMAX.txt"</f>
        <v>grep -SE -B400 "CHR.+\|PRM\|1\|D.+(SWITCH|SIGNAL).+UNKNOWN" "%USERPROFILE%\AppData\Local\Temp\OnboardLogs"\RTDC4057\*4057*20170205* | grep -SE "(Enforcement Action)|(\[TIMEOUT)|(CHR.+\|PRM\|1\|D.+(SWITCH|SIGNAL).+UNKNOWN)" - &gt;&gt; 2017-02-05-UncaughtWiMAX.txt</v>
      </c>
    </row>
    <row r="209" spans="1:40" x14ac:dyDescent="0.25">
      <c r="A209" s="33" t="s">
        <v>522</v>
      </c>
      <c r="B209" s="7">
        <v>4056</v>
      </c>
      <c r="C209" s="21" t="s">
        <v>193</v>
      </c>
      <c r="D209" s="21" t="s">
        <v>283</v>
      </c>
      <c r="E209" s="13">
        <v>42771.881203703706</v>
      </c>
      <c r="F209" s="13">
        <v>42771.882743055554</v>
      </c>
      <c r="G209" s="7">
        <v>1</v>
      </c>
      <c r="H209" s="21" t="s">
        <v>289</v>
      </c>
      <c r="I209" s="13">
        <v>42771.909259259257</v>
      </c>
      <c r="J209" s="7">
        <v>0</v>
      </c>
      <c r="K209" s="98" t="str">
        <f t="shared" si="81"/>
        <v>4055/4056</v>
      </c>
      <c r="L209" s="21" t="str">
        <f>VLOOKUP(A209,'Trips&amp;Operators'!$C$1:$G$99999,5,FALSE)</f>
        <v>SIMMONS SHYHESHA</v>
      </c>
      <c r="M209" s="6">
        <f t="shared" si="82"/>
        <v>2.6516203703067731E-2</v>
      </c>
      <c r="N209" s="7">
        <f t="shared" si="76"/>
        <v>38.183333332417533</v>
      </c>
      <c r="O209" s="7"/>
      <c r="P209" s="7"/>
      <c r="Q209" s="22"/>
      <c r="R209" s="22"/>
      <c r="S209" s="31">
        <f t="shared" si="83"/>
        <v>0</v>
      </c>
      <c r="T209" s="46" t="e">
        <f t="shared" si="84"/>
        <v>#VALUE!</v>
      </c>
      <c r="U209" s="190">
        <f>IF(AG209="EC",COUNTIFS(Variables!$M$2:$M$19,IF(T209="NorthBound","&gt;=","&lt;=")&amp;Y209,Variables!$M$2:$M$19,IF(T209="NorthBound","&lt;=","&gt;=")&amp;Z209),COUNTIFS(Variables!$P$2:$P$19,IF(T209="NorthBound","&gt;=","&lt;=")&amp;Y209,Variables!$P$2:$P$19,IF(T209="NorthBound","&lt;=","&gt;=")&amp;Z209))</f>
        <v>0</v>
      </c>
      <c r="V209" s="191" t="str">
        <f t="shared" si="85"/>
        <v>https://d0f6bd738d7f1b3e5a7ca70fe4ff75f0.us-east-1.aws.found.io/app/kibana#/discover/Steve-Slow-Train-Analysis-(2080s-and-2083s)?_g=(refreshInterval:(display:Off,pause:!f,section:0,value:0),time:(from:'2017-02-05T20:08:56-0700',mode:absolute,to:'2017-02-05T22:49:20-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09" s="192" t="str">
        <f t="shared" si="86"/>
        <v>N</v>
      </c>
      <c r="X209" s="192" t="e">
        <f t="shared" si="77"/>
        <v>#VALUE!</v>
      </c>
      <c r="Y209" s="62">
        <f t="shared" si="75"/>
        <v>23.298200000000001</v>
      </c>
      <c r="Z209" s="62">
        <f t="shared" si="74"/>
        <v>1.5599999999999999E-2</v>
      </c>
      <c r="AA209" s="62">
        <f t="shared" si="87"/>
        <v>23.282600000000002</v>
      </c>
      <c r="AB209" s="59" t="e">
        <f>VLOOKUP(A209,Enforcements!$C$7:$K$16,8,0)</f>
        <v>#N/A</v>
      </c>
      <c r="AC209" s="55" t="e">
        <f>VLOOKUP(A209,Enforcements!$C$7:$E$16,3,0)</f>
        <v>#N/A</v>
      </c>
      <c r="AD209" s="56" t="str">
        <f t="shared" si="88"/>
        <v>80-05</v>
      </c>
      <c r="AE209" s="85" t="str">
        <f t="shared" si="89"/>
        <v>aws s3 cp s3://rtdc.mdm.uploadarchive.raw/RTDC4056/ "%USERPROFILE%\AppData\Local\Temp\OnboardLogs"\RTDC4056\2017-02-05 --exclude "*" --recursive --include "*20170205*" &amp; "%USERPROFILE%\Documents\GitHub\mrs-test-scripts\Headless Mode &amp; Sideloading\WalkAndUnGZ.bat" "%USERPROFILE%\AppData\Local\Temp\OnboardLogs"\RTDC4056\2017-02-05 &amp; aws s3 cp s3://rtdc.mdm.uploadarchive.raw/RTDC4056/ "%USERPROFILE%\AppData\Local\Temp\OnboardLogs"\RTDC4056\2017-02-06 --exclude "*" --recursive --include "*20170206*" &amp; "%USERPROFILE%\Documents\GitHub\mrs-test-scripts\Headless Mode &amp; Sideloading\WalkAndUnGZ.bat" "%USERPROFILE%\AppData\Local\Temp\OnboardLogs"\RTDC4056\2017-02-06</v>
      </c>
      <c r="AF209" s="82" t="str">
        <f t="shared" si="90"/>
        <v>"C:\Program Files (x86)\AstroGrep\AstroGrep.exe" /spath="%USERPROFILE%\AppData\Local\Temp\OnboardLogs" /stypes="app*4056*20170206*" /stext=" 04:.+((SYSTEM_STATE.+slice.+state.+changed )|(ment ac)|(multiple cpu faults)|(system.+state.+changed )|(\[timeout)|(PRM\|1\|D)|(kpr)|(kdp)|(\|lc)|(penalty))" /e /r /s</v>
      </c>
      <c r="AG209" s="1" t="str">
        <f t="shared" si="91"/>
        <v>Other</v>
      </c>
      <c r="AH209" s="86" t="str">
        <f t="shared" si="78"/>
        <v>"%USERPROFILE%\Documents\GitHub\eaglep3\Utilities\RefineRTDCRunTimes.py" --tripid 80-05 --locoid 4056 --swversion DE.1.0.8.0 --startMP 204:232982 --initTime 2017-02-05T21:08:56 --startdatetime 2017-02-05T21:11:09 --delay 1 --endMP 204:156 --enddatetime 2017-02-05T21:49:20 --enforcementcount 0 &gt;&gt;C:\Users\stu\Documents\GitHub\eaglep3-reporting\EC\2017-02-05-refined-times.txt</v>
      </c>
      <c r="AI209" s="108" t="str">
        <f t="shared" si="79"/>
        <v>echo {"issue":{"subject":"","project_id":79,"tracker_id":40,"status_id":1,"priority_id":2,"assigned_to_id":23,"start_date":"2017-02-05","description":"","custom_fields":[{"id":1,"name":"Subdivision","value":"Other"},{"id":4,"name":"Milepost","value":"0.0156"},{"id":17,"name":"Train ID","value":"80-05"},{"id":16,"name":"Locomotive ID","value":"4056"},{"id":130,"name":"Impact","value":""},{"id":150,"name":"Time of Event (Mountain Time)","value":"21:49:20"},{"id":151,"name":"Denver Issue ID","value":""},{"id":178,"name":"Operational Impact","value":"Yes"},{"id":179,"name":"Denver Segment Assigned","value":""}]}} | curl -X POST -H "Content-Type: application/json" -H "X-Redmine-API-Key: d6333d4a04012a730768444271f8ca06482dae87" https://secure.xorail.net/redmine/issues.json --data @-</v>
      </c>
      <c r="AJ209" s="48"/>
      <c r="AK209" s="48"/>
      <c r="AL209" s="48"/>
      <c r="AM209" s="158" t="str">
        <f t="shared" si="80"/>
        <v>start /low /b %USERPROFILE%\Documents\GitHub\eaglep3\Utilities\DownloadLogsFromS3.py --loco 4056 --day 2017-02-05</v>
      </c>
      <c r="AN209" s="167" t="str">
        <f>"grep -SE -B400 ""CHR.+\|PRM\|1\|D.+(SWITCH|SIGNAL).+UNKNOWN"" "&amp;search_path&amp;"\RTDC"&amp;B209&amp;"\*"&amp;B209&amp;"*"&amp;TEXT(AVERAGE(F209,I209)-utc_offset/24,"YYYYMMDD")&amp;"* | grep -SE ""(Enforcement Action)|(\[TIMEOUT)|(CHR.+\|PRM\|1\|D.+(SWITCH|SIGNAL).+UNKNOWN)"" - &gt;&gt; "&amp;TEXT(Variables!$A$2,"YYYY-MM-DD")&amp;"-UncaughtWiMAX.txt"</f>
        <v>grep -SE -B400 "CHR.+\|PRM\|1\|D.+(SWITCH|SIGNAL).+UNKNOWN" "%USERPROFILE%\AppData\Local\Temp\OnboardLogs"\RTDC4056\*4056*20170206* | grep -SE "(Enforcement Action)|(\[TIMEOUT)|(CHR.+\|PRM\|1\|D.+(SWITCH|SIGNAL).+UNKNOWN)" - &gt;&gt; 2017-02-05-UncaughtWiMAX.txt</v>
      </c>
    </row>
    <row r="210" spans="1:40" x14ac:dyDescent="0.25">
      <c r="A210" s="33" t="s">
        <v>522</v>
      </c>
      <c r="B210" s="7">
        <v>4056</v>
      </c>
      <c r="C210" s="21" t="s">
        <v>193</v>
      </c>
      <c r="D210" s="21" t="s">
        <v>363</v>
      </c>
      <c r="E210" s="13">
        <v>42771.95989583333</v>
      </c>
      <c r="F210" s="13">
        <v>42771.963263888887</v>
      </c>
      <c r="G210" s="7">
        <v>1</v>
      </c>
      <c r="H210" s="21" t="s">
        <v>289</v>
      </c>
      <c r="I210" s="13">
        <v>42771.996215277781</v>
      </c>
      <c r="J210" s="7">
        <v>0</v>
      </c>
      <c r="K210" s="98" t="str">
        <f t="shared" si="81"/>
        <v>4055/4056</v>
      </c>
      <c r="L210" s="21" t="str">
        <f>VLOOKUP(A210,'Trips&amp;Operators'!$C$1:$G$99999,5,FALSE)</f>
        <v>SIMMONS SHYHESHA</v>
      </c>
      <c r="M210" s="6">
        <f t="shared" si="82"/>
        <v>3.295138889370719E-2</v>
      </c>
      <c r="N210" s="7">
        <f t="shared" si="76"/>
        <v>47.450000006938353</v>
      </c>
      <c r="O210" s="7"/>
      <c r="P210" s="7"/>
      <c r="Q210" s="22"/>
      <c r="R210" s="22"/>
      <c r="S210" s="31">
        <f t="shared" si="83"/>
        <v>0</v>
      </c>
      <c r="T210" s="46" t="e">
        <f t="shared" si="84"/>
        <v>#VALUE!</v>
      </c>
      <c r="U210" s="190">
        <f>IF(AG210="EC",COUNTIFS(Variables!$M$2:$M$19,IF(T210="NorthBound","&gt;=","&lt;=")&amp;Y210,Variables!$M$2:$M$19,IF(T210="NorthBound","&lt;=","&gt;=")&amp;Z210),COUNTIFS(Variables!$P$2:$P$19,IF(T210="NorthBound","&gt;=","&lt;=")&amp;Y210,Variables!$P$2:$P$19,IF(T210="NorthBound","&lt;=","&gt;=")&amp;Z210))</f>
        <v>0</v>
      </c>
      <c r="V210" s="191" t="str">
        <f t="shared" si="85"/>
        <v>https://d0f6bd738d7f1b3e5a7ca70fe4ff75f0.us-east-1.aws.found.io/app/kibana#/discover/Steve-Slow-Train-Analysis-(2080s-and-2083s)?_g=(refreshInterval:(display:Off,pause:!f,section:0,value:0),time:(from:'2017-02-05T22:02:15-0700',mode:absolute,to:'2017-02-06T00:54: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10" s="192" t="str">
        <f t="shared" si="86"/>
        <v>N</v>
      </c>
      <c r="X210" s="192" t="e">
        <f t="shared" si="77"/>
        <v>#VALUE!</v>
      </c>
      <c r="Y210" s="62">
        <f t="shared" si="75"/>
        <v>23.3004</v>
      </c>
      <c r="Z210" s="62">
        <f t="shared" si="74"/>
        <v>1.5599999999999999E-2</v>
      </c>
      <c r="AA210" s="62">
        <f t="shared" si="87"/>
        <v>23.284800000000001</v>
      </c>
      <c r="AB210" s="59" t="e">
        <f>VLOOKUP(A210,Enforcements!$C$7:$K$16,8,0)</f>
        <v>#N/A</v>
      </c>
      <c r="AC210" s="55" t="e">
        <f>VLOOKUP(A210,Enforcements!$C$7:$E$16,3,0)</f>
        <v>#N/A</v>
      </c>
      <c r="AD210" s="56" t="str">
        <f t="shared" si="88"/>
        <v>80-05</v>
      </c>
      <c r="AE210" s="85" t="str">
        <f t="shared" si="89"/>
        <v>aws s3 cp s3://rtdc.mdm.uploadarchive.raw/RTDC4056/ "%USERPROFILE%\AppData\Local\Temp\OnboardLogs"\RTDC4056\2017-02-05 --exclude "*" --recursive --include "*20170205*" &amp; "%USERPROFILE%\Documents\GitHub\mrs-test-scripts\Headless Mode &amp; Sideloading\WalkAndUnGZ.bat" "%USERPROFILE%\AppData\Local\Temp\OnboardLogs"\RTDC4056\2017-02-05 &amp; aws s3 cp s3://rtdc.mdm.uploadarchive.raw/RTDC4056/ "%USERPROFILE%\AppData\Local\Temp\OnboardLogs"\RTDC4056\2017-02-06 --exclude "*" --recursive --include "*20170206*" &amp; "%USERPROFILE%\Documents\GitHub\mrs-test-scripts\Headless Mode &amp; Sideloading\WalkAndUnGZ.bat" "%USERPROFILE%\AppData\Local\Temp\OnboardLogs"\RTDC4056\2017-02-06</v>
      </c>
      <c r="AF210" s="82" t="str">
        <f t="shared" si="90"/>
        <v>"C:\Program Files (x86)\AstroGrep\AstroGrep.exe" /spath="%USERPROFILE%\AppData\Local\Temp\OnboardLogs" /stypes="app*4056*20170206*" /stext=" 06:.+((SYSTEM_STATE.+slice.+state.+changed )|(ment ac)|(multiple cpu faults)|(system.+state.+changed )|(\[timeout)|(PRM\|1\|D)|(kpr)|(kdp)|(\|lc)|(penalty))" /e /r /s</v>
      </c>
      <c r="AG210" s="1" t="str">
        <f t="shared" si="91"/>
        <v>Other</v>
      </c>
      <c r="AH210" s="86" t="str">
        <f t="shared" si="78"/>
        <v>"%USERPROFILE%\Documents\GitHub\eaglep3\Utilities\RefineRTDCRunTimes.py" --tripid 80-05 --locoid 4056 --swversion DE.1.0.8.0 --startMP 204:233004 --initTime 2017-02-05T23:02:15 --startdatetime 2017-02-05T23:07:06 --delay 1 --endMP 204:156 --enddatetime 2017-02-05T23:54:33 --enforcementcount 0 &gt;&gt;C:\Users\stu\Documents\GitHub\eaglep3-reporting\EC\2017-02-05-refined-times.txt</v>
      </c>
      <c r="AI210" s="108" t="str">
        <f t="shared" si="79"/>
        <v>echo {"issue":{"subject":"","project_id":79,"tracker_id":40,"status_id":1,"priority_id":2,"assigned_to_id":23,"start_date":"2017-02-05","description":"","custom_fields":[{"id":1,"name":"Subdivision","value":"Other"},{"id":4,"name":"Milepost","value":"0.0156"},{"id":17,"name":"Train ID","value":"80-05"},{"id":16,"name":"Locomotive ID","value":"4056"},{"id":130,"name":"Impact","value":""},{"id":150,"name":"Time of Event (Mountain Time)","value":"23:54:33"},{"id":151,"name":"Denver Issue ID","value":""},{"id":178,"name":"Operational Impact","value":"Yes"},{"id":179,"name":"Denver Segment Assigned","value":""}]}} | curl -X POST -H "Content-Type: application/json" -H "X-Redmine-API-Key: d6333d4a04012a730768444271f8ca06482dae87" https://secure.xorail.net/redmine/issues.json --data @-</v>
      </c>
      <c r="AJ210" s="48"/>
      <c r="AK210" s="48"/>
      <c r="AL210" s="48"/>
      <c r="AM210" s="158" t="str">
        <f t="shared" si="80"/>
        <v>start /low /b %USERPROFILE%\Documents\GitHub\eaglep3\Utilities\DownloadLogsFromS3.py --loco 4056 --day 2017-02-05</v>
      </c>
      <c r="AN210" s="167" t="str">
        <f>"grep -SE -B400 ""CHR.+\|PRM\|1\|D.+(SWITCH|SIGNAL).+UNKNOWN"" "&amp;search_path&amp;"\RTDC"&amp;B210&amp;"\*"&amp;B210&amp;"*"&amp;TEXT(AVERAGE(F210,I210)-utc_offset/24,"YYYYMMDD")&amp;"* | grep -SE ""(Enforcement Action)|(\[TIMEOUT)|(CHR.+\|PRM\|1\|D.+(SWITCH|SIGNAL).+UNKNOWN)"" - &gt;&gt; "&amp;TEXT(Variables!$A$2,"YYYY-MM-DD")&amp;"-UncaughtWiMAX.txt"</f>
        <v>grep -SE -B400 "CHR.+\|PRM\|1\|D.+(SWITCH|SIGNAL).+UNKNOWN" "%USERPROFILE%\AppData\Local\Temp\OnboardLogs"\RTDC4056\*4056*20170206* | grep -SE "(Enforcement Action)|(\[TIMEOUT)|(CHR.+\|PRM\|1\|D.+(SWITCH|SIGNAL).+UNKNOWN)" - &gt;&gt; 2017-02-05-UncaughtWiMAX.txt</v>
      </c>
    </row>
    <row r="211" spans="1:40" x14ac:dyDescent="0.25">
      <c r="A211" s="33" t="s">
        <v>522</v>
      </c>
      <c r="B211" s="7">
        <v>4056</v>
      </c>
      <c r="C211" s="21" t="s">
        <v>193</v>
      </c>
      <c r="D211" s="21" t="s">
        <v>875</v>
      </c>
      <c r="E211" s="13">
        <v>42772.040543981479</v>
      </c>
      <c r="F211" s="13">
        <v>42772.04828703704</v>
      </c>
      <c r="G211" s="7">
        <v>1</v>
      </c>
      <c r="H211" s="21" t="s">
        <v>351</v>
      </c>
      <c r="I211" s="13">
        <v>42772.050937499997</v>
      </c>
      <c r="J211" s="7">
        <v>0</v>
      </c>
      <c r="K211" s="98" t="str">
        <f t="shared" si="81"/>
        <v>4055/4056</v>
      </c>
      <c r="L211" s="21" t="str">
        <f>VLOOKUP(A211,'Trips&amp;Operators'!$C$1:$G$99999,5,FALSE)</f>
        <v>SIMMONS SHYHESHA</v>
      </c>
      <c r="M211" s="6">
        <f t="shared" si="82"/>
        <v>2.6504629568080418E-3</v>
      </c>
      <c r="N211" s="7">
        <f t="shared" si="76"/>
        <v>3.8166666578035802</v>
      </c>
      <c r="O211" s="7"/>
      <c r="P211" s="7"/>
      <c r="Q211" s="22"/>
      <c r="R211" s="22"/>
      <c r="S211" s="31">
        <f t="shared" si="83"/>
        <v>0</v>
      </c>
      <c r="T211" s="46" t="e">
        <f t="shared" si="84"/>
        <v>#VALUE!</v>
      </c>
      <c r="U211" s="190">
        <f>IF(AG211="EC",COUNTIFS(Variables!$M$2:$M$19,IF(T211="NorthBound","&gt;=","&lt;=")&amp;Y211,Variables!$M$2:$M$19,IF(T211="NorthBound","&lt;=","&gt;=")&amp;Z211),COUNTIFS(Variables!$P$2:$P$19,IF(T211="NorthBound","&gt;=","&lt;=")&amp;Y211,Variables!$P$2:$P$19,IF(T211="NorthBound","&lt;=","&gt;=")&amp;Z211))</f>
        <v>0</v>
      </c>
      <c r="V211" s="191" t="str">
        <f t="shared" si="85"/>
        <v>https://d0f6bd738d7f1b3e5a7ca70fe4ff75f0.us-east-1.aws.found.io/app/kibana#/discover/Steve-Slow-Train-Analysis-(2080s-and-2083s)?_g=(refreshInterval:(display:Off,pause:!f,section:0,value:0),time:(from:'2017-02-05T23:58:23-0700',mode:absolute,to:'2017-02-06T02:13:21-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11" s="192" t="str">
        <f t="shared" si="86"/>
        <v>Y</v>
      </c>
      <c r="X211" s="192" t="e">
        <f t="shared" si="77"/>
        <v>#VALUE!</v>
      </c>
      <c r="Y211" s="62">
        <f t="shared" si="75"/>
        <v>0.66159999999999997</v>
      </c>
      <c r="Z211" s="62">
        <f t="shared" si="74"/>
        <v>1.29E-2</v>
      </c>
      <c r="AA211" s="62">
        <f t="shared" si="87"/>
        <v>0.64869999999999994</v>
      </c>
      <c r="AB211" s="59" t="e">
        <f>VLOOKUP(A211,Enforcements!$C$7:$K$16,8,0)</f>
        <v>#N/A</v>
      </c>
      <c r="AC211" s="55" t="e">
        <f>VLOOKUP(A211,Enforcements!$C$7:$E$16,3,0)</f>
        <v>#N/A</v>
      </c>
      <c r="AD211" s="56" t="str">
        <f t="shared" si="88"/>
        <v>80-05</v>
      </c>
      <c r="AE211" s="85" t="str">
        <f t="shared" si="89"/>
        <v>aws s3 cp s3://rtdc.mdm.uploadarchive.raw/RTDC4056/ "%USERPROFILE%\AppData\Local\Temp\OnboardLogs"\RTDC4056\2017-02-06 --exclude "*" --recursive --include "*20170206*" &amp; "%USERPROFILE%\Documents\GitHub\mrs-test-scripts\Headless Mode &amp; Sideloading\WalkAndUnGZ.bat" "%USERPROFILE%\AppData\Local\Temp\OnboardLogs"\RTDC4056\2017-02-06 &amp; aws s3 cp s3://rtdc.mdm.uploadarchive.raw/RTDC4056/ "%USERPROFILE%\AppData\Local\Temp\OnboardLogs"\RTDC4056\2017-02-07 --exclude "*" --recursive --include "*20170207*" &amp; "%USERPROFILE%\Documents\GitHub\mrs-test-scripts\Headless Mode &amp; Sideloading\WalkAndUnGZ.bat" "%USERPROFILE%\AppData\Local\Temp\OnboardLogs"\RTDC4056\2017-02-07</v>
      </c>
      <c r="AF211" s="82" t="str">
        <f t="shared" si="90"/>
        <v>"C:\Program Files (x86)\AstroGrep\AstroGrep.exe" /spath="%USERPROFILE%\AppData\Local\Temp\OnboardLogs" /stypes="app*4056*20170206*" /stext=" 08:.+((SYSTEM_STATE.+slice.+state.+changed )|(ment ac)|(multiple cpu faults)|(system.+state.+changed )|(\[timeout)|(PRM\|1\|D)|(kpr)|(kdp)|(\|lc)|(penalty))" /e /r /s</v>
      </c>
      <c r="AG211" s="1" t="str">
        <f t="shared" si="91"/>
        <v>Other</v>
      </c>
      <c r="AH211" s="86" t="str">
        <f t="shared" si="78"/>
        <v>"%USERPROFILE%\Documents\GitHub\eaglep3\Utilities\RefineRTDCRunTimes.py" --tripid 80-05 --locoid 4056 --swversion DE.1.0.8.0 --startMP 204:6616 --initTime 2017-02-06T00:58:23 --startdatetime 2017-02-06T01:09:32 --delay 1 --endMP 204:129 --enddatetime 2017-02-06T01:13:21 --enforcementcount 0 &gt;&gt;C:\Users\stu\Documents\GitHub\eaglep3-reporting\EC\2017-02-05-refined-times.txt</v>
      </c>
      <c r="AI211" s="108" t="str">
        <f t="shared" si="79"/>
        <v>echo {"issue":{"subject":"","project_id":79,"tracker_id":40,"status_id":1,"priority_id":2,"assigned_to_id":23,"start_date":"2017-02-06","description":"","custom_fields":[{"id":1,"name":"Subdivision","value":"Other"},{"id":4,"name":"Milepost","value":"0.0129"},{"id":17,"name":"Train ID","value":"80-05"},{"id":16,"name":"Locomotive ID","value":"4056"},{"id":130,"name":"Impact","value":""},{"id":150,"name":"Time of Event (Mountain Time)","value":"01:13:21"},{"id":151,"name":"Denver Issue ID","value":""},{"id":178,"name":"Operational Impact","value":"Yes"},{"id":179,"name":"Denver Segment Assigned","value":""}]}} | curl -X POST -H "Content-Type: application/json" -H "X-Redmine-API-Key: d6333d4a04012a730768444271f8ca06482dae87" https://secure.xorail.net/redmine/issues.json --data @-</v>
      </c>
      <c r="AJ211" s="48"/>
      <c r="AK211" s="48"/>
      <c r="AL211" s="48"/>
      <c r="AM211" s="158" t="str">
        <f t="shared" si="80"/>
        <v>start /low /b %USERPROFILE%\Documents\GitHub\eaglep3\Utilities\DownloadLogsFromS3.py --loco 4056 --day 2017-02-06</v>
      </c>
      <c r="AN211" s="167" t="str">
        <f>"grep -SE -B400 ""CHR.+\|PRM\|1\|D.+(SWITCH|SIGNAL).+UNKNOWN"" "&amp;search_path&amp;"\RTDC"&amp;B211&amp;"\*"&amp;B211&amp;"*"&amp;TEXT(AVERAGE(F211,I211)-utc_offset/24,"YYYYMMDD")&amp;"* | grep -SE ""(Enforcement Action)|(\[TIMEOUT)|(CHR.+\|PRM\|1\|D.+(SWITCH|SIGNAL).+UNKNOWN)"" - &gt;&gt; "&amp;TEXT(Variables!$A$2,"YYYY-MM-DD")&amp;"-UncaughtWiMAX.txt"</f>
        <v>grep -SE -B400 "CHR.+\|PRM\|1\|D.+(SWITCH|SIGNAL).+UNKNOWN" "%USERPROFILE%\AppData\Local\Temp\OnboardLogs"\RTDC4056\*4056*20170206* | grep -SE "(Enforcement Action)|(\[TIMEOUT)|(CHR.+\|PRM\|1\|D.+(SWITCH|SIGNAL).+UNKNOWN)" - &gt;&gt; 2017-02-05-UncaughtWiMAX.txt</v>
      </c>
    </row>
    <row r="212" spans="1:40" x14ac:dyDescent="0.25">
      <c r="A212" s="33" t="s">
        <v>527</v>
      </c>
      <c r="B212" s="7">
        <v>4055</v>
      </c>
      <c r="C212" s="21" t="s">
        <v>193</v>
      </c>
      <c r="D212" s="21" t="s">
        <v>876</v>
      </c>
      <c r="E212" s="13">
        <v>42771.134421296294</v>
      </c>
      <c r="F212" s="13">
        <v>25568.708333333332</v>
      </c>
      <c r="G212" s="7">
        <v>1</v>
      </c>
      <c r="H212" s="21" t="s">
        <v>877</v>
      </c>
      <c r="I212" s="13">
        <v>25568.708333333332</v>
      </c>
      <c r="J212" s="7">
        <v>0</v>
      </c>
      <c r="K212" s="98" t="str">
        <f t="shared" si="81"/>
        <v>4055/4056</v>
      </c>
      <c r="L212" s="21" t="str">
        <f>VLOOKUP(A212,'Trips&amp;Operators'!$C$1:$G$99999,5,FALSE)</f>
        <v>SIMMONS SHYHESHA</v>
      </c>
      <c r="M212" s="6">
        <f t="shared" si="82"/>
        <v>0</v>
      </c>
      <c r="N212" s="7">
        <f t="shared" si="76"/>
        <v>0</v>
      </c>
      <c r="O212" s="7"/>
      <c r="P212" s="7"/>
      <c r="Q212" s="22"/>
      <c r="R212" s="22"/>
      <c r="S212" s="31">
        <f t="shared" si="83"/>
        <v>0</v>
      </c>
      <c r="T212" s="46" t="e">
        <f t="shared" si="84"/>
        <v>#VALUE!</v>
      </c>
      <c r="U212" s="190">
        <f>IF(AG212="EC",COUNTIFS(Variables!$M$2:$M$19,IF(T212="NorthBound","&gt;=","&lt;=")&amp;Y212,Variables!$M$2:$M$19,IF(T212="NorthBound","&lt;=","&gt;=")&amp;Z212),COUNTIFS(Variables!$P$2:$P$19,IF(T212="NorthBound","&gt;=","&lt;=")&amp;Y212,Variables!$P$2:$P$19,IF(T212="NorthBound","&lt;=","&gt;=")&amp;Z212))</f>
        <v>0</v>
      </c>
      <c r="V212" s="191" t="str">
        <f t="shared" si="85"/>
        <v>https://d0f6bd738d7f1b3e5a7ca70fe4ff75f0.us-east-1.aws.found.io/app/kibana#/discover/Steve-Slow-Train-Analysis-(2080s-and-2083s)?_g=(refreshInterval:(display:Off,pause:!f,section:0,value:0),time:(from:'2017-02-05T02:13:34-0700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212" s="192" t="str">
        <f t="shared" si="86"/>
        <v>Y</v>
      </c>
      <c r="X212" s="192" t="e">
        <f t="shared" si="77"/>
        <v>#VALUE!</v>
      </c>
      <c r="Y212" s="62">
        <f t="shared" si="75"/>
        <v>0.22459999999999999</v>
      </c>
      <c r="Z212" s="62">
        <f t="shared" si="74"/>
        <v>3.1631999999999998</v>
      </c>
      <c r="AA212" s="62">
        <f t="shared" si="87"/>
        <v>2.9385999999999997</v>
      </c>
      <c r="AB212" s="59" t="e">
        <f>VLOOKUP(A212,Enforcements!$C$7:$K$16,8,0)</f>
        <v>#N/A</v>
      </c>
      <c r="AC212" s="55" t="e">
        <f>VLOOKUP(A212,Enforcements!$C$7:$E$16,3,0)</f>
        <v>#N/A</v>
      </c>
      <c r="AD212" s="56" t="str">
        <f t="shared" si="88"/>
        <v>81-04</v>
      </c>
      <c r="AE212" s="85" t="str">
        <f t="shared" si="89"/>
        <v>aws s3 cp s3://rtdc.mdm.uploadarchive.raw/RTDC4055/ "%USERPROFILE%\AppData\Local\Temp\OnboardLogs"\RTDC4055\1969-12-31 --exclude "*" --recursive --include "*19691231*" &amp; "%USERPROFILE%\Documents\GitHub\mrs-test-scripts\Headless Mode &amp; Sideloading\WalkAndUnGZ.bat" "%USERPROFILE%\AppData\Local\Temp\OnboardLogs"\RTDC4055\1969-12-31 &amp; aws s3 cp s3://rtdc.mdm.uploadarchive.raw/RTDC4055/ "%USERPROFILE%\AppData\Local\Temp\OnboardLogs"\RTDC4055\1970-01-01 --exclude "*" --recursive --include "*19700101*" &amp; "%USERPROFILE%\Documents\GitHub\mrs-test-scripts\Headless Mode &amp; Sideloading\WalkAndUnGZ.bat" "%USERPROFILE%\AppData\Local\Temp\OnboardLogs"\RTDC4055\1970-01-01</v>
      </c>
      <c r="AF212" s="82" t="str">
        <f t="shared" si="90"/>
        <v>"C:\Program Files (x86)\AstroGrep\AstroGrep.exe" /spath="%USERPROFILE%\AppData\Local\Temp\OnboardLogs" /stypes="app*4055*19700101*" /stext=" 00:.+((SYSTEM_STATE.+slice.+state.+changed )|(ment ac)|(multiple cpu faults)|(system.+state.+changed )|(\[timeout)|(PRM\|1\|D)|(kpr)|(kdp)|(\|lc)|(penalty))" /e /r /s</v>
      </c>
      <c r="AG212" s="1" t="str">
        <f t="shared" si="91"/>
        <v>Other</v>
      </c>
      <c r="AH212" s="86" t="str">
        <f t="shared" si="78"/>
        <v>"%USERPROFILE%\Documents\GitHub\eaglep3\Utilities\RefineRTDCRunTimes.py" --tripid 81-04 --locoid 4055 --swversion DE.1.0.8.0 --startMP 204:2246 --initTime 2017-02-05T03:13:34 --startdatetime 1969-12-31T17:00:00 --delay 1 --endMP 300:31632 --enddatetime 1969-12-31T17:00:00 --enforcementcount 0 &gt;&gt;C:\Users\stu\Documents\GitHub\eaglep3-reporting\EC\2017-02-05-refined-times.txt</v>
      </c>
      <c r="AI212" s="108" t="str">
        <f t="shared" si="79"/>
        <v>echo {"issue":{"subject":"","project_id":79,"tracker_id":40,"status_id":1,"priority_id":2,"assigned_to_id":23,"start_date":"1969-12-31","description":"","custom_fields":[{"id":1,"name":"Subdivision","value":"Other"},{"id":4,"name":"Milepost","value":"3.1632"},{"id":17,"name":"Train ID","value":"81-04"},{"id":16,"name":"Locomotive ID","value":"4055"},{"id":130,"name":"Impact","value":""},{"id":150,"name":"Time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2" s="48"/>
      <c r="AK212" s="48"/>
      <c r="AL212" s="48"/>
      <c r="AM212" s="158" t="str">
        <f t="shared" si="80"/>
        <v>start /low /b %USERPROFILE%\Documents\GitHub\eaglep3\Utilities\DownloadLogsFromS3.py --loco 4055 --day 1969-12-31</v>
      </c>
      <c r="AN212" s="167" t="str">
        <f>"grep -SE -B400 ""CHR.+\|PRM\|1\|D.+(SWITCH|SIGNAL).+UNKNOWN"" "&amp;search_path&amp;"\RTDC"&amp;B212&amp;"\*"&amp;B212&amp;"*"&amp;TEXT(AVERAGE(F212,I212)-utc_offset/24,"YYYYMMDD")&amp;"* | grep -SE ""(Enforcement Action)|(\[TIMEOUT)|(CHR.+\|PRM\|1\|D.+(SWITCH|SIGNAL).+UNKNOWN)"" - &gt;&gt; "&amp;TEXT(Variables!$A$2,"YYYY-MM-DD")&amp;"-UncaughtWiMAX.txt"</f>
        <v>grep -SE -B400 "CHR.+\|PRM\|1\|D.+(SWITCH|SIGNAL).+UNKNOWN" "%USERPROFILE%\AppData\Local\Temp\OnboardLogs"\RTDC4055\*4055*19700101* | grep -SE "(Enforcement Action)|(\[TIMEOUT)|(CHR.+\|PRM\|1\|D.+(SWITCH|SIGNAL).+UNKNOWN)" - &gt;&gt; 2017-02-05-UncaughtWiMAX.txt</v>
      </c>
    </row>
    <row r="213" spans="1:40" x14ac:dyDescent="0.25">
      <c r="A213" s="33" t="s">
        <v>709</v>
      </c>
      <c r="B213" s="7">
        <v>4055</v>
      </c>
      <c r="C213" s="21" t="s">
        <v>193</v>
      </c>
      <c r="D213" s="21" t="s">
        <v>878</v>
      </c>
      <c r="E213" s="13">
        <v>42771.830972222226</v>
      </c>
      <c r="F213" s="13">
        <v>42771.844814814816</v>
      </c>
      <c r="G213" s="7">
        <v>4</v>
      </c>
      <c r="H213" s="21" t="s">
        <v>330</v>
      </c>
      <c r="I213" s="13">
        <v>42771.872060185182</v>
      </c>
      <c r="J213" s="7">
        <v>0</v>
      </c>
      <c r="K213" s="98" t="str">
        <f t="shared" si="81"/>
        <v>4055/4056</v>
      </c>
      <c r="L213" s="21" t="str">
        <f>VLOOKUP(A213,'Trips&amp;Operators'!$C$1:$G$99999,5,FALSE)</f>
        <v>SIMMONS SHYHESHA</v>
      </c>
      <c r="M213" s="6">
        <f t="shared" si="82"/>
        <v>2.7245370365562849E-2</v>
      </c>
      <c r="N213" s="7">
        <f t="shared" si="76"/>
        <v>39.233333326410502</v>
      </c>
      <c r="O213" s="7"/>
      <c r="P213" s="7"/>
      <c r="Q213" s="22"/>
      <c r="R213" s="22"/>
      <c r="S213" s="31">
        <f t="shared" si="83"/>
        <v>0</v>
      </c>
      <c r="T213" s="46" t="e">
        <f t="shared" si="84"/>
        <v>#VALUE!</v>
      </c>
      <c r="U213" s="190">
        <f>IF(AG213="EC",COUNTIFS(Variables!$M$2:$M$19,IF(T213="NorthBound","&gt;=","&lt;=")&amp;Y213,Variables!$M$2:$M$19,IF(T213="NorthBound","&lt;=","&gt;=")&amp;Z213),COUNTIFS(Variables!$P$2:$P$19,IF(T213="NorthBound","&gt;=","&lt;=")&amp;Y213,Variables!$P$2:$P$19,IF(T213="NorthBound","&lt;=","&gt;=")&amp;Z213))</f>
        <v>0</v>
      </c>
      <c r="V213" s="191" t="str">
        <f t="shared" si="85"/>
        <v>https://d0f6bd738d7f1b3e5a7ca70fe4ff75f0.us-east-1.aws.found.io/app/kibana#/discover/Steve-Slow-Train-Analysis-(2080s-and-2083s)?_g=(refreshInterval:(display:Off,pause:!f,section:0,value:0),time:(from:'2017-02-05T18:56:36-0700',mode:absolute,to:'2017-02-05T21:55:46-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213" s="192" t="str">
        <f t="shared" si="86"/>
        <v>N</v>
      </c>
      <c r="X213" s="192" t="e">
        <f t="shared" si="77"/>
        <v>#VALUE!</v>
      </c>
      <c r="Y213" s="62">
        <f t="shared" si="75"/>
        <v>3.5200000000000002E-2</v>
      </c>
      <c r="Z213" s="62">
        <f t="shared" si="74"/>
        <v>23.330300000000001</v>
      </c>
      <c r="AA213" s="62">
        <f t="shared" si="87"/>
        <v>23.295100000000001</v>
      </c>
      <c r="AB213" s="59" t="e">
        <f>VLOOKUP(A213,Enforcements!$C$7:$K$16,8,0)</f>
        <v>#N/A</v>
      </c>
      <c r="AC213" s="55" t="e">
        <f>VLOOKUP(A213,Enforcements!$C$7:$E$16,3,0)</f>
        <v>#N/A</v>
      </c>
      <c r="AD213" s="56" t="str">
        <f t="shared" si="88"/>
        <v>81-05</v>
      </c>
      <c r="AE213" s="85" t="str">
        <f t="shared" si="89"/>
        <v>aws s3 cp s3://rtdc.mdm.uploadarchive.raw/RTDC4055/ "%USERPROFILE%\AppData\Local\Temp\OnboardLogs"\RTDC4055\2017-02-05 --exclude "*" --recursive --include "*20170205*" &amp; "%USERPROFILE%\Documents\GitHub\mrs-test-scripts\Headless Mode &amp; Sideloading\WalkAndUnGZ.bat" "%USERPROFILE%\AppData\Local\Temp\OnboardLogs"\RTDC4055\2017-02-05 &amp; aws s3 cp s3://rtdc.mdm.uploadarchive.raw/RTDC4055/ "%USERPROFILE%\AppData\Local\Temp\OnboardLogs"\RTDC4055\2017-02-06 --exclude "*" --recursive --include "*20170206*" &amp; "%USERPROFILE%\Documents\GitHub\mrs-test-scripts\Headless Mode &amp; Sideloading\WalkAndUnGZ.bat" "%USERPROFILE%\AppData\Local\Temp\OnboardLogs"\RTDC4055\2017-02-06</v>
      </c>
      <c r="AF213" s="82" t="str">
        <f t="shared" si="90"/>
        <v>"C:\Program Files (x86)\AstroGrep\AstroGrep.exe" /spath="%USERPROFILE%\AppData\Local\Temp\OnboardLogs" /stypes="app*4055*20170206*" /stext=" 03:.+((SYSTEM_STATE.+slice.+state.+changed )|(ment ac)|(multiple cpu faults)|(system.+state.+changed )|(\[timeout)|(PRM\|1\|D)|(kpr)|(kdp)|(\|lc)|(penalty))" /e /r /s</v>
      </c>
      <c r="AG213" s="1" t="str">
        <f t="shared" si="91"/>
        <v>Other</v>
      </c>
      <c r="AH213" s="86" t="str">
        <f t="shared" si="78"/>
        <v>"%USERPROFILE%\Documents\GitHub\eaglep3\Utilities\RefineRTDCRunTimes.py" --tripid 81-05 --locoid 4055 --swversion DE.1.0.8.0 --startMP 204:352 --initTime 2017-02-05T19:56:36 --startdatetime 2017-02-05T20:16:32 --delay 4 --endMP 204:233303 --enddatetime 2017-02-05T20:55:46 --enforcementcount 0 &gt;&gt;C:\Users\stu\Documents\GitHub\eaglep3-reporting\EC\2017-02-05-refined-times.txt</v>
      </c>
      <c r="AI213" s="108" t="str">
        <f t="shared" si="79"/>
        <v>echo {"issue":{"subject":"","project_id":79,"tracker_id":40,"status_id":1,"priority_id":2,"assigned_to_id":23,"start_date":"2017-02-05","description":"","custom_fields":[{"id":1,"name":"Subdivision","value":"Other"},{"id":4,"name":"Milepost","value":"23.3303"},{"id":17,"name":"Train ID","value":"81-05"},{"id":16,"name":"Locomotive ID","value":"4055"},{"id":130,"name":"Impact","value":""},{"id":150,"name":"Time of Event (Mountain Time)","value":"20:55:46"},{"id":151,"name":"Denver Issue ID","value":""},{"id":178,"name":"Operational Impact","value":"Yes"},{"id":179,"name":"Denver Segment Assigned","value":""}]}} | curl -X POST -H "Content-Type: application/json" -H "X-Redmine-API-Key: d6333d4a04012a730768444271f8ca06482dae87" https://secure.xorail.net/redmine/issues.json --data @-</v>
      </c>
      <c r="AJ213" s="48"/>
      <c r="AK213" s="48"/>
      <c r="AL213" s="48"/>
      <c r="AM213" s="158" t="str">
        <f t="shared" si="80"/>
        <v>start /low /b %USERPROFILE%\Documents\GitHub\eaglep3\Utilities\DownloadLogsFromS3.py --loco 4055 --day 2017-02-05</v>
      </c>
      <c r="AN213" s="167" t="str">
        <f>"grep -SE -B400 ""CHR.+\|PRM\|1\|D.+(SWITCH|SIGNAL).+UNKNOWN"" "&amp;search_path&amp;"\RTDC"&amp;B213&amp;"\*"&amp;B213&amp;"*"&amp;TEXT(AVERAGE(F213,I213)-utc_offset/24,"YYYYMMDD")&amp;"* | grep -SE ""(Enforcement Action)|(\[TIMEOUT)|(CHR.+\|PRM\|1\|D.+(SWITCH|SIGNAL).+UNKNOWN)"" - &gt;&gt; "&amp;TEXT(Variables!$A$2,"YYYY-MM-DD")&amp;"-UncaughtWiMAX.txt"</f>
        <v>grep -SE -B400 "CHR.+\|PRM\|1\|D.+(SWITCH|SIGNAL).+UNKNOWN" "%USERPROFILE%\AppData\Local\Temp\OnboardLogs"\RTDC4055\*4055*20170206* | grep -SE "(Enforcement Action)|(\[TIMEOUT)|(CHR.+\|PRM\|1\|D.+(SWITCH|SIGNAL).+UNKNOWN)" - &gt;&gt; 2017-02-05-UncaughtWiMAX.txt</v>
      </c>
    </row>
    <row r="214" spans="1:40" x14ac:dyDescent="0.25">
      <c r="A214" s="33" t="s">
        <v>709</v>
      </c>
      <c r="B214" s="7">
        <v>4055</v>
      </c>
      <c r="C214" s="21" t="s">
        <v>193</v>
      </c>
      <c r="D214" s="21" t="s">
        <v>312</v>
      </c>
      <c r="E214" s="13">
        <v>42771.91265046296</v>
      </c>
      <c r="F214" s="13">
        <v>42771.924270833333</v>
      </c>
      <c r="G214" s="7">
        <v>1</v>
      </c>
      <c r="H214" s="21" t="s">
        <v>320</v>
      </c>
      <c r="I214" s="13">
        <v>42771.952604166669</v>
      </c>
      <c r="J214" s="7">
        <v>0</v>
      </c>
      <c r="K214" s="98" t="str">
        <f t="shared" si="81"/>
        <v>4055/4056</v>
      </c>
      <c r="L214" s="21" t="str">
        <f>VLOOKUP(A214,'Trips&amp;Operators'!$C$1:$G$99999,5,FALSE)</f>
        <v>SIMMONS SHYHESHA</v>
      </c>
      <c r="M214" s="6">
        <f t="shared" si="82"/>
        <v>2.8333333335467614E-2</v>
      </c>
      <c r="N214" s="7">
        <f t="shared" si="76"/>
        <v>40.800000003073364</v>
      </c>
      <c r="O214" s="7"/>
      <c r="P214" s="7"/>
      <c r="Q214" s="22"/>
      <c r="R214" s="22"/>
      <c r="S214" s="31">
        <f t="shared" si="83"/>
        <v>0</v>
      </c>
      <c r="T214" s="46" t="e">
        <f t="shared" si="84"/>
        <v>#VALUE!</v>
      </c>
      <c r="U214" s="190">
        <f>IF(AG214="EC",COUNTIFS(Variables!$M$2:$M$19,IF(T214="NorthBound","&gt;=","&lt;=")&amp;Y214,Variables!$M$2:$M$19,IF(T214="NorthBound","&lt;=","&gt;=")&amp;Z214),COUNTIFS(Variables!$P$2:$P$19,IF(T214="NorthBound","&gt;=","&lt;=")&amp;Y214,Variables!$P$2:$P$19,IF(T214="NorthBound","&lt;=","&gt;=")&amp;Z214))</f>
        <v>0</v>
      </c>
      <c r="V214" s="191" t="str">
        <f t="shared" si="85"/>
        <v>https://d0f6bd738d7f1b3e5a7ca70fe4ff75f0.us-east-1.aws.found.io/app/kibana#/discover/Steve-Slow-Train-Analysis-(2080s-and-2083s)?_g=(refreshInterval:(display:Off,pause:!f,section:0,value:0),time:(from:'2017-02-05T20:54:13-0700',mode:absolute,to:'2017-02-05T23:51: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214" s="192" t="str">
        <f t="shared" si="86"/>
        <v>N</v>
      </c>
      <c r="X214" s="192" t="e">
        <f t="shared" si="77"/>
        <v>#VALUE!</v>
      </c>
      <c r="Y214" s="62">
        <f t="shared" si="75"/>
        <v>4.3700000000000003E-2</v>
      </c>
      <c r="Z214" s="62">
        <f t="shared" si="74"/>
        <v>23.331700000000001</v>
      </c>
      <c r="AA214" s="62">
        <f t="shared" si="87"/>
        <v>23.288</v>
      </c>
      <c r="AB214" s="59" t="e">
        <f>VLOOKUP(A214,Enforcements!$C$7:$K$16,8,0)</f>
        <v>#N/A</v>
      </c>
      <c r="AC214" s="55" t="e">
        <f>VLOOKUP(A214,Enforcements!$C$7:$E$16,3,0)</f>
        <v>#N/A</v>
      </c>
      <c r="AD214" s="56" t="str">
        <f t="shared" si="88"/>
        <v>81-05</v>
      </c>
      <c r="AE214" s="85" t="str">
        <f t="shared" si="89"/>
        <v>aws s3 cp s3://rtdc.mdm.uploadarchive.raw/RTDC4055/ "%USERPROFILE%\AppData\Local\Temp\OnboardLogs"\RTDC4055\2017-02-05 --exclude "*" --recursive --include "*20170205*" &amp; "%USERPROFILE%\Documents\GitHub\mrs-test-scripts\Headless Mode &amp; Sideloading\WalkAndUnGZ.bat" "%USERPROFILE%\AppData\Local\Temp\OnboardLogs"\RTDC4055\2017-02-05 &amp; aws s3 cp s3://rtdc.mdm.uploadarchive.raw/RTDC4055/ "%USERPROFILE%\AppData\Local\Temp\OnboardLogs"\RTDC4055\2017-02-06 --exclude "*" --recursive --include "*20170206*" &amp; "%USERPROFILE%\Documents\GitHub\mrs-test-scripts\Headless Mode &amp; Sideloading\WalkAndUnGZ.bat" "%USERPROFILE%\AppData\Local\Temp\OnboardLogs"\RTDC4055\2017-02-06</v>
      </c>
      <c r="AF214" s="82" t="str">
        <f t="shared" si="90"/>
        <v>"C:\Program Files (x86)\AstroGrep\AstroGrep.exe" /spath="%USERPROFILE%\AppData\Local\Temp\OnboardLogs" /stypes="app*4055*20170206*" /stext=" 05:.+((SYSTEM_STATE.+slice.+state.+changed )|(ment ac)|(multiple cpu faults)|(system.+state.+changed )|(\[timeout)|(PRM\|1\|D)|(kpr)|(kdp)|(\|lc)|(penalty))" /e /r /s</v>
      </c>
      <c r="AG214" s="1" t="str">
        <f t="shared" si="91"/>
        <v>Other</v>
      </c>
      <c r="AH214" s="86" t="str">
        <f t="shared" si="78"/>
        <v>"%USERPROFILE%\Documents\GitHub\eaglep3\Utilities\RefineRTDCRunTimes.py" --tripid 81-05 --locoid 4055 --swversion DE.1.0.8.0 --startMP 204:437 --initTime 2017-02-05T21:54:13 --startdatetime 2017-02-05T22:10:57 --delay 1 --endMP 204:233317 --enddatetime 2017-02-05T22:51:45 --enforcementcount 0 &gt;&gt;C:\Users\stu\Documents\GitHub\eaglep3-reporting\EC\2017-02-05-refined-times.txt</v>
      </c>
      <c r="AI214" s="108" t="str">
        <f t="shared" si="79"/>
        <v>echo {"issue":{"subject":"","project_id":79,"tracker_id":40,"status_id":1,"priority_id":2,"assigned_to_id":23,"start_date":"2017-02-05","description":"","custom_fields":[{"id":1,"name":"Subdivision","value":"Other"},{"id":4,"name":"Milepost","value":"23.3317"},{"id":17,"name":"Train ID","value":"81-05"},{"id":16,"name":"Locomotive ID","value":"4055"},{"id":130,"name":"Impact","value":""},{"id":150,"name":"Time of Event (Mountain Time)","value":"22:51:45"},{"id":151,"name":"Denver Issue ID","value":""},{"id":178,"name":"Operational Impact","value":"Yes"},{"id":179,"name":"Denver Segment Assigned","value":""}]}} | curl -X POST -H "Content-Type: application/json" -H "X-Redmine-API-Key: d6333d4a04012a730768444271f8ca06482dae87" https://secure.xorail.net/redmine/issues.json --data @-</v>
      </c>
      <c r="AJ214" s="48"/>
      <c r="AK214" s="48"/>
      <c r="AL214" s="48"/>
      <c r="AM214" s="158" t="str">
        <f t="shared" si="80"/>
        <v>start /low /b %USERPROFILE%\Documents\GitHub\eaglep3\Utilities\DownloadLogsFromS3.py --loco 4055 --day 2017-02-05</v>
      </c>
      <c r="AN214" s="167" t="str">
        <f>"grep -SE -B400 ""CHR.+\|PRM\|1\|D.+(SWITCH|SIGNAL).+UNKNOWN"" "&amp;search_path&amp;"\RTDC"&amp;B214&amp;"\*"&amp;B214&amp;"*"&amp;TEXT(AVERAGE(F214,I214)-utc_offset/24,"YYYYMMDD")&amp;"* | grep -SE ""(Enforcement Action)|(\[TIMEOUT)|(CHR.+\|PRM\|1\|D.+(SWITCH|SIGNAL).+UNKNOWN)"" - &gt;&gt; "&amp;TEXT(Variables!$A$2,"YYYY-MM-DD")&amp;"-UncaughtWiMAX.txt"</f>
        <v>grep -SE -B400 "CHR.+\|PRM\|1\|D.+(SWITCH|SIGNAL).+UNKNOWN" "%USERPROFILE%\AppData\Local\Temp\OnboardLogs"\RTDC4055\*4055*20170206* | grep -SE "(Enforcement Action)|(\[TIMEOUT)|(CHR.+\|PRM\|1\|D.+(SWITCH|SIGNAL).+UNKNOWN)" - &gt;&gt; 2017-02-05-UncaughtWiMAX.txt</v>
      </c>
    </row>
    <row r="215" spans="1:40" x14ac:dyDescent="0.25">
      <c r="A215" s="33" t="s">
        <v>709</v>
      </c>
      <c r="B215" s="7">
        <v>4055</v>
      </c>
      <c r="C215" s="21" t="s">
        <v>193</v>
      </c>
      <c r="D215" s="21" t="s">
        <v>290</v>
      </c>
      <c r="E215" s="13">
        <v>42772.053101851852</v>
      </c>
      <c r="F215" s="13">
        <v>42772.054386574076</v>
      </c>
      <c r="G215" s="7">
        <v>1</v>
      </c>
      <c r="H215" s="21" t="s">
        <v>419</v>
      </c>
      <c r="I215" s="13">
        <v>42772.059317129628</v>
      </c>
      <c r="J215" s="7">
        <v>0</v>
      </c>
      <c r="K215" s="98" t="str">
        <f t="shared" si="81"/>
        <v>4055/4056</v>
      </c>
      <c r="L215" s="21" t="str">
        <f>VLOOKUP(A215,'Trips&amp;Operators'!$C$1:$G$99999,5,FALSE)</f>
        <v>SIMMONS SHYHESHA</v>
      </c>
      <c r="M215" s="6">
        <f t="shared" si="82"/>
        <v>4.9305555512546562E-3</v>
      </c>
      <c r="N215" s="7">
        <f t="shared" si="76"/>
        <v>7.0999999938067049</v>
      </c>
      <c r="O215" s="7"/>
      <c r="P215" s="7"/>
      <c r="Q215" s="22"/>
      <c r="R215" s="22"/>
      <c r="S215" s="31">
        <f t="shared" si="83"/>
        <v>0</v>
      </c>
      <c r="T215" s="46" t="e">
        <f t="shared" si="84"/>
        <v>#VALUE!</v>
      </c>
      <c r="U215" s="190">
        <f>IF(AG215="EC",COUNTIFS(Variables!$M$2:$M$19,IF(T215="NorthBound","&gt;=","&lt;=")&amp;Y215,Variables!$M$2:$M$19,IF(T215="NorthBound","&lt;=","&gt;=")&amp;Z215),COUNTIFS(Variables!$P$2:$P$19,IF(T215="NorthBound","&gt;=","&lt;=")&amp;Y215,Variables!$P$2:$P$19,IF(T215="NorthBound","&lt;=","&gt;=")&amp;Z215))</f>
        <v>0</v>
      </c>
      <c r="V215" s="191" t="str">
        <f t="shared" si="85"/>
        <v>https://d0f6bd738d7f1b3e5a7ca70fe4ff75f0.us-east-1.aws.found.io/app/kibana#/discover/Steve-Slow-Train-Analysis-(2080s-and-2083s)?_g=(refreshInterval:(display:Off,pause:!f,section:0,value:0),time:(from:'2017-02-06T00:16:28-0700',mode:absolute,to:'2017-02-06T02:25: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215" s="192" t="str">
        <f t="shared" si="86"/>
        <v>Y</v>
      </c>
      <c r="X215" s="192" t="e">
        <f t="shared" si="77"/>
        <v>#VALUE!</v>
      </c>
      <c r="Y215" s="62">
        <f t="shared" si="75"/>
        <v>4.4600000000000001E-2</v>
      </c>
      <c r="Z215" s="62">
        <f t="shared" si="74"/>
        <v>2.3311999999999999</v>
      </c>
      <c r="AA215" s="62">
        <f t="shared" si="87"/>
        <v>2.2866</v>
      </c>
      <c r="AB215" s="59" t="e">
        <f>VLOOKUP(A215,Enforcements!$C$7:$K$16,8,0)</f>
        <v>#N/A</v>
      </c>
      <c r="AC215" s="55" t="e">
        <f>VLOOKUP(A215,Enforcements!$C$7:$E$16,3,0)</f>
        <v>#N/A</v>
      </c>
      <c r="AD215" s="56" t="str">
        <f t="shared" si="88"/>
        <v>81-05</v>
      </c>
      <c r="AE215" s="85" t="str">
        <f t="shared" si="89"/>
        <v>aws s3 cp s3://rtdc.mdm.uploadarchive.raw/RTDC4055/ "%USERPROFILE%\AppData\Local\Temp\OnboardLogs"\RTDC4055\2017-02-06 --exclude "*" --recursive --include "*20170206*" &amp; "%USERPROFILE%\Documents\GitHub\mrs-test-scripts\Headless Mode &amp; Sideloading\WalkAndUnGZ.bat" "%USERPROFILE%\AppData\Local\Temp\OnboardLogs"\RTDC4055\2017-02-06 &amp; aws s3 cp s3://rtdc.mdm.uploadarchive.raw/RTDC4055/ "%USERPROFILE%\AppData\Local\Temp\OnboardLogs"\RTDC4055\2017-02-07 --exclude "*" --recursive --include "*20170207*" &amp; "%USERPROFILE%\Documents\GitHub\mrs-test-scripts\Headless Mode &amp; Sideloading\WalkAndUnGZ.bat" "%USERPROFILE%\AppData\Local\Temp\OnboardLogs"\RTDC4055\2017-02-07</v>
      </c>
      <c r="AF215" s="82" t="str">
        <f t="shared" si="90"/>
        <v>"C:\Program Files (x86)\AstroGrep\AstroGrep.exe" /spath="%USERPROFILE%\AppData\Local\Temp\OnboardLogs" /stypes="app*4055*20170206*" /stext=" 08:.+((SYSTEM_STATE.+slice.+state.+changed )|(ment ac)|(multiple cpu faults)|(system.+state.+changed )|(\[timeout)|(PRM\|1\|D)|(kpr)|(kdp)|(\|lc)|(penalty))" /e /r /s</v>
      </c>
      <c r="AG215" s="1" t="str">
        <f t="shared" si="91"/>
        <v>Other</v>
      </c>
      <c r="AH215" s="86" t="str">
        <f t="shared" si="78"/>
        <v>"%USERPROFILE%\Documents\GitHub\eaglep3\Utilities\RefineRTDCRunTimes.py" --tripid 81-05 --locoid 4055 --swversion DE.1.0.8.0 --startMP 204:446 --initTime 2017-02-06T01:16:28 --startdatetime 2017-02-06T01:18:19 --delay 1 --endMP 300:23312 --enddatetime 2017-02-06T01:25:25 --enforcementcount 0 &gt;&gt;C:\Users\stu\Documents\GitHub\eaglep3-reporting\EC\2017-02-05-refined-times.txt</v>
      </c>
      <c r="AI215" s="108" t="str">
        <f t="shared" si="79"/>
        <v>echo {"issue":{"subject":"","project_id":79,"tracker_id":40,"status_id":1,"priority_id":2,"assigned_to_id":23,"start_date":"2017-02-06","description":"","custom_fields":[{"id":1,"name":"Subdivision","value":"Other"},{"id":4,"name":"Milepost","value":"2.3312"},{"id":17,"name":"Train ID","value":"81-05"},{"id":16,"name":"Locomotive ID","value":"4055"},{"id":130,"name":"Impact","value":""},{"id":150,"name":"Time of Event (Mountain Time)","value":"01:25:25"},{"id":151,"name":"Denver Issue ID","value":""},{"id":178,"name":"Operational Impact","value":"Yes"},{"id":179,"name":"Denver Segment Assigned","value":""}]}} | curl -X POST -H "Content-Type: application/json" -H "X-Redmine-API-Key: d6333d4a04012a730768444271f8ca06482dae87" https://secure.xorail.net/redmine/issues.json --data @-</v>
      </c>
      <c r="AJ215" s="48"/>
      <c r="AK215" s="48"/>
      <c r="AL215" s="48"/>
      <c r="AM215" s="158" t="str">
        <f t="shared" si="80"/>
        <v>start /low /b %USERPROFILE%\Documents\GitHub\eaglep3\Utilities\DownloadLogsFromS3.py --loco 4055 --day 2017-02-06</v>
      </c>
      <c r="AN215" s="167" t="str">
        <f>"grep -SE -B400 ""CHR.+\|PRM\|1\|D.+(SWITCH|SIGNAL).+UNKNOWN"" "&amp;search_path&amp;"\RTDC"&amp;B215&amp;"\*"&amp;B215&amp;"*"&amp;TEXT(AVERAGE(F215,I215)-utc_offset/24,"YYYYMMDD")&amp;"* | grep -SE ""(Enforcement Action)|(\[TIMEOUT)|(CHR.+\|PRM\|1\|D.+(SWITCH|SIGNAL).+UNKNOWN)"" - &gt;&gt; "&amp;TEXT(Variables!$A$2,"YYYY-MM-DD")&amp;"-UncaughtWiMAX.txt"</f>
        <v>grep -SE -B400 "CHR.+\|PRM\|1\|D.+(SWITCH|SIGNAL).+UNKNOWN" "%USERPROFILE%\AppData\Local\Temp\OnboardLogs"\RTDC4055\*4055*20170206* | grep -SE "(Enforcement Action)|(\[TIMEOUT)|(CHR.+\|PRM\|1\|D.+(SWITCH|SIGNAL).+UNKNOWN)" - &gt;&gt; 2017-02-05-UncaughtWiMAX.txt</v>
      </c>
    </row>
    <row r="216" spans="1:40" x14ac:dyDescent="0.25">
      <c r="A216" s="33" t="s">
        <v>709</v>
      </c>
      <c r="B216" s="7">
        <v>4055</v>
      </c>
      <c r="C216" s="21" t="s">
        <v>193</v>
      </c>
      <c r="D216" s="21" t="s">
        <v>399</v>
      </c>
      <c r="E216" s="13">
        <v>42772.003194444442</v>
      </c>
      <c r="F216" s="13">
        <v>42772.054386574076</v>
      </c>
      <c r="G216" s="7">
        <v>2</v>
      </c>
      <c r="H216" s="21" t="s">
        <v>879</v>
      </c>
      <c r="I216" s="13">
        <v>42772.059317129628</v>
      </c>
      <c r="J216" s="7">
        <v>0</v>
      </c>
      <c r="K216" s="98" t="str">
        <f t="shared" si="81"/>
        <v>4055/4056</v>
      </c>
      <c r="L216" s="21" t="str">
        <f>VLOOKUP(A216,'Trips&amp;Operators'!$C$1:$G$99999,5,FALSE)</f>
        <v>SIMMONS SHYHESHA</v>
      </c>
      <c r="M216" s="6">
        <f t="shared" si="82"/>
        <v>4.9305555512546562E-3</v>
      </c>
      <c r="N216" s="7">
        <f t="shared" si="76"/>
        <v>7.0999999938067049</v>
      </c>
      <c r="O216" s="7"/>
      <c r="P216" s="7"/>
      <c r="Q216" s="22"/>
      <c r="R216" s="22"/>
      <c r="S216" s="31">
        <f t="shared" si="83"/>
        <v>0</v>
      </c>
      <c r="T216" s="46" t="e">
        <f t="shared" si="84"/>
        <v>#VALUE!</v>
      </c>
      <c r="U216" s="190">
        <f>IF(AG216="EC",COUNTIFS(Variables!$M$2:$M$19,IF(T216="NorthBound","&gt;=","&lt;=")&amp;Y216,Variables!$M$2:$M$19,IF(T216="NorthBound","&lt;=","&gt;=")&amp;Z216),COUNTIFS(Variables!$P$2:$P$19,IF(T216="NorthBound","&gt;=","&lt;=")&amp;Y216,Variables!$P$2:$P$19,IF(T216="NorthBound","&lt;=","&gt;=")&amp;Z216))</f>
        <v>0</v>
      </c>
      <c r="V216" s="191" t="str">
        <f t="shared" si="85"/>
        <v>https://d0f6bd738d7f1b3e5a7ca70fe4ff75f0.us-east-1.aws.found.io/app/kibana#/discover/Steve-Slow-Train-Analysis-(2080s-and-2083s)?_g=(refreshInterval:(display:Off,pause:!f,section:0,value:0),time:(from:'2017-02-05T23:04:36-0700',mode:absolute,to:'2017-02-06T02:25: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216" s="192" t="str">
        <f t="shared" si="86"/>
        <v>Y</v>
      </c>
      <c r="X216" s="192" t="e">
        <f t="shared" si="77"/>
        <v>#VALUE!</v>
      </c>
      <c r="Y216" s="62">
        <f t="shared" si="75"/>
        <v>4.6399999999999997E-2</v>
      </c>
      <c r="Z216" s="62">
        <f t="shared" si="74"/>
        <v>0.69330000000000003</v>
      </c>
      <c r="AA216" s="62">
        <f t="shared" si="87"/>
        <v>0.64690000000000003</v>
      </c>
      <c r="AB216" s="59" t="e">
        <f>VLOOKUP(A216,Enforcements!$C$7:$K$16,8,0)</f>
        <v>#N/A</v>
      </c>
      <c r="AC216" s="55" t="e">
        <f>VLOOKUP(A216,Enforcements!$C$7:$E$16,3,0)</f>
        <v>#N/A</v>
      </c>
      <c r="AD216" s="56" t="str">
        <f t="shared" si="88"/>
        <v>81-05</v>
      </c>
      <c r="AE216" s="85" t="str">
        <f t="shared" si="89"/>
        <v>aws s3 cp s3://rtdc.mdm.uploadarchive.raw/RTDC4055/ "%USERPROFILE%\AppData\Local\Temp\OnboardLogs"\RTDC4055\2017-02-06 --exclude "*" --recursive --include "*20170206*" &amp; "%USERPROFILE%\Documents\GitHub\mrs-test-scripts\Headless Mode &amp; Sideloading\WalkAndUnGZ.bat" "%USERPROFILE%\AppData\Local\Temp\OnboardLogs"\RTDC4055\2017-02-06 &amp; aws s3 cp s3://rtdc.mdm.uploadarchive.raw/RTDC4055/ "%USERPROFILE%\AppData\Local\Temp\OnboardLogs"\RTDC4055\2017-02-07 --exclude "*" --recursive --include "*20170207*" &amp; "%USERPROFILE%\Documents\GitHub\mrs-test-scripts\Headless Mode &amp; Sideloading\WalkAndUnGZ.bat" "%USERPROFILE%\AppData\Local\Temp\OnboardLogs"\RTDC4055\2017-02-07</v>
      </c>
      <c r="AF216" s="82" t="str">
        <f t="shared" si="90"/>
        <v>"C:\Program Files (x86)\AstroGrep\AstroGrep.exe" /spath="%USERPROFILE%\AppData\Local\Temp\OnboardLogs" /stypes="app*4055*20170206*" /stext=" 08:.+((SYSTEM_STATE.+slice.+state.+changed )|(ment ac)|(multiple cpu faults)|(system.+state.+changed )|(\[timeout)|(PRM\|1\|D)|(kpr)|(kdp)|(\|lc)|(penalty))" /e /r /s</v>
      </c>
      <c r="AG216" s="1" t="str">
        <f t="shared" si="91"/>
        <v>Other</v>
      </c>
      <c r="AH216" s="86" t="str">
        <f t="shared" si="78"/>
        <v>"%USERPROFILE%\Documents\GitHub\eaglep3\Utilities\RefineRTDCRunTimes.py" --tripid 81-05 --locoid 4055 --swversion DE.1.0.8.0 --startMP 204:464 --initTime 2017-02-06T00:04:36 --startdatetime 2017-02-06T01:18:19 --delay 2 --endMP 204:6933 --enddatetime 2017-02-06T01:25:25 --enforcementcount 0 &gt;&gt;C:\Users\stu\Documents\GitHub\eaglep3-reporting\EC\2017-02-05-refined-times.txt</v>
      </c>
      <c r="AI216" s="108" t="str">
        <f t="shared" si="79"/>
        <v>echo {"issue":{"subject":"","project_id":79,"tracker_id":40,"status_id":1,"priority_id":2,"assigned_to_id":23,"start_date":"2017-02-06","description":"","custom_fields":[{"id":1,"name":"Subdivision","value":"Other"},{"id":4,"name":"Milepost","value":"0.6933"},{"id":17,"name":"Train ID","value":"81-05"},{"id":16,"name":"Locomotive ID","value":"4055"},{"id":130,"name":"Impact","value":""},{"id":150,"name":"Time of Event (Mountain Time)","value":"01:25:25"},{"id":151,"name":"Denver Issue ID","value":""},{"id":178,"name":"Operational Impact","value":"Yes"},{"id":179,"name":"Denver Segment Assigned","value":""}]}} | curl -X POST -H "Content-Type: application/json" -H "X-Redmine-API-Key: d6333d4a04012a730768444271f8ca06482dae87" https://secure.xorail.net/redmine/issues.json --data @-</v>
      </c>
      <c r="AJ216" s="48"/>
      <c r="AK216" s="48"/>
      <c r="AL216" s="48"/>
      <c r="AM216" s="158" t="str">
        <f t="shared" si="80"/>
        <v>start /low /b %USERPROFILE%\Documents\GitHub\eaglep3\Utilities\DownloadLogsFromS3.py --loco 4055 --day 2017-02-06</v>
      </c>
      <c r="AN216" s="167" t="str">
        <f>"grep -SE -B400 ""CHR.+\|PRM\|1\|D.+(SWITCH|SIGNAL).+UNKNOWN"" "&amp;search_path&amp;"\RTDC"&amp;B216&amp;"\*"&amp;B216&amp;"*"&amp;TEXT(AVERAGE(F216,I216)-utc_offset/24,"YYYYMMDD")&amp;"* | grep -SE ""(Enforcement Action)|(\[TIMEOUT)|(CHR.+\|PRM\|1\|D.+(SWITCH|SIGNAL).+UNKNOWN)"" - &gt;&gt; "&amp;TEXT(Variables!$A$2,"YYYY-MM-DD")&amp;"-UncaughtWiMAX.txt"</f>
        <v>grep -SE -B400 "CHR.+\|PRM\|1\|D.+(SWITCH|SIGNAL).+UNKNOWN" "%USERPROFILE%\AppData\Local\Temp\OnboardLogs"\RTDC4055\*4055*20170206* | grep -SE "(Enforcement Action)|(\[TIMEOUT)|(CHR.+\|PRM\|1\|D.+(SWITCH|SIGNAL).+UNKNOWN)" - &gt;&gt; 2017-02-05-UncaughtWiMAX.txt</v>
      </c>
    </row>
    <row r="217" spans="1:40" x14ac:dyDescent="0.25">
      <c r="A217" s="33" t="s">
        <v>543</v>
      </c>
      <c r="B217" s="7">
        <v>4029</v>
      </c>
      <c r="C217" s="21" t="s">
        <v>193</v>
      </c>
      <c r="D217" s="21" t="s">
        <v>880</v>
      </c>
      <c r="E217" s="13">
        <v>42771.179571759261</v>
      </c>
      <c r="F217" s="13">
        <v>25568.708333333332</v>
      </c>
      <c r="G217" s="7">
        <v>2</v>
      </c>
      <c r="H217" s="21" t="s">
        <v>881</v>
      </c>
      <c r="I217" s="13">
        <v>25568.708333333332</v>
      </c>
      <c r="J217" s="7">
        <v>0</v>
      </c>
      <c r="K217" s="98" t="str">
        <f t="shared" si="81"/>
        <v>4029/4030</v>
      </c>
      <c r="L217" s="21" t="str">
        <f>VLOOKUP(A217,'Trips&amp;Operators'!$C$1:$G$99999,5,FALSE)</f>
        <v>GRASTON MATHEU</v>
      </c>
      <c r="M217" s="6">
        <f t="shared" si="82"/>
        <v>0</v>
      </c>
      <c r="N217" s="7">
        <f t="shared" si="76"/>
        <v>0</v>
      </c>
      <c r="O217" s="7"/>
      <c r="P217" s="7"/>
      <c r="Q217" s="22"/>
      <c r="R217" s="22"/>
      <c r="S217" s="31">
        <f t="shared" si="83"/>
        <v>0</v>
      </c>
      <c r="T217" s="46" t="e">
        <f t="shared" si="84"/>
        <v>#VALUE!</v>
      </c>
      <c r="U217" s="190">
        <f>IF(AG217="EC",COUNTIFS(Variables!$M$2:$M$19,IF(T217="NorthBound","&gt;=","&lt;=")&amp;Y217,Variables!$M$2:$M$19,IF(T217="NorthBound","&lt;=","&gt;=")&amp;Z217),COUNTIFS(Variables!$P$2:$P$19,IF(T217="NorthBound","&gt;=","&lt;=")&amp;Y217,Variables!$P$2:$P$19,IF(T217="NorthBound","&lt;=","&gt;=")&amp;Z217))</f>
        <v>0</v>
      </c>
      <c r="V217" s="191" t="str">
        <f t="shared" si="85"/>
        <v>https://d0f6bd738d7f1b3e5a7ca70fe4ff75f0.us-east-1.aws.found.io/app/kibana#/discover/Steve-Slow-Train-Analysis-(2080s-and-2083s)?_g=(refreshInterval:(display:Off,pause:!f,section:0,value:0),time:(from:'2017-02-05T03:18:35-0700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4029%22')),sort:!(Time.ISO8601,asc))</v>
      </c>
      <c r="W217" s="192" t="str">
        <f t="shared" si="86"/>
        <v>Y</v>
      </c>
      <c r="X217" s="192" t="e">
        <f t="shared" si="77"/>
        <v>#VALUE!</v>
      </c>
      <c r="Y217" s="62">
        <f t="shared" si="75"/>
        <v>0.1323</v>
      </c>
      <c r="Z217" s="62">
        <f t="shared" si="74"/>
        <v>2.3304</v>
      </c>
      <c r="AA217" s="62">
        <f t="shared" si="87"/>
        <v>2.1981000000000002</v>
      </c>
      <c r="AB217" s="59" t="e">
        <f>VLOOKUP(A217,Enforcements!$C$7:$K$16,8,0)</f>
        <v>#N/A</v>
      </c>
      <c r="AC217" s="55" t="e">
        <f>VLOOKUP(A217,Enforcements!$C$7:$E$16,3,0)</f>
        <v>#N/A</v>
      </c>
      <c r="AD217" s="56" t="str">
        <f t="shared" si="88"/>
        <v>NEPTUNE-05</v>
      </c>
      <c r="AE217" s="85" t="str">
        <f t="shared" si="89"/>
        <v>aws s3 cp s3://rtdc.mdm.uploadarchive.raw/RTDC4029/ "%USERPROFILE%\AppData\Local\Temp\OnboardLogs"\RTDC4029\1969-12-31 --exclude "*" --recursive --include "*19691231*" &amp; "%USERPROFILE%\Documents\GitHub\mrs-test-scripts\Headless Mode &amp; Sideloading\WalkAndUnGZ.bat" "%USERPROFILE%\AppData\Local\Temp\OnboardLogs"\RTDC4029\1969-12-31 &amp; aws s3 cp s3://rtdc.mdm.uploadarchive.raw/RTDC4029/ "%USERPROFILE%\AppData\Local\Temp\OnboardLogs"\RTDC4029\1970-01-01 --exclude "*" --recursive --include "*19700101*" &amp; "%USERPROFILE%\Documents\GitHub\mrs-test-scripts\Headless Mode &amp; Sideloading\WalkAndUnGZ.bat" "%USERPROFILE%\AppData\Local\Temp\OnboardLogs"\RTDC4029\1970-01-01</v>
      </c>
      <c r="AF217" s="82" t="str">
        <f t="shared" si="90"/>
        <v>"C:\Program Files (x86)\AstroGrep\AstroGrep.exe" /spath="%USERPROFILE%\AppData\Local\Temp\OnboardLogs" /stypes="app*4029*19700101*" /stext=" 00:.+((SYSTEM_STATE.+slice.+state.+changed )|(ment ac)|(multiple cpu faults)|(system.+state.+changed )|(\[timeout)|(PRM\|1\|D)|(kpr)|(kdp)|(\|lc)|(penalty))" /e /r /s</v>
      </c>
      <c r="AG217" s="1" t="str">
        <f t="shared" si="91"/>
        <v>Other</v>
      </c>
      <c r="AH217" s="86" t="str">
        <f t="shared" si="78"/>
        <v>"%USERPROFILE%\Documents\GitHub\eaglep3\Utilities\RefineRTDCRunTimes.py" --tripid NEPTUNE-05 --locoid 4029 --swversion DE.1.0.8.0 --startMP 204:1323 --initTime 2017-02-05T04:18:35 --startdatetime 1969-12-31T17:00:00 --delay 2 --endMP 300:23304 --enddatetime 1969-12-31T17:00:00 --enforcementcount 0 &gt;&gt;C:\Users\stu\Documents\GitHub\eaglep3-reporting\EC\2017-02-05-refined-times.txt</v>
      </c>
      <c r="AI217" s="108" t="str">
        <f t="shared" si="79"/>
        <v>echo {"issue":{"subject":"","project_id":79,"tracker_id":40,"status_id":1,"priority_id":2,"assigned_to_id":23,"start_date":"1969-12-31","description":"","custom_fields":[{"id":1,"name":"Subdivision","value":"Other"},{"id":4,"name":"Milepost","value":"2.3304"},{"id":17,"name":"Train ID","value":"NEPTUNE-05"},{"id":16,"name":"Locomotive ID","value":"4029"},{"id":130,"name":"Impact","value":""},{"id":150,"name":"Time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7" s="48"/>
      <c r="AK217" s="48"/>
      <c r="AL217" s="48"/>
      <c r="AM217" s="158" t="str">
        <f t="shared" si="80"/>
        <v>start /low /b %USERPROFILE%\Documents\GitHub\eaglep3\Utilities\DownloadLogsFromS3.py --loco 4029 --day 1969-12-31</v>
      </c>
      <c r="AN217" s="167" t="str">
        <f>"grep -SE -B400 ""CHR.+\|PRM\|1\|D.+(SWITCH|SIGNAL).+UNKNOWN"" "&amp;search_path&amp;"\RTDC"&amp;B217&amp;"\*"&amp;B217&amp;"*"&amp;TEXT(AVERAGE(F217,I217)-utc_offset/24,"YYYYMMDD")&amp;"* | grep -SE ""(Enforcement Action)|(\[TIMEOUT)|(CHR.+\|PRM\|1\|D.+(SWITCH|SIGNAL).+UNKNOWN)"" - &gt;&gt; "&amp;TEXT(Variables!$A$2,"YYYY-MM-DD")&amp;"-UncaughtWiMAX.txt"</f>
        <v>grep -SE -B400 "CHR.+\|PRM\|1\|D.+(SWITCH|SIGNAL).+UNKNOWN" "%USERPROFILE%\AppData\Local\Temp\OnboardLogs"\RTDC4029\*4029*19700101* | grep -SE "(Enforcement Action)|(\[TIMEOUT)|(CHR.+\|PRM\|1\|D.+(SWITCH|SIGNAL).+UNKNOWN)" - &gt;&gt; 2017-02-05-UncaughtWiMAX.txt</v>
      </c>
    </row>
    <row r="218" spans="1:40" x14ac:dyDescent="0.25">
      <c r="A218" s="33" t="s">
        <v>543</v>
      </c>
      <c r="B218" s="7">
        <v>4030</v>
      </c>
      <c r="C218" s="21" t="s">
        <v>193</v>
      </c>
      <c r="D218" s="21" t="s">
        <v>882</v>
      </c>
      <c r="E218" s="13">
        <v>42771.171886574077</v>
      </c>
      <c r="F218" s="13">
        <v>25568.708333333332</v>
      </c>
      <c r="G218" s="7">
        <v>0</v>
      </c>
      <c r="H218" s="21" t="s">
        <v>795</v>
      </c>
      <c r="I218" s="13">
        <v>25568.708333333332</v>
      </c>
      <c r="J218" s="7">
        <v>0</v>
      </c>
      <c r="K218" s="98" t="str">
        <f t="shared" si="81"/>
        <v>4029/4030</v>
      </c>
      <c r="L218" s="21" t="str">
        <f>VLOOKUP(A218,'Trips&amp;Operators'!$C$1:$G$99999,5,FALSE)</f>
        <v>GRASTON MATHEU</v>
      </c>
      <c r="M218" s="6">
        <f t="shared" si="82"/>
        <v>0</v>
      </c>
      <c r="N218" s="7">
        <f t="shared" si="76"/>
        <v>0</v>
      </c>
      <c r="O218" s="7"/>
      <c r="P218" s="7"/>
      <c r="Q218" s="22"/>
      <c r="R218" s="22"/>
      <c r="S218" s="31">
        <f t="shared" si="83"/>
        <v>0</v>
      </c>
      <c r="T218" s="46" t="e">
        <f t="shared" si="84"/>
        <v>#VALUE!</v>
      </c>
      <c r="U218" s="190">
        <f>IF(AG218="EC",COUNTIFS(Variables!$M$2:$M$19,IF(T218="NorthBound","&gt;=","&lt;=")&amp;Y218,Variables!$M$2:$M$19,IF(T218="NorthBound","&lt;=","&gt;=")&amp;Z218),COUNTIFS(Variables!$P$2:$P$19,IF(T218="NorthBound","&gt;=","&lt;=")&amp;Y218,Variables!$P$2:$P$19,IF(T218="NorthBound","&lt;=","&gt;=")&amp;Z218))</f>
        <v>0</v>
      </c>
      <c r="V218" s="191" t="str">
        <f t="shared" si="85"/>
        <v>https://d0f6bd738d7f1b3e5a7ca70fe4ff75f0.us-east-1.aws.found.io/app/kibana#/discover/Steve-Slow-Train-Analysis-(2080s-and-2083s)?_g=(refreshInterval:(display:Off,pause:!f,section:0,value:0),time:(from:'2017-02-05T03:07:31-0700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4030%22')),sort:!(Time.ISO8601,asc))</v>
      </c>
      <c r="W218" s="192" t="str">
        <f t="shared" si="86"/>
        <v>Y</v>
      </c>
      <c r="X218" s="192" t="e">
        <f t="shared" si="77"/>
        <v>#VALUE!</v>
      </c>
      <c r="Y218" s="62">
        <f t="shared" si="75"/>
        <v>2.2195</v>
      </c>
      <c r="Z218" s="62">
        <f t="shared" si="74"/>
        <v>0.1016</v>
      </c>
      <c r="AA218" s="62">
        <f t="shared" si="87"/>
        <v>2.1179000000000001</v>
      </c>
      <c r="AB218" s="59" t="e">
        <f>VLOOKUP(A218,Enforcements!$C$7:$K$16,8,0)</f>
        <v>#N/A</v>
      </c>
      <c r="AC218" s="55" t="e">
        <f>VLOOKUP(A218,Enforcements!$C$7:$E$16,3,0)</f>
        <v>#N/A</v>
      </c>
      <c r="AD218" s="56" t="str">
        <f t="shared" si="88"/>
        <v>NEPTUNE-05</v>
      </c>
      <c r="AE218" s="85" t="str">
        <f t="shared" si="89"/>
        <v>aws s3 cp s3://rtdc.mdm.uploadarchive.raw/RTDC4030/ "%USERPROFILE%\AppData\Local\Temp\OnboardLogs"\RTDC4030\1969-12-31 --exclude "*" --recursive --include "*19691231*" &amp; "%USERPROFILE%\Documents\GitHub\mrs-test-scripts\Headless Mode &amp; Sideloading\WalkAndUnGZ.bat" "%USERPROFILE%\AppData\Local\Temp\OnboardLogs"\RTDC4030\1969-12-31 &amp; aws s3 cp s3://rtdc.mdm.uploadarchive.raw/RTDC4030/ "%USERPROFILE%\AppData\Local\Temp\OnboardLogs"\RTDC4030\1970-01-01 --exclude "*" --recursive --include "*19700101*" &amp; "%USERPROFILE%\Documents\GitHub\mrs-test-scripts\Headless Mode &amp; Sideloading\WalkAndUnGZ.bat" "%USERPROFILE%\AppData\Local\Temp\OnboardLogs"\RTDC4030\1970-01-01</v>
      </c>
      <c r="AF218" s="82" t="str">
        <f t="shared" si="90"/>
        <v>"C:\Program Files (x86)\AstroGrep\AstroGrep.exe" /spath="%USERPROFILE%\AppData\Local\Temp\OnboardLogs" /stypes="app*4030*19700101*" /stext=" 00:.+((SYSTEM_STATE.+slice.+state.+changed )|(ment ac)|(multiple cpu faults)|(system.+state.+changed )|(\[timeout)|(PRM\|1\|D)|(kpr)|(kdp)|(\|lc)|(penalty))" /e /r /s</v>
      </c>
      <c r="AG218" s="1" t="str">
        <f t="shared" si="91"/>
        <v>Other</v>
      </c>
      <c r="AH218" s="86" t="str">
        <f t="shared" si="78"/>
        <v>"%USERPROFILE%\Documents\GitHub\eaglep3\Utilities\RefineRTDCRunTimes.py" --tripid NEPTUNE-05 --locoid 4030 --swversion DE.1.0.8.0 --startMP 300:22195 --initTime 2017-02-05T04:07:31 --startdatetime 1969-12-31T17:00:00 --delay 0 --endMP 204:1016 --enddatetime 1969-12-31T17:00:00 --enforcementcount 0 &gt;&gt;C:\Users\stu\Documents\GitHub\eaglep3-reporting\EC\2017-02-05-refined-times.txt</v>
      </c>
      <c r="AI218" s="108" t="str">
        <f t="shared" si="79"/>
        <v>echo {"issue":{"subject":"","project_id":79,"tracker_id":40,"status_id":1,"priority_id":2,"assigned_to_id":23,"start_date":"1969-12-31","description":"","custom_fields":[{"id":1,"name":"Subdivision","value":"Other"},{"id":4,"name":"Milepost","value":"0.1016"},{"id":17,"name":"Train ID","value":"NEPTUNE-05"},{"id":16,"name":"Locomotive ID","value":"4030"},{"id":130,"name":"Impact","value":""},{"id":150,"name":"Time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8" s="48"/>
      <c r="AK218" s="48"/>
      <c r="AL218" s="48"/>
      <c r="AM218" s="158" t="str">
        <f t="shared" si="80"/>
        <v>start /low /b %USERPROFILE%\Documents\GitHub\eaglep3\Utilities\DownloadLogsFromS3.py --loco 4030 --day 1969-12-31</v>
      </c>
      <c r="AN218" s="167" t="str">
        <f>"grep -SE -B400 ""CHR.+\|PRM\|1\|D.+(SWITCH|SIGNAL).+UNKNOWN"" "&amp;search_path&amp;"\RTDC"&amp;B218&amp;"\*"&amp;B218&amp;"*"&amp;TEXT(AVERAGE(F218,I218)-utc_offset/24,"YYYYMMDD")&amp;"* | grep -SE ""(Enforcement Action)|(\[TIMEOUT)|(CHR.+\|PRM\|1\|D.+(SWITCH|SIGNAL).+UNKNOWN)"" - &gt;&gt; "&amp;TEXT(Variables!$A$2,"YYYY-MM-DD")&amp;"-UncaughtWiMAX.txt"</f>
        <v>grep -SE -B400 "CHR.+\|PRM\|1\|D.+(SWITCH|SIGNAL).+UNKNOWN" "%USERPROFILE%\AppData\Local\Temp\OnboardLogs"\RTDC4030\*4030*19700101* | grep -SE "(Enforcement Action)|(\[TIMEOUT)|(CHR.+\|PRM\|1\|D.+(SWITCH|SIGNAL).+UNKNOWN)" - &gt;&gt; 2017-02-05-UncaughtWiMAX.txt</v>
      </c>
    </row>
    <row r="219" spans="1:40" x14ac:dyDescent="0.25">
      <c r="A219"/>
      <c r="B219"/>
      <c r="C219"/>
      <c r="D219"/>
      <c r="E219"/>
      <c r="F219"/>
      <c r="G219"/>
      <c r="H219"/>
      <c r="I219"/>
      <c r="J219"/>
      <c r="K219"/>
      <c r="L219"/>
      <c r="M219"/>
      <c r="N219"/>
      <c r="O219"/>
      <c r="P219"/>
      <c r="S219"/>
      <c r="U219"/>
      <c r="V219"/>
      <c r="W219"/>
      <c r="X219"/>
      <c r="Y219"/>
      <c r="Z219"/>
      <c r="AA219"/>
      <c r="AB219"/>
      <c r="AC219"/>
      <c r="AD219"/>
      <c r="AE219"/>
      <c r="AF219"/>
      <c r="AH219"/>
      <c r="AI219"/>
      <c r="AM219"/>
    </row>
    <row r="220" spans="1:40" x14ac:dyDescent="0.25">
      <c r="A220"/>
      <c r="B220"/>
      <c r="C220"/>
      <c r="D220"/>
      <c r="E220"/>
      <c r="F220"/>
      <c r="G220"/>
      <c r="H220"/>
      <c r="I220"/>
      <c r="J220"/>
      <c r="K220"/>
      <c r="L220"/>
      <c r="M220"/>
      <c r="N220"/>
      <c r="O220"/>
      <c r="P220"/>
      <c r="S220"/>
      <c r="U220"/>
      <c r="V220"/>
      <c r="W220"/>
      <c r="X220"/>
      <c r="Y220"/>
      <c r="Z220"/>
      <c r="AA220"/>
      <c r="AB220"/>
      <c r="AC220"/>
      <c r="AD220"/>
      <c r="AE220"/>
      <c r="AF220"/>
      <c r="AH220"/>
      <c r="AI220"/>
      <c r="AM220"/>
    </row>
    <row r="221" spans="1:40" x14ac:dyDescent="0.25">
      <c r="A221"/>
      <c r="B221"/>
      <c r="C221"/>
      <c r="D221"/>
      <c r="E221"/>
      <c r="F221"/>
      <c r="G221"/>
      <c r="H221"/>
      <c r="I221"/>
      <c r="J221"/>
      <c r="K221"/>
      <c r="L221"/>
      <c r="M221"/>
      <c r="N221"/>
      <c r="O221"/>
      <c r="P221"/>
      <c r="S221"/>
      <c r="U221"/>
      <c r="V221"/>
      <c r="W221"/>
      <c r="X221"/>
      <c r="Y221"/>
      <c r="Z221"/>
      <c r="AA221"/>
      <c r="AB221"/>
      <c r="AC221"/>
      <c r="AD221"/>
      <c r="AE221"/>
      <c r="AF221"/>
      <c r="AH221"/>
      <c r="AI221"/>
      <c r="AM221"/>
    </row>
    <row r="222" spans="1:40" x14ac:dyDescent="0.25">
      <c r="A222"/>
      <c r="B222"/>
      <c r="C222"/>
      <c r="D222"/>
      <c r="E222"/>
      <c r="F222"/>
      <c r="G222"/>
      <c r="H222"/>
      <c r="I222"/>
      <c r="J222"/>
      <c r="K222"/>
      <c r="L222"/>
      <c r="M222"/>
      <c r="N222"/>
      <c r="O222"/>
      <c r="P222"/>
      <c r="S222"/>
      <c r="U222"/>
      <c r="V222"/>
      <c r="W222"/>
      <c r="X222"/>
      <c r="Y222"/>
      <c r="Z222"/>
      <c r="AA222"/>
      <c r="AB222"/>
      <c r="AC222"/>
      <c r="AD222"/>
      <c r="AE222"/>
      <c r="AF222"/>
      <c r="AH222"/>
      <c r="AI222"/>
      <c r="AM222"/>
    </row>
    <row r="223" spans="1:40" x14ac:dyDescent="0.25">
      <c r="A223"/>
      <c r="B223"/>
      <c r="C223"/>
      <c r="D223"/>
      <c r="E223"/>
      <c r="F223"/>
      <c r="G223"/>
      <c r="H223"/>
      <c r="I223"/>
      <c r="J223"/>
      <c r="K223"/>
      <c r="L223"/>
      <c r="M223"/>
      <c r="N223"/>
      <c r="O223"/>
      <c r="P223"/>
      <c r="S223"/>
      <c r="U223"/>
      <c r="V223"/>
      <c r="W223"/>
      <c r="X223"/>
      <c r="Y223"/>
      <c r="Z223"/>
      <c r="AA223"/>
      <c r="AB223"/>
      <c r="AC223"/>
      <c r="AD223"/>
      <c r="AE223"/>
      <c r="AF223"/>
      <c r="AH223"/>
      <c r="AI223"/>
      <c r="AM223"/>
    </row>
    <row r="224" spans="1:40" x14ac:dyDescent="0.25">
      <c r="A224"/>
      <c r="B224"/>
      <c r="C224"/>
      <c r="D224"/>
      <c r="E224"/>
      <c r="F224"/>
      <c r="G224"/>
      <c r="H224"/>
      <c r="I224"/>
      <c r="J224"/>
      <c r="K224"/>
      <c r="L224"/>
      <c r="M224"/>
      <c r="N224"/>
      <c r="O224"/>
      <c r="P224"/>
      <c r="S224"/>
      <c r="U224"/>
      <c r="V224"/>
      <c r="W224"/>
      <c r="X224"/>
      <c r="Y224"/>
      <c r="Z224"/>
      <c r="AA224"/>
      <c r="AB224"/>
      <c r="AC224"/>
      <c r="AD224"/>
      <c r="AE224"/>
      <c r="AF224"/>
      <c r="AH224"/>
      <c r="AI224"/>
      <c r="AM224"/>
    </row>
    <row r="225" spans="1:39" x14ac:dyDescent="0.25">
      <c r="A225"/>
      <c r="B225"/>
      <c r="C225"/>
      <c r="D225"/>
      <c r="E225"/>
      <c r="F225"/>
      <c r="G225"/>
      <c r="H225"/>
      <c r="I225"/>
      <c r="J225"/>
      <c r="K225"/>
      <c r="L225"/>
      <c r="M225"/>
      <c r="N225"/>
      <c r="O225"/>
      <c r="P225"/>
      <c r="S225"/>
      <c r="U225"/>
      <c r="V225"/>
      <c r="W225"/>
      <c r="X225"/>
      <c r="Y225"/>
      <c r="Z225"/>
      <c r="AA225"/>
      <c r="AB225"/>
      <c r="AC225"/>
      <c r="AD225"/>
      <c r="AE225"/>
      <c r="AF225"/>
      <c r="AH225"/>
      <c r="AI225"/>
      <c r="AM225"/>
    </row>
    <row r="226" spans="1:39" x14ac:dyDescent="0.25">
      <c r="A226"/>
      <c r="B226"/>
      <c r="C226"/>
      <c r="D226"/>
      <c r="E226"/>
      <c r="F226"/>
      <c r="G226"/>
      <c r="H226"/>
      <c r="I226"/>
      <c r="J226"/>
      <c r="K226"/>
      <c r="L226"/>
      <c r="M226"/>
      <c r="N226"/>
      <c r="O226"/>
      <c r="P226"/>
      <c r="S226"/>
      <c r="U226"/>
      <c r="V226"/>
      <c r="W226"/>
      <c r="X226"/>
      <c r="Y226"/>
      <c r="Z226"/>
      <c r="AA226"/>
      <c r="AB226"/>
      <c r="AC226"/>
      <c r="AD226"/>
      <c r="AE226"/>
      <c r="AF226"/>
      <c r="AH226"/>
      <c r="AI226"/>
      <c r="AM226"/>
    </row>
    <row r="227" spans="1:39" x14ac:dyDescent="0.25">
      <c r="A227"/>
      <c r="B227"/>
      <c r="C227"/>
      <c r="D227"/>
      <c r="E227"/>
      <c r="F227"/>
      <c r="G227"/>
      <c r="H227"/>
      <c r="I227"/>
      <c r="J227"/>
      <c r="K227"/>
      <c r="L227"/>
      <c r="M227"/>
      <c r="N227"/>
      <c r="O227"/>
      <c r="P227"/>
      <c r="S227"/>
      <c r="U227"/>
      <c r="V227"/>
      <c r="W227"/>
      <c r="X227"/>
      <c r="Y227"/>
      <c r="Z227"/>
      <c r="AA227"/>
      <c r="AB227"/>
      <c r="AC227"/>
      <c r="AD227"/>
      <c r="AE227"/>
      <c r="AF227"/>
      <c r="AH227"/>
      <c r="AI227"/>
      <c r="AM227"/>
    </row>
    <row r="228" spans="1:39" x14ac:dyDescent="0.25">
      <c r="A228"/>
      <c r="B228"/>
      <c r="C228"/>
      <c r="D228"/>
      <c r="E228"/>
      <c r="F228"/>
      <c r="G228"/>
      <c r="H228"/>
      <c r="I228"/>
      <c r="J228"/>
      <c r="K228"/>
      <c r="L228"/>
      <c r="M228"/>
      <c r="N228"/>
      <c r="O228"/>
      <c r="P228"/>
      <c r="S228"/>
      <c r="U228"/>
      <c r="V228"/>
      <c r="W228"/>
      <c r="X228"/>
      <c r="Y228"/>
      <c r="Z228"/>
      <c r="AA228"/>
      <c r="AB228"/>
      <c r="AC228"/>
      <c r="AD228"/>
      <c r="AE228"/>
      <c r="AF228"/>
      <c r="AH228"/>
      <c r="AI228"/>
      <c r="AM228"/>
    </row>
    <row r="229" spans="1:39" x14ac:dyDescent="0.25">
      <c r="A229"/>
      <c r="B229"/>
      <c r="C229"/>
      <c r="D229"/>
      <c r="E229"/>
      <c r="F229"/>
      <c r="G229"/>
      <c r="H229"/>
      <c r="I229"/>
      <c r="J229"/>
      <c r="K229"/>
      <c r="L229"/>
      <c r="M229"/>
      <c r="N229"/>
      <c r="O229"/>
      <c r="P229"/>
      <c r="S229"/>
      <c r="U229"/>
      <c r="V229"/>
      <c r="W229"/>
      <c r="X229"/>
      <c r="Y229"/>
      <c r="Z229"/>
      <c r="AA229"/>
      <c r="AB229"/>
      <c r="AC229"/>
      <c r="AD229"/>
      <c r="AE229"/>
      <c r="AF229"/>
      <c r="AH229"/>
      <c r="AI229"/>
      <c r="AM229"/>
    </row>
    <row r="230" spans="1:39" x14ac:dyDescent="0.25">
      <c r="A230"/>
      <c r="B230"/>
      <c r="C230"/>
      <c r="D230"/>
      <c r="E230"/>
      <c r="F230"/>
      <c r="G230"/>
      <c r="H230"/>
      <c r="I230"/>
      <c r="J230"/>
      <c r="K230"/>
      <c r="L230"/>
      <c r="M230"/>
      <c r="N230"/>
      <c r="O230"/>
      <c r="P230"/>
      <c r="S230"/>
      <c r="U230"/>
      <c r="V230"/>
      <c r="W230"/>
      <c r="X230"/>
      <c r="Y230"/>
      <c r="Z230"/>
      <c r="AA230"/>
      <c r="AB230"/>
      <c r="AC230"/>
      <c r="AD230"/>
      <c r="AE230"/>
      <c r="AF230"/>
      <c r="AH230"/>
      <c r="AI230"/>
      <c r="AM230"/>
    </row>
    <row r="231" spans="1:39" x14ac:dyDescent="0.25">
      <c r="A231"/>
      <c r="B231"/>
      <c r="C231"/>
      <c r="D231"/>
      <c r="E231"/>
      <c r="F231"/>
      <c r="G231"/>
      <c r="H231"/>
      <c r="I231"/>
      <c r="J231"/>
      <c r="K231"/>
      <c r="L231"/>
      <c r="M231"/>
      <c r="N231"/>
      <c r="O231"/>
      <c r="P231"/>
      <c r="S231"/>
      <c r="U231"/>
      <c r="V231"/>
      <c r="W231"/>
      <c r="X231"/>
      <c r="Y231"/>
      <c r="Z231"/>
      <c r="AA231"/>
      <c r="AB231"/>
      <c r="AC231"/>
      <c r="AD231"/>
      <c r="AE231"/>
      <c r="AF231"/>
      <c r="AH231"/>
      <c r="AI231"/>
      <c r="AM231"/>
    </row>
    <row r="232" spans="1:39" x14ac:dyDescent="0.25">
      <c r="A232"/>
      <c r="B232"/>
      <c r="C232"/>
      <c r="D232"/>
      <c r="E232"/>
      <c r="F232"/>
      <c r="G232"/>
      <c r="H232"/>
      <c r="I232"/>
      <c r="J232"/>
      <c r="K232"/>
      <c r="L232"/>
      <c r="M232"/>
      <c r="N232"/>
      <c r="O232"/>
      <c r="P232"/>
      <c r="S232"/>
      <c r="U232"/>
      <c r="V232"/>
      <c r="W232"/>
      <c r="X232"/>
      <c r="Y232"/>
      <c r="Z232"/>
      <c r="AA232"/>
      <c r="AB232"/>
      <c r="AC232"/>
      <c r="AD232"/>
      <c r="AE232"/>
      <c r="AF232"/>
      <c r="AH232"/>
      <c r="AI232"/>
      <c r="AM232"/>
    </row>
    <row r="233" spans="1:39" x14ac:dyDescent="0.25">
      <c r="A233"/>
      <c r="B233"/>
      <c r="C233"/>
      <c r="D233"/>
      <c r="E233"/>
      <c r="F233"/>
      <c r="G233"/>
      <c r="H233"/>
      <c r="I233"/>
      <c r="J233"/>
      <c r="K233"/>
      <c r="L233"/>
      <c r="M233"/>
      <c r="N233"/>
      <c r="O233"/>
      <c r="P233"/>
      <c r="S233"/>
      <c r="U233"/>
      <c r="V233"/>
      <c r="W233"/>
      <c r="X233"/>
      <c r="Y233"/>
      <c r="Z233"/>
      <c r="AA233"/>
      <c r="AB233"/>
      <c r="AC233"/>
      <c r="AD233"/>
      <c r="AE233"/>
      <c r="AF233"/>
      <c r="AH233"/>
      <c r="AI233"/>
      <c r="AM233"/>
    </row>
    <row r="234" spans="1:39" x14ac:dyDescent="0.25">
      <c r="A234"/>
      <c r="B234"/>
      <c r="C234"/>
      <c r="D234"/>
      <c r="E234"/>
      <c r="F234"/>
      <c r="G234"/>
      <c r="H234"/>
      <c r="I234"/>
      <c r="J234"/>
      <c r="K234"/>
      <c r="L234"/>
      <c r="M234"/>
      <c r="N234"/>
      <c r="O234"/>
      <c r="P234"/>
      <c r="S234"/>
      <c r="U234"/>
      <c r="V234"/>
      <c r="W234"/>
      <c r="X234"/>
      <c r="Y234"/>
      <c r="Z234"/>
      <c r="AA234"/>
      <c r="AB234"/>
      <c r="AC234"/>
      <c r="AD234"/>
      <c r="AE234"/>
      <c r="AF234"/>
      <c r="AH234"/>
      <c r="AI234"/>
      <c r="AM234"/>
    </row>
    <row r="235" spans="1:39" x14ac:dyDescent="0.25">
      <c r="A235"/>
      <c r="B235"/>
      <c r="C235"/>
      <c r="D235"/>
      <c r="E235"/>
      <c r="F235"/>
      <c r="G235"/>
      <c r="H235"/>
      <c r="I235"/>
      <c r="J235"/>
      <c r="K235"/>
      <c r="L235"/>
      <c r="M235"/>
      <c r="N235"/>
      <c r="O235"/>
      <c r="P235"/>
      <c r="S235"/>
      <c r="U235"/>
      <c r="V235"/>
      <c r="W235"/>
      <c r="X235"/>
      <c r="Y235"/>
      <c r="Z235"/>
      <c r="AA235"/>
      <c r="AB235"/>
      <c r="AC235"/>
      <c r="AD235"/>
      <c r="AE235"/>
      <c r="AF235"/>
      <c r="AH235"/>
      <c r="AI235"/>
      <c r="AM235"/>
    </row>
    <row r="236" spans="1:39" x14ac:dyDescent="0.25">
      <c r="A236"/>
      <c r="B236"/>
      <c r="C236"/>
      <c r="D236"/>
      <c r="E236"/>
      <c r="F236"/>
      <c r="G236"/>
      <c r="H236"/>
      <c r="I236"/>
      <c r="J236"/>
      <c r="K236"/>
      <c r="L236"/>
      <c r="M236"/>
      <c r="N236"/>
      <c r="O236"/>
      <c r="P236"/>
      <c r="S236"/>
      <c r="U236"/>
      <c r="V236"/>
      <c r="W236"/>
      <c r="X236"/>
      <c r="Y236"/>
      <c r="Z236"/>
      <c r="AA236"/>
      <c r="AB236"/>
      <c r="AC236"/>
      <c r="AD236"/>
      <c r="AE236"/>
      <c r="AF236"/>
      <c r="AH236"/>
      <c r="AI236"/>
      <c r="AM236"/>
    </row>
    <row r="237" spans="1:39" x14ac:dyDescent="0.25">
      <c r="A237"/>
      <c r="B237"/>
      <c r="C237"/>
      <c r="D237"/>
      <c r="E237"/>
      <c r="F237"/>
      <c r="G237"/>
      <c r="H237"/>
      <c r="I237"/>
      <c r="J237"/>
      <c r="K237"/>
      <c r="L237"/>
      <c r="M237"/>
      <c r="N237"/>
      <c r="O237"/>
      <c r="P237"/>
      <c r="S237"/>
      <c r="U237"/>
      <c r="V237"/>
      <c r="W237"/>
      <c r="X237"/>
      <c r="Y237"/>
      <c r="Z237"/>
      <c r="AA237"/>
      <c r="AB237"/>
      <c r="AC237"/>
      <c r="AD237"/>
      <c r="AE237"/>
      <c r="AF237"/>
      <c r="AH237"/>
      <c r="AI237"/>
      <c r="AM237"/>
    </row>
    <row r="238" spans="1:39" x14ac:dyDescent="0.25">
      <c r="A238"/>
      <c r="B238"/>
      <c r="C238"/>
      <c r="D238"/>
      <c r="E238"/>
      <c r="F238"/>
      <c r="G238"/>
      <c r="H238"/>
      <c r="I238"/>
      <c r="J238"/>
      <c r="K238"/>
      <c r="L238"/>
      <c r="M238"/>
      <c r="N238"/>
      <c r="O238"/>
      <c r="P238"/>
      <c r="S238"/>
      <c r="U238"/>
      <c r="V238"/>
      <c r="W238"/>
      <c r="X238"/>
      <c r="Y238"/>
      <c r="Z238"/>
      <c r="AA238"/>
      <c r="AB238"/>
      <c r="AC238"/>
      <c r="AD238"/>
      <c r="AE238"/>
      <c r="AF238"/>
      <c r="AH238"/>
      <c r="AI238"/>
      <c r="AM238"/>
    </row>
    <row r="239" spans="1:39" x14ac:dyDescent="0.25">
      <c r="A239"/>
      <c r="B239"/>
      <c r="C239"/>
      <c r="D239"/>
      <c r="E239"/>
      <c r="F239"/>
      <c r="G239"/>
      <c r="H239"/>
      <c r="I239"/>
      <c r="J239"/>
      <c r="K239"/>
      <c r="L239"/>
      <c r="M239"/>
      <c r="N239"/>
      <c r="O239"/>
      <c r="P239"/>
      <c r="S239"/>
      <c r="U239"/>
      <c r="V239"/>
      <c r="W239"/>
      <c r="X239"/>
      <c r="Y239"/>
      <c r="Z239"/>
      <c r="AA239"/>
      <c r="AB239"/>
      <c r="AC239"/>
      <c r="AD239"/>
      <c r="AE239"/>
      <c r="AF239"/>
      <c r="AH239"/>
      <c r="AI239"/>
      <c r="AM239"/>
    </row>
    <row r="240" spans="1:39" x14ac:dyDescent="0.25">
      <c r="A240"/>
      <c r="B240"/>
      <c r="C240"/>
      <c r="D240"/>
      <c r="E240"/>
      <c r="F240"/>
      <c r="G240"/>
      <c r="H240"/>
      <c r="I240"/>
      <c r="J240"/>
      <c r="K240"/>
      <c r="L240"/>
      <c r="M240"/>
      <c r="N240"/>
      <c r="O240"/>
      <c r="P240"/>
      <c r="S240"/>
      <c r="U240"/>
      <c r="V240"/>
      <c r="W240"/>
      <c r="X240"/>
      <c r="Y240"/>
      <c r="Z240"/>
      <c r="AA240"/>
      <c r="AB240"/>
      <c r="AC240"/>
      <c r="AD240"/>
      <c r="AE240"/>
      <c r="AF240"/>
      <c r="AH240"/>
      <c r="AI240"/>
      <c r="AM240"/>
    </row>
    <row r="241" spans="1:39" x14ac:dyDescent="0.25">
      <c r="A241"/>
      <c r="B241"/>
      <c r="C241"/>
      <c r="D241"/>
      <c r="E241"/>
      <c r="F241"/>
      <c r="G241"/>
      <c r="H241"/>
      <c r="I241"/>
      <c r="J241"/>
      <c r="K241"/>
      <c r="L241"/>
      <c r="M241"/>
      <c r="N241"/>
      <c r="O241"/>
      <c r="P241"/>
      <c r="S241"/>
      <c r="U241"/>
      <c r="V241"/>
      <c r="W241"/>
      <c r="X241"/>
      <c r="Y241"/>
      <c r="Z241"/>
      <c r="AA241"/>
      <c r="AB241"/>
      <c r="AC241"/>
      <c r="AD241"/>
      <c r="AE241"/>
      <c r="AF241"/>
      <c r="AH241"/>
      <c r="AI241"/>
      <c r="AM241"/>
    </row>
    <row r="242" spans="1:39" x14ac:dyDescent="0.25">
      <c r="A242"/>
      <c r="B242"/>
      <c r="C242"/>
      <c r="D242"/>
      <c r="E242"/>
      <c r="F242"/>
      <c r="G242"/>
      <c r="H242"/>
      <c r="I242"/>
      <c r="J242"/>
      <c r="K242"/>
      <c r="L242"/>
      <c r="M242"/>
      <c r="N242"/>
      <c r="O242"/>
      <c r="P242"/>
      <c r="S242"/>
      <c r="U242"/>
      <c r="V242"/>
      <c r="W242"/>
      <c r="X242"/>
      <c r="Y242"/>
      <c r="Z242"/>
      <c r="AA242"/>
      <c r="AB242"/>
      <c r="AC242"/>
      <c r="AD242"/>
      <c r="AE242"/>
      <c r="AF242"/>
      <c r="AH242"/>
      <c r="AI242"/>
      <c r="AM242"/>
    </row>
    <row r="243" spans="1:39" x14ac:dyDescent="0.25">
      <c r="A243"/>
      <c r="B243"/>
      <c r="C243"/>
      <c r="D243"/>
      <c r="E243"/>
      <c r="F243"/>
      <c r="G243"/>
      <c r="H243"/>
      <c r="I243"/>
      <c r="J243"/>
      <c r="K243"/>
      <c r="L243"/>
      <c r="M243"/>
      <c r="N243"/>
      <c r="O243"/>
      <c r="P243"/>
      <c r="S243"/>
      <c r="U243"/>
      <c r="V243"/>
      <c r="W243"/>
      <c r="X243"/>
      <c r="Y243"/>
      <c r="Z243"/>
      <c r="AA243"/>
      <c r="AB243"/>
      <c r="AC243"/>
      <c r="AD243"/>
      <c r="AE243"/>
      <c r="AF243"/>
      <c r="AH243"/>
      <c r="AI243"/>
      <c r="AM243"/>
    </row>
    <row r="244" spans="1:39" x14ac:dyDescent="0.25">
      <c r="A244"/>
      <c r="B244"/>
      <c r="C244"/>
      <c r="D244"/>
      <c r="E244"/>
      <c r="F244"/>
      <c r="G244"/>
      <c r="H244"/>
      <c r="I244"/>
      <c r="J244"/>
      <c r="K244"/>
      <c r="L244"/>
      <c r="M244"/>
      <c r="N244"/>
      <c r="O244"/>
      <c r="P244"/>
      <c r="S244"/>
      <c r="U244"/>
      <c r="V244"/>
      <c r="W244"/>
      <c r="X244"/>
      <c r="Y244"/>
      <c r="Z244"/>
      <c r="AA244"/>
      <c r="AB244"/>
      <c r="AC244"/>
      <c r="AD244"/>
      <c r="AE244"/>
      <c r="AF244"/>
      <c r="AH244"/>
      <c r="AI244"/>
      <c r="AM244"/>
    </row>
    <row r="245" spans="1:39" x14ac:dyDescent="0.25">
      <c r="A245"/>
      <c r="B245"/>
      <c r="C245"/>
      <c r="D245"/>
      <c r="E245"/>
      <c r="F245"/>
      <c r="G245"/>
      <c r="H245"/>
      <c r="I245"/>
      <c r="J245"/>
      <c r="K245"/>
      <c r="L245"/>
      <c r="M245"/>
      <c r="N245"/>
      <c r="O245"/>
      <c r="P245"/>
      <c r="S245"/>
      <c r="U245"/>
      <c r="V245"/>
      <c r="W245"/>
      <c r="X245"/>
      <c r="Y245"/>
      <c r="Z245"/>
      <c r="AA245"/>
      <c r="AB245"/>
      <c r="AC245"/>
      <c r="AD245"/>
      <c r="AE245"/>
      <c r="AF245"/>
      <c r="AH245"/>
      <c r="AI245"/>
      <c r="AM245"/>
    </row>
    <row r="246" spans="1:39" x14ac:dyDescent="0.25">
      <c r="A246"/>
      <c r="B246"/>
      <c r="C246"/>
      <c r="D246"/>
      <c r="E246"/>
      <c r="F246"/>
      <c r="G246"/>
      <c r="H246"/>
      <c r="I246"/>
      <c r="J246"/>
      <c r="K246"/>
      <c r="L246"/>
      <c r="M246"/>
      <c r="N246"/>
      <c r="O246"/>
      <c r="P246"/>
      <c r="S246"/>
      <c r="U246"/>
      <c r="V246"/>
      <c r="W246"/>
      <c r="X246"/>
      <c r="Y246"/>
      <c r="Z246"/>
      <c r="AA246"/>
      <c r="AB246"/>
      <c r="AC246"/>
      <c r="AD246"/>
      <c r="AE246"/>
      <c r="AF246"/>
      <c r="AH246"/>
      <c r="AI246"/>
      <c r="AM246"/>
    </row>
    <row r="247" spans="1:39" x14ac:dyDescent="0.25">
      <c r="A247"/>
      <c r="B247"/>
      <c r="C247"/>
      <c r="D247"/>
      <c r="E247"/>
      <c r="F247"/>
      <c r="G247"/>
      <c r="H247"/>
      <c r="I247"/>
      <c r="J247"/>
      <c r="K247"/>
      <c r="L247"/>
      <c r="M247"/>
      <c r="N247"/>
      <c r="O247"/>
      <c r="P247"/>
      <c r="S247"/>
      <c r="U247"/>
      <c r="V247"/>
      <c r="W247"/>
      <c r="X247"/>
      <c r="Y247"/>
      <c r="Z247"/>
      <c r="AA247"/>
      <c r="AB247"/>
      <c r="AC247"/>
      <c r="AD247"/>
      <c r="AE247"/>
      <c r="AF247"/>
      <c r="AH247"/>
      <c r="AI247"/>
      <c r="AM247"/>
    </row>
    <row r="248" spans="1:39" x14ac:dyDescent="0.25">
      <c r="A248"/>
      <c r="B248"/>
      <c r="C248"/>
      <c r="D248"/>
      <c r="E248"/>
      <c r="F248"/>
      <c r="G248"/>
      <c r="H248"/>
      <c r="I248"/>
      <c r="J248"/>
      <c r="K248"/>
      <c r="L248"/>
      <c r="M248"/>
      <c r="N248"/>
      <c r="O248"/>
      <c r="P248"/>
      <c r="S248"/>
      <c r="U248"/>
      <c r="V248"/>
      <c r="W248"/>
      <c r="X248"/>
      <c r="Y248"/>
      <c r="Z248"/>
      <c r="AA248"/>
      <c r="AB248"/>
      <c r="AC248"/>
      <c r="AD248"/>
      <c r="AE248"/>
      <c r="AF248"/>
      <c r="AH248"/>
      <c r="AI248"/>
      <c r="AM248"/>
    </row>
    <row r="249" spans="1:39" x14ac:dyDescent="0.25">
      <c r="A249"/>
      <c r="B249"/>
      <c r="C249"/>
      <c r="D249"/>
      <c r="E249"/>
      <c r="F249"/>
      <c r="G249"/>
      <c r="H249"/>
      <c r="I249"/>
      <c r="J249"/>
      <c r="K249"/>
      <c r="L249"/>
      <c r="M249"/>
      <c r="N249"/>
      <c r="O249"/>
      <c r="P249"/>
      <c r="S249"/>
      <c r="U249"/>
      <c r="V249"/>
      <c r="W249"/>
      <c r="X249"/>
      <c r="Y249"/>
      <c r="Z249"/>
      <c r="AA249"/>
      <c r="AB249"/>
      <c r="AC249"/>
      <c r="AD249"/>
      <c r="AE249"/>
      <c r="AF249"/>
      <c r="AH249"/>
      <c r="AI249"/>
      <c r="AM249"/>
    </row>
    <row r="250" spans="1:39" x14ac:dyDescent="0.25">
      <c r="A250"/>
      <c r="B250"/>
      <c r="C250"/>
      <c r="D250"/>
      <c r="E250"/>
      <c r="F250"/>
      <c r="G250"/>
      <c r="H250"/>
      <c r="I250"/>
      <c r="J250"/>
      <c r="K250"/>
      <c r="L250"/>
      <c r="M250"/>
      <c r="N250"/>
      <c r="O250"/>
      <c r="P250"/>
      <c r="S250"/>
      <c r="U250"/>
      <c r="V250"/>
      <c r="W250"/>
      <c r="X250"/>
      <c r="Y250"/>
      <c r="Z250"/>
      <c r="AA250"/>
      <c r="AB250"/>
      <c r="AC250"/>
      <c r="AD250"/>
      <c r="AE250"/>
      <c r="AF250"/>
      <c r="AH250"/>
      <c r="AI250"/>
      <c r="AM250"/>
    </row>
    <row r="251" spans="1:39" x14ac:dyDescent="0.25">
      <c r="A251"/>
      <c r="B251"/>
      <c r="C251"/>
      <c r="D251"/>
      <c r="E251"/>
      <c r="F251"/>
      <c r="G251"/>
      <c r="H251"/>
      <c r="I251"/>
      <c r="J251"/>
      <c r="K251"/>
      <c r="L251"/>
      <c r="M251"/>
      <c r="N251"/>
      <c r="O251"/>
      <c r="P251"/>
      <c r="S251"/>
      <c r="U251"/>
      <c r="V251"/>
      <c r="W251"/>
      <c r="X251"/>
      <c r="Y251"/>
      <c r="Z251"/>
      <c r="AA251"/>
      <c r="AB251"/>
      <c r="AC251"/>
      <c r="AD251"/>
      <c r="AE251"/>
      <c r="AF251"/>
      <c r="AH251"/>
      <c r="AI251"/>
      <c r="AM251"/>
    </row>
    <row r="252" spans="1:39" x14ac:dyDescent="0.25">
      <c r="A252"/>
      <c r="B252"/>
      <c r="C252"/>
      <c r="D252"/>
      <c r="E252"/>
      <c r="F252"/>
      <c r="G252"/>
      <c r="H252"/>
      <c r="I252"/>
      <c r="J252"/>
      <c r="K252"/>
      <c r="L252"/>
      <c r="M252"/>
      <c r="N252"/>
      <c r="O252"/>
      <c r="P252"/>
      <c r="S252"/>
      <c r="U252"/>
      <c r="V252"/>
      <c r="W252"/>
      <c r="X252"/>
      <c r="Y252"/>
      <c r="Z252"/>
      <c r="AA252"/>
      <c r="AB252"/>
      <c r="AC252"/>
      <c r="AD252"/>
      <c r="AE252"/>
      <c r="AF252"/>
      <c r="AH252"/>
      <c r="AI252"/>
      <c r="AM252"/>
    </row>
    <row r="253" spans="1:39" x14ac:dyDescent="0.25">
      <c r="A253"/>
      <c r="B253"/>
      <c r="C253"/>
      <c r="D253"/>
      <c r="E253"/>
      <c r="F253"/>
      <c r="G253"/>
      <c r="H253"/>
      <c r="I253"/>
      <c r="J253"/>
      <c r="K253"/>
      <c r="L253"/>
      <c r="M253"/>
      <c r="N253"/>
      <c r="O253"/>
      <c r="P253"/>
      <c r="S253"/>
      <c r="U253"/>
      <c r="V253"/>
      <c r="W253"/>
      <c r="X253"/>
      <c r="Y253"/>
      <c r="Z253"/>
      <c r="AA253"/>
      <c r="AB253"/>
      <c r="AC253"/>
      <c r="AD253"/>
      <c r="AE253"/>
      <c r="AF253"/>
      <c r="AH253"/>
      <c r="AI253"/>
      <c r="AM253"/>
    </row>
    <row r="254" spans="1:39" x14ac:dyDescent="0.25">
      <c r="A254"/>
      <c r="B254"/>
      <c r="C254"/>
      <c r="D254"/>
      <c r="E254"/>
      <c r="F254"/>
      <c r="G254"/>
      <c r="H254"/>
      <c r="I254"/>
      <c r="J254"/>
      <c r="K254"/>
      <c r="L254"/>
      <c r="M254"/>
      <c r="N254"/>
      <c r="O254"/>
      <c r="P254"/>
      <c r="S254"/>
      <c r="U254"/>
      <c r="V254"/>
      <c r="W254"/>
      <c r="X254"/>
      <c r="Y254"/>
      <c r="Z254"/>
      <c r="AA254"/>
      <c r="AB254"/>
      <c r="AC254"/>
      <c r="AD254"/>
      <c r="AE254"/>
      <c r="AF254"/>
      <c r="AH254"/>
      <c r="AI254"/>
      <c r="AM254"/>
    </row>
    <row r="255" spans="1:39" x14ac:dyDescent="0.25">
      <c r="A255"/>
      <c r="B255"/>
      <c r="C255"/>
      <c r="D255"/>
      <c r="E255"/>
      <c r="F255"/>
      <c r="G255"/>
      <c r="H255"/>
      <c r="I255"/>
      <c r="J255"/>
      <c r="K255"/>
      <c r="L255"/>
      <c r="M255"/>
      <c r="N255"/>
      <c r="O255"/>
      <c r="P255"/>
      <c r="S255"/>
      <c r="U255"/>
      <c r="V255"/>
      <c r="W255"/>
      <c r="X255"/>
      <c r="Y255"/>
      <c r="Z255"/>
      <c r="AA255"/>
      <c r="AB255"/>
      <c r="AC255"/>
      <c r="AD255"/>
      <c r="AE255"/>
      <c r="AF255"/>
      <c r="AH255"/>
      <c r="AI255"/>
      <c r="AM255"/>
    </row>
    <row r="256" spans="1:39" x14ac:dyDescent="0.25">
      <c r="A256"/>
      <c r="B256"/>
      <c r="C256"/>
      <c r="D256"/>
      <c r="E256"/>
      <c r="F256"/>
      <c r="G256"/>
      <c r="H256"/>
      <c r="I256"/>
      <c r="J256"/>
      <c r="K256"/>
      <c r="L256"/>
      <c r="M256"/>
      <c r="N256"/>
      <c r="O256"/>
      <c r="P256"/>
      <c r="S256"/>
      <c r="U256"/>
      <c r="V256"/>
      <c r="W256"/>
      <c r="X256"/>
      <c r="Y256"/>
      <c r="Z256"/>
      <c r="AA256"/>
      <c r="AB256"/>
      <c r="AC256"/>
      <c r="AD256"/>
      <c r="AE256"/>
      <c r="AF256"/>
      <c r="AH256"/>
      <c r="AI256"/>
      <c r="AM256"/>
    </row>
  </sheetData>
  <autoFilter ref="A12:AG227">
    <sortState ref="A13:AG233">
      <sortCondition ref="AG13:AG224"/>
      <sortCondition ref="AD13:AD224"/>
    </sortState>
  </autoFilter>
  <sortState ref="A13:AH200">
    <sortCondition ref="AG13:AG200"/>
    <sortCondition ref="AD13:AD200"/>
  </sortState>
  <mergeCells count="1">
    <mergeCell ref="A11:P11"/>
  </mergeCells>
  <conditionalFormatting sqref="W11:W12 W257:X1048576 W13:X218">
    <cfRule type="cellIs" dxfId="10" priority="356" operator="equal">
      <formula>"Y"</formula>
    </cfRule>
  </conditionalFormatting>
  <conditionalFormatting sqref="X257:X1048576 X13:X218">
    <cfRule type="cellIs" dxfId="9" priority="339" operator="greaterThan">
      <formula>1</formula>
    </cfRule>
  </conditionalFormatting>
  <conditionalFormatting sqref="X257:X1048576 X12:X218">
    <cfRule type="cellIs" dxfId="8" priority="336" operator="equal">
      <formula>0</formula>
    </cfRule>
  </conditionalFormatting>
  <conditionalFormatting sqref="A13:S218">
    <cfRule type="expression" dxfId="7" priority="330" stopIfTrue="1">
      <formula>$P13&gt;0</formula>
    </cfRule>
    <cfRule type="expression" dxfId="6" priority="331" stopIfTrue="1">
      <formula>$O13&gt;0</formula>
    </cfRule>
  </conditionalFormatting>
  <pageMargins left="0.7" right="0.7" top="0.75" bottom="0.75" header="0.3" footer="0.3"/>
  <pageSetup scale="1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32" stopIfTrue="1" id="{07B64F47-9FD1-48B1-84DC-90BBCF0B8697}">
            <xm:f>IF($AG13="EC",OR($N13&gt;Variables!$C$2,$N13&lt;Variables!$C$5),OR($N13&gt;Variables!$D$2,$N13&lt;Variables!$D$5))</xm:f>
            <x14:dxf>
              <fill>
                <patternFill>
                  <bgColor theme="5" tint="0.79998168889431442"/>
                </patternFill>
              </fill>
            </x14:dxf>
          </x14:cfRule>
          <xm:sqref>A13:S218</xm:sqref>
        </x14:conditionalFormatting>
        <x14:conditionalFormatting xmlns:xm="http://schemas.microsoft.com/office/excel/2006/main">
          <x14:cfRule type="expression" priority="15" stopIfTrue="1" id="{44578D0A-3CE8-4388-A6D0-8700858490EC}">
            <xm:f>IF($AG13="EC",OR($N13&gt;Variables!#REF!,$N13&lt;Variables!#REF!),OR($N13&gt;Variables!#REF!,$N13&lt;Variables!#REF!))</xm:f>
            <x14:dxf>
              <fill>
                <patternFill>
                  <bgColor theme="5" tint="0.79998168889431442"/>
                </patternFill>
              </fill>
            </x14:dxf>
          </x14:cfRule>
          <xm:sqref>A13:S218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AK13:AK218</xm:sqref>
        </x14:dataValidation>
        <x14:dataValidation type="list" allowBlank="1" showInputMessage="1" showErrorMessage="1">
          <x14:formula1>
            <xm:f>'Redmine List Values'!$C$2:$C$15</xm:f>
          </x14:formula1>
          <xm:sqref>AL13:AL218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F62"/>
  <sheetViews>
    <sheetView topLeftCell="A2" zoomScaleNormal="100" workbookViewId="0">
      <selection activeCell="P11" sqref="A11:P13"/>
    </sheetView>
  </sheetViews>
  <sheetFormatPr defaultRowHeight="15" x14ac:dyDescent="0.25"/>
  <cols>
    <col min="1" max="1" width="18.28515625" style="8" bestFit="1" customWidth="1"/>
    <col min="2" max="2" width="15" customWidth="1"/>
    <col min="3" max="3" width="8.28515625" customWidth="1"/>
    <col min="4" max="4" width="13.140625" style="125" customWidth="1"/>
    <col min="5" max="5" width="18.5703125" style="125" customWidth="1"/>
    <col min="6" max="6" width="5.7109375" style="125" customWidth="1"/>
    <col min="7" max="7" width="5.85546875" style="125" customWidth="1"/>
    <col min="8" max="8" width="7.85546875" style="125" customWidth="1"/>
    <col min="9" max="9" width="9" style="125" customWidth="1"/>
    <col min="10" max="10" width="11.5703125" style="125" hidden="1" customWidth="1"/>
    <col min="11" max="11" width="9.140625" style="125" customWidth="1"/>
    <col min="12" max="12" width="7.85546875" style="125" customWidth="1"/>
    <col min="13" max="13" width="7.85546875" style="2" customWidth="1"/>
    <col min="14" max="14" width="14.28515625" style="124" customWidth="1"/>
    <col min="15" max="15" width="5.140625" style="152" customWidth="1"/>
    <col min="16" max="16" width="33.42578125" style="125" customWidth="1"/>
    <col min="17" max="17" width="5" hidden="1" customWidth="1"/>
    <col min="18" max="18" width="5.5703125" style="83" customWidth="1"/>
    <col min="19" max="19" width="5.5703125" style="90" customWidth="1"/>
    <col min="20" max="20" width="6" style="80" customWidth="1"/>
    <col min="21" max="21" width="5.140625" customWidth="1"/>
    <col min="22" max="22" width="21.42578125" style="44" bestFit="1" customWidth="1"/>
    <col min="23" max="23" width="5.28515625" customWidth="1"/>
    <col min="24" max="24" width="6.7109375" hidden="1" customWidth="1"/>
    <col min="25" max="25" width="4.28515625" customWidth="1"/>
    <col min="26" max="26" width="15.28515625" bestFit="1" customWidth="1"/>
    <col min="27" max="27" width="6.42578125" customWidth="1"/>
    <col min="28" max="28" width="7.140625" customWidth="1"/>
    <col min="29" max="29" width="5.28515625" style="127" customWidth="1"/>
    <col min="31" max="31" width="9.140625" style="158"/>
  </cols>
  <sheetData>
    <row r="1" spans="1:31" s="20" customFormat="1" ht="15.75" hidden="1" thickBot="1" x14ac:dyDescent="0.3">
      <c r="A1" s="8"/>
      <c r="D1" s="125"/>
      <c r="E1" s="125"/>
      <c r="F1" s="125"/>
      <c r="G1" s="125"/>
      <c r="H1" s="125"/>
      <c r="I1" s="125"/>
      <c r="J1" s="125"/>
      <c r="K1" s="125"/>
      <c r="L1" s="125"/>
      <c r="M1" s="2"/>
      <c r="N1" s="124"/>
      <c r="O1" s="152"/>
      <c r="P1" s="125"/>
      <c r="R1" s="83"/>
      <c r="S1" s="90"/>
      <c r="T1" s="80"/>
      <c r="V1" s="44"/>
      <c r="AC1" s="127"/>
      <c r="AE1" s="158"/>
    </row>
    <row r="2" spans="1:31" s="20" customFormat="1" x14ac:dyDescent="0.25">
      <c r="A2" s="8"/>
      <c r="D2" s="125"/>
      <c r="E2" s="125"/>
      <c r="F2" s="125"/>
      <c r="G2" s="125"/>
      <c r="H2" s="125"/>
      <c r="I2" s="125"/>
      <c r="J2" s="125"/>
      <c r="K2" s="125"/>
      <c r="L2" s="136" t="s">
        <v>80</v>
      </c>
      <c r="M2" s="120"/>
      <c r="N2" s="137"/>
      <c r="O2" s="154">
        <f>COUNTIF($O$7:$O$321,"=Y")</f>
        <v>3</v>
      </c>
      <c r="P2" s="122"/>
      <c r="R2" s="83"/>
      <c r="S2" s="90"/>
      <c r="T2" s="80"/>
      <c r="V2" s="44"/>
      <c r="AC2" s="128"/>
      <c r="AE2" s="158"/>
    </row>
    <row r="3" spans="1:31" s="20" customFormat="1" ht="15.75" thickBot="1" x14ac:dyDescent="0.3">
      <c r="A3" s="8"/>
      <c r="D3" s="125"/>
      <c r="E3" s="125"/>
      <c r="F3" s="125"/>
      <c r="G3" s="125"/>
      <c r="H3" s="125"/>
      <c r="I3" s="125"/>
      <c r="J3" s="125"/>
      <c r="K3" s="125"/>
      <c r="L3" s="138" t="s">
        <v>81</v>
      </c>
      <c r="M3" s="121"/>
      <c r="N3" s="139"/>
      <c r="O3" s="155">
        <f>COUNTA($O$7:$O$321)-O2</f>
        <v>20</v>
      </c>
      <c r="P3" s="122"/>
      <c r="R3" s="83"/>
      <c r="S3" s="90"/>
      <c r="T3" s="80"/>
      <c r="V3" s="44"/>
      <c r="AC3" s="128"/>
      <c r="AE3" s="158"/>
    </row>
    <row r="4" spans="1:31" s="20" customFormat="1" x14ac:dyDescent="0.25">
      <c r="A4" s="8"/>
      <c r="D4" s="125"/>
      <c r="E4" s="125"/>
      <c r="F4" s="125"/>
      <c r="G4" s="125"/>
      <c r="H4" s="125"/>
      <c r="I4" s="125"/>
      <c r="J4" s="125"/>
      <c r="K4" s="125"/>
      <c r="L4" s="125"/>
      <c r="M4" s="2"/>
      <c r="N4" s="124"/>
      <c r="O4" s="152"/>
      <c r="P4" s="125"/>
      <c r="R4" s="83"/>
      <c r="S4" s="90"/>
      <c r="T4" s="80"/>
      <c r="V4" s="44"/>
      <c r="AC4" s="128"/>
      <c r="AE4" s="158"/>
    </row>
    <row r="5" spans="1:31" s="10" customFormat="1" ht="15" customHeight="1" x14ac:dyDescent="0.25">
      <c r="A5" s="195" t="str">
        <f>"Eagle P3 Braking Events - "&amp;TEXT(Variables!$A$2,"YYYY-mm-dd")</f>
        <v>Eagle P3 Braking Events - 2017-02-05</v>
      </c>
      <c r="B5" s="195"/>
      <c r="C5" s="195"/>
      <c r="D5" s="195"/>
      <c r="E5" s="195"/>
      <c r="F5" s="195"/>
      <c r="G5" s="195"/>
      <c r="H5" s="195"/>
      <c r="I5" s="195"/>
      <c r="J5" s="195"/>
      <c r="K5" s="195"/>
      <c r="L5" s="195"/>
      <c r="M5" s="195"/>
      <c r="N5" s="195"/>
      <c r="O5" s="195"/>
      <c r="P5" s="140"/>
      <c r="R5" s="88"/>
      <c r="S5" s="91"/>
      <c r="T5" s="93"/>
      <c r="V5" s="45"/>
      <c r="AC5" s="129"/>
      <c r="AE5" s="160"/>
    </row>
    <row r="6" spans="1:31" s="119" customFormat="1" ht="69.75" customHeight="1" x14ac:dyDescent="0.2">
      <c r="A6" s="109" t="s">
        <v>38</v>
      </c>
      <c r="B6" s="110" t="s">
        <v>37</v>
      </c>
      <c r="C6" s="110" t="s">
        <v>36</v>
      </c>
      <c r="D6" s="126" t="s">
        <v>35</v>
      </c>
      <c r="E6" s="126" t="s">
        <v>34</v>
      </c>
      <c r="F6" s="126" t="s">
        <v>33</v>
      </c>
      <c r="G6" s="126" t="s">
        <v>32</v>
      </c>
      <c r="H6" s="126" t="s">
        <v>31</v>
      </c>
      <c r="I6" s="126" t="s">
        <v>153</v>
      </c>
      <c r="J6" s="126" t="s">
        <v>30</v>
      </c>
      <c r="K6" s="126" t="s">
        <v>29</v>
      </c>
      <c r="L6" s="126" t="s">
        <v>28</v>
      </c>
      <c r="M6" s="111" t="s">
        <v>154</v>
      </c>
      <c r="N6" s="141" t="s">
        <v>47</v>
      </c>
      <c r="O6" s="156" t="s">
        <v>27</v>
      </c>
      <c r="P6" s="126" t="s">
        <v>24</v>
      </c>
      <c r="Q6" s="112"/>
      <c r="R6" s="113" t="s">
        <v>89</v>
      </c>
      <c r="S6" s="114" t="s">
        <v>55</v>
      </c>
      <c r="T6" s="115" t="s">
        <v>88</v>
      </c>
      <c r="U6" s="110" t="s">
        <v>83</v>
      </c>
      <c r="V6" s="116" t="s">
        <v>84</v>
      </c>
      <c r="W6" s="112" t="s">
        <v>96</v>
      </c>
      <c r="X6" s="112" t="s">
        <v>97</v>
      </c>
      <c r="Y6" s="117" t="s">
        <v>147</v>
      </c>
      <c r="Z6" s="118" t="s">
        <v>148</v>
      </c>
      <c r="AA6" s="118" t="s">
        <v>121</v>
      </c>
      <c r="AB6" s="118" t="s">
        <v>149</v>
      </c>
      <c r="AC6" s="130" t="s">
        <v>173</v>
      </c>
      <c r="AD6" s="119" t="s">
        <v>199</v>
      </c>
      <c r="AE6" s="159" t="s">
        <v>215</v>
      </c>
    </row>
    <row r="7" spans="1:31" s="1" customFormat="1" x14ac:dyDescent="0.25">
      <c r="A7" s="32">
        <v>42771.79351851852</v>
      </c>
      <c r="B7" s="30" t="s">
        <v>518</v>
      </c>
      <c r="C7" s="30" t="s">
        <v>519</v>
      </c>
      <c r="D7" s="30" t="s">
        <v>98</v>
      </c>
      <c r="E7" s="30" t="s">
        <v>219</v>
      </c>
      <c r="F7" s="43">
        <v>200</v>
      </c>
      <c r="G7" s="43">
        <v>251</v>
      </c>
      <c r="H7" s="43">
        <v>5060</v>
      </c>
      <c r="I7" s="43">
        <v>5539</v>
      </c>
      <c r="J7" s="30" t="s">
        <v>220</v>
      </c>
      <c r="K7" s="43">
        <v>4677</v>
      </c>
      <c r="L7" s="143" t="s">
        <v>50</v>
      </c>
      <c r="M7" s="144">
        <f t="shared" ref="M7:M29" si="0">CONVERT((I7-K7)/10000,"mi","ft")*IF(L7="Increasing Mileposts (1)",-1,1)</f>
        <v>-455.13600000000002</v>
      </c>
      <c r="N7" s="145" t="str">
        <f>VLOOKUP(C7,'Trips&amp;Operators'!$C$1:$G$99999,5,FALSE)</f>
        <v>MAGEE KENYA</v>
      </c>
      <c r="O7" s="157" t="s">
        <v>185</v>
      </c>
      <c r="P7" s="146"/>
      <c r="Q7" s="30"/>
      <c r="R7" s="89" t="str">
        <f>VLOOKUP(C7,'Train Runs'!$A$13:$AE$9961,31,0)</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S7" s="92" t="str">
        <f>VLOOKUP(C7,'Train Runs'!$A$13:$AE$9961,22,0)</f>
        <v>https://d0f6bd738d7f1b3e5a7ca70fe4ff75f0.us-east-1.aws.found.io/app/kibana#/discover/Steve-Slow-Train-Analysis-(2080s-and-2083s)?_g=(refreshInterval:(display:Off,pause:!f,section:0,value:0),time:(from:'2017-02-05T17:54:18-0700',mode:absolute,to:'2017-02-05T20:38:11-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T7" s="94" t="str">
        <f t="shared" ref="T7:T29" si="1">astrogrep_path&amp;" /spath="&amp;search_path&amp;" /stypes=""*"&amp;U7&amp;"*"&amp;TEXT(A7-utc_offset/24,"YYYYMMDD")&amp;LEFT(TEXT(A7-utc_offset/24,"HH"),1)&amp;"*"" /stext="" "&amp;TEXT(A7-utc_offset/24,"HH")&amp;search_regexp&amp;""" /e /r /s"</f>
        <v>"C:\Program Files (x86)\AstroGrep\AstroGrep.exe" /spath="%USERPROFILE%\AppData\Local\Temp\OnboardLogs" /stypes="*4031*201702060*" /stext=" 02:.+((SYSTEM_STATE.+slice.+state.+changed )|(ment ac)|(multiple cpu faults)|(system.+state.+changed )|(\[timeout)|(PRM\|1\|D)|(kpr)|(kdp)|(\|lc)|(penalty))" /e /r /s</v>
      </c>
      <c r="U7" s="9" t="str">
        <f t="shared" ref="U7:U29" si="2">MID(B7,13,4)</f>
        <v>4031</v>
      </c>
      <c r="V7" s="32">
        <f t="shared" ref="V7:V29" si="3">A7-utc_offset/24</f>
        <v>42772.085185185184</v>
      </c>
      <c r="W7" s="46" t="str">
        <f t="shared" ref="W7:W29" si="4">IFERROR(IF(VALUE(LEFT(IF(LEN(C7)=6,"0"&amp;C7,C7),2))&lt;=2,"EC",IF(OR(VALUE(LEFT(IF(LEN(C7)=6,"0"&amp;C7,C7),2))=8,VALUE(LEFT(IF(LEN(C7)=6,"0"&amp;C7,C7),2))=18),"NW","Other")),"Other")</f>
        <v>EC</v>
      </c>
      <c r="X7" s="46" t="str">
        <f t="shared" ref="X7:X29" si="5">IF(AND(E7="TRACK WARRANT AUTHORITY",G7&lt;10),"OMIT","KEEP")</f>
        <v>KEEP</v>
      </c>
      <c r="Y7" s="108" t="str">
        <f t="shared" ref="Y7:Y29" si="6">"echo {""issue"":{""subject"":"""&amp;P7&amp;""",""project_id"":79,""tracker_id"":40,""status_id"":"&amp;redmine_status&amp;",""priority_id"":"&amp;redmine_priority&amp;",""assigned_to_id"":"&amp;redmine_assignee&amp;",""start_date"":"""&amp;TEXT(A7,"YYYY-mm-dd")&amp;""",""description"":"""&amp;Z7&amp;""",""custom_fields"":[{""id"":1,""name"":""Subdivision"",""value"":"""&amp;W7&amp;"""},{""id"":4,""name"":""Milepost"",""value"":"""&amp;K7/10000&amp;"""},{""id"":17,""name"":""Train ID"",""value"":"""&amp;C7&amp;"""},{""id"":16,""name"":""Locomotive ID"",""value"":"""&amp;U7&amp;"""},{""id"":130,""name"":""Impact"",""value"":"""&amp;AA7&amp;"""},{""id"":150,""name"":""Time of Event (Mountain Time)"",""value"":"""&amp;TEXT(A7,"hh:mm:ss")&amp;"""},{""id"":151,""name"":""Denver Issue ID"",""value"":"""&amp;"""},{""id"":178,""name"":""Operational Impact"",""value"":"""&amp;redmine_op_impact&amp;"""},{""id"":179,""name"":""Denver Segment Assigned"",""value"":"""&amp;AB7&amp;"""}]}}"&amp;" | curl -X POST -H ""Content-Type: application/json"" -H ""X-Redmine-API-Key: "&amp;redm_api_key&amp;""" "&amp;redm_url&amp;" --data @-"</f>
        <v>echo {"issue":{"subject":"","project_id":79,"tracker_id":40,"status_id":1,"priority_id":2,"assigned_to_id":23,"start_date":"2017-02-05","description":"","custom_fields":[{"id":1,"name":"Subdivision","value":"EC"},{"id":4,"name":"Milepost","value":"0.4677"},{"id":17,"name":"Train ID","value":"221-05"},{"id":16,"name":"Locomotive ID","value":"4031"},{"id":130,"name":"Impact","value":""},{"id":150,"name":"Time of Event (Mountain Time)","value":"19:02:40"},{"id":151,"name":"Denver Issue ID","value":""},{"id":178,"name":"Operational Impact","value":"Yes"},{"id":179,"name":"Denver Segment Assigned","value":""}]}} | curl -X POST -H "Content-Type: application/json" -H "X-Redmine-API-Key: d6333d4a04012a730768444271f8ca06482dae87" https://secure.xorail.net/redmine/issues.json --data @-</v>
      </c>
      <c r="Z7" s="48"/>
      <c r="AA7" s="48"/>
      <c r="AB7" s="48"/>
      <c r="AC7" s="127" t="str">
        <f t="shared" ref="AC7:AC29" si="7">"grep -hSE -A400 ""Enforcement Action"" "&amp;search_path&amp;"\RTDC"&amp;U7&amp;"\*"&amp;U7&amp;"*"&amp;TEXT(A7-utc_offset/24,"YYYYMMDD")&amp;LEFT(TEXT(A7-utc_offset/24,"HH"),1)&amp;"* | grep -SE ""((Enforcement Ac)|(PRM))"" -"</f>
        <v>grep -hSE -A400 "Enforcement Action" "%USERPROFILE%\AppData\Local\Temp\OnboardLogs"\RTDC4031\*4031*201702060* | grep -SE "((Enforcement Ac)|(PRM))" -</v>
      </c>
      <c r="AD7" s="1" t="str">
        <f>"grep -hSE ""Enforcement Action"" "&amp;search_path&amp;"\RTDC"&amp;U7&amp;"\*"&amp;U7&amp;"*"&amp;TEXT(A7-utc_offset/24,"YYYYMMDD")&amp;LEFT(TEXT(A7-utc_offset/24,"HH"),1)&amp;"* &gt;&gt; "&amp;TEXT(Variables!$A$2,"YYYY-MM-DD")&amp;"-SliceDisagreementCheck.txt"</f>
        <v>grep -hSE "Enforcement Action" "%USERPROFILE%\AppData\Local\Temp\OnboardLogs"\RTDC4031\*4031*201702060* &gt;&gt; 2017-02-05-SliceDisagreementCheck.txt</v>
      </c>
      <c r="AE7" s="161" t="str">
        <f t="shared" ref="AE7" si="8">"start /low /b "&amp;dls3logs&amp;" --loco "&amp;U7&amp;" --day "&amp;TEXT(V7,"YYYY-MM-DD")</f>
        <v>start /low /b %USERPROFILE%\Documents\GitHub\eaglep3\Utilities\DownloadLogsFromS3.py --loco 4031 --day 2017-02-06</v>
      </c>
    </row>
    <row r="8" spans="1:31" s="1" customFormat="1" x14ac:dyDescent="0.25">
      <c r="A8" s="32">
        <v>42771.426134259258</v>
      </c>
      <c r="B8" s="30" t="s">
        <v>197</v>
      </c>
      <c r="C8" s="30" t="s">
        <v>505</v>
      </c>
      <c r="D8" s="30" t="s">
        <v>98</v>
      </c>
      <c r="E8" s="30" t="s">
        <v>219</v>
      </c>
      <c r="F8" s="43">
        <v>700</v>
      </c>
      <c r="G8" s="43">
        <v>750</v>
      </c>
      <c r="H8" s="43">
        <v>174894</v>
      </c>
      <c r="I8" s="43">
        <v>177774</v>
      </c>
      <c r="J8" s="30" t="s">
        <v>220</v>
      </c>
      <c r="K8" s="43">
        <v>161962</v>
      </c>
      <c r="L8" s="143" t="s">
        <v>50</v>
      </c>
      <c r="M8" s="144">
        <f t="shared" si="0"/>
        <v>-8348.7360000000008</v>
      </c>
      <c r="N8" s="145" t="str">
        <f>VLOOKUP(C8,'Trips&amp;Operators'!$C$1:$G$99999,5,FALSE)</f>
        <v>DAVIS WENDY</v>
      </c>
      <c r="O8" s="157" t="s">
        <v>185</v>
      </c>
      <c r="P8" s="146"/>
      <c r="Q8" s="30"/>
      <c r="R8" s="89" t="str">
        <f>VLOOKUP(C8,'Train Runs'!$A$13:$AE$9961,31,0)</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S8" s="92" t="str">
        <f>VLOOKUP(C8,'Train Runs'!$A$13:$AE$9961,22,0)</f>
        <v>https://d0f6bd738d7f1b3e5a7ca70fe4ff75f0.us-east-1.aws.found.io/app/kibana#/discover/Steve-Slow-Train-Analysis-(2080s-and-2083s)?_g=(refreshInterval:(display:Off,pause:!f,section:0,value:0),time:(from:'2017-02-05T08:37:52-0700',mode:absolute,to:'2017-02-05T11:23: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T8" s="94" t="str">
        <f t="shared" si="1"/>
        <v>"C:\Program Files (x86)\AstroGrep\AstroGrep.exe" /spath="%USERPROFILE%\AppData\Local\Temp\OnboardLogs" /stypes="*4022*201702051*" /stext=" 17:.+((SYSTEM_STATE.+slice.+state.+changed )|(ment ac)|(multiple cpu faults)|(system.+state.+changed )|(\[timeout)|(PRM\|1\|D)|(kpr)|(kdp)|(\|lc)|(penalty))" /e /r /s</v>
      </c>
      <c r="U8" s="9" t="str">
        <f t="shared" si="2"/>
        <v>4022</v>
      </c>
      <c r="V8" s="32">
        <f t="shared" si="3"/>
        <v>42771.717800925922</v>
      </c>
      <c r="W8" s="46" t="str">
        <f t="shared" si="4"/>
        <v>EC</v>
      </c>
      <c r="X8" s="46" t="str">
        <f t="shared" si="5"/>
        <v>KEEP</v>
      </c>
      <c r="Y8" s="108" t="str">
        <f t="shared" si="6"/>
        <v>echo {"issue":{"subject":"","project_id":79,"tracker_id":40,"status_id":1,"priority_id":2,"assigned_to_id":23,"start_date":"2017-02-05","description":"","custom_fields":[{"id":1,"name":"Subdivision","value":"EC"},{"id":4,"name":"Milepost","value":"16.1962"},{"id":17,"name":"Train ID","value":"149-05"},{"id":16,"name":"Locomotive ID","value":"4022"},{"id":130,"name":"Impact","value":""},{"id":150,"name":"Time of Event (Mountain Time)","value":"10:13:38"},{"id":151,"name":"Denver Issue ID","value":""},{"id":178,"name":"Operational Impact","value":"Yes"},{"id":179,"name":"Denver Segment Assigned","value":""}]}} | curl -X POST -H "Content-Type: application/json" -H "X-Redmine-API-Key: d6333d4a04012a730768444271f8ca06482dae87" https://secure.xorail.net/redmine/issues.json --data @-</v>
      </c>
      <c r="Z8" s="48"/>
      <c r="AA8" s="48"/>
      <c r="AB8" s="48"/>
      <c r="AC8" s="127" t="str">
        <f t="shared" si="7"/>
        <v>grep -hSE -A400 "Enforcement Action" "%USERPROFILE%\AppData\Local\Temp\OnboardLogs"\RTDC4022\*4022*201702051* | grep -SE "((Enforcement Ac)|(PRM))" -</v>
      </c>
      <c r="AD8" s="1" t="str">
        <f>"grep -hSE ""Enforcement Action"" "&amp;search_path&amp;"\RTDC"&amp;U8&amp;"\*"&amp;U8&amp;"*"&amp;TEXT(A8-utc_offset/24,"YYYYMMDD")&amp;LEFT(TEXT(A8-utc_offset/24,"HH"),1)&amp;"* &gt;&gt; "&amp;TEXT(Variables!$A$2,"YYYY-MM-DD")&amp;"-SliceDisagreementCheck.txt"</f>
        <v>grep -hSE "Enforcement Action" "%USERPROFILE%\AppData\Local\Temp\OnboardLogs"\RTDC4022\*4022*201702051* &gt;&gt; 2017-02-05-SliceDisagreementCheck.txt</v>
      </c>
      <c r="AE8" s="161" t="str">
        <f t="shared" ref="AE8:AE29" si="9">"start /low /b "&amp;dls3logs&amp;" --loco "&amp;U8&amp;" --day "&amp;TEXT(V8,"YYYY-MM-DD")</f>
        <v>start /low /b %USERPROFILE%\Documents\GitHub\eaglep3\Utilities\DownloadLogsFromS3.py --loco 4022 --day 2017-02-05</v>
      </c>
    </row>
    <row r="9" spans="1:31" s="1" customFormat="1" x14ac:dyDescent="0.25">
      <c r="A9" s="32">
        <v>42771.357037037036</v>
      </c>
      <c r="B9" s="30" t="s">
        <v>224</v>
      </c>
      <c r="C9" s="30" t="s">
        <v>503</v>
      </c>
      <c r="D9" s="30" t="s">
        <v>98</v>
      </c>
      <c r="E9" s="30" t="s">
        <v>219</v>
      </c>
      <c r="F9" s="43">
        <v>700</v>
      </c>
      <c r="G9" s="43">
        <v>750</v>
      </c>
      <c r="H9" s="43">
        <v>180002</v>
      </c>
      <c r="I9" s="43">
        <v>176577</v>
      </c>
      <c r="J9" s="30" t="s">
        <v>220</v>
      </c>
      <c r="K9" s="43">
        <v>183829</v>
      </c>
      <c r="L9" s="143" t="s">
        <v>51</v>
      </c>
      <c r="M9" s="144">
        <f t="shared" si="0"/>
        <v>-3829.056</v>
      </c>
      <c r="N9" s="145" t="str">
        <f>VLOOKUP(C9,'Trips&amp;Operators'!$C$1:$G$99999,5,FALSE)</f>
        <v>MAELZER KURT</v>
      </c>
      <c r="O9" s="157" t="s">
        <v>185</v>
      </c>
      <c r="P9" s="146"/>
      <c r="Q9" s="30"/>
      <c r="R9" s="89" t="str">
        <f>VLOOKUP(C9,'Train Runs'!$A$13:$AE$9961,31,0)</f>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S9" s="92" t="str">
        <f>VLOOKUP(C9,'Train Runs'!$A$13:$AE$9961,22,0)</f>
        <v>https://d0f6bd738d7f1b3e5a7ca70fe4ff75f0.us-east-1.aws.found.io/app/kibana#/discover/Steve-Slow-Train-Analysis-(2080s-and-2083s)?_g=(refreshInterval:(display:Off,pause:!f,section:0,value:0),time:(from:'2017-02-05T07:14:48-0700',mode:absolute,to:'2017-02-05T10:05: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T9" s="94" t="str">
        <f t="shared" si="1"/>
        <v>"C:\Program Files (x86)\AstroGrep\AstroGrep.exe" /spath="%USERPROFILE%\AppData\Local\Temp\OnboardLogs" /stypes="*4026*201702051*" /stext=" 15:.+((SYSTEM_STATE.+slice.+state.+changed )|(ment ac)|(multiple cpu faults)|(system.+state.+changed )|(\[timeout)|(PRM\|1\|D)|(kpr)|(kdp)|(\|lc)|(penalty))" /e /r /s</v>
      </c>
      <c r="U9" s="9" t="str">
        <f t="shared" si="2"/>
        <v>4026</v>
      </c>
      <c r="V9" s="32">
        <f t="shared" si="3"/>
        <v>42771.6487037037</v>
      </c>
      <c r="W9" s="46" t="str">
        <f t="shared" si="4"/>
        <v>EC</v>
      </c>
      <c r="X9" s="46" t="str">
        <f t="shared" si="5"/>
        <v>KEEP</v>
      </c>
      <c r="Y9" s="108" t="str">
        <f t="shared" si="6"/>
        <v>echo {"issue":{"subject":"","project_id":79,"tracker_id":40,"status_id":1,"priority_id":2,"assigned_to_id":23,"start_date":"2017-02-05","description":"","custom_fields":[{"id":1,"name":"Subdivision","value":"EC"},{"id":4,"name":"Milepost","value":"18.3829"},{"id":17,"name":"Train ID","value":"132-05"},{"id":16,"name":"Locomotive ID","value":"4026"},{"id":130,"name":"Impact","value":""},{"id":150,"name":"Time of Event (Mountain Time)","value":"08:34:08"},{"id":151,"name":"Denver Issue ID","value":""},{"id":178,"name":"Operational Impact","value":"Yes"},{"id":179,"name":"Denver Segment Assigned","value":""}]}} | curl -X POST -H "Content-Type: application/json" -H "X-Redmine-API-Key: d6333d4a04012a730768444271f8ca06482dae87" https://secure.xorail.net/redmine/issues.json --data @-</v>
      </c>
      <c r="Z9" s="48"/>
      <c r="AA9" s="48"/>
      <c r="AB9" s="48"/>
      <c r="AC9" s="127" t="str">
        <f t="shared" si="7"/>
        <v>grep -hSE -A400 "Enforcement Action" "%USERPROFILE%\AppData\Local\Temp\OnboardLogs"\RTDC4026\*4026*201702051* | grep -SE "((Enforcement Ac)|(PRM))" -</v>
      </c>
      <c r="AD9" s="1" t="str">
        <f>"grep -hSE ""Enforcement Action"" "&amp;search_path&amp;"\RTDC"&amp;U9&amp;"\*"&amp;U9&amp;"*"&amp;TEXT(A9-utc_offset/24,"YYYYMMDD")&amp;LEFT(TEXT(A9-utc_offset/24,"HH"),1)&amp;"* &gt;&gt; "&amp;TEXT(Variables!$A$2,"YYYY-MM-DD")&amp;"-SliceDisagreementCheck.txt"</f>
        <v>grep -hSE "Enforcement Action" "%USERPROFILE%\AppData\Local\Temp\OnboardLogs"\RTDC4026\*4026*201702051* &gt;&gt; 2017-02-05-SliceDisagreementCheck.txt</v>
      </c>
      <c r="AE9" s="161" t="str">
        <f t="shared" si="9"/>
        <v>start /low /b %USERPROFILE%\Documents\GitHub\eaglep3\Utilities\DownloadLogsFromS3.py --loco 4026 --day 2017-02-05</v>
      </c>
    </row>
    <row r="10" spans="1:31" s="1" customFormat="1" x14ac:dyDescent="0.25">
      <c r="A10" s="32">
        <v>42771.594131944446</v>
      </c>
      <c r="B10" s="30" t="s">
        <v>198</v>
      </c>
      <c r="C10" s="30" t="s">
        <v>508</v>
      </c>
      <c r="D10" s="30" t="s">
        <v>98</v>
      </c>
      <c r="E10" s="30" t="s">
        <v>186</v>
      </c>
      <c r="F10" s="43">
        <v>0</v>
      </c>
      <c r="G10" s="43">
        <v>4</v>
      </c>
      <c r="H10" s="43">
        <v>1727</v>
      </c>
      <c r="I10" s="43">
        <v>1725</v>
      </c>
      <c r="J10" s="30" t="s">
        <v>187</v>
      </c>
      <c r="K10" s="43">
        <v>1692</v>
      </c>
      <c r="L10" s="143" t="s">
        <v>50</v>
      </c>
      <c r="M10" s="144">
        <f t="shared" si="0"/>
        <v>-17.423999999999999</v>
      </c>
      <c r="N10" s="145" t="str">
        <f>VLOOKUP(C10,'Trips&amp;Operators'!$C$1:$G$99999,5,FALSE)</f>
        <v>LOPES KIMBERLY</v>
      </c>
      <c r="O10" s="157" t="s">
        <v>185</v>
      </c>
      <c r="P10" s="146" t="s">
        <v>904</v>
      </c>
      <c r="Q10" s="30"/>
      <c r="R10" s="89" t="str">
        <f>VLOOKUP(C10,'Train Runs'!$A$13:$AE$9961,31,0)</f>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S10" s="92" t="str">
        <f>VLOOKUP(C10,'Train Runs'!$A$13:$AE$9961,22,0)</f>
        <v>https://d0f6bd738d7f1b3e5a7ca70fe4ff75f0.us-east-1.aws.found.io/app/kibana#/discover/Steve-Slow-Train-Analysis-(2080s-and-2083s)?_g=(refreshInterval:(display:Off,pause:!f,section:0,value:0),time:(from:'2017-02-05T13:02:58-0700',mode:absolute,to:'2017-02-05T15:54: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T10" s="94" t="str">
        <f t="shared" si="1"/>
        <v>"C:\Program Files (x86)\AstroGrep\AstroGrep.exe" /spath="%USERPROFILE%\AppData\Local\Temp\OnboardLogs" /stypes="*4038*201702052*" /stext=" 21:.+((SYSTEM_STATE.+slice.+state.+changed )|(ment ac)|(multiple cpu faults)|(system.+state.+changed )|(\[timeout)|(PRM\|1\|D)|(kpr)|(kdp)|(\|lc)|(penalty))" /e /r /s</v>
      </c>
      <c r="U10" s="9" t="str">
        <f t="shared" si="2"/>
        <v>4038</v>
      </c>
      <c r="V10" s="32">
        <f t="shared" si="3"/>
        <v>42771.885798611111</v>
      </c>
      <c r="W10" s="46" t="str">
        <f t="shared" si="4"/>
        <v>EC</v>
      </c>
      <c r="X10" s="46" t="str">
        <f t="shared" si="5"/>
        <v>KEEP</v>
      </c>
      <c r="Y10" s="108" t="str">
        <f t="shared" si="6"/>
        <v>echo {"issue":{"subject":"Main 3 departure","project_id":79,"tracker_id":40,"status_id":1,"priority_id":2,"assigned_to_id":23,"start_date":"2017-02-05","description":"","custom_fields":[{"id":1,"name":"Subdivision","value":"EC"},{"id":4,"name":"Milepost","value":"0.1692"},{"id":17,"name":"Train ID","value":"185-05"},{"id":16,"name":"Locomotive ID","value":"4038"},{"id":130,"name":"Impact","value":""},{"id":150,"name":"Time of Event (Mountain Time)","value":"14:15:33"},{"id":151,"name":"Denver Issue ID","value":""},{"id":178,"name":"Operational Impact","value":"Yes"},{"id":179,"name":"Denver Segment Assigned","value":""}]}} | curl -X POST -H "Content-Type: application/json" -H "X-Redmine-API-Key: d6333d4a04012a730768444271f8ca06482dae87" https://secure.xorail.net/redmine/issues.json --data @-</v>
      </c>
      <c r="Z10" s="48"/>
      <c r="AA10" s="48"/>
      <c r="AB10" s="48"/>
      <c r="AC10" s="127" t="str">
        <f t="shared" si="7"/>
        <v>grep -hSE -A400 "Enforcement Action" "%USERPROFILE%\AppData\Local\Temp\OnboardLogs"\RTDC4038\*4038*201702052* | grep -SE "((Enforcement Ac)|(PRM))" -</v>
      </c>
      <c r="AD10" s="1" t="str">
        <f>"grep -hSE ""Enforcement Action"" "&amp;search_path&amp;"\RTDC"&amp;U10&amp;"\*"&amp;U10&amp;"*"&amp;TEXT(A10-utc_offset/24,"YYYYMMDD")&amp;LEFT(TEXT(A10-utc_offset/24,"HH"),1)&amp;"* &gt;&gt; "&amp;TEXT(Variables!$A$2,"YYYY-MM-DD")&amp;"-SliceDisagreementCheck.txt"</f>
        <v>grep -hSE "Enforcement Action" "%USERPROFILE%\AppData\Local\Temp\OnboardLogs"\RTDC4038\*4038*201702052* &gt;&gt; 2017-02-05-SliceDisagreementCheck.txt</v>
      </c>
      <c r="AE10" s="161" t="str">
        <f t="shared" si="9"/>
        <v>start /low /b %USERPROFILE%\Documents\GitHub\eaglep3\Utilities\DownloadLogsFromS3.py --loco 4038 --day 2017-02-05</v>
      </c>
    </row>
    <row r="11" spans="1:31" s="1" customFormat="1" x14ac:dyDescent="0.25">
      <c r="A11" s="32">
        <v>42771.262986111113</v>
      </c>
      <c r="B11" s="30" t="s">
        <v>316</v>
      </c>
      <c r="C11" s="30" t="s">
        <v>500</v>
      </c>
      <c r="D11" s="30" t="s">
        <v>49</v>
      </c>
      <c r="E11" s="30" t="s">
        <v>186</v>
      </c>
      <c r="F11" s="43">
        <v>0</v>
      </c>
      <c r="G11" s="43">
        <v>579</v>
      </c>
      <c r="H11" s="43">
        <v>79865</v>
      </c>
      <c r="I11" s="43">
        <v>82192</v>
      </c>
      <c r="J11" s="30" t="s">
        <v>187</v>
      </c>
      <c r="K11" s="43">
        <v>81738</v>
      </c>
      <c r="L11" s="143" t="s">
        <v>50</v>
      </c>
      <c r="M11" s="144">
        <f t="shared" si="0"/>
        <v>-239.71199999999999</v>
      </c>
      <c r="N11" s="145" t="str">
        <f>VLOOKUP(C11,'Trips&amp;Operators'!$C$1:$G$99999,5,FALSE)</f>
        <v>BADERTSCHER DIANE</v>
      </c>
      <c r="O11" s="157" t="s">
        <v>221</v>
      </c>
      <c r="P11" s="146" t="s">
        <v>911</v>
      </c>
      <c r="Q11" s="30"/>
      <c r="R11" s="89" t="str">
        <f>VLOOKUP(C11,'Train Runs'!$A$13:$AE$9961,31,0)</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S11" s="92" t="str">
        <f>VLOOKUP(C11,'Train Runs'!$A$13:$AE$9961,22,0)</f>
        <v>https://d0f6bd738d7f1b3e5a7ca70fe4ff75f0.us-east-1.aws.found.io/app/kibana#/discover/Steve-Slow-Train-Analysis-(2080s-and-2083s)?_g=(refreshInterval:(display:Off,pause:!f,section:0,value:0),time:(from:'2017-02-05T04:58:45-0700',mode:absolute,to:'2017-02-05T07:46:52-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T11" s="94" t="str">
        <f t="shared" si="1"/>
        <v>"C:\Program Files (x86)\AstroGrep\AstroGrep.exe" /spath="%USERPROFILE%\AppData\Local\Temp\OnboardLogs" /stypes="*4016*201702051*" /stext=" 13:.+((SYSTEM_STATE.+slice.+state.+changed )|(ment ac)|(multiple cpu faults)|(system.+state.+changed )|(\[timeout)|(PRM\|1\|D)|(kpr)|(kdp)|(\|lc)|(penalty))" /e /r /s</v>
      </c>
      <c r="U11" s="9" t="str">
        <f t="shared" si="2"/>
        <v>4016</v>
      </c>
      <c r="V11" s="32">
        <f t="shared" si="3"/>
        <v>42771.554652777777</v>
      </c>
      <c r="W11" s="46" t="str">
        <f t="shared" si="4"/>
        <v>EC</v>
      </c>
      <c r="X11" s="46" t="str">
        <f t="shared" si="5"/>
        <v>KEEP</v>
      </c>
      <c r="Y11" s="108" t="str">
        <f t="shared" si="6"/>
        <v>echo {"issue":{"subject":"Premature downgrade at EC0816RH 75-1T 1N","project_id":79,"tracker_id":40,"status_id":1,"priority_id":2,"assigned_to_id":23,"start_date":"2017-02-05","description":"Around 06:18:42 EC0816 RH 75-1T dropped from 270 to STOP &amp; PROCEED. Was this another false occupancy?","custom_fields":[{"id":1,"name":"Subdivision","value":"EC"},{"id":4,"name":"Milepost","value":"8.1738"},{"id":17,"name":"Train ID","value":"119-05"},{"id":16,"name":"Locomotive ID","value":"4016"},{"id":130,"name":"Impact","value":"Enforcement"},{"id":150,"name":"Time of Event (Mountain Time)","value":"06:18:42"},{"id":151,"name":"Denver Issue ID","value":""},{"id":178,"name":"Operational Impact","value":"Yes"},{"id":179,"name":"Denver Segment Assigned","value":"Signal"}]}} | curl -X POST -H "Content-Type: application/json" -H "X-Redmine-API-Key: d6333d4a04012a730768444271f8ca06482dae87" https://secure.xorail.net/redmine/issues.json --data @-</v>
      </c>
      <c r="Z11" s="48" t="str">
        <f>"Around "&amp;TEXT(A11,"HH:MM:SS")&amp;" EC0816 RH 75-1T dropped from 270 to STOP &amp; PROCEED. Was this another false occupancy?"</f>
        <v>Around 06:18:42 EC0816 RH 75-1T dropped from 270 to STOP &amp; PROCEED. Was this another false occupancy?</v>
      </c>
      <c r="AA11" s="48" t="s">
        <v>124</v>
      </c>
      <c r="AB11" s="48" t="s">
        <v>129</v>
      </c>
      <c r="AC11" s="127" t="str">
        <f t="shared" si="7"/>
        <v>grep -hSE -A400 "Enforcement Action" "%USERPROFILE%\AppData\Local\Temp\OnboardLogs"\RTDC4016\*4016*201702051* | grep -SE "((Enforcement Ac)|(PRM))" -</v>
      </c>
      <c r="AD11" s="1" t="str">
        <f>"grep -hSE ""Enforcement Action"" "&amp;search_path&amp;"\RTDC"&amp;U11&amp;"\*"&amp;U11&amp;"*"&amp;TEXT(A11-utc_offset/24,"YYYYMMDD")&amp;LEFT(TEXT(A11-utc_offset/24,"HH"),1)&amp;"* &gt;&gt; "&amp;TEXT(Variables!$A$2,"YYYY-MM-DD")&amp;"-SliceDisagreementCheck.txt"</f>
        <v>grep -hSE "Enforcement Action" "%USERPROFILE%\AppData\Local\Temp\OnboardLogs"\RTDC4016\*4016*201702051* &gt;&gt; 2017-02-05-SliceDisagreementCheck.txt</v>
      </c>
      <c r="AE11" s="161" t="str">
        <f t="shared" si="9"/>
        <v>start /low /b %USERPROFILE%\Documents\GitHub\eaglep3\Utilities\DownloadLogsFromS3.py --loco 4016 --day 2017-02-05</v>
      </c>
    </row>
    <row r="12" spans="1:31" s="1" customFormat="1" x14ac:dyDescent="0.25">
      <c r="A12" s="32">
        <v>42771.428136574075</v>
      </c>
      <c r="B12" s="30" t="s">
        <v>287</v>
      </c>
      <c r="C12" s="30" t="s">
        <v>506</v>
      </c>
      <c r="D12" s="30" t="s">
        <v>49</v>
      </c>
      <c r="E12" s="30" t="s">
        <v>186</v>
      </c>
      <c r="F12" s="43">
        <v>0</v>
      </c>
      <c r="G12" s="43">
        <v>684</v>
      </c>
      <c r="H12" s="43">
        <v>80457</v>
      </c>
      <c r="I12" s="43">
        <v>83565</v>
      </c>
      <c r="J12" s="30" t="s">
        <v>187</v>
      </c>
      <c r="K12" s="43">
        <v>81738</v>
      </c>
      <c r="L12" s="143" t="s">
        <v>50</v>
      </c>
      <c r="M12" s="144">
        <f t="shared" si="0"/>
        <v>-964.65599999999995</v>
      </c>
      <c r="N12" s="145" t="str">
        <f>VLOOKUP(C12,'Trips&amp;Operators'!$C$1:$G$99999,5,FALSE)</f>
        <v>BERLING GARY</v>
      </c>
      <c r="O12" s="157" t="s">
        <v>221</v>
      </c>
      <c r="P12" s="146" t="s">
        <v>911</v>
      </c>
      <c r="Q12" s="30"/>
      <c r="R12" s="89" t="str">
        <f>VLOOKUP(C12,'Train Runs'!$A$13:$AE$9961,31,0)</f>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S12" s="92" t="str">
        <f>VLOOKUP(C12,'Train Runs'!$A$13:$AE$9961,22,0)</f>
        <v>https://d0f6bd738d7f1b3e5a7ca70fe4ff75f0.us-east-1.aws.found.io/app/kibana#/discover/Steve-Slow-Train-Analysis-(2080s-and-2083s)?_g=(refreshInterval:(display:Off,pause:!f,section:0,value:0),time:(from:'2017-02-05T08:52:15-0700',mode:absolute,to:'2017-02-05T11:37:17-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T12" s="94" t="str">
        <f t="shared" si="1"/>
        <v>"C:\Program Files (x86)\AstroGrep\AstroGrep.exe" /spath="%USERPROFILE%\AppData\Local\Temp\OnboardLogs" /stypes="*4002*201702051*" /stext=" 17:.+((SYSTEM_STATE.+slice.+state.+changed )|(ment ac)|(multiple cpu faults)|(system.+state.+changed )|(\[timeout)|(PRM\|1\|D)|(kpr)|(kdp)|(\|lc)|(penalty))" /e /r /s</v>
      </c>
      <c r="U12" s="9" t="str">
        <f t="shared" si="2"/>
        <v>4002</v>
      </c>
      <c r="V12" s="32">
        <f t="shared" si="3"/>
        <v>42771.71980324074</v>
      </c>
      <c r="W12" s="46" t="str">
        <f t="shared" si="4"/>
        <v>EC</v>
      </c>
      <c r="X12" s="46" t="str">
        <f t="shared" si="5"/>
        <v>KEEP</v>
      </c>
      <c r="Y12" s="108" t="str">
        <f t="shared" si="6"/>
        <v>echo {"issue":{"subject":"Premature downgrade at EC0816RH 75-1T 1N","project_id":79,"tracker_id":40,"status_id":1,"priority_id":2,"assigned_to_id":23,"start_date":"2017-02-05","description":"Around 10:16:31 EC0816 RH 75-1T dropped from 270 to STOP &amp; PROCEED. Was this another false occupancy?","custom_fields":[{"id":1,"name":"Subdivision","value":"EC"},{"id":4,"name":"Milepost","value":"8.1738"},{"id":17,"name":"Train ID","value":"151-05"},{"id":16,"name":"Locomotive ID","value":"4002"},{"id":130,"name":"Impact","value":"Enforcement"},{"id":150,"name":"Time of Event (Mountain Time)","value":"10:16:31"},{"id":151,"name":"Denver Issue ID","value":""},{"id":178,"name":"Operational Impact","value":"Yes"},{"id":179,"name":"Denver Segment Assigned","value":"Signal"}]}} | curl -X POST -H "Content-Type: application/json" -H "X-Redmine-API-Key: d6333d4a04012a730768444271f8ca06482dae87" https://secure.xorail.net/redmine/issues.json --data @-</v>
      </c>
      <c r="Z12" s="48" t="str">
        <f t="shared" ref="Z12:Z13" si="10">"Around "&amp;TEXT(A12,"HH:MM:SS")&amp;" EC0816 RH 75-1T dropped from 270 to STOP &amp; PROCEED. Was this another false occupancy?"</f>
        <v>Around 10:16:31 EC0816 RH 75-1T dropped from 270 to STOP &amp; PROCEED. Was this another false occupancy?</v>
      </c>
      <c r="AA12" s="48" t="s">
        <v>124</v>
      </c>
      <c r="AB12" s="48" t="s">
        <v>129</v>
      </c>
      <c r="AC12" s="127" t="str">
        <f t="shared" si="7"/>
        <v>grep -hSE -A400 "Enforcement Action" "%USERPROFILE%\AppData\Local\Temp\OnboardLogs"\RTDC4002\*4002*201702051* | grep -SE "((Enforcement Ac)|(PRM))" -</v>
      </c>
      <c r="AD12" s="1" t="str">
        <f>"grep -hSE ""Enforcement Action"" "&amp;search_path&amp;"\RTDC"&amp;U12&amp;"\*"&amp;U12&amp;"*"&amp;TEXT(A12-utc_offset/24,"YYYYMMDD")&amp;LEFT(TEXT(A12-utc_offset/24,"HH"),1)&amp;"* &gt;&gt; "&amp;TEXT(Variables!$A$2,"YYYY-MM-DD")&amp;"-SliceDisagreementCheck.txt"</f>
        <v>grep -hSE "Enforcement Action" "%USERPROFILE%\AppData\Local\Temp\OnboardLogs"\RTDC4002\*4002*201702051* &gt;&gt; 2017-02-05-SliceDisagreementCheck.txt</v>
      </c>
      <c r="AE12" s="161" t="str">
        <f t="shared" si="9"/>
        <v>start /low /b %USERPROFILE%\Documents\GitHub\eaglep3\Utilities\DownloadLogsFromS3.py --loco 4002 --day 2017-02-05</v>
      </c>
    </row>
    <row r="13" spans="1:31" s="1" customFormat="1" x14ac:dyDescent="0.25">
      <c r="A13" s="32">
        <v>42771.751712962963</v>
      </c>
      <c r="B13" s="30" t="s">
        <v>198</v>
      </c>
      <c r="C13" s="30" t="s">
        <v>515</v>
      </c>
      <c r="D13" s="30" t="s">
        <v>49</v>
      </c>
      <c r="E13" s="30" t="s">
        <v>186</v>
      </c>
      <c r="F13" s="43">
        <v>0</v>
      </c>
      <c r="G13" s="43">
        <v>790</v>
      </c>
      <c r="H13" s="43">
        <v>79916</v>
      </c>
      <c r="I13" s="43">
        <v>83839</v>
      </c>
      <c r="J13" s="30" t="s">
        <v>187</v>
      </c>
      <c r="K13" s="43">
        <v>81738</v>
      </c>
      <c r="L13" s="143" t="s">
        <v>50</v>
      </c>
      <c r="M13" s="144">
        <f t="shared" si="0"/>
        <v>-1109.328</v>
      </c>
      <c r="N13" s="145" t="str">
        <f>VLOOKUP(C13,'Trips&amp;Operators'!$C$1:$G$99999,5,FALSE)</f>
        <v>NEWELL JAMES</v>
      </c>
      <c r="O13" s="157" t="s">
        <v>221</v>
      </c>
      <c r="P13" s="146" t="s">
        <v>911</v>
      </c>
      <c r="Q13" s="30"/>
      <c r="R13" s="89" t="str">
        <f>VLOOKUP(C13,'Train Runs'!$A$13:$AE$9961,31,0)</f>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S13" s="92" t="str">
        <f>VLOOKUP(C13,'Train Runs'!$A$13:$AE$9961,22,0)</f>
        <v>https://d0f6bd738d7f1b3e5a7ca70fe4ff75f0.us-east-1.aws.found.io/app/kibana#/discover/Steve-Slow-Train-Analysis-(2080s-and-2083s)?_g=(refreshInterval:(display:Off,pause:!f,section:0,value:0),time:(from:'2017-02-05T16:42:05-0700',mode:absolute,to:'2017-02-05T19:23:29-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T13" s="94" t="str">
        <f t="shared" si="1"/>
        <v>"C:\Program Files (x86)\AstroGrep\AstroGrep.exe" /spath="%USERPROFILE%\AppData\Local\Temp\OnboardLogs" /stypes="*4038*201702060*" /stext=" 01:.+((SYSTEM_STATE.+slice.+state.+changed )|(ment ac)|(multiple cpu faults)|(system.+state.+changed )|(\[timeout)|(PRM\|1\|D)|(kpr)|(kdp)|(\|lc)|(penalty))" /e /r /s</v>
      </c>
      <c r="U13" s="9" t="str">
        <f t="shared" si="2"/>
        <v>4038</v>
      </c>
      <c r="V13" s="32">
        <f t="shared" si="3"/>
        <v>42772.043379629627</v>
      </c>
      <c r="W13" s="46" t="str">
        <f t="shared" si="4"/>
        <v>EC</v>
      </c>
      <c r="X13" s="46" t="str">
        <f t="shared" si="5"/>
        <v>KEEP</v>
      </c>
      <c r="Y13" s="108" t="str">
        <f t="shared" si="6"/>
        <v>echo {"issue":{"subject":"Premature downgrade at EC0816RH 75-1T 1N","project_id":79,"tracker_id":40,"status_id":1,"priority_id":2,"assigned_to_id":23,"start_date":"2017-02-05","description":"Around 18:02:28 EC0816 RH 75-1T dropped from 270 to STOP &amp; PROCEED. Was this another false occupancy?","custom_fields":[{"id":1,"name":"Subdivision","value":"EC"},{"id":4,"name":"Milepost","value":"8.1738"},{"id":17,"name":"Train ID","value":"213-05"},{"id":16,"name":"Locomotive ID","value":"4038"},{"id":130,"name":"Impact","value":"Enforcement"},{"id":150,"name":"Time of Event (Mountain Time)","value":"18:02:28"},{"id":151,"name":"Denver Issue ID","value":""},{"id":178,"name":"Operational Impact","value":"Yes"},{"id":179,"name":"Denver Segment Assigned","value":"Signal"}]}} | curl -X POST -H "Content-Type: application/json" -H "X-Redmine-API-Key: d6333d4a04012a730768444271f8ca06482dae87" https://secure.xorail.net/redmine/issues.json --data @-</v>
      </c>
      <c r="Z13" s="48" t="str">
        <f t="shared" si="10"/>
        <v>Around 18:02:28 EC0816 RH 75-1T dropped from 270 to STOP &amp; PROCEED. Was this another false occupancy?</v>
      </c>
      <c r="AA13" s="48" t="s">
        <v>124</v>
      </c>
      <c r="AB13" s="48" t="s">
        <v>129</v>
      </c>
      <c r="AC13" s="127" t="str">
        <f t="shared" si="7"/>
        <v>grep -hSE -A400 "Enforcement Action" "%USERPROFILE%\AppData\Local\Temp\OnboardLogs"\RTDC4038\*4038*201702060* | grep -SE "((Enforcement Ac)|(PRM))" -</v>
      </c>
      <c r="AD13" s="1" t="str">
        <f>"grep -hSE ""Enforcement Action"" "&amp;search_path&amp;"\RTDC"&amp;U13&amp;"\*"&amp;U13&amp;"*"&amp;TEXT(A13-utc_offset/24,"YYYYMMDD")&amp;LEFT(TEXT(A13-utc_offset/24,"HH"),1)&amp;"* &gt;&gt; "&amp;TEXT(Variables!$A$2,"YYYY-MM-DD")&amp;"-SliceDisagreementCheck.txt"</f>
        <v>grep -hSE "Enforcement Action" "%USERPROFILE%\AppData\Local\Temp\OnboardLogs"\RTDC4038\*4038*201702060* &gt;&gt; 2017-02-05-SliceDisagreementCheck.txt</v>
      </c>
      <c r="AE13" s="161" t="str">
        <f t="shared" si="9"/>
        <v>start /low /b %USERPROFILE%\Documents\GitHub\eaglep3\Utilities\DownloadLogsFromS3.py --loco 4038 --day 2017-02-06</v>
      </c>
    </row>
    <row r="14" spans="1:31" s="1" customFormat="1" x14ac:dyDescent="0.25">
      <c r="A14" s="32">
        <v>42771.28665509259</v>
      </c>
      <c r="B14" s="30" t="s">
        <v>322</v>
      </c>
      <c r="C14" s="30" t="s">
        <v>501</v>
      </c>
      <c r="D14" s="30" t="s">
        <v>49</v>
      </c>
      <c r="E14" s="30" t="s">
        <v>188</v>
      </c>
      <c r="F14" s="43">
        <v>0</v>
      </c>
      <c r="G14" s="43">
        <v>45</v>
      </c>
      <c r="H14" s="43">
        <v>169</v>
      </c>
      <c r="I14" s="43">
        <v>125</v>
      </c>
      <c r="J14" s="30" t="s">
        <v>189</v>
      </c>
      <c r="K14" s="43">
        <v>1</v>
      </c>
      <c r="L14" s="143" t="s">
        <v>51</v>
      </c>
      <c r="M14" s="144">
        <f t="shared" si="0"/>
        <v>65.471999999999994</v>
      </c>
      <c r="N14" s="145" t="str">
        <f>VLOOKUP(C14,'Trips&amp;Operators'!$C$1:$G$99999,5,FALSE)</f>
        <v>OUN ZACK</v>
      </c>
      <c r="O14" s="157" t="s">
        <v>185</v>
      </c>
      <c r="P14" s="146"/>
      <c r="Q14" s="30"/>
      <c r="R14" s="89" t="str">
        <f>VLOOKUP(C14,'Train Runs'!$A$13:$AE$9961,31,0)</f>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S14" s="92" t="str">
        <f>VLOOKUP(C14,'Train Runs'!$A$13:$AE$9961,22,0)</f>
        <v>https://d0f6bd738d7f1b3e5a7ca70fe4ff75f0.us-east-1.aws.found.io/app/kibana#/discover/Steve-Slow-Train-Analysis-(2080s-and-2083s)?_g=(refreshInterval:(display:Off,pause:!f,section:0,value:0),time:(from:'2017-02-05T05:06:39-0700',mode:absolute,to:'2017-02-05T07:52:47-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T14" s="94" t="str">
        <f t="shared" si="1"/>
        <v>"C:\Program Files (x86)\AstroGrep\AstroGrep.exe" /spath="%USERPROFILE%\AppData\Local\Temp\OnboardLogs" /stypes="*4010*201702051*" /stext=" 13:.+((SYSTEM_STATE.+slice.+state.+changed )|(ment ac)|(multiple cpu faults)|(system.+state.+changed )|(\[timeout)|(PRM\|1\|D)|(kpr)|(kdp)|(\|lc)|(penalty))" /e /r /s</v>
      </c>
      <c r="U14" s="9" t="str">
        <f t="shared" si="2"/>
        <v>4010</v>
      </c>
      <c r="V14" s="32">
        <f t="shared" si="3"/>
        <v>42771.578321759254</v>
      </c>
      <c r="W14" s="46" t="str">
        <f t="shared" si="4"/>
        <v>EC</v>
      </c>
      <c r="X14" s="46" t="str">
        <f t="shared" si="5"/>
        <v>KEEP</v>
      </c>
      <c r="Y14" s="108" t="str">
        <f t="shared" si="6"/>
        <v>echo {"issue":{"subject":"","project_id":79,"tracker_id":40,"status_id":1,"priority_id":2,"assigned_to_id":23,"start_date":"2017-02-05","description":"","custom_fields":[{"id":1,"name":"Subdivision","value":"EC"},{"id":4,"name":"Milepost","value":"0.0001"},{"id":17,"name":"Train ID","value":"114-05"},{"id":16,"name":"Locomotive ID","value":"4010"},{"id":130,"name":"Impact","value":""},{"id":150,"name":"Time of Event (Mountain Time)","value":"06:52:47"},{"id":151,"name":"Denver Issue ID","value":""},{"id":178,"name":"Operational Impact","value":"Yes"},{"id":179,"name":"Denver Segment Assigned","value":""}]}} | curl -X POST -H "Content-Type: application/json" -H "X-Redmine-API-Key: d6333d4a04012a730768444271f8ca06482dae87" https://secure.xorail.net/redmine/issues.json --data @-</v>
      </c>
      <c r="Z14" s="48"/>
      <c r="AA14" s="48"/>
      <c r="AB14" s="48"/>
      <c r="AC14" s="127" t="str">
        <f t="shared" si="7"/>
        <v>grep -hSE -A400 "Enforcement Action" "%USERPROFILE%\AppData\Local\Temp\OnboardLogs"\RTDC4010\*4010*201702051* | grep -SE "((Enforcement Ac)|(PRM))" -</v>
      </c>
      <c r="AD14" s="1" t="str">
        <f>"grep -hSE ""Enforcement Action"" "&amp;search_path&amp;"\RTDC"&amp;U14&amp;"\*"&amp;U14&amp;"*"&amp;TEXT(A14-utc_offset/24,"YYYYMMDD")&amp;LEFT(TEXT(A14-utc_offset/24,"HH"),1)&amp;"* &gt;&gt; "&amp;TEXT(Variables!$A$2,"YYYY-MM-DD")&amp;"-SliceDisagreementCheck.txt"</f>
        <v>grep -hSE "Enforcement Action" "%USERPROFILE%\AppData\Local\Temp\OnboardLogs"\RTDC4010\*4010*201702051* &gt;&gt; 2017-02-05-SliceDisagreementCheck.txt</v>
      </c>
      <c r="AE14" s="161" t="str">
        <f t="shared" si="9"/>
        <v>start /low /b %USERPROFILE%\Documents\GitHub\eaglep3\Utilities\DownloadLogsFromS3.py --loco 4010 --day 2017-02-05</v>
      </c>
    </row>
    <row r="15" spans="1:31" s="1" customFormat="1" x14ac:dyDescent="0.25">
      <c r="A15" s="32">
        <v>42771.357361111113</v>
      </c>
      <c r="B15" s="30" t="s">
        <v>322</v>
      </c>
      <c r="C15" s="30" t="s">
        <v>504</v>
      </c>
      <c r="D15" s="30" t="s">
        <v>49</v>
      </c>
      <c r="E15" s="30" t="s">
        <v>188</v>
      </c>
      <c r="F15" s="43">
        <v>0</v>
      </c>
      <c r="G15" s="43">
        <v>42</v>
      </c>
      <c r="H15" s="43">
        <v>143</v>
      </c>
      <c r="I15" s="43">
        <v>121</v>
      </c>
      <c r="J15" s="30" t="s">
        <v>189</v>
      </c>
      <c r="K15" s="43">
        <v>1</v>
      </c>
      <c r="L15" s="143" t="s">
        <v>51</v>
      </c>
      <c r="M15" s="144">
        <f t="shared" si="0"/>
        <v>63.36</v>
      </c>
      <c r="N15" s="145" t="str">
        <f>VLOOKUP(C15,'Trips&amp;Operators'!$C$1:$G$99999,5,FALSE)</f>
        <v>OUN ZACK</v>
      </c>
      <c r="O15" s="157" t="s">
        <v>185</v>
      </c>
      <c r="P15" s="146"/>
      <c r="Q15" s="30"/>
      <c r="R15" s="89" t="str">
        <f>VLOOKUP(C15,'Train Runs'!$A$13:$AE$9961,31,0)</f>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S15" s="92" t="str">
        <f>VLOOKUP(C15,'Train Runs'!$A$13:$AE$9961,22,0)</f>
        <v>https://d0f6bd738d7f1b3e5a7ca70fe4ff75f0.us-east-1.aws.found.io/app/kibana#/discover/Steve-Slow-Train-Analysis-(2080s-and-2083s)?_g=(refreshInterval:(display:Off,pause:!f,section:0,value:0),time:(from:'2017-02-05T06:50:21-0700',mode:absolute,to:'2017-02-05T09:34:36-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T15" s="94" t="str">
        <f t="shared" si="1"/>
        <v>"C:\Program Files (x86)\AstroGrep\AstroGrep.exe" /spath="%USERPROFILE%\AppData\Local\Temp\OnboardLogs" /stypes="*4010*201702051*" /stext=" 15:.+((SYSTEM_STATE.+slice.+state.+changed )|(ment ac)|(multiple cpu faults)|(system.+state.+changed )|(\[timeout)|(PRM\|1\|D)|(kpr)|(kdp)|(\|lc)|(penalty))" /e /r /s</v>
      </c>
      <c r="U15" s="9" t="str">
        <f t="shared" si="2"/>
        <v>4010</v>
      </c>
      <c r="V15" s="32">
        <f t="shared" si="3"/>
        <v>42771.649027777778</v>
      </c>
      <c r="W15" s="46" t="str">
        <f t="shared" si="4"/>
        <v>EC</v>
      </c>
      <c r="X15" s="46" t="str">
        <f t="shared" si="5"/>
        <v>KEEP</v>
      </c>
      <c r="Y15" s="108" t="str">
        <f t="shared" si="6"/>
        <v>echo {"issue":{"subject":"","project_id":79,"tracker_id":40,"status_id":1,"priority_id":2,"assigned_to_id":23,"start_date":"2017-02-05","description":"","custom_fields":[{"id":1,"name":"Subdivision","value":"EC"},{"id":4,"name":"Milepost","value":"0.0001"},{"id":17,"name":"Train ID","value":"128-05"},{"id":16,"name":"Locomotive ID","value":"4010"},{"id":130,"name":"Impact","value":""},{"id":150,"name":"Time of Event (Mountain Time)","value":"08:34:36"},{"id":151,"name":"Denver Issue ID","value":""},{"id":178,"name":"Operational Impact","value":"Yes"},{"id":179,"name":"Denver Segment Assigned","value":""}]}} | curl -X POST -H "Content-Type: application/json" -H "X-Redmine-API-Key: d6333d4a04012a730768444271f8ca06482dae87" https://secure.xorail.net/redmine/issues.json --data @-</v>
      </c>
      <c r="Z15" s="48"/>
      <c r="AA15" s="48"/>
      <c r="AB15" s="48"/>
      <c r="AC15" s="127" t="str">
        <f t="shared" si="7"/>
        <v>grep -hSE -A400 "Enforcement Action" "%USERPROFILE%\AppData\Local\Temp\OnboardLogs"\RTDC4010\*4010*201702051* | grep -SE "((Enforcement Ac)|(PRM))" -</v>
      </c>
      <c r="AD15" s="1" t="str">
        <f>"grep -hSE ""Enforcement Action"" "&amp;search_path&amp;"\RTDC"&amp;U15&amp;"\*"&amp;U15&amp;"*"&amp;TEXT(A15-utc_offset/24,"YYYYMMDD")&amp;LEFT(TEXT(A15-utc_offset/24,"HH"),1)&amp;"* &gt;&gt; "&amp;TEXT(Variables!$A$2,"YYYY-MM-DD")&amp;"-SliceDisagreementCheck.txt"</f>
        <v>grep -hSE "Enforcement Action" "%USERPROFILE%\AppData\Local\Temp\OnboardLogs"\RTDC4010\*4010*201702051* &gt;&gt; 2017-02-05-SliceDisagreementCheck.txt</v>
      </c>
      <c r="AE15" s="161" t="str">
        <f t="shared" si="9"/>
        <v>start /low /b %USERPROFILE%\Documents\GitHub\eaglep3\Utilities\DownloadLogsFromS3.py --loco 4010 --day 2017-02-05</v>
      </c>
    </row>
    <row r="16" spans="1:31" s="1" customFormat="1" x14ac:dyDescent="0.25">
      <c r="A16" s="32">
        <v>42771.755370370367</v>
      </c>
      <c r="B16" s="30" t="s">
        <v>238</v>
      </c>
      <c r="C16" s="30" t="s">
        <v>516</v>
      </c>
      <c r="D16" s="30" t="s">
        <v>49</v>
      </c>
      <c r="E16" s="30" t="s">
        <v>188</v>
      </c>
      <c r="F16" s="43">
        <v>0</v>
      </c>
      <c r="G16" s="43">
        <v>76</v>
      </c>
      <c r="H16" s="43">
        <v>298</v>
      </c>
      <c r="I16" s="43">
        <v>216</v>
      </c>
      <c r="J16" s="30" t="s">
        <v>189</v>
      </c>
      <c r="K16" s="43">
        <v>1</v>
      </c>
      <c r="L16" s="143" t="s">
        <v>51</v>
      </c>
      <c r="M16" s="144">
        <f t="shared" si="0"/>
        <v>113.52</v>
      </c>
      <c r="N16" s="145" t="str">
        <f>VLOOKUP(C16,'Trips&amp;Operators'!$C$1:$G$99999,5,FALSE)</f>
        <v>DAVIS MICHAEL</v>
      </c>
      <c r="O16" s="157" t="s">
        <v>185</v>
      </c>
      <c r="P16" s="146"/>
      <c r="Q16" s="30"/>
      <c r="R16" s="89" t="str">
        <f>VLOOKUP(C16,'Train Runs'!$A$13:$AE$9961,31,0)</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S16" s="92" t="str">
        <f>VLOOKUP(C16,'Train Runs'!$A$13:$AE$9961,22,0)</f>
        <v>https://d0f6bd738d7f1b3e5a7ca70fe4ff75f0.us-east-1.aws.found.io/app/kibana#/discover/Steve-Slow-Train-Analysis-(2080s-and-2083s)?_g=(refreshInterval:(display:Off,pause:!f,section:0,value:0),time:(from:'2017-02-05T16:22:42-0700',mode:absolute,to:'2017-02-05T19:07: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T16" s="94" t="str">
        <f t="shared" si="1"/>
        <v>"C:\Program Files (x86)\AstroGrep\AstroGrep.exe" /spath="%USERPROFILE%\AppData\Local\Temp\OnboardLogs" /stypes="*4015*201702060*" /stext=" 01:.+((SYSTEM_STATE.+slice.+state.+changed )|(ment ac)|(multiple cpu faults)|(system.+state.+changed )|(\[timeout)|(PRM\|1\|D)|(kpr)|(kdp)|(\|lc)|(penalty))" /e /r /s</v>
      </c>
      <c r="U16" s="9" t="str">
        <f t="shared" si="2"/>
        <v>4015</v>
      </c>
      <c r="V16" s="32">
        <f t="shared" si="3"/>
        <v>42772.047037037031</v>
      </c>
      <c r="W16" s="46" t="str">
        <f t="shared" si="4"/>
        <v>EC</v>
      </c>
      <c r="X16" s="46" t="str">
        <f t="shared" si="5"/>
        <v>KEEP</v>
      </c>
      <c r="Y16" s="108" t="str">
        <f t="shared" si="6"/>
        <v>echo {"issue":{"subject":"","project_id":79,"tracker_id":40,"status_id":1,"priority_id":2,"assigned_to_id":23,"start_date":"2017-02-05","description":"","custom_fields":[{"id":1,"name":"Subdivision","value":"EC"},{"id":4,"name":"Milepost","value":"0.0001"},{"id":17,"name":"Train ID","value":"204-05"},{"id":16,"name":"Locomotive ID","value":"4015"},{"id":130,"name":"Impact","value":""},{"id":150,"name":"Time of Event (Mountain Time)","value":"18:07:44"},{"id":151,"name":"Denver Issue ID","value":""},{"id":178,"name":"Operational Impact","value":"Yes"},{"id":179,"name":"Denver Segment Assigned","value":""}]}} | curl -X POST -H "Content-Type: application/json" -H "X-Redmine-API-Key: d6333d4a04012a730768444271f8ca06482dae87" https://secure.xorail.net/redmine/issues.json --data @-</v>
      </c>
      <c r="Z16" s="48"/>
      <c r="AA16" s="48"/>
      <c r="AB16" s="48"/>
      <c r="AC16" s="127" t="str">
        <f t="shared" si="7"/>
        <v>grep -hSE -A400 "Enforcement Action" "%USERPROFILE%\AppData\Local\Temp\OnboardLogs"\RTDC4015\*4015*201702060* | grep -SE "((Enforcement Ac)|(PRM))" -</v>
      </c>
      <c r="AD16" s="1" t="str">
        <f>"grep -hSE ""Enforcement Action"" "&amp;search_path&amp;"\RTDC"&amp;U16&amp;"\*"&amp;U16&amp;"*"&amp;TEXT(A16-utc_offset/24,"YYYYMMDD")&amp;LEFT(TEXT(A16-utc_offset/24,"HH"),1)&amp;"* &gt;&gt; "&amp;TEXT(Variables!$A$2,"YYYY-MM-DD")&amp;"-SliceDisagreementCheck.txt"</f>
        <v>grep -hSE "Enforcement Action" "%USERPROFILE%\AppData\Local\Temp\OnboardLogs"\RTDC4015\*4015*201702060* &gt;&gt; 2017-02-05-SliceDisagreementCheck.txt</v>
      </c>
      <c r="AE16" s="161" t="str">
        <f t="shared" si="9"/>
        <v>start /low /b %USERPROFILE%\Documents\GitHub\eaglep3\Utilities\DownloadLogsFromS3.py --loco 4015 --day 2017-02-06</v>
      </c>
    </row>
    <row r="17" spans="1:32" x14ac:dyDescent="0.25">
      <c r="A17" s="32">
        <v>42771.984479166669</v>
      </c>
      <c r="B17" s="30" t="s">
        <v>238</v>
      </c>
      <c r="C17" s="30" t="s">
        <v>520</v>
      </c>
      <c r="D17" s="30" t="s">
        <v>49</v>
      </c>
      <c r="E17" s="30" t="s">
        <v>188</v>
      </c>
      <c r="F17" s="43">
        <v>0</v>
      </c>
      <c r="G17" s="43">
        <v>40</v>
      </c>
      <c r="H17" s="43">
        <v>145</v>
      </c>
      <c r="I17" s="43">
        <v>119</v>
      </c>
      <c r="J17" s="30" t="s">
        <v>189</v>
      </c>
      <c r="K17" s="43">
        <v>1</v>
      </c>
      <c r="L17" s="143" t="s">
        <v>51</v>
      </c>
      <c r="M17" s="144">
        <f t="shared" si="0"/>
        <v>62.304000000000002</v>
      </c>
      <c r="N17" s="145" t="str">
        <f>VLOOKUP(C17,'Trips&amp;Operators'!$C$1:$G$99999,5,FALSE)</f>
        <v>SMITH MICHAEL</v>
      </c>
      <c r="O17" s="157" t="s">
        <v>185</v>
      </c>
      <c r="P17" s="146"/>
      <c r="Q17" s="30"/>
      <c r="R17" s="89" t="str">
        <f>VLOOKUP(C17,'Train Runs'!$A$13:$AE$9961,31,0)</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S17" s="92" t="str">
        <f>VLOOKUP(C17,'Train Runs'!$A$13:$AE$9961,22,0)</f>
        <v>https://d0f6bd738d7f1b3e5a7ca70fe4ff75f0.us-east-1.aws.found.io/app/kibana#/discover/Steve-Slow-Train-Analysis-(2080s-and-2083s)?_g=(refreshInterval:(display:Off,pause:!f,section:0,value:0),time:(from:'2017-02-05T21:43:15-0700',mode:absolute,to:'2017-02-06T00:37: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T17" s="94" t="str">
        <f t="shared" si="1"/>
        <v>"C:\Program Files (x86)\AstroGrep\AstroGrep.exe" /spath="%USERPROFILE%\AppData\Local\Temp\OnboardLogs" /stypes="*4015*201702060*" /stext=" 06:.+((SYSTEM_STATE.+slice.+state.+changed )|(ment ac)|(multiple cpu faults)|(system.+state.+changed )|(\[timeout)|(PRM\|1\|D)|(kpr)|(kdp)|(\|lc)|(penalty))" /e /r /s</v>
      </c>
      <c r="U17" s="9" t="str">
        <f t="shared" si="2"/>
        <v>4015</v>
      </c>
      <c r="V17" s="32">
        <f t="shared" si="3"/>
        <v>42772.276145833333</v>
      </c>
      <c r="W17" s="46" t="str">
        <f t="shared" si="4"/>
        <v>EC</v>
      </c>
      <c r="X17" s="46" t="str">
        <f t="shared" si="5"/>
        <v>KEEP</v>
      </c>
      <c r="Y17" s="108" t="str">
        <f t="shared" si="6"/>
        <v>echo {"issue":{"subject":"","project_id":79,"tracker_id":40,"status_id":1,"priority_id":2,"assigned_to_id":23,"start_date":"2017-02-05","description":"","custom_fields":[{"id":1,"name":"Subdivision","value":"EC"},{"id":4,"name":"Milepost","value":"0.0001"},{"id":17,"name":"Train ID","value":"234-05"},{"id":16,"name":"Locomotive ID","value":"4015"},{"id":130,"name":"Impact","value":""},{"id":150,"name":"Time of Event (Mountain Time)","value":"23:37:39"},{"id":151,"name":"Denver Issue ID","value":""},{"id":178,"name":"Operational Impact","value":"Yes"},{"id":179,"name":"Denver Segment Assigned","value":""}]}} | curl -X POST -H "Content-Type: application/json" -H "X-Redmine-API-Key: d6333d4a04012a730768444271f8ca06482dae87" https://secure.xorail.net/redmine/issues.json --data @-</v>
      </c>
      <c r="Z17" s="48"/>
      <c r="AA17" s="48"/>
      <c r="AB17" s="48"/>
      <c r="AC17" s="127" t="str">
        <f t="shared" si="7"/>
        <v>grep -hSE -A400 "Enforcement Action" "%USERPROFILE%\AppData\Local\Temp\OnboardLogs"\RTDC4015\*4015*201702060* | grep -SE "((Enforcement Ac)|(PRM))" -</v>
      </c>
      <c r="AD17" s="1" t="str">
        <f>"grep -hSE ""Enforcement Action"" "&amp;search_path&amp;"\RTDC"&amp;U17&amp;"\*"&amp;U17&amp;"*"&amp;TEXT(A17-utc_offset/24,"YYYYMMDD")&amp;LEFT(TEXT(A17-utc_offset/24,"HH"),1)&amp;"* &gt;&gt; "&amp;TEXT(Variables!$A$2,"YYYY-MM-DD")&amp;"-SliceDisagreementCheck.txt"</f>
        <v>grep -hSE "Enforcement Action" "%USERPROFILE%\AppData\Local\Temp\OnboardLogs"\RTDC4015\*4015*201702060* &gt;&gt; 2017-02-05-SliceDisagreementCheck.txt</v>
      </c>
      <c r="AE17" s="161" t="str">
        <f t="shared" si="9"/>
        <v>start /low /b %USERPROFILE%\Documents\GitHub\eaglep3\Utilities\DownloadLogsFromS3.py --loco 4015 --day 2017-02-06</v>
      </c>
      <c r="AF17" s="1"/>
    </row>
    <row r="18" spans="1:32" x14ac:dyDescent="0.25">
      <c r="A18" s="32">
        <v>42771.224097222221</v>
      </c>
      <c r="B18" s="30" t="s">
        <v>287</v>
      </c>
      <c r="C18" s="30" t="s">
        <v>499</v>
      </c>
      <c r="D18" s="30" t="s">
        <v>49</v>
      </c>
      <c r="E18" s="30" t="s">
        <v>188</v>
      </c>
      <c r="F18" s="43">
        <v>0</v>
      </c>
      <c r="G18" s="43">
        <v>64</v>
      </c>
      <c r="H18" s="43">
        <v>233264</v>
      </c>
      <c r="I18" s="43">
        <v>233329</v>
      </c>
      <c r="J18" s="30" t="s">
        <v>189</v>
      </c>
      <c r="K18" s="43">
        <v>233491</v>
      </c>
      <c r="L18" s="143" t="s">
        <v>50</v>
      </c>
      <c r="M18" s="144">
        <f t="shared" si="0"/>
        <v>85.536000000000001</v>
      </c>
      <c r="N18" s="145" t="str">
        <f>VLOOKUP(C18,'Trips&amp;Operators'!$C$1:$G$99999,5,FALSE)</f>
        <v>BERLING GARY</v>
      </c>
      <c r="O18" s="157" t="s">
        <v>185</v>
      </c>
      <c r="P18" s="146"/>
      <c r="Q18" s="30"/>
      <c r="R18" s="89" t="str">
        <f>VLOOKUP(C18,'Train Runs'!$A$13:$AE$9961,31,0)</f>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S18" s="92" t="str">
        <f>VLOOKUP(C18,'Train Runs'!$A$13:$AE$9961,22,0)</f>
        <v>https://d0f6bd738d7f1b3e5a7ca70fe4ff75f0.us-east-1.aws.found.io/app/kibana#/discover/Steve-Slow-Train-Analysis-(2080s-and-2083s)?_g=(refreshInterval:(display:Off,pause:!f,section:0,value:0),time:(from:'2017-02-05T03:37:15-0700',mode:absolute,to:'2017-02-05T06:22:41-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T18" s="94" t="str">
        <f t="shared" si="1"/>
        <v>"C:\Program Files (x86)\AstroGrep\AstroGrep.exe" /spath="%USERPROFILE%\AppData\Local\Temp\OnboardLogs" /stypes="*4002*201702051*" /stext=" 12:.+((SYSTEM_STATE.+slice.+state.+changed )|(ment ac)|(multiple cpu faults)|(system.+state.+changed )|(\[timeout)|(PRM\|1\|D)|(kpr)|(kdp)|(\|lc)|(penalty))" /e /r /s</v>
      </c>
      <c r="U18" s="9" t="str">
        <f t="shared" si="2"/>
        <v>4002</v>
      </c>
      <c r="V18" s="32">
        <f t="shared" si="3"/>
        <v>42771.515763888885</v>
      </c>
      <c r="W18" s="46" t="str">
        <f t="shared" si="4"/>
        <v>EC</v>
      </c>
      <c r="X18" s="46" t="str">
        <f t="shared" si="5"/>
        <v>KEEP</v>
      </c>
      <c r="Y18" s="108" t="str">
        <f t="shared" si="6"/>
        <v>echo {"issue":{"subject":"","project_id":79,"tracker_id":40,"status_id":1,"priority_id":2,"assigned_to_id":23,"start_date":"2017-02-05","description":"","custom_fields":[{"id":1,"name":"Subdivision","value":"EC"},{"id":4,"name":"Milepost","value":"23.3491"},{"id":17,"name":"Train ID","value":"109-05"},{"id":16,"name":"Locomotive ID","value":"4002"},{"id":130,"name":"Impact","value":""},{"id":150,"name":"Time of Event (Mountain Time)","value":"05:22:42"},{"id":151,"name":"Denver Issue ID","value":""},{"id":178,"name":"Operational Impact","value":"Yes"},{"id":179,"name":"Denver Segment Assigned","value":""}]}} | curl -X POST -H "Content-Type: application/json" -H "X-Redmine-API-Key: d6333d4a04012a730768444271f8ca06482dae87" https://secure.xorail.net/redmine/issues.json --data @-</v>
      </c>
      <c r="Z18" s="48"/>
      <c r="AA18" s="48"/>
      <c r="AB18" s="48"/>
      <c r="AC18" s="127" t="str">
        <f t="shared" si="7"/>
        <v>grep -hSE -A400 "Enforcement Action" "%USERPROFILE%\AppData\Local\Temp\OnboardLogs"\RTDC4002\*4002*201702051* | grep -SE "((Enforcement Ac)|(PRM))" -</v>
      </c>
      <c r="AD18" s="1" t="str">
        <f>"grep -hSE ""Enforcement Action"" "&amp;search_path&amp;"\RTDC"&amp;U18&amp;"\*"&amp;U18&amp;"*"&amp;TEXT(A18-utc_offset/24,"YYYYMMDD")&amp;LEFT(TEXT(A18-utc_offset/24,"HH"),1)&amp;"* &gt;&gt; "&amp;TEXT(Variables!$A$2,"YYYY-MM-DD")&amp;"-SliceDisagreementCheck.txt"</f>
        <v>grep -hSE "Enforcement Action" "%USERPROFILE%\AppData\Local\Temp\OnboardLogs"\RTDC4002\*4002*201702051* &gt;&gt; 2017-02-05-SliceDisagreementCheck.txt</v>
      </c>
      <c r="AE18" s="161" t="str">
        <f t="shared" si="9"/>
        <v>start /low /b %USERPROFILE%\Documents\GitHub\eaglep3\Utilities\DownloadLogsFromS3.py --loco 4002 --day 2017-02-05</v>
      </c>
      <c r="AF18" s="1"/>
    </row>
    <row r="19" spans="1:32" x14ac:dyDescent="0.25">
      <c r="A19" s="32">
        <v>42771.316759259258</v>
      </c>
      <c r="B19" s="30" t="s">
        <v>323</v>
      </c>
      <c r="C19" s="30" t="s">
        <v>502</v>
      </c>
      <c r="D19" s="30" t="s">
        <v>49</v>
      </c>
      <c r="E19" s="30" t="s">
        <v>188</v>
      </c>
      <c r="F19" s="43">
        <v>0</v>
      </c>
      <c r="G19" s="43">
        <v>38</v>
      </c>
      <c r="H19" s="43">
        <v>233351</v>
      </c>
      <c r="I19" s="43">
        <v>233374</v>
      </c>
      <c r="J19" s="30" t="s">
        <v>189</v>
      </c>
      <c r="K19" s="43">
        <v>233491</v>
      </c>
      <c r="L19" s="143" t="s">
        <v>50</v>
      </c>
      <c r="M19" s="144">
        <f t="shared" si="0"/>
        <v>61.776000000000003</v>
      </c>
      <c r="N19" s="145" t="str">
        <f>VLOOKUP(C19,'Trips&amp;Operators'!$C$1:$G$99999,5,FALSE)</f>
        <v>OUN ZACK</v>
      </c>
      <c r="O19" s="157" t="s">
        <v>185</v>
      </c>
      <c r="P19" s="146"/>
      <c r="Q19" s="30"/>
      <c r="R19" s="89" t="str">
        <f>VLOOKUP(C19,'Train Runs'!$A$13:$AE$9961,31,0)</f>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S19" s="92" t="str">
        <f>VLOOKUP(C19,'Train Runs'!$A$13:$AE$9961,22,0)</f>
        <v>https://d0f6bd738d7f1b3e5a7ca70fe4ff75f0.us-east-1.aws.found.io/app/kibana#/discover/Steve-Slow-Train-Analysis-(2080s-and-2083s)?_g=(refreshInterval:(display:Off,pause:!f,section:0,value:0),time:(from:'2017-02-05T05:55:44-0700',mode:absolute,to:'2017-02-05T08:36:08-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T19" s="94" t="str">
        <f t="shared" si="1"/>
        <v>"C:\Program Files (x86)\AstroGrep\AstroGrep.exe" /spath="%USERPROFILE%\AppData\Local\Temp\OnboardLogs" /stypes="*4009*201702051*" /stext=" 14:.+((SYSTEM_STATE.+slice.+state.+changed )|(ment ac)|(multiple cpu faults)|(system.+state.+changed )|(\[timeout)|(PRM\|1\|D)|(kpr)|(kdp)|(\|lc)|(penalty))" /e /r /s</v>
      </c>
      <c r="U19" s="9" t="str">
        <f t="shared" si="2"/>
        <v>4009</v>
      </c>
      <c r="V19" s="32">
        <f t="shared" si="3"/>
        <v>42771.608425925922</v>
      </c>
      <c r="W19" s="46" t="str">
        <f t="shared" si="4"/>
        <v>EC</v>
      </c>
      <c r="X19" s="46" t="str">
        <f t="shared" si="5"/>
        <v>KEEP</v>
      </c>
      <c r="Y19" s="108" t="str">
        <f t="shared" si="6"/>
        <v>echo {"issue":{"subject":"","project_id":79,"tracker_id":40,"status_id":1,"priority_id":2,"assigned_to_id":23,"start_date":"2017-02-05","description":"","custom_fields":[{"id":1,"name":"Subdivision","value":"EC"},{"id":4,"name":"Milepost","value":"23.3491"},{"id":17,"name":"Train ID","value":"127-05"},{"id":16,"name":"Locomotive ID","value":"4009"},{"id":130,"name":"Impact","value":""},{"id":150,"name":"Time of Event (Mountain Time)","value":"07:36:08"},{"id":151,"name":"Denver Issue ID","value":""},{"id":178,"name":"Operational Impact","value":"Yes"},{"id":179,"name":"Denver Segment Assigned","value":""}]}} | curl -X POST -H "Content-Type: application/json" -H "X-Redmine-API-Key: d6333d4a04012a730768444271f8ca06482dae87" https://secure.xorail.net/redmine/issues.json --data @-</v>
      </c>
      <c r="Z19" s="48"/>
      <c r="AA19" s="48"/>
      <c r="AB19" s="48"/>
      <c r="AC19" s="127" t="str">
        <f t="shared" si="7"/>
        <v>grep -hSE -A400 "Enforcement Action" "%USERPROFILE%\AppData\Local\Temp\OnboardLogs"\RTDC4009\*4009*201702051* | grep -SE "((Enforcement Ac)|(PRM))" -</v>
      </c>
      <c r="AD19" s="1" t="str">
        <f>"grep -hSE ""Enforcement Action"" "&amp;search_path&amp;"\RTDC"&amp;U19&amp;"\*"&amp;U19&amp;"*"&amp;TEXT(A19-utc_offset/24,"YYYYMMDD")&amp;LEFT(TEXT(A19-utc_offset/24,"HH"),1)&amp;"* &gt;&gt; "&amp;TEXT(Variables!$A$2,"YYYY-MM-DD")&amp;"-SliceDisagreementCheck.txt"</f>
        <v>grep -hSE "Enforcement Action" "%USERPROFILE%\AppData\Local\Temp\OnboardLogs"\RTDC4009\*4009*201702051* &gt;&gt; 2017-02-05-SliceDisagreementCheck.txt</v>
      </c>
      <c r="AE19" s="161" t="str">
        <f t="shared" si="9"/>
        <v>start /low /b %USERPROFILE%\Documents\GitHub\eaglep3\Utilities\DownloadLogsFromS3.py --loco 4009 --day 2017-02-05</v>
      </c>
      <c r="AF19" s="1"/>
    </row>
    <row r="20" spans="1:32" x14ac:dyDescent="0.25">
      <c r="A20" s="32">
        <v>42771.649722222224</v>
      </c>
      <c r="B20" s="30" t="s">
        <v>316</v>
      </c>
      <c r="C20" s="30" t="s">
        <v>510</v>
      </c>
      <c r="D20" s="30" t="s">
        <v>49</v>
      </c>
      <c r="E20" s="30" t="s">
        <v>188</v>
      </c>
      <c r="F20" s="43">
        <v>0</v>
      </c>
      <c r="G20" s="43">
        <v>35</v>
      </c>
      <c r="H20" s="43">
        <v>233401</v>
      </c>
      <c r="I20" s="43">
        <v>233439</v>
      </c>
      <c r="J20" s="30" t="s">
        <v>189</v>
      </c>
      <c r="K20" s="43">
        <v>233491</v>
      </c>
      <c r="L20" s="143" t="s">
        <v>50</v>
      </c>
      <c r="M20" s="144">
        <f t="shared" si="0"/>
        <v>27.456</v>
      </c>
      <c r="N20" s="145" t="str">
        <f>VLOOKUP(C20,'Trips&amp;Operators'!$C$1:$G$99999,5,FALSE)</f>
        <v>DAVIS MICHAEL</v>
      </c>
      <c r="O20" s="157" t="s">
        <v>185</v>
      </c>
      <c r="P20" s="146"/>
      <c r="Q20" s="30"/>
      <c r="R20" s="89" t="str">
        <f>VLOOKUP(C20,'Train Runs'!$A$13:$AE$9961,31,0)</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S20" s="92" t="str">
        <f>VLOOKUP(C20,'Train Runs'!$A$13:$AE$9961,22,0)</f>
        <v>https://d0f6bd738d7f1b3e5a7ca70fe4ff75f0.us-east-1.aws.found.io/app/kibana#/discover/Steve-Slow-Train-Analysis-(2080s-and-2083s)?_g=(refreshInterval:(display:Off,pause:!f,section:0,value:0),time:(from:'2017-02-05T13:40:15-0700',mode:absolute,to:'2017-02-05T16:35:37-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T20" s="94" t="str">
        <f t="shared" si="1"/>
        <v>"C:\Program Files (x86)\AstroGrep\AstroGrep.exe" /spath="%USERPROFILE%\AppData\Local\Temp\OnboardLogs" /stypes="*4016*201702052*" /stext=" 22:.+((SYSTEM_STATE.+slice.+state.+changed )|(ment ac)|(multiple cpu faults)|(system.+state.+changed )|(\[timeout)|(PRM\|1\|D)|(kpr)|(kdp)|(\|lc)|(penalty))" /e /r /s</v>
      </c>
      <c r="U20" s="9" t="str">
        <f t="shared" si="2"/>
        <v>4016</v>
      </c>
      <c r="V20" s="32">
        <f t="shared" si="3"/>
        <v>42771.941388888888</v>
      </c>
      <c r="W20" s="46" t="str">
        <f t="shared" si="4"/>
        <v>EC</v>
      </c>
      <c r="X20" s="46" t="str">
        <f t="shared" si="5"/>
        <v>KEEP</v>
      </c>
      <c r="Y20" s="108" t="str">
        <f t="shared" si="6"/>
        <v>echo {"issue":{"subject":"","project_id":79,"tracker_id":40,"status_id":1,"priority_id":2,"assigned_to_id":23,"start_date":"2017-02-05","description":"","custom_fields":[{"id":1,"name":"Subdivision","value":"EC"},{"id":4,"name":"Milepost","value":"23.3491"},{"id":17,"name":"Train ID","value":"189-05"},{"id":16,"name":"Locomotive ID","value":"4016"},{"id":130,"name":"Impact","value":""},{"id":150,"name":"Time of Event (Mountain Time)","value":"15:35:36"},{"id":151,"name":"Denver Issue ID","value":""},{"id":178,"name":"Operational Impact","value":"Yes"},{"id":179,"name":"Denver Segment Assigned","value":""}]}} | curl -X POST -H "Content-Type: application/json" -H "X-Redmine-API-Key: d6333d4a04012a730768444271f8ca06482dae87" https://secure.xorail.net/redmine/issues.json --data @-</v>
      </c>
      <c r="Z20" s="48"/>
      <c r="AA20" s="48"/>
      <c r="AB20" s="48"/>
      <c r="AC20" s="127" t="str">
        <f t="shared" si="7"/>
        <v>grep -hSE -A400 "Enforcement Action" "%USERPROFILE%\AppData\Local\Temp\OnboardLogs"\RTDC4016\*4016*201702052* | grep -SE "((Enforcement Ac)|(PRM))" -</v>
      </c>
      <c r="AD20" s="1" t="str">
        <f>"grep -hSE ""Enforcement Action"" "&amp;search_path&amp;"\RTDC"&amp;U20&amp;"\*"&amp;U20&amp;"*"&amp;TEXT(A20-utc_offset/24,"YYYYMMDD")&amp;LEFT(TEXT(A20-utc_offset/24,"HH"),1)&amp;"* &gt;&gt; "&amp;TEXT(Variables!$A$2,"YYYY-MM-DD")&amp;"-SliceDisagreementCheck.txt"</f>
        <v>grep -hSE "Enforcement Action" "%USERPROFILE%\AppData\Local\Temp\OnboardLogs"\RTDC4016\*4016*201702052* &gt;&gt; 2017-02-05-SliceDisagreementCheck.txt</v>
      </c>
      <c r="AE20" s="161" t="str">
        <f t="shared" si="9"/>
        <v>start /low /b %USERPROFILE%\Documents\GitHub\eaglep3\Utilities\DownloadLogsFromS3.py --loco 4016 --day 2017-02-05</v>
      </c>
      <c r="AF20" s="1"/>
    </row>
    <row r="21" spans="1:32" ht="15" customHeight="1" x14ac:dyDescent="0.25">
      <c r="A21" s="32">
        <v>42771.652789351851</v>
      </c>
      <c r="B21" s="30" t="s">
        <v>197</v>
      </c>
      <c r="C21" s="30" t="s">
        <v>511</v>
      </c>
      <c r="D21" s="30" t="s">
        <v>49</v>
      </c>
      <c r="E21" s="30" t="s">
        <v>188</v>
      </c>
      <c r="F21" s="43">
        <v>0</v>
      </c>
      <c r="G21" s="43">
        <v>62</v>
      </c>
      <c r="H21" s="43">
        <v>233283</v>
      </c>
      <c r="I21" s="43">
        <v>233349</v>
      </c>
      <c r="J21" s="30" t="s">
        <v>189</v>
      </c>
      <c r="K21" s="43">
        <v>233491</v>
      </c>
      <c r="L21" s="143" t="s">
        <v>50</v>
      </c>
      <c r="M21" s="144">
        <f t="shared" si="0"/>
        <v>74.975999999999999</v>
      </c>
      <c r="N21" s="145" t="str">
        <f>VLOOKUP(C21,'Trips&amp;Operators'!$C$1:$G$99999,5,FALSE)</f>
        <v>LEVIN SCOTT</v>
      </c>
      <c r="O21" s="157" t="s">
        <v>185</v>
      </c>
      <c r="P21" s="146"/>
      <c r="Q21" s="30"/>
      <c r="R21" s="89" t="str">
        <f>VLOOKUP(C21,'Train Runs'!$A$13:$AE$9961,31,0)</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S21" s="92" t="str">
        <f>VLOOKUP(C21,'Train Runs'!$A$13:$AE$9961,22,0)</f>
        <v>https://d0f6bd738d7f1b3e5a7ca70fe4ff75f0.us-east-1.aws.found.io/app/kibana#/discover/Steve-Slow-Train-Analysis-(2080s-and-2083s)?_g=(refreshInterval:(display:Off,pause:!f,section:0,value:0),time:(from:'2017-02-05T13:55:09-0700',mode:absolute,to:'2017-02-05T16:40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T21" s="94" t="str">
        <f t="shared" si="1"/>
        <v>"C:\Program Files (x86)\AstroGrep\AstroGrep.exe" /spath="%USERPROFILE%\AppData\Local\Temp\OnboardLogs" /stypes="*4022*201702052*" /stext=" 22:.+((SYSTEM_STATE.+slice.+state.+changed )|(ment ac)|(multiple cpu faults)|(system.+state.+changed )|(\[timeout)|(PRM\|1\|D)|(kpr)|(kdp)|(\|lc)|(penalty))" /e /r /s</v>
      </c>
      <c r="U21" s="9" t="str">
        <f t="shared" si="2"/>
        <v>4022</v>
      </c>
      <c r="V21" s="32">
        <f t="shared" si="3"/>
        <v>42771.944456018515</v>
      </c>
      <c r="W21" s="46" t="str">
        <f t="shared" si="4"/>
        <v>EC</v>
      </c>
      <c r="X21" s="46" t="str">
        <f t="shared" si="5"/>
        <v>KEEP</v>
      </c>
      <c r="Y21" s="108" t="str">
        <f t="shared" si="6"/>
        <v>echo {"issue":{"subject":"","project_id":79,"tracker_id":40,"status_id":1,"priority_id":2,"assigned_to_id":23,"start_date":"2017-02-05","description":"","custom_fields":[{"id":1,"name":"Subdivision","value":"EC"},{"id":4,"name":"Milepost","value":"23.3491"},{"id":17,"name":"Train ID","value":"191-05"},{"id":16,"name":"Locomotive ID","value":"4022"},{"id":130,"name":"Impact","value":""},{"id":150,"name":"Time of Event (Mountain Time)","value":"15:40:01"},{"id":151,"name":"Denver Issue ID","value":""},{"id":178,"name":"Operational Impact","value":"Yes"},{"id":179,"name":"Denver Segment Assigned","value":""}]}} | curl -X POST -H "Content-Type: application/json" -H "X-Redmine-API-Key: d6333d4a04012a730768444271f8ca06482dae87" https://secure.xorail.net/redmine/issues.json --data @-</v>
      </c>
      <c r="Z21" s="48"/>
      <c r="AA21" s="48"/>
      <c r="AB21" s="48"/>
      <c r="AC21" s="127" t="str">
        <f t="shared" si="7"/>
        <v>grep -hSE -A400 "Enforcement Action" "%USERPROFILE%\AppData\Local\Temp\OnboardLogs"\RTDC4022\*4022*201702052* | grep -SE "((Enforcement Ac)|(PRM))" -</v>
      </c>
      <c r="AD21" s="1" t="str">
        <f>"grep -hSE ""Enforcement Action"" "&amp;search_path&amp;"\RTDC"&amp;U21&amp;"\*"&amp;U21&amp;"*"&amp;TEXT(A21-utc_offset/24,"YYYYMMDD")&amp;LEFT(TEXT(A21-utc_offset/24,"HH"),1)&amp;"* &gt;&gt; "&amp;TEXT(Variables!$A$2,"YYYY-MM-DD")&amp;"-SliceDisagreementCheck.txt"</f>
        <v>grep -hSE "Enforcement Action" "%USERPROFILE%\AppData\Local\Temp\OnboardLogs"\RTDC4022\*4022*201702052* &gt;&gt; 2017-02-05-SliceDisagreementCheck.txt</v>
      </c>
      <c r="AE21" s="161" t="str">
        <f t="shared" si="9"/>
        <v>start /low /b %USERPROFILE%\Documents\GitHub\eaglep3\Utilities\DownloadLogsFromS3.py --loco 4022 --day 2017-02-05</v>
      </c>
      <c r="AF21" s="1"/>
    </row>
    <row r="22" spans="1:32" x14ac:dyDescent="0.25">
      <c r="A22" s="32">
        <v>42771.702314814815</v>
      </c>
      <c r="B22" s="30" t="s">
        <v>248</v>
      </c>
      <c r="C22" s="30" t="s">
        <v>513</v>
      </c>
      <c r="D22" s="30" t="s">
        <v>49</v>
      </c>
      <c r="E22" s="30" t="s">
        <v>188</v>
      </c>
      <c r="F22" s="43">
        <v>0</v>
      </c>
      <c r="G22" s="43">
        <v>150</v>
      </c>
      <c r="H22" s="43">
        <v>232873</v>
      </c>
      <c r="I22" s="43">
        <v>233028</v>
      </c>
      <c r="J22" s="30" t="s">
        <v>189</v>
      </c>
      <c r="K22" s="43">
        <v>233491</v>
      </c>
      <c r="L22" s="143" t="s">
        <v>50</v>
      </c>
      <c r="M22" s="144">
        <f t="shared" si="0"/>
        <v>244.464</v>
      </c>
      <c r="N22" s="145" t="str">
        <f>VLOOKUP(C22,'Trips&amp;Operators'!$C$1:$G$99999,5,FALSE)</f>
        <v>STEWART MICHAEL</v>
      </c>
      <c r="O22" s="157" t="s">
        <v>185</v>
      </c>
      <c r="P22" s="146"/>
      <c r="Q22" s="30"/>
      <c r="R22" s="89" t="str">
        <f>VLOOKUP(C22,'Train Runs'!$A$13:$AE$9961,31,0)</f>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S22" s="92" t="str">
        <f>VLOOKUP(C22,'Train Runs'!$A$13:$AE$9961,22,0)</f>
        <v>https://d0f6bd738d7f1b3e5a7ca70fe4ff75f0.us-east-1.aws.found.io/app/kibana#/discover/Steve-Slow-Train-Analysis-(2080s-and-2083s)?_g=(refreshInterval:(display:Off,pause:!f,section:0,value:0),time:(from:'2017-02-05T15:11:25-0700',mode:absolute,to:'2017-02-05T17:51:21-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T22" s="94" t="str">
        <f t="shared" si="1"/>
        <v>"C:\Program Files (x86)\AstroGrep\AstroGrep.exe" /spath="%USERPROFILE%\AppData\Local\Temp\OnboardLogs" /stypes="*4025*201702052*" /stext=" 23:.+((SYSTEM_STATE.+slice.+state.+changed )|(ment ac)|(multiple cpu faults)|(system.+state.+changed )|(\[timeout)|(PRM\|1\|D)|(kpr)|(kdp)|(\|lc)|(penalty))" /e /r /s</v>
      </c>
      <c r="U22" s="9" t="str">
        <f t="shared" si="2"/>
        <v>4025</v>
      </c>
      <c r="V22" s="32">
        <f t="shared" si="3"/>
        <v>42771.993981481479</v>
      </c>
      <c r="W22" s="46" t="str">
        <f t="shared" si="4"/>
        <v>EC</v>
      </c>
      <c r="X22" s="46" t="str">
        <f t="shared" si="5"/>
        <v>KEEP</v>
      </c>
      <c r="Y22" s="108" t="str">
        <f t="shared" si="6"/>
        <v>echo {"issue":{"subject":"","project_id":79,"tracker_id":40,"status_id":1,"priority_id":2,"assigned_to_id":23,"start_date":"2017-02-05","description":"","custom_fields":[{"id":1,"name":"Subdivision","value":"EC"},{"id":4,"name":"Milepost","value":"23.3491"},{"id":17,"name":"Train ID","value":"201-05"},{"id":16,"name":"Locomotive ID","value":"4025"},{"id":130,"name":"Impact","value":""},{"id":150,"name":"Time of Event (Mountain Time)","value":"16:51:20"},{"id":151,"name":"Denver Issue ID","value":""},{"id":178,"name":"Operational Impact","value":"Yes"},{"id":179,"name":"Denver Segment Assigned","value":""}]}} | curl -X POST -H "Content-Type: application/json" -H "X-Redmine-API-Key: d6333d4a04012a730768444271f8ca06482dae87" https://secure.xorail.net/redmine/issues.json --data @-</v>
      </c>
      <c r="Z22" s="48"/>
      <c r="AA22" s="48"/>
      <c r="AB22" s="48"/>
      <c r="AC22" s="127" t="str">
        <f t="shared" si="7"/>
        <v>grep -hSE -A400 "Enforcement Action" "%USERPROFILE%\AppData\Local\Temp\OnboardLogs"\RTDC4025\*4025*201702052* | grep -SE "((Enforcement Ac)|(PRM))" -</v>
      </c>
      <c r="AD22" s="1" t="str">
        <f>"grep -hSE ""Enforcement Action"" "&amp;search_path&amp;"\RTDC"&amp;U22&amp;"\*"&amp;U22&amp;"*"&amp;TEXT(A22-utc_offset/24,"YYYYMMDD")&amp;LEFT(TEXT(A22-utc_offset/24,"HH"),1)&amp;"* &gt;&gt; "&amp;TEXT(Variables!$A$2,"YYYY-MM-DD")&amp;"-SliceDisagreementCheck.txt"</f>
        <v>grep -hSE "Enforcement Action" "%USERPROFILE%\AppData\Local\Temp\OnboardLogs"\RTDC4025\*4025*201702052* &gt;&gt; 2017-02-05-SliceDisagreementCheck.txt</v>
      </c>
      <c r="AE22" s="161" t="str">
        <f t="shared" si="9"/>
        <v>start /low /b %USERPROFILE%\Documents\GitHub\eaglep3\Utilities\DownloadLogsFromS3.py --loco 4025 --day 2017-02-05</v>
      </c>
      <c r="AF22" s="1"/>
    </row>
    <row r="23" spans="1:32" x14ac:dyDescent="0.25">
      <c r="A23" s="32">
        <v>42771.714270833334</v>
      </c>
      <c r="B23" s="30" t="s">
        <v>316</v>
      </c>
      <c r="C23" s="30" t="s">
        <v>514</v>
      </c>
      <c r="D23" s="30" t="s">
        <v>49</v>
      </c>
      <c r="E23" s="30" t="s">
        <v>188</v>
      </c>
      <c r="F23" s="43">
        <v>0</v>
      </c>
      <c r="G23" s="43">
        <v>63</v>
      </c>
      <c r="H23" s="43">
        <v>233244</v>
      </c>
      <c r="I23" s="43">
        <v>233302</v>
      </c>
      <c r="J23" s="30" t="s">
        <v>189</v>
      </c>
      <c r="K23" s="43">
        <v>233491</v>
      </c>
      <c r="L23" s="143" t="s">
        <v>50</v>
      </c>
      <c r="M23" s="144">
        <f t="shared" si="0"/>
        <v>99.792000000000002</v>
      </c>
      <c r="N23" s="145" t="str">
        <f>VLOOKUP(C23,'Trips&amp;Operators'!$C$1:$G$99999,5,FALSE)</f>
        <v>DAVIS MICHAEL</v>
      </c>
      <c r="O23" s="157" t="s">
        <v>185</v>
      </c>
      <c r="P23" s="146"/>
      <c r="Q23" s="30"/>
      <c r="R23" s="89" t="str">
        <f>VLOOKUP(C23,'Train Runs'!$A$13:$AE$9961,31,0)</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S23" s="92" t="str">
        <f>VLOOKUP(C23,'Train Runs'!$A$13:$AE$9961,22,0)</f>
        <v>https://d0f6bd738d7f1b3e5a7ca70fe4ff75f0.us-east-1.aws.found.io/app/kibana#/discover/Steve-Slow-Train-Analysis-(2080s-and-2083s)?_g=(refreshInterval:(display:Off,pause:!f,section:0,value:0),time:(from:'2017-02-05T15:28:06-0700',mode:absolute,to:'2017-02-05T18:08:34-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T23" s="94" t="str">
        <f t="shared" si="1"/>
        <v>"C:\Program Files (x86)\AstroGrep\AstroGrep.exe" /spath="%USERPROFILE%\AppData\Local\Temp\OnboardLogs" /stypes="*4016*201702060*" /stext=" 00:.+((SYSTEM_STATE.+slice.+state.+changed )|(ment ac)|(multiple cpu faults)|(system.+state.+changed )|(\[timeout)|(PRM\|1\|D)|(kpr)|(kdp)|(\|lc)|(penalty))" /e /r /s</v>
      </c>
      <c r="U23" s="9" t="str">
        <f t="shared" si="2"/>
        <v>4016</v>
      </c>
      <c r="V23" s="32">
        <f t="shared" si="3"/>
        <v>42772.005937499998</v>
      </c>
      <c r="W23" s="46" t="str">
        <f t="shared" si="4"/>
        <v>EC</v>
      </c>
      <c r="X23" s="46" t="str">
        <f t="shared" si="5"/>
        <v>KEEP</v>
      </c>
      <c r="Y23" s="108" t="str">
        <f t="shared" si="6"/>
        <v>echo {"issue":{"subject":"","project_id":79,"tracker_id":40,"status_id":1,"priority_id":2,"assigned_to_id":23,"start_date":"2017-02-05","description":"","custom_fields":[{"id":1,"name":"Subdivision","value":"EC"},{"id":4,"name":"Milepost","value":"23.3491"},{"id":17,"name":"Train ID","value":"203-05"},{"id":16,"name":"Locomotive ID","value":"4016"},{"id":130,"name":"Impact","value":""},{"id":150,"name":"Time of Event (Mountain Time)","value":"17:08:33"},{"id":151,"name":"Denver Issue ID","value":""},{"id":178,"name":"Operational Impact","value":"Yes"},{"id":179,"name":"Denver Segment Assigned","value":""}]}} | curl -X POST -H "Content-Type: application/json" -H "X-Redmine-API-Key: d6333d4a04012a730768444271f8ca06482dae87" https://secure.xorail.net/redmine/issues.json --data @-</v>
      </c>
      <c r="Z23" s="48"/>
      <c r="AA23" s="48"/>
      <c r="AB23" s="48"/>
      <c r="AC23" s="127" t="str">
        <f t="shared" si="7"/>
        <v>grep -hSE -A400 "Enforcement Action" "%USERPROFILE%\AppData\Local\Temp\OnboardLogs"\RTDC4016\*4016*201702060* | grep -SE "((Enforcement Ac)|(PRM))" -</v>
      </c>
      <c r="AD23" s="1" t="str">
        <f>"grep -hSE ""Enforcement Action"" "&amp;search_path&amp;"\RTDC"&amp;U23&amp;"\*"&amp;U23&amp;"*"&amp;TEXT(A23-utc_offset/24,"YYYYMMDD")&amp;LEFT(TEXT(A23-utc_offset/24,"HH"),1)&amp;"* &gt;&gt; "&amp;TEXT(Variables!$A$2,"YYYY-MM-DD")&amp;"-SliceDisagreementCheck.txt"</f>
        <v>grep -hSE "Enforcement Action" "%USERPROFILE%\AppData\Local\Temp\OnboardLogs"\RTDC4016\*4016*201702060* &gt;&gt; 2017-02-05-SliceDisagreementCheck.txt</v>
      </c>
      <c r="AE23" s="161" t="str">
        <f t="shared" si="9"/>
        <v>start /low /b %USERPROFILE%\Documents\GitHub\eaglep3\Utilities\DownloadLogsFromS3.py --loco 4016 --day 2017-02-06</v>
      </c>
      <c r="AF23" s="1"/>
    </row>
    <row r="24" spans="1:32" x14ac:dyDescent="0.25">
      <c r="A24" s="32">
        <v>42771.684502314813</v>
      </c>
      <c r="B24" s="30" t="s">
        <v>277</v>
      </c>
      <c r="C24" s="30" t="s">
        <v>512</v>
      </c>
      <c r="D24" s="30" t="s">
        <v>49</v>
      </c>
      <c r="E24" s="30" t="s">
        <v>219</v>
      </c>
      <c r="F24" s="43">
        <v>300</v>
      </c>
      <c r="G24" s="43">
        <v>453</v>
      </c>
      <c r="H24" s="43">
        <v>18968</v>
      </c>
      <c r="I24" s="43">
        <v>20684</v>
      </c>
      <c r="J24" s="30" t="s">
        <v>220</v>
      </c>
      <c r="K24" s="43">
        <v>21299</v>
      </c>
      <c r="L24" s="143" t="s">
        <v>50</v>
      </c>
      <c r="M24" s="144">
        <f t="shared" si="0"/>
        <v>324.72000000000003</v>
      </c>
      <c r="N24" s="145" t="str">
        <f>VLOOKUP(C24,'Trips&amp;Operators'!$C$1:$G$99999,5,FALSE)</f>
        <v>HELVIE ADAM</v>
      </c>
      <c r="O24" s="157" t="s">
        <v>185</v>
      </c>
      <c r="P24" s="146"/>
      <c r="Q24" s="30"/>
      <c r="R24" s="89" t="str">
        <f>VLOOKUP(C24,'Train Runs'!$A$13:$AE$9961,31,0)</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S24" s="92" t="str">
        <f>VLOOKUP(C24,'Train Runs'!$A$13:$AE$9961,22,0)</f>
        <v>https://d0f6bd738d7f1b3e5a7ca70fe4ff75f0.us-east-1.aws.found.io/app/kibana#/discover/Steve-Slow-Train-Analysis-(2080s-and-2083s)?_g=(refreshInterval:(display:Off,pause:!f,section:0,value:0),time:(from:'2017-02-05T15:18:02-0700',mode:absolute,to:'2017-02-05T17:34:51-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T24" s="94" t="str">
        <f t="shared" si="1"/>
        <v>"C:\Program Files (x86)\AstroGrep\AstroGrep.exe" /spath="%USERPROFILE%\AppData\Local\Temp\OnboardLogs" /stypes="*4003*201702052*" /stext=" 23:.+((SYSTEM_STATE.+slice.+state.+changed )|(ment ac)|(multiple cpu faults)|(system.+state.+changed )|(\[timeout)|(PRM\|1\|D)|(kpr)|(kdp)|(\|lc)|(penalty))" /e /r /s</v>
      </c>
      <c r="U24" s="9" t="str">
        <f t="shared" si="2"/>
        <v>4003</v>
      </c>
      <c r="V24" s="32">
        <f t="shared" si="3"/>
        <v>42771.976168981477</v>
      </c>
      <c r="W24" s="46" t="str">
        <f t="shared" si="4"/>
        <v>NW</v>
      </c>
      <c r="X24" s="46" t="str">
        <f t="shared" si="5"/>
        <v>KEEP</v>
      </c>
      <c r="Y24" s="108" t="str">
        <f t="shared" si="6"/>
        <v>echo {"issue":{"subject":"","project_id":79,"tracker_id":40,"status_id":1,"priority_id":2,"assigned_to_id":23,"start_date":"2017-02-05","description":"","custom_fields":[{"id":1,"name":"Subdivision","value":"NW"},{"id":4,"name":"Milepost","value":"2.1299"},{"id":17,"name":"Train ID","value":"1821-05"},{"id":16,"name":"Locomotive ID","value":"4003"},{"id":130,"name":"Impact","value":""},{"id":150,"name":"Time of Event (Mountain Time)","value":"16:25:41"},{"id":151,"name":"Denver Issue ID","value":""},{"id":178,"name":"Operational Impact","value":"Yes"},{"id":179,"name":"Denver Segment Assigned","value":""}]}} | curl -X POST -H "Content-Type: application/json" -H "X-Redmine-API-Key: d6333d4a04012a730768444271f8ca06482dae87" https://secure.xorail.net/redmine/issues.json --data @-</v>
      </c>
      <c r="Z24" s="48"/>
      <c r="AA24" s="48"/>
      <c r="AB24" s="48"/>
      <c r="AC24" s="127" t="str">
        <f t="shared" si="7"/>
        <v>grep -hSE -A400 "Enforcement Action" "%USERPROFILE%\AppData\Local\Temp\OnboardLogs"\RTDC4003\*4003*201702052* | grep -SE "((Enforcement Ac)|(PRM))" -</v>
      </c>
      <c r="AD24" s="1" t="str">
        <f>"grep -hSE ""Enforcement Action"" "&amp;search_path&amp;"\RTDC"&amp;U24&amp;"\*"&amp;U24&amp;"*"&amp;TEXT(A24-utc_offset/24,"YYYYMMDD")&amp;LEFT(TEXT(A24-utc_offset/24,"HH"),1)&amp;"* &gt;&gt; "&amp;TEXT(Variables!$A$2,"YYYY-MM-DD")&amp;"-SliceDisagreementCheck.txt"</f>
        <v>grep -hSE "Enforcement Action" "%USERPROFILE%\AppData\Local\Temp\OnboardLogs"\RTDC4003\*4003*201702052* &gt;&gt; 2017-02-05-SliceDisagreementCheck.txt</v>
      </c>
      <c r="AE24" s="161" t="str">
        <f t="shared" si="9"/>
        <v>start /low /b %USERPROFILE%\Documents\GitHub\eaglep3\Utilities\DownloadLogsFromS3.py --loco 4003 --day 2017-02-05</v>
      </c>
      <c r="AF24" s="1"/>
    </row>
    <row r="25" spans="1:32" x14ac:dyDescent="0.25">
      <c r="A25" s="32">
        <v>42771.769050925926</v>
      </c>
      <c r="B25" s="30" t="s">
        <v>277</v>
      </c>
      <c r="C25" s="30" t="s">
        <v>517</v>
      </c>
      <c r="D25" s="30" t="s">
        <v>49</v>
      </c>
      <c r="E25" s="30" t="s">
        <v>186</v>
      </c>
      <c r="F25" s="43">
        <v>0</v>
      </c>
      <c r="G25" s="43">
        <v>266</v>
      </c>
      <c r="H25" s="43">
        <v>32774</v>
      </c>
      <c r="I25" s="43">
        <v>33406</v>
      </c>
      <c r="J25" s="30" t="s">
        <v>187</v>
      </c>
      <c r="K25" s="43">
        <v>34583</v>
      </c>
      <c r="L25" s="143" t="s">
        <v>50</v>
      </c>
      <c r="M25" s="144">
        <f t="shared" si="0"/>
        <v>621.45600000000002</v>
      </c>
      <c r="N25" s="145" t="str">
        <f>VLOOKUP(C25,'Trips&amp;Operators'!$C$1:$G$99999,5,FALSE)</f>
        <v>HELVIE ADAM</v>
      </c>
      <c r="O25" s="157" t="s">
        <v>185</v>
      </c>
      <c r="P25" s="146" t="s">
        <v>912</v>
      </c>
      <c r="Q25" s="30"/>
      <c r="R25" s="89" t="str">
        <f>VLOOKUP(C25,'Train Runs'!$A$13:$AE$9961,31,0)</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S25" s="92" t="str">
        <f>VLOOKUP(C25,'Train Runs'!$A$13:$AE$9961,22,0)</f>
        <v>https://d0f6bd738d7f1b3e5a7ca70fe4ff75f0.us-east-1.aws.found.io/app/kibana#/discover/Steve-Slow-Train-Analysis-(2080s-and-2083s)?_g=(refreshInterval:(display:Off,pause:!f,section:0,value:0),time:(from:'2017-02-05T17:15:50-0700',mode:absolute,to:'2017-02-05T19:35:15-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T25" s="94" t="str">
        <f t="shared" si="1"/>
        <v>"C:\Program Files (x86)\AstroGrep\AstroGrep.exe" /spath="%USERPROFILE%\AppData\Local\Temp\OnboardLogs" /stypes="*4003*201702060*" /stext=" 01:.+((SYSTEM_STATE.+slice.+state.+changed )|(ment ac)|(multiple cpu faults)|(system.+state.+changed )|(\[timeout)|(PRM\|1\|D)|(kpr)|(kdp)|(\|lc)|(penalty))" /e /r /s</v>
      </c>
      <c r="U25" s="9" t="str">
        <f t="shared" si="2"/>
        <v>4003</v>
      </c>
      <c r="V25" s="32">
        <f t="shared" si="3"/>
        <v>42772.060717592591</v>
      </c>
      <c r="W25" s="46" t="str">
        <f t="shared" si="4"/>
        <v>NW</v>
      </c>
      <c r="X25" s="46" t="str">
        <f t="shared" si="5"/>
        <v>KEEP</v>
      </c>
      <c r="Y25" s="108" t="str">
        <f t="shared" si="6"/>
        <v>echo {"issue":{"subject":"Restricting aspect","project_id":79,"tracker_id":40,"status_id":1,"priority_id":2,"assigned_to_id":23,"start_date":"2017-02-05","description":"","custom_fields":[{"id":1,"name":"Subdivision","value":"NW"},{"id":4,"name":"Milepost","value":"3.4583"},{"id":17,"name":"Train ID","value":"1825-05"},{"id":16,"name":"Locomotive ID","value":"4003"},{"id":130,"name":"Impact","value":""},{"id":150,"name":"Time of Event (Mountain Time)","value":"18:27:26"},{"id":151,"name":"Denver Issue ID","value":""},{"id":178,"name":"Operational Impact","value":"Yes"},{"id":179,"name":"Denver Segment Assigned","value":""}]}} | curl -X POST -H "Content-Type: application/json" -H "X-Redmine-API-Key: d6333d4a04012a730768444271f8ca06482dae87" https://secure.xorail.net/redmine/issues.json --data @-</v>
      </c>
      <c r="Z25" s="48"/>
      <c r="AA25" s="48"/>
      <c r="AB25" s="48"/>
      <c r="AC25" s="127" t="str">
        <f t="shared" si="7"/>
        <v>grep -hSE -A400 "Enforcement Action" "%USERPROFILE%\AppData\Local\Temp\OnboardLogs"\RTDC4003\*4003*201702060* | grep -SE "((Enforcement Ac)|(PRM))" -</v>
      </c>
      <c r="AD25" s="1" t="str">
        <f>"grep -hSE ""Enforcement Action"" "&amp;search_path&amp;"\RTDC"&amp;U25&amp;"\*"&amp;U25&amp;"*"&amp;TEXT(A25-utc_offset/24,"YYYYMMDD")&amp;LEFT(TEXT(A25-utc_offset/24,"HH"),1)&amp;"* &gt;&gt; "&amp;TEXT(Variables!$A$2,"YYYY-MM-DD")&amp;"-SliceDisagreementCheck.txt"</f>
        <v>grep -hSE "Enforcement Action" "%USERPROFILE%\AppData\Local\Temp\OnboardLogs"\RTDC4003\*4003*201702060* &gt;&gt; 2017-02-05-SliceDisagreementCheck.txt</v>
      </c>
      <c r="AE25" s="161" t="str">
        <f t="shared" si="9"/>
        <v>start /low /b %USERPROFILE%\Documents\GitHub\eaglep3\Utilities\DownloadLogsFromS3.py --loco 4003 --day 2017-02-06</v>
      </c>
      <c r="AF25" s="1"/>
    </row>
    <row r="26" spans="1:32" x14ac:dyDescent="0.25">
      <c r="A26" s="32">
        <v>42771.621168981481</v>
      </c>
      <c r="B26" s="30" t="s">
        <v>278</v>
      </c>
      <c r="C26" s="30" t="s">
        <v>509</v>
      </c>
      <c r="D26" s="30" t="s">
        <v>49</v>
      </c>
      <c r="E26" s="30" t="s">
        <v>188</v>
      </c>
      <c r="F26" s="43">
        <v>0</v>
      </c>
      <c r="G26" s="43">
        <v>53</v>
      </c>
      <c r="H26" s="43">
        <v>769</v>
      </c>
      <c r="I26" s="43">
        <v>726</v>
      </c>
      <c r="J26" s="30" t="s">
        <v>189</v>
      </c>
      <c r="K26" s="43">
        <v>575</v>
      </c>
      <c r="L26" s="143" t="s">
        <v>51</v>
      </c>
      <c r="M26" s="144">
        <f t="shared" si="0"/>
        <v>79.727999999999994</v>
      </c>
      <c r="N26" s="145" t="str">
        <f>VLOOKUP(C26,'Trips&amp;Operators'!$C$1:$G$99999,5,FALSE)</f>
        <v>HELVIE ADAM</v>
      </c>
      <c r="O26" s="157" t="s">
        <v>185</v>
      </c>
      <c r="P26" s="146"/>
      <c r="Q26" s="30"/>
      <c r="R26" s="89" t="str">
        <f>VLOOKUP(C26,'Train Runs'!$A$13:$AE$9961,31,0)</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S26" s="92" t="str">
        <f>VLOOKUP(C26,'Train Runs'!$A$13:$AE$9961,22,0)</f>
        <v>https://d0f6bd738d7f1b3e5a7ca70fe4ff75f0.us-east-1.aws.found.io/app/kibana#/discover/Steve-Slow-Train-Analysis-(2080s-and-2083s)?_g=(refreshInterval:(display:Off,pause:!f,section:0,value:0),time:(from:'2017-02-05T13:35:37-0700',mode:absolute,to:'2017-02-05T15:54:29-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T26" s="94" t="str">
        <f t="shared" si="1"/>
        <v>"C:\Program Files (x86)\AstroGrep\AstroGrep.exe" /spath="%USERPROFILE%\AppData\Local\Temp\OnboardLogs" /stypes="*4004*201702052*" /stext=" 21:.+((SYSTEM_STATE.+slice.+state.+changed )|(ment ac)|(multiple cpu faults)|(system.+state.+changed )|(\[timeout)|(PRM\|1\|D)|(kpr)|(kdp)|(\|lc)|(penalty))" /e /r /s</v>
      </c>
      <c r="U26" s="9" t="str">
        <f t="shared" si="2"/>
        <v>4004</v>
      </c>
      <c r="V26" s="32">
        <f t="shared" si="3"/>
        <v>42771.912835648145</v>
      </c>
      <c r="W26" s="46" t="str">
        <f t="shared" si="4"/>
        <v>NW</v>
      </c>
      <c r="X26" s="46" t="str">
        <f t="shared" si="5"/>
        <v>KEEP</v>
      </c>
      <c r="Y26" s="108" t="str">
        <f t="shared" si="6"/>
        <v>echo {"issue":{"subject":"","project_id":79,"tracker_id":40,"status_id":1,"priority_id":2,"assigned_to_id":23,"start_date":"2017-02-05","description":"","custom_fields":[{"id":1,"name":"Subdivision","value":"NW"},{"id":4,"name":"Milepost","value":"0.0575"},{"id":17,"name":"Train ID","value":"1818-05"},{"id":16,"name":"Locomotive ID","value":"4004"},{"id":130,"name":"Impact","value":""},{"id":150,"name":"Time of Event (Mountain Time)","value":"14:54:29"},{"id":151,"name":"Denver Issue ID","value":""},{"id":178,"name":"Operational Impact","value":"Yes"},{"id":179,"name":"Denver Segment Assigned","value":""}]}} | curl -X POST -H "Content-Type: application/json" -H "X-Redmine-API-Key: d6333d4a04012a730768444271f8ca06482dae87" https://secure.xorail.net/redmine/issues.json --data @-</v>
      </c>
      <c r="Z26" s="48"/>
      <c r="AA26" s="48"/>
      <c r="AB26" s="48"/>
      <c r="AC26" s="127" t="str">
        <f t="shared" si="7"/>
        <v>grep -hSE -A400 "Enforcement Action" "%USERPROFILE%\AppData\Local\Temp\OnboardLogs"\RTDC4004\*4004*201702052* | grep -SE "((Enforcement Ac)|(PRM))" -</v>
      </c>
      <c r="AD26" s="1" t="str">
        <f>"grep -hSE ""Enforcement Action"" "&amp;search_path&amp;"\RTDC"&amp;U26&amp;"\*"&amp;U26&amp;"*"&amp;TEXT(A26-utc_offset/24,"YYYYMMDD")&amp;LEFT(TEXT(A26-utc_offset/24,"HH"),1)&amp;"* &gt;&gt; "&amp;TEXT(Variables!$A$2,"YYYY-MM-DD")&amp;"-SliceDisagreementCheck.txt"</f>
        <v>grep -hSE "Enforcement Action" "%USERPROFILE%\AppData\Local\Temp\OnboardLogs"\RTDC4004\*4004*201702052* &gt;&gt; 2017-02-05-SliceDisagreementCheck.txt</v>
      </c>
      <c r="AE26" s="161" t="str">
        <f t="shared" si="9"/>
        <v>start /low /b %USERPROFILE%\Documents\GitHub\eaglep3\Utilities\DownloadLogsFromS3.py --loco 4004 --day 2017-02-05</v>
      </c>
      <c r="AF26" s="1"/>
    </row>
    <row r="27" spans="1:32" x14ac:dyDescent="0.25">
      <c r="A27" s="32">
        <v>42771.990543981483</v>
      </c>
      <c r="B27" s="30" t="s">
        <v>521</v>
      </c>
      <c r="C27" s="30" t="s">
        <v>522</v>
      </c>
      <c r="D27" s="30" t="s">
        <v>98</v>
      </c>
      <c r="E27" s="30" t="s">
        <v>201</v>
      </c>
      <c r="F27" s="43">
        <v>120</v>
      </c>
      <c r="G27" s="43">
        <v>179</v>
      </c>
      <c r="H27" s="43">
        <v>27167</v>
      </c>
      <c r="I27" s="43">
        <v>26941</v>
      </c>
      <c r="J27" s="30" t="s">
        <v>202</v>
      </c>
      <c r="K27" s="43">
        <v>27350</v>
      </c>
      <c r="L27" s="143" t="s">
        <v>51</v>
      </c>
      <c r="M27" s="144">
        <f t="shared" si="0"/>
        <v>-215.952</v>
      </c>
      <c r="N27" s="145" t="str">
        <f>VLOOKUP(C27,'Trips&amp;Operators'!$C$1:$G$99999,5,FALSE)</f>
        <v>SIMMONS SHYHESHA</v>
      </c>
      <c r="O27" s="157" t="s">
        <v>185</v>
      </c>
      <c r="P27" s="146"/>
      <c r="Q27" s="30"/>
      <c r="R27" s="89" t="str">
        <f>VLOOKUP(C27,'Train Runs'!$A$13:$AE$9961,31,0)</f>
        <v>aws s3 cp s3://rtdc.mdm.uploadarchive.raw/RTDC4056/ "%USERPROFILE%\AppData\Local\Temp\OnboardLogs"\RTDC4056\2017-02-05 --exclude "*" --recursive --include "*20170205*" &amp; "%USERPROFILE%\Documents\GitHub\mrs-test-scripts\Headless Mode &amp; Sideloading\WalkAndUnGZ.bat" "%USERPROFILE%\AppData\Local\Temp\OnboardLogs"\RTDC4056\2017-02-05 &amp; aws s3 cp s3://rtdc.mdm.uploadarchive.raw/RTDC4056/ "%USERPROFILE%\AppData\Local\Temp\OnboardLogs"\RTDC4056\2017-02-06 --exclude "*" --recursive --include "*20170206*" &amp; "%USERPROFILE%\Documents\GitHub\mrs-test-scripts\Headless Mode &amp; Sideloading\WalkAndUnGZ.bat" "%USERPROFILE%\AppData\Local\Temp\OnboardLogs"\RTDC4056\2017-02-06</v>
      </c>
      <c r="S27" s="92" t="str">
        <f>VLOOKUP(C27,'Train Runs'!$A$13:$AE$9961,22,0)</f>
        <v>https://d0f6bd738d7f1b3e5a7ca70fe4ff75f0.us-east-1.aws.found.io/app/kibana#/discover/Steve-Slow-Train-Analysis-(2080s-and-2083s)?_g=(refreshInterval:(display:Off,pause:!f,section:0,value:0),time:(from:'2017-02-05T20:08:56-0700',mode:absolute,to:'2017-02-05T22:49:20-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T27" s="94" t="str">
        <f t="shared" si="1"/>
        <v>"C:\Program Files (x86)\AstroGrep\AstroGrep.exe" /spath="%USERPROFILE%\AppData\Local\Temp\OnboardLogs" /stypes="*4056*201702060*" /stext=" 06:.+((SYSTEM_STATE.+slice.+state.+changed )|(ment ac)|(multiple cpu faults)|(system.+state.+changed )|(\[timeout)|(PRM\|1\|D)|(kpr)|(kdp)|(\|lc)|(penalty))" /e /r /s</v>
      </c>
      <c r="U27" s="9" t="str">
        <f t="shared" si="2"/>
        <v>4056</v>
      </c>
      <c r="V27" s="32">
        <f t="shared" si="3"/>
        <v>42772.282210648147</v>
      </c>
      <c r="W27" s="46" t="str">
        <f t="shared" si="4"/>
        <v>Other</v>
      </c>
      <c r="X27" s="46" t="str">
        <f t="shared" si="5"/>
        <v>KEEP</v>
      </c>
      <c r="Y27" s="108" t="str">
        <f t="shared" si="6"/>
        <v>echo {"issue":{"subject":"","project_id":79,"tracker_id":40,"status_id":1,"priority_id":2,"assigned_to_id":23,"start_date":"2017-02-05","description":"","custom_fields":[{"id":1,"name":"Subdivision","value":"Other"},{"id":4,"name":"Milepost","value":"2.735"},{"id":17,"name":"Train ID","value":"80-05"},{"id":16,"name":"Locomotive ID","value":"4056"},{"id":130,"name":"Impact","value":""},{"id":150,"name":"Time of Event (Mountain Time)","value":"23:46:23"},{"id":151,"name":"Denver Issue ID","value":""},{"id":178,"name":"Operational Impact","value":"Yes"},{"id":179,"name":"Denver Segment Assigned","value":""}]}} | curl -X POST -H "Content-Type: application/json" -H "X-Redmine-API-Key: d6333d4a04012a730768444271f8ca06482dae87" https://secure.xorail.net/redmine/issues.json --data @-</v>
      </c>
      <c r="Z27" s="48"/>
      <c r="AA27" s="48"/>
      <c r="AB27" s="48"/>
      <c r="AC27" s="127" t="str">
        <f t="shared" si="7"/>
        <v>grep -hSE -A400 "Enforcement Action" "%USERPROFILE%\AppData\Local\Temp\OnboardLogs"\RTDC4056\*4056*201702060* | grep -SE "((Enforcement Ac)|(PRM))" -</v>
      </c>
      <c r="AD27" s="1" t="str">
        <f>"grep -hSE ""Enforcement Action"" "&amp;search_path&amp;"\RTDC"&amp;U27&amp;"\*"&amp;U27&amp;"*"&amp;TEXT(A27-utc_offset/24,"YYYYMMDD")&amp;LEFT(TEXT(A27-utc_offset/24,"HH"),1)&amp;"* &gt;&gt; "&amp;TEXT(Variables!$A$2,"YYYY-MM-DD")&amp;"-SliceDisagreementCheck.txt"</f>
        <v>grep -hSE "Enforcement Action" "%USERPROFILE%\AppData\Local\Temp\OnboardLogs"\RTDC4056\*4056*201702060* &gt;&gt; 2017-02-05-SliceDisagreementCheck.txt</v>
      </c>
      <c r="AE27" s="161" t="str">
        <f t="shared" si="9"/>
        <v>start /low /b %USERPROFILE%\Documents\GitHub\eaglep3\Utilities\DownloadLogsFromS3.py --loco 4056 --day 2017-02-06</v>
      </c>
      <c r="AF27" s="1"/>
    </row>
    <row r="28" spans="1:32" x14ac:dyDescent="0.25">
      <c r="A28" s="32">
        <v>42771.117615740739</v>
      </c>
      <c r="B28" s="30" t="s">
        <v>245</v>
      </c>
      <c r="C28" s="30" t="s">
        <v>498</v>
      </c>
      <c r="D28" s="30" t="s">
        <v>49</v>
      </c>
      <c r="E28" s="30" t="s">
        <v>219</v>
      </c>
      <c r="F28" s="43">
        <v>300</v>
      </c>
      <c r="G28" s="43">
        <v>356</v>
      </c>
      <c r="H28" s="43">
        <v>20879</v>
      </c>
      <c r="I28" s="43">
        <v>21903</v>
      </c>
      <c r="J28" s="30" t="s">
        <v>220</v>
      </c>
      <c r="K28" s="43">
        <v>21299</v>
      </c>
      <c r="L28" s="143" t="s">
        <v>50</v>
      </c>
      <c r="M28" s="144">
        <f t="shared" si="0"/>
        <v>-318.91199999999998</v>
      </c>
      <c r="N28" s="145" t="str">
        <f>VLOOKUP(C28,'Trips&amp;Operators'!$C$1:$G$99999,5,FALSE)</f>
        <v>BROWN JACOB</v>
      </c>
      <c r="O28" s="157" t="s">
        <v>185</v>
      </c>
      <c r="P28" s="146"/>
      <c r="Q28" s="30"/>
      <c r="R28" s="89" t="str">
        <f>VLOOKUP(C28,'Train Runs'!$A$13:$AE$9961,31,0)</f>
        <v>aws s3 cp s3://rtdc.mdm.uploadarchive.raw/RTDC4007/ "%USERPROFILE%\AppData\Local\Temp\OnboardLogs"\RTDC4007\2017-02-05 --exclude "*" --recursive --include "*20170205*" &amp; "%USERPROFILE%\Documents\GitHub\mrs-test-scripts\Headless Mode &amp; Sideloading\WalkAndUnGZ.bat" "%USERPROFILE%\AppData\Local\Temp\OnboardLogs"\RTDC4007\2017-02-05 &amp; aws s3 cp s3://rtdc.mdm.uploadarchive.raw/RTDC4007/ "%USERPROFILE%\AppData\Local\Temp\OnboardLogs"\RTDC4007\2017-02-06 --exclude "*" --recursive --include "*20170206*" &amp; "%USERPROFILE%\Documents\GitHub\mrs-test-scripts\Headless Mode &amp; Sideloading\WalkAndUnGZ.bat" "%USERPROFILE%\AppData\Local\Temp\OnboardLogs"\RTDC4007\2017-02-06</v>
      </c>
      <c r="S28" s="92" t="str">
        <f>VLOOKUP(C28,'Train Runs'!$A$13:$AE$9961,22,0)</f>
        <v>https://d0f6bd738d7f1b3e5a7ca70fe4ff75f0.us-east-1.aws.found.io/app/kibana#/discover/Steve-Slow-Train-Analysis-(2080s-and-2083s)?_g=(refreshInterval:(display:Off,pause:!f,section:0,value:0),time:(from:'2017-02-05T01:41:37-0700',mode:absolute,to:'2017-02-05T03:51: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T28" s="94" t="str">
        <f t="shared" si="1"/>
        <v>"C:\Program Files (x86)\AstroGrep\AstroGrep.exe" /spath="%USERPROFILE%\AppData\Local\Temp\OnboardLogs" /stypes="*4007*201702050*" /stext=" 09:.+((SYSTEM_STATE.+slice.+state.+changed )|(ment ac)|(multiple cpu faults)|(system.+state.+changed )|(\[timeout)|(PRM\|1\|D)|(kpr)|(kdp)|(\|lc)|(penalty))" /e /r /s</v>
      </c>
      <c r="U28" s="9" t="str">
        <f t="shared" si="2"/>
        <v>4007</v>
      </c>
      <c r="V28" s="32">
        <f t="shared" si="3"/>
        <v>42771.409282407403</v>
      </c>
      <c r="W28" s="46" t="str">
        <f t="shared" si="4"/>
        <v>Other</v>
      </c>
      <c r="X28" s="46" t="str">
        <f t="shared" si="5"/>
        <v>KEEP</v>
      </c>
      <c r="Y28" s="108" t="str">
        <f t="shared" si="6"/>
        <v>echo {"issue":{"subject":"","project_id":79,"tracker_id":40,"status_id":1,"priority_id":2,"assigned_to_id":23,"start_date":"2017-02-05","description":"","custom_fields":[{"id":1,"name":"Subdivision","value":"Other"},{"id":4,"name":"Milepost","value":"2.1299"},{"id":17,"name":"Train ID","value":"315-04"},{"id":16,"name":"Locomotive ID","value":"4007"},{"id":130,"name":"Impact","value":""},{"id":150,"name":"Time of Event (Mountain Time)","value":"02:49:22"},{"id":151,"name":"Denver Issue ID","value":""},{"id":178,"name":"Operational Impact","value":"Yes"},{"id":179,"name":"Denver Segment Assigned","value":""}]}} | curl -X POST -H "Content-Type: application/json" -H "X-Redmine-API-Key: d6333d4a04012a730768444271f8ca06482dae87" https://secure.xorail.net/redmine/issues.json --data @-</v>
      </c>
      <c r="Z28" s="48"/>
      <c r="AA28" s="48"/>
      <c r="AB28" s="48"/>
      <c r="AC28" s="127" t="str">
        <f t="shared" si="7"/>
        <v>grep -hSE -A400 "Enforcement Action" "%USERPROFILE%\AppData\Local\Temp\OnboardLogs"\RTDC4007\*4007*201702050* | grep -SE "((Enforcement Ac)|(PRM))" -</v>
      </c>
      <c r="AD28" s="1" t="str">
        <f>"grep -hSE ""Enforcement Action"" "&amp;search_path&amp;"\RTDC"&amp;U28&amp;"\*"&amp;U28&amp;"*"&amp;TEXT(A28-utc_offset/24,"YYYYMMDD")&amp;LEFT(TEXT(A28-utc_offset/24,"HH"),1)&amp;"* &gt;&gt; "&amp;TEXT(Variables!$A$2,"YYYY-MM-DD")&amp;"-SliceDisagreementCheck.txt"</f>
        <v>grep -hSE "Enforcement Action" "%USERPROFILE%\AppData\Local\Temp\OnboardLogs"\RTDC4007\*4007*201702050* &gt;&gt; 2017-02-05-SliceDisagreementCheck.txt</v>
      </c>
      <c r="AE28" s="161" t="str">
        <f t="shared" si="9"/>
        <v>start /low /b %USERPROFILE%\Documents\GitHub\eaglep3\Utilities\DownloadLogsFromS3.py --loco 4007 --day 2017-02-05</v>
      </c>
      <c r="AF28" s="1"/>
    </row>
    <row r="29" spans="1:32" x14ac:dyDescent="0.25">
      <c r="A29" s="32">
        <v>42771.466296296298</v>
      </c>
      <c r="B29" s="30" t="s">
        <v>214</v>
      </c>
      <c r="C29" s="30" t="s">
        <v>507</v>
      </c>
      <c r="D29" s="30" t="s">
        <v>49</v>
      </c>
      <c r="E29" s="30" t="s">
        <v>188</v>
      </c>
      <c r="F29" s="43">
        <v>0</v>
      </c>
      <c r="G29" s="43">
        <v>42</v>
      </c>
      <c r="H29" s="43">
        <v>140</v>
      </c>
      <c r="I29" s="43">
        <v>108</v>
      </c>
      <c r="J29" s="30" t="s">
        <v>189</v>
      </c>
      <c r="K29" s="43">
        <v>1</v>
      </c>
      <c r="L29" s="143" t="s">
        <v>51</v>
      </c>
      <c r="M29" s="144">
        <f t="shared" si="0"/>
        <v>56.496000000000002</v>
      </c>
      <c r="N29" s="145" t="str">
        <f>VLOOKUP(C29,'Trips&amp;Operators'!$C$1:$G$99999,5,FALSE)</f>
        <v>MACDONALD THOMAS</v>
      </c>
      <c r="O29" s="157" t="s">
        <v>185</v>
      </c>
      <c r="P29" s="146"/>
      <c r="Q29" s="30"/>
      <c r="R29" s="89" t="str">
        <f>VLOOKUP(C29,'Train Runs'!$A$13:$AE$9961,31,0)</f>
        <v>aws s3 cp s3://rtdc.mdm.uploadarchive.raw/RTDC4030/ "%USERPROFILE%\AppData\Local\Temp\OnboardLogs"\RTDC4030\2017-02-05 --exclude "*" --recursive --include "*20170205*" &amp; "%USERPROFILE%\Documents\GitHub\mrs-test-scripts\Headless Mode &amp; Sideloading\WalkAndUnGZ.bat" "%USERPROFILE%\AppData\Local\Temp\OnboardLogs"\RTDC4030\2017-02-05 &amp; aws s3 cp s3://rtdc.mdm.uploadarchive.raw/RTDC4030/ "%USERPROFILE%\AppData\Local\Temp\OnboardLogs"\RTDC4030\2017-02-06 --exclude "*" --recursive --include "*20170206*" &amp; "%USERPROFILE%\Documents\GitHub\mrs-test-scripts\Headless Mode &amp; Sideloading\WalkAndUnGZ.bat" "%USERPROFILE%\AppData\Local\Temp\OnboardLogs"\RTDC4030\2017-02-06</v>
      </c>
      <c r="S29" s="92" t="str">
        <f>VLOOKUP(C29,'Train Runs'!$A$13:$AE$9961,22,0)</f>
        <v>https://d0f6bd738d7f1b3e5a7ca70fe4ff75f0.us-east-1.aws.found.io/app/kibana#/discover/Steve-Slow-Train-Analysis-(2080s-and-2083s)?_g=(refreshInterval:(display:Off,pause:!f,section:0,value:0),time:(from:'2017-02-05T10:02:21-0700',mode:absolute,to:'2017-02-05T12:11:28-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4030%22')),sort:!(Time.ISO8601,asc))</v>
      </c>
      <c r="T29" s="94" t="str">
        <f t="shared" si="1"/>
        <v>"C:\Program Files (x86)\AstroGrep\AstroGrep.exe" /spath="%USERPROFILE%\AppData\Local\Temp\OnboardLogs" /stypes="*4030*201702051*" /stext=" 18:.+((SYSTEM_STATE.+slice.+state.+changed )|(ment ac)|(multiple cpu faults)|(system.+state.+changed )|(\[timeout)|(PRM\|1\|D)|(kpr)|(kdp)|(\|lc)|(penalty))" /e /r /s</v>
      </c>
      <c r="U29" s="9" t="str">
        <f t="shared" si="2"/>
        <v>4030</v>
      </c>
      <c r="V29" s="32">
        <f t="shared" si="3"/>
        <v>42771.757962962962</v>
      </c>
      <c r="W29" s="46" t="str">
        <f t="shared" si="4"/>
        <v>Other</v>
      </c>
      <c r="X29" s="46" t="str">
        <f t="shared" si="5"/>
        <v>KEEP</v>
      </c>
      <c r="Y29" s="108" t="str">
        <f t="shared" si="6"/>
        <v>echo {"issue":{"subject":"","project_id":79,"tracker_id":40,"status_id":1,"priority_id":2,"assigned_to_id":23,"start_date":"2017-02-05","description":"","custom_fields":[{"id":1,"name":"Subdivision","value":"Other"},{"id":4,"name":"Milepost","value":"0.0001"},{"id":17,"name":"Train ID","value":"50-05"},{"id":16,"name":"Locomotive ID","value":"4030"},{"id":130,"name":"Impact","value":""},{"id":150,"name":"Time of Event (Mountain Time)","value":"11:11:28"},{"id":151,"name":"Denver Issue ID","value":""},{"id":178,"name":"Operational Impact","value":"Yes"},{"id":179,"name":"Denver Segment Assigned","value":""}]}} | curl -X POST -H "Content-Type: application/json" -H "X-Redmine-API-Key: d6333d4a04012a730768444271f8ca06482dae87" https://secure.xorail.net/redmine/issues.json --data @-</v>
      </c>
      <c r="Z29" s="48"/>
      <c r="AA29" s="48"/>
      <c r="AB29" s="48"/>
      <c r="AC29" s="127" t="str">
        <f t="shared" si="7"/>
        <v>grep -hSE -A400 "Enforcement Action" "%USERPROFILE%\AppData\Local\Temp\OnboardLogs"\RTDC4030\*4030*201702051* | grep -SE "((Enforcement Ac)|(PRM))" -</v>
      </c>
      <c r="AD29" s="1" t="str">
        <f>"grep -hSE ""Enforcement Action"" "&amp;search_path&amp;"\RTDC"&amp;U29&amp;"\*"&amp;U29&amp;"*"&amp;TEXT(A29-utc_offset/24,"YYYYMMDD")&amp;LEFT(TEXT(A29-utc_offset/24,"HH"),1)&amp;"* &gt;&gt; "&amp;TEXT(Variables!$A$2,"YYYY-MM-DD")&amp;"-SliceDisagreementCheck.txt"</f>
        <v>grep -hSE "Enforcement Action" "%USERPROFILE%\AppData\Local\Temp\OnboardLogs"\RTDC4030\*4030*201702051* &gt;&gt; 2017-02-05-SliceDisagreementCheck.txt</v>
      </c>
      <c r="AE29" s="161" t="str">
        <f t="shared" si="9"/>
        <v>start /low /b %USERPROFILE%\Documents\GitHub\eaglep3\Utilities\DownloadLogsFromS3.py --loco 4030 --day 2017-02-05</v>
      </c>
      <c r="AF29" s="1"/>
    </row>
    <row r="30" spans="1:32" x14ac:dyDescent="0.25">
      <c r="A30"/>
      <c r="D30"/>
      <c r="E30"/>
      <c r="F30"/>
      <c r="G30"/>
      <c r="H30"/>
      <c r="I30"/>
      <c r="J30"/>
      <c r="K30"/>
      <c r="L30"/>
      <c r="M30"/>
      <c r="N30"/>
      <c r="O30"/>
      <c r="P30"/>
      <c r="R30"/>
      <c r="S30"/>
      <c r="T30"/>
      <c r="V30"/>
      <c r="AC30"/>
      <c r="AE30"/>
    </row>
    <row r="31" spans="1:32" x14ac:dyDescent="0.25">
      <c r="A31"/>
      <c r="D31"/>
      <c r="E31"/>
      <c r="F31"/>
      <c r="G31"/>
      <c r="H31"/>
      <c r="I31"/>
      <c r="J31"/>
      <c r="K31"/>
      <c r="L31"/>
      <c r="M31"/>
      <c r="N31"/>
      <c r="O31"/>
      <c r="P31"/>
      <c r="R31"/>
      <c r="S31"/>
      <c r="T31"/>
      <c r="V31"/>
      <c r="AC31"/>
      <c r="AE31"/>
    </row>
    <row r="32" spans="1:32" x14ac:dyDescent="0.25">
      <c r="A32"/>
      <c r="D32"/>
      <c r="E32"/>
      <c r="F32"/>
      <c r="G32"/>
      <c r="H32"/>
      <c r="I32"/>
      <c r="J32"/>
      <c r="K32"/>
      <c r="L32"/>
      <c r="M32"/>
      <c r="N32"/>
      <c r="O32"/>
      <c r="P32"/>
      <c r="R32"/>
      <c r="S32"/>
      <c r="T32"/>
      <c r="V32"/>
      <c r="AC32"/>
      <c r="AE32"/>
    </row>
    <row r="33" spans="1:31" x14ac:dyDescent="0.25">
      <c r="A33"/>
      <c r="D33"/>
      <c r="E33"/>
      <c r="F33"/>
      <c r="G33"/>
      <c r="H33"/>
      <c r="I33"/>
      <c r="J33"/>
      <c r="K33"/>
      <c r="L33"/>
      <c r="M33"/>
      <c r="N33"/>
      <c r="O33"/>
      <c r="P33"/>
      <c r="R33"/>
      <c r="S33"/>
      <c r="T33"/>
      <c r="V33"/>
      <c r="AC33"/>
      <c r="AE33"/>
    </row>
    <row r="34" spans="1:31" x14ac:dyDescent="0.25">
      <c r="A34"/>
      <c r="D34"/>
      <c r="E34"/>
      <c r="F34"/>
      <c r="G34"/>
      <c r="H34"/>
      <c r="I34"/>
      <c r="J34"/>
      <c r="K34"/>
      <c r="L34"/>
      <c r="M34"/>
      <c r="N34"/>
      <c r="O34"/>
      <c r="P34"/>
      <c r="R34"/>
      <c r="S34"/>
      <c r="T34"/>
      <c r="V34"/>
      <c r="AC34"/>
      <c r="AE34"/>
    </row>
    <row r="35" spans="1:31" x14ac:dyDescent="0.25">
      <c r="A35"/>
      <c r="D35"/>
      <c r="E35"/>
      <c r="F35"/>
      <c r="G35"/>
      <c r="H35"/>
      <c r="I35"/>
      <c r="J35"/>
      <c r="K35"/>
      <c r="L35"/>
      <c r="M35"/>
      <c r="N35"/>
      <c r="O35"/>
      <c r="P35"/>
      <c r="R35"/>
      <c r="S35"/>
      <c r="T35"/>
      <c r="V35"/>
      <c r="AC35"/>
      <c r="AE35"/>
    </row>
    <row r="36" spans="1:31" x14ac:dyDescent="0.25">
      <c r="A36"/>
      <c r="D36"/>
      <c r="E36"/>
      <c r="F36"/>
      <c r="G36"/>
      <c r="H36"/>
      <c r="I36"/>
      <c r="J36"/>
      <c r="K36"/>
      <c r="L36"/>
      <c r="M36"/>
      <c r="N36"/>
      <c r="O36"/>
      <c r="P36"/>
      <c r="R36"/>
      <c r="S36"/>
      <c r="T36"/>
      <c r="V36"/>
      <c r="AC36"/>
      <c r="AE36"/>
    </row>
    <row r="37" spans="1:31" x14ac:dyDescent="0.25">
      <c r="A37"/>
      <c r="D37"/>
      <c r="E37"/>
      <c r="F37"/>
      <c r="G37"/>
      <c r="H37"/>
      <c r="I37"/>
      <c r="J37"/>
      <c r="K37"/>
      <c r="L37"/>
      <c r="M37"/>
      <c r="N37"/>
      <c r="O37"/>
      <c r="P37"/>
      <c r="R37"/>
      <c r="S37"/>
      <c r="T37"/>
      <c r="V37"/>
      <c r="AC37"/>
      <c r="AE37"/>
    </row>
    <row r="38" spans="1:31" x14ac:dyDescent="0.25">
      <c r="A38"/>
      <c r="D38"/>
      <c r="E38"/>
      <c r="F38"/>
      <c r="G38"/>
      <c r="H38"/>
      <c r="I38"/>
      <c r="J38"/>
      <c r="K38"/>
      <c r="L38"/>
      <c r="M38"/>
      <c r="N38"/>
      <c r="O38"/>
      <c r="P38"/>
      <c r="R38"/>
      <c r="S38"/>
      <c r="T38"/>
      <c r="V38"/>
      <c r="AC38"/>
      <c r="AE38"/>
    </row>
    <row r="39" spans="1:31" x14ac:dyDescent="0.25">
      <c r="A39"/>
      <c r="D39"/>
      <c r="E39"/>
      <c r="F39"/>
      <c r="G39"/>
      <c r="H39"/>
      <c r="I39"/>
      <c r="J39"/>
      <c r="K39"/>
      <c r="L39"/>
      <c r="M39"/>
      <c r="N39"/>
      <c r="O39"/>
      <c r="P39"/>
      <c r="R39"/>
      <c r="S39"/>
      <c r="T39"/>
      <c r="V39"/>
      <c r="AC39"/>
      <c r="AE39"/>
    </row>
    <row r="40" spans="1:31" x14ac:dyDescent="0.25">
      <c r="A40"/>
      <c r="D40"/>
      <c r="E40"/>
      <c r="F40"/>
      <c r="G40"/>
      <c r="H40"/>
      <c r="I40"/>
      <c r="J40"/>
      <c r="K40"/>
      <c r="L40"/>
      <c r="M40"/>
      <c r="N40"/>
      <c r="O40"/>
      <c r="P40"/>
      <c r="R40"/>
      <c r="S40"/>
      <c r="T40"/>
      <c r="V40"/>
      <c r="AC40"/>
      <c r="AE40"/>
    </row>
    <row r="41" spans="1:31" x14ac:dyDescent="0.25">
      <c r="A41"/>
      <c r="D41"/>
      <c r="E41"/>
      <c r="F41"/>
      <c r="G41"/>
      <c r="H41"/>
      <c r="I41"/>
      <c r="J41"/>
      <c r="K41"/>
      <c r="L41"/>
      <c r="M41"/>
      <c r="N41"/>
      <c r="O41"/>
      <c r="P41"/>
      <c r="R41"/>
      <c r="S41"/>
      <c r="T41"/>
      <c r="V41"/>
      <c r="AC41"/>
      <c r="AE41"/>
    </row>
    <row r="42" spans="1:31" x14ac:dyDescent="0.25">
      <c r="A42"/>
      <c r="D42"/>
      <c r="E42"/>
      <c r="F42"/>
      <c r="G42"/>
      <c r="H42"/>
      <c r="I42"/>
      <c r="J42"/>
      <c r="K42"/>
      <c r="L42"/>
      <c r="M42"/>
      <c r="N42"/>
      <c r="O42"/>
      <c r="P42"/>
      <c r="R42"/>
      <c r="S42"/>
      <c r="T42"/>
      <c r="V42"/>
      <c r="AC42"/>
      <c r="AE42"/>
    </row>
    <row r="43" spans="1:31" x14ac:dyDescent="0.25">
      <c r="A43"/>
      <c r="D43"/>
      <c r="E43"/>
      <c r="F43"/>
      <c r="G43"/>
      <c r="H43"/>
      <c r="I43"/>
      <c r="J43"/>
      <c r="K43"/>
      <c r="L43"/>
      <c r="M43"/>
      <c r="N43"/>
      <c r="O43"/>
      <c r="P43"/>
      <c r="R43"/>
      <c r="S43"/>
      <c r="T43"/>
      <c r="V43"/>
      <c r="AC43"/>
      <c r="AE43"/>
    </row>
    <row r="44" spans="1:31" x14ac:dyDescent="0.25">
      <c r="A44"/>
      <c r="D44"/>
      <c r="E44"/>
      <c r="F44"/>
      <c r="G44"/>
      <c r="H44"/>
      <c r="I44"/>
      <c r="J44"/>
      <c r="K44"/>
      <c r="L44"/>
      <c r="M44"/>
      <c r="N44"/>
      <c r="O44"/>
      <c r="P44"/>
      <c r="R44"/>
      <c r="S44"/>
      <c r="T44"/>
      <c r="V44"/>
      <c r="AC44"/>
      <c r="AE44"/>
    </row>
    <row r="45" spans="1:31" x14ac:dyDescent="0.25">
      <c r="A45"/>
      <c r="D45"/>
      <c r="E45"/>
      <c r="F45"/>
      <c r="G45"/>
      <c r="H45"/>
      <c r="I45"/>
      <c r="J45"/>
      <c r="K45"/>
      <c r="L45"/>
      <c r="M45"/>
      <c r="N45"/>
      <c r="O45"/>
      <c r="P45"/>
      <c r="R45"/>
      <c r="S45"/>
      <c r="T45"/>
      <c r="V45"/>
      <c r="AC45"/>
      <c r="AE45"/>
    </row>
    <row r="46" spans="1:31" x14ac:dyDescent="0.25">
      <c r="A46"/>
      <c r="D46"/>
      <c r="E46"/>
      <c r="F46"/>
      <c r="G46"/>
      <c r="H46"/>
      <c r="I46"/>
      <c r="J46"/>
      <c r="K46"/>
      <c r="L46"/>
      <c r="M46"/>
      <c r="N46"/>
      <c r="O46"/>
      <c r="P46"/>
      <c r="R46"/>
      <c r="S46"/>
      <c r="T46"/>
      <c r="V46"/>
      <c r="AC46"/>
      <c r="AE46"/>
    </row>
    <row r="47" spans="1:31" x14ac:dyDescent="0.25">
      <c r="A47"/>
      <c r="D47"/>
      <c r="E47"/>
      <c r="F47"/>
      <c r="G47"/>
      <c r="H47"/>
      <c r="I47"/>
      <c r="J47"/>
      <c r="K47"/>
      <c r="L47"/>
      <c r="M47"/>
      <c r="N47"/>
      <c r="O47"/>
      <c r="P47"/>
      <c r="R47"/>
      <c r="S47"/>
      <c r="T47"/>
      <c r="V47"/>
      <c r="AC47"/>
      <c r="AE47"/>
    </row>
    <row r="48" spans="1:31" x14ac:dyDescent="0.25">
      <c r="A48"/>
      <c r="D48"/>
      <c r="E48"/>
      <c r="F48"/>
      <c r="G48"/>
      <c r="H48"/>
      <c r="I48"/>
      <c r="J48"/>
      <c r="K48"/>
      <c r="L48"/>
      <c r="M48"/>
      <c r="N48"/>
      <c r="O48"/>
      <c r="P48"/>
      <c r="R48"/>
      <c r="S48"/>
      <c r="T48"/>
      <c r="V48"/>
      <c r="AC48"/>
      <c r="AE48"/>
    </row>
    <row r="49" spans="1:31" x14ac:dyDescent="0.25">
      <c r="A49"/>
      <c r="D49"/>
      <c r="E49"/>
      <c r="F49"/>
      <c r="G49"/>
      <c r="H49"/>
      <c r="I49"/>
      <c r="J49"/>
      <c r="K49"/>
      <c r="L49"/>
      <c r="M49"/>
      <c r="N49"/>
      <c r="O49"/>
      <c r="P49"/>
      <c r="R49"/>
      <c r="S49"/>
      <c r="T49"/>
      <c r="V49"/>
      <c r="AC49"/>
      <c r="AE49"/>
    </row>
    <row r="50" spans="1:31" x14ac:dyDescent="0.25">
      <c r="A50"/>
      <c r="D50"/>
      <c r="E50"/>
      <c r="F50"/>
      <c r="G50"/>
      <c r="H50"/>
      <c r="I50"/>
      <c r="J50"/>
      <c r="K50"/>
      <c r="L50"/>
      <c r="M50"/>
      <c r="N50"/>
      <c r="O50"/>
      <c r="P50"/>
      <c r="R50"/>
      <c r="S50"/>
      <c r="T50"/>
      <c r="V50"/>
      <c r="AC50"/>
      <c r="AE50"/>
    </row>
    <row r="51" spans="1:31" x14ac:dyDescent="0.25">
      <c r="A51"/>
      <c r="D51"/>
      <c r="E51"/>
      <c r="F51"/>
      <c r="G51"/>
      <c r="H51"/>
      <c r="I51"/>
      <c r="J51"/>
      <c r="K51"/>
      <c r="L51"/>
      <c r="M51"/>
      <c r="N51"/>
      <c r="O51"/>
      <c r="P51"/>
      <c r="R51"/>
      <c r="S51"/>
      <c r="T51"/>
      <c r="V51"/>
      <c r="AC51"/>
      <c r="AE51"/>
    </row>
    <row r="52" spans="1:31" x14ac:dyDescent="0.25">
      <c r="A52"/>
      <c r="D52"/>
      <c r="E52"/>
      <c r="F52"/>
      <c r="G52"/>
      <c r="H52"/>
      <c r="I52"/>
      <c r="J52"/>
      <c r="K52"/>
      <c r="L52"/>
      <c r="M52"/>
      <c r="N52"/>
      <c r="O52"/>
      <c r="P52"/>
      <c r="R52"/>
      <c r="S52"/>
      <c r="T52"/>
      <c r="V52"/>
      <c r="AC52"/>
      <c r="AE52"/>
    </row>
    <row r="53" spans="1:31" x14ac:dyDescent="0.25">
      <c r="A53"/>
      <c r="D53"/>
      <c r="E53"/>
      <c r="F53"/>
      <c r="G53"/>
      <c r="H53"/>
      <c r="I53"/>
      <c r="J53"/>
      <c r="K53"/>
      <c r="L53"/>
      <c r="M53"/>
      <c r="N53"/>
      <c r="O53"/>
      <c r="P53"/>
      <c r="R53"/>
      <c r="S53"/>
      <c r="T53"/>
      <c r="V53"/>
      <c r="AC53"/>
      <c r="AE53"/>
    </row>
    <row r="54" spans="1:31" x14ac:dyDescent="0.25">
      <c r="A54"/>
      <c r="D54"/>
      <c r="E54"/>
      <c r="F54"/>
      <c r="G54"/>
      <c r="H54"/>
      <c r="I54"/>
      <c r="J54"/>
      <c r="K54"/>
      <c r="L54"/>
      <c r="M54"/>
      <c r="N54"/>
      <c r="O54"/>
      <c r="P54"/>
      <c r="R54"/>
      <c r="S54"/>
      <c r="T54"/>
      <c r="V54"/>
      <c r="AC54"/>
      <c r="AE54"/>
    </row>
    <row r="55" spans="1:31" x14ac:dyDescent="0.25">
      <c r="A55"/>
      <c r="D55"/>
      <c r="E55"/>
      <c r="F55"/>
      <c r="G55"/>
      <c r="H55"/>
      <c r="I55"/>
      <c r="J55"/>
      <c r="K55"/>
      <c r="L55"/>
      <c r="M55"/>
      <c r="N55"/>
      <c r="O55"/>
      <c r="P55"/>
      <c r="R55"/>
      <c r="S55"/>
      <c r="T55"/>
      <c r="V55"/>
      <c r="AC55"/>
      <c r="AE55"/>
    </row>
    <row r="56" spans="1:31" x14ac:dyDescent="0.25">
      <c r="A56"/>
      <c r="D56"/>
      <c r="E56"/>
      <c r="F56"/>
      <c r="G56"/>
      <c r="H56"/>
      <c r="I56"/>
      <c r="J56"/>
      <c r="K56"/>
      <c r="L56"/>
      <c r="M56"/>
      <c r="N56"/>
      <c r="O56"/>
      <c r="P56"/>
      <c r="R56"/>
      <c r="S56"/>
      <c r="T56"/>
      <c r="V56"/>
      <c r="AC56"/>
      <c r="AE56"/>
    </row>
    <row r="57" spans="1:31" x14ac:dyDescent="0.25">
      <c r="A57"/>
      <c r="D57"/>
      <c r="E57"/>
      <c r="F57"/>
      <c r="G57"/>
      <c r="H57"/>
      <c r="I57"/>
      <c r="J57"/>
      <c r="K57"/>
      <c r="L57"/>
      <c r="M57"/>
      <c r="N57"/>
      <c r="O57"/>
      <c r="P57"/>
      <c r="R57"/>
      <c r="S57"/>
      <c r="T57"/>
      <c r="V57"/>
      <c r="AC57"/>
      <c r="AE57"/>
    </row>
    <row r="58" spans="1:31" x14ac:dyDescent="0.25">
      <c r="A58"/>
      <c r="D58"/>
      <c r="E58"/>
      <c r="F58"/>
      <c r="G58"/>
      <c r="H58"/>
      <c r="I58"/>
      <c r="J58"/>
      <c r="K58"/>
      <c r="L58"/>
      <c r="M58"/>
      <c r="N58"/>
      <c r="O58"/>
      <c r="P58"/>
      <c r="R58"/>
      <c r="S58"/>
      <c r="T58"/>
      <c r="V58"/>
      <c r="AC58"/>
      <c r="AE58"/>
    </row>
    <row r="59" spans="1:31" x14ac:dyDescent="0.25">
      <c r="A59"/>
      <c r="D59"/>
      <c r="E59"/>
      <c r="F59"/>
      <c r="G59"/>
      <c r="H59"/>
      <c r="I59"/>
      <c r="J59"/>
      <c r="K59"/>
      <c r="L59"/>
      <c r="M59"/>
      <c r="N59"/>
      <c r="O59"/>
      <c r="P59"/>
      <c r="R59"/>
      <c r="S59"/>
      <c r="T59"/>
      <c r="V59"/>
      <c r="AC59"/>
      <c r="AE59"/>
    </row>
    <row r="60" spans="1:31" x14ac:dyDescent="0.25">
      <c r="A60"/>
      <c r="D60"/>
      <c r="E60"/>
      <c r="F60"/>
      <c r="G60"/>
      <c r="H60"/>
      <c r="I60"/>
      <c r="J60"/>
      <c r="K60"/>
      <c r="L60"/>
      <c r="M60"/>
      <c r="N60"/>
      <c r="O60"/>
      <c r="P60"/>
      <c r="R60"/>
      <c r="S60"/>
      <c r="T60"/>
      <c r="V60"/>
      <c r="AC60"/>
      <c r="AE60"/>
    </row>
    <row r="61" spans="1:31" x14ac:dyDescent="0.25">
      <c r="A61"/>
      <c r="D61"/>
      <c r="E61"/>
      <c r="F61"/>
      <c r="G61"/>
      <c r="H61"/>
      <c r="I61"/>
      <c r="J61"/>
      <c r="K61"/>
      <c r="L61"/>
      <c r="M61"/>
      <c r="N61"/>
      <c r="O61"/>
      <c r="P61"/>
      <c r="R61"/>
      <c r="S61"/>
      <c r="T61"/>
      <c r="V61"/>
      <c r="AC61"/>
      <c r="AE61"/>
    </row>
    <row r="62" spans="1:31" x14ac:dyDescent="0.25">
      <c r="A62"/>
      <c r="D62"/>
      <c r="E62"/>
      <c r="F62"/>
      <c r="G62"/>
      <c r="H62"/>
      <c r="I62"/>
      <c r="J62"/>
      <c r="K62"/>
      <c r="L62"/>
      <c r="M62"/>
      <c r="N62"/>
      <c r="O62"/>
      <c r="P62"/>
      <c r="R62"/>
      <c r="S62"/>
      <c r="T62"/>
      <c r="V62"/>
      <c r="AC62"/>
      <c r="AE62"/>
    </row>
  </sheetData>
  <autoFilter ref="A6:AC35">
    <sortState ref="A7:AC35">
      <sortCondition ref="W7:W29"/>
      <sortCondition ref="E7:E29"/>
      <sortCondition ref="K7:K29"/>
      <sortCondition ref="F7:F29"/>
    </sortState>
  </autoFilter>
  <sortState ref="A7:AE37">
    <sortCondition ref="W7:W37"/>
    <sortCondition ref="E7:E37"/>
    <sortCondition ref="K7:K37"/>
    <sortCondition ref="C7:C37"/>
    <sortCondition ref="F7:F37"/>
  </sortState>
  <mergeCells count="1">
    <mergeCell ref="A5:O5"/>
  </mergeCells>
  <conditionalFormatting sqref="O6:P6 R6 O63:O1048576 O7:O29">
    <cfRule type="cellIs" dxfId="3" priority="36" operator="equal">
      <formula>"Y"</formula>
    </cfRule>
  </conditionalFormatting>
  <conditionalFormatting sqref="O2:O3">
    <cfRule type="cellIs" dxfId="2" priority="27" operator="equal">
      <formula>"Y"</formula>
    </cfRule>
  </conditionalFormatting>
  <conditionalFormatting sqref="A7:P29">
    <cfRule type="expression" dxfId="1" priority="20">
      <formula>$O7="Y"</formula>
    </cfRule>
  </conditionalFormatting>
  <pageMargins left="0.7" right="0.7" top="0.75" bottom="0.75" header="0.3" footer="0.3"/>
  <pageSetup scale="2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15</xdr:col>
                    <xdr:colOff>352425</xdr:colOff>
                    <xdr:row>1</xdr:row>
                    <xdr:rowOff>28575</xdr:rowOff>
                  </from>
                  <to>
                    <xdr:col>15</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AA7:AA29</xm:sqref>
        </x14:dataValidation>
        <x14:dataValidation type="list" allowBlank="1" showInputMessage="1" showErrorMessage="1">
          <x14:formula1>
            <xm:f>'Redmine List Values'!$C$2:$C$15</xm:f>
          </x14:formula1>
          <xm:sqref>AB7:AB29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20"/>
  <sheetViews>
    <sheetView workbookViewId="0"/>
  </sheetViews>
  <sheetFormatPr defaultRowHeight="15" x14ac:dyDescent="0.25"/>
  <cols>
    <col min="1" max="1" width="9.140625" style="171"/>
    <col min="2" max="2" width="9.140625" style="2" customWidth="1"/>
    <col min="3" max="3" width="8" style="97" bestFit="1" customWidth="1"/>
    <col min="4" max="4" width="9.85546875" style="151" bestFit="1" customWidth="1"/>
    <col min="5" max="5" width="50.85546875" bestFit="1" customWidth="1"/>
    <col min="6" max="6" width="8.7109375" customWidth="1"/>
    <col min="7" max="7" width="13.5703125" customWidth="1"/>
    <col min="8" max="8" width="14.7109375" customWidth="1"/>
    <col min="9" max="10" width="9.140625" customWidth="1"/>
  </cols>
  <sheetData>
    <row r="1" spans="1:10" s="20" customFormat="1" x14ac:dyDescent="0.25">
      <c r="A1" s="171"/>
      <c r="B1" s="196" t="str">
        <f>"Trips that did not appear in PTC Data "&amp;TEXT(Variables!$A$2,"YYYY-mm-dd")</f>
        <v>Trips that did not appear in PTC Data 2017-02-05</v>
      </c>
      <c r="C1" s="196"/>
      <c r="D1" s="196"/>
      <c r="E1" s="196"/>
      <c r="F1" s="196"/>
    </row>
    <row r="2" spans="1:10" s="23" customFormat="1" ht="45" x14ac:dyDescent="0.25">
      <c r="A2" s="194" t="s">
        <v>152</v>
      </c>
      <c r="B2" s="99" t="s">
        <v>58</v>
      </c>
      <c r="C2" s="96" t="s">
        <v>59</v>
      </c>
      <c r="D2" s="168" t="s">
        <v>60</v>
      </c>
      <c r="E2" s="23" t="s">
        <v>56</v>
      </c>
      <c r="F2" s="23" t="s">
        <v>57</v>
      </c>
      <c r="G2" s="23" t="s">
        <v>61</v>
      </c>
      <c r="H2" s="28" t="s">
        <v>62</v>
      </c>
      <c r="I2" s="28" t="s">
        <v>104</v>
      </c>
    </row>
    <row r="3" spans="1:10" x14ac:dyDescent="0.25">
      <c r="A3" s="190">
        <v>240</v>
      </c>
      <c r="B3" s="43" t="str">
        <f>A3&amp;"-"&amp;IF(DAY(Variables!$A$2)&lt;10,0,"")&amp;DAY(Variables!$A$2)</f>
        <v>240-05</v>
      </c>
      <c r="C3" s="147"/>
      <c r="D3" s="169"/>
      <c r="E3" s="30" t="s">
        <v>909</v>
      </c>
      <c r="F3" s="21" t="e">
        <f>VLOOKUP(B3,'Trips&amp;Operators'!$C$2:$E$10000,3,FALSE)</f>
        <v>#N/A</v>
      </c>
      <c r="G3" s="21" t="e">
        <f>VLOOKUP(B3,'Trips&amp;Operators'!$C$1:$F$10000,4,FALSE)</f>
        <v>#N/A</v>
      </c>
      <c r="H3" s="29" t="e">
        <f>VLOOKUP(B3,'Trips&amp;Operators'!$C$1:$H$10000,5,FALSE)</f>
        <v>#N/A</v>
      </c>
      <c r="I3" s="46" t="str">
        <f t="shared" ref="I3:I49" si="0">"https://d0f6bd738d7f1b3e5a7ca70fe4ff75f0.us-east-1.aws.found.io/app/kibana#/discover/Steve-Slow-Train-Analysis-(2080s-and-2083s)?_g="&amp;"(refreshInterval:(display:Off,pause:!f,section:0,value:0),time:(from:now-7d,mode:quick,to:now))&amp;_a=(columns:!('Locomotive%20ID','Data.Train%20ID','Message%20ID'),filters:!(),"&amp;"index:'emp_*',interval:auto,query:(query_string:(analyze_wildcard:!t,query:%22"&amp;B3&amp;"%22)),sort:!(Time.ISO8601,asc))"</f>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22240-05%22)),sort:!(Time.ISO8601,asc))</v>
      </c>
      <c r="J3" s="30" t="e">
        <f>VLOOKUP(B3,'Train Runs'!$A$13:$A$99958,1,FALSE)</f>
        <v>#N/A</v>
      </c>
    </row>
    <row r="4" spans="1:10" x14ac:dyDescent="0.25">
      <c r="A4" s="190"/>
      <c r="B4" s="43" t="str">
        <f>A4&amp;"-"&amp;IF(DAY(Variables!$A$2)&lt;10,0,"")&amp;DAY(Variables!$A$2)</f>
        <v>-05</v>
      </c>
      <c r="C4" s="147"/>
      <c r="D4" s="169"/>
      <c r="E4" s="30"/>
      <c r="F4" s="21" t="e">
        <f>VLOOKUP(B4,'Trips&amp;Operators'!$C$2:$E$10000,3,FALSE)</f>
        <v>#N/A</v>
      </c>
      <c r="G4" s="21" t="e">
        <f>VLOOKUP(B4,'Trips&amp;Operators'!$C$1:$F$10000,4,FALSE)</f>
        <v>#N/A</v>
      </c>
      <c r="H4" s="29" t="e">
        <f>VLOOKUP(B4,'Trips&amp;Operators'!$C$1:$H$10000,5,FALSE)</f>
        <v>#N/A</v>
      </c>
      <c r="I4"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 s="30" t="e">
        <f>VLOOKUP(B4,'Train Runs'!$A$13:$A$99958,1,FALSE)</f>
        <v>#N/A</v>
      </c>
    </row>
    <row r="5" spans="1:10" x14ac:dyDescent="0.25">
      <c r="A5" s="190"/>
      <c r="B5" s="43" t="str">
        <f>A5&amp;"-"&amp;IF(DAY(Variables!$A$2)&lt;10,0,"")&amp;DAY(Variables!$A$2)</f>
        <v>-05</v>
      </c>
      <c r="C5" s="147"/>
      <c r="D5" s="169"/>
      <c r="E5" s="30"/>
      <c r="F5" s="21" t="e">
        <f>VLOOKUP(B5,'Trips&amp;Operators'!$C$2:$E$10000,3,FALSE)</f>
        <v>#N/A</v>
      </c>
      <c r="G5" s="21" t="e">
        <f>VLOOKUP(B5,'Trips&amp;Operators'!$C$1:$F$10000,4,FALSE)</f>
        <v>#N/A</v>
      </c>
      <c r="H5" s="29" t="e">
        <f>VLOOKUP(B5,'Trips&amp;Operators'!$C$1:$H$10000,5,FALSE)</f>
        <v>#N/A</v>
      </c>
      <c r="I5"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 s="30" t="e">
        <f>VLOOKUP(B5,'Train Runs'!$A$13:$A$99958,1,FALSE)</f>
        <v>#N/A</v>
      </c>
    </row>
    <row r="6" spans="1:10" x14ac:dyDescent="0.25">
      <c r="A6" s="190"/>
      <c r="B6" s="43" t="str">
        <f>A6&amp;"-"&amp;IF(DAY(Variables!$A$2)&lt;10,0,"")&amp;DAY(Variables!$A$2)</f>
        <v>-05</v>
      </c>
      <c r="C6" s="147"/>
      <c r="D6" s="169"/>
      <c r="E6" s="30"/>
      <c r="F6" s="21" t="e">
        <f>VLOOKUP(B6,'Trips&amp;Operators'!$C$2:$E$10000,3,FALSE)</f>
        <v>#N/A</v>
      </c>
      <c r="G6" s="21" t="e">
        <f>VLOOKUP(B6,'Trips&amp;Operators'!$C$1:$F$10000,4,FALSE)</f>
        <v>#N/A</v>
      </c>
      <c r="H6" s="29" t="e">
        <f>VLOOKUP(B6,'Trips&amp;Operators'!$C$1:$H$10000,5,FALSE)</f>
        <v>#N/A</v>
      </c>
      <c r="I6"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 s="30" t="e">
        <f>VLOOKUP(B6,'Train Runs'!$A$13:$A$99958,1,FALSE)</f>
        <v>#N/A</v>
      </c>
    </row>
    <row r="7" spans="1:10" x14ac:dyDescent="0.25">
      <c r="A7" s="190"/>
      <c r="B7" s="43" t="str">
        <f>A7&amp;"-"&amp;IF(DAY(Variables!$A$2)&lt;10,0,"")&amp;DAY(Variables!$A$2)</f>
        <v>-05</v>
      </c>
      <c r="C7" s="147"/>
      <c r="D7" s="169"/>
      <c r="E7" s="30"/>
      <c r="F7" s="21" t="e">
        <f>VLOOKUP(B7,'Trips&amp;Operators'!$C$2:$E$10000,3,FALSE)</f>
        <v>#N/A</v>
      </c>
      <c r="G7" s="21" t="e">
        <f>VLOOKUP(B7,'Trips&amp;Operators'!$C$1:$F$10000,4,FALSE)</f>
        <v>#N/A</v>
      </c>
      <c r="H7" s="29" t="e">
        <f>VLOOKUP(B7,'Trips&amp;Operators'!$C$1:$H$10000,5,FALSE)</f>
        <v>#N/A</v>
      </c>
      <c r="I7"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 s="30" t="e">
        <f>VLOOKUP(B7,'Train Runs'!$A$13:$A$99958,1,FALSE)</f>
        <v>#N/A</v>
      </c>
    </row>
    <row r="8" spans="1:10" x14ac:dyDescent="0.25">
      <c r="A8" s="190"/>
      <c r="B8" s="43" t="str">
        <f>A8&amp;"-"&amp;IF(DAY(Variables!$A$2)&lt;10,0,"")&amp;DAY(Variables!$A$2)</f>
        <v>-05</v>
      </c>
      <c r="C8" s="147"/>
      <c r="D8" s="169"/>
      <c r="E8" s="30"/>
      <c r="F8" s="21" t="e">
        <f>VLOOKUP(B8,'Trips&amp;Operators'!$C$2:$E$10000,3,FALSE)</f>
        <v>#N/A</v>
      </c>
      <c r="G8" s="21" t="e">
        <f>VLOOKUP(B8,'Trips&amp;Operators'!$C$1:$F$10000,4,FALSE)</f>
        <v>#N/A</v>
      </c>
      <c r="H8" s="29" t="e">
        <f>VLOOKUP(B8,'Trips&amp;Operators'!$C$1:$H$10000,5,FALSE)</f>
        <v>#N/A</v>
      </c>
      <c r="I8"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 s="30" t="e">
        <f>VLOOKUP(B8,'Train Runs'!$A$13:$A$99958,1,FALSE)</f>
        <v>#N/A</v>
      </c>
    </row>
    <row r="9" spans="1:10" x14ac:dyDescent="0.25">
      <c r="A9" s="190"/>
      <c r="B9" s="43" t="str">
        <f>A9&amp;"-"&amp;IF(DAY(Variables!$A$2)&lt;10,0,"")&amp;DAY(Variables!$A$2)</f>
        <v>-05</v>
      </c>
      <c r="C9" s="147"/>
      <c r="D9" s="169"/>
      <c r="E9" s="30"/>
      <c r="F9" s="21" t="e">
        <f>VLOOKUP(B9,'Trips&amp;Operators'!$C$2:$E$10000,3,FALSE)</f>
        <v>#N/A</v>
      </c>
      <c r="G9" s="21" t="e">
        <f>VLOOKUP(B9,'Trips&amp;Operators'!$C$1:$F$10000,4,FALSE)</f>
        <v>#N/A</v>
      </c>
      <c r="H9" s="29" t="e">
        <f>VLOOKUP(B9,'Trips&amp;Operators'!$C$1:$H$10000,5,FALSE)</f>
        <v>#N/A</v>
      </c>
      <c r="I9"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 s="30" t="e">
        <f>VLOOKUP(B9,'Train Runs'!$A$13:$A$99958,1,FALSE)</f>
        <v>#N/A</v>
      </c>
    </row>
    <row r="10" spans="1:10" x14ac:dyDescent="0.25">
      <c r="A10" s="190"/>
      <c r="B10" s="43" t="str">
        <f>A10&amp;"-"&amp;IF(DAY(Variables!$A$2)&lt;10,0,"")&amp;DAY(Variables!$A$2)</f>
        <v>-05</v>
      </c>
      <c r="C10" s="147"/>
      <c r="D10" s="169"/>
      <c r="E10" s="30"/>
      <c r="F10" s="21" t="e">
        <f>VLOOKUP(B10,'Trips&amp;Operators'!$C$2:$E$10000,3,FALSE)</f>
        <v>#N/A</v>
      </c>
      <c r="G10" s="21" t="e">
        <f>VLOOKUP(B10,'Trips&amp;Operators'!$C$1:$F$10000,4,FALSE)</f>
        <v>#N/A</v>
      </c>
      <c r="H10" s="29" t="e">
        <f>VLOOKUP(B10,'Trips&amp;Operators'!$C$1:$H$10000,5,FALSE)</f>
        <v>#N/A</v>
      </c>
      <c r="I10"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 s="30" t="e">
        <f>VLOOKUP(B10,'Train Runs'!$A$13:$A$99958,1,FALSE)</f>
        <v>#N/A</v>
      </c>
    </row>
    <row r="11" spans="1:10" x14ac:dyDescent="0.25">
      <c r="A11" s="190"/>
      <c r="B11" s="43" t="str">
        <f>A11&amp;"-"&amp;IF(DAY(Variables!$A$2)&lt;10,0,"")&amp;DAY(Variables!$A$2)</f>
        <v>-05</v>
      </c>
      <c r="C11" s="147"/>
      <c r="D11" s="169"/>
      <c r="E11" s="30"/>
      <c r="F11" s="21" t="e">
        <f>VLOOKUP(B11,'Trips&amp;Operators'!$C$2:$E$10000,3,FALSE)</f>
        <v>#N/A</v>
      </c>
      <c r="G11" s="21" t="e">
        <f>VLOOKUP(B11,'Trips&amp;Operators'!$C$1:$F$10000,4,FALSE)</f>
        <v>#N/A</v>
      </c>
      <c r="H11" s="29" t="e">
        <f>VLOOKUP(B11,'Trips&amp;Operators'!$C$1:$H$10000,5,FALSE)</f>
        <v>#N/A</v>
      </c>
      <c r="I11"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 s="30" t="e">
        <f>VLOOKUP(B11,'Train Runs'!$A$13:$A$99958,1,FALSE)</f>
        <v>#N/A</v>
      </c>
    </row>
    <row r="12" spans="1:10" x14ac:dyDescent="0.25">
      <c r="A12" s="190"/>
      <c r="B12" s="43" t="str">
        <f>A12&amp;"-"&amp;IF(DAY(Variables!$A$2)&lt;10,0,"")&amp;DAY(Variables!$A$2)</f>
        <v>-05</v>
      </c>
      <c r="C12" s="147"/>
      <c r="D12" s="169"/>
      <c r="E12" s="30"/>
      <c r="F12" s="21" t="e">
        <f>VLOOKUP(B12,'Trips&amp;Operators'!$C$2:$E$10000,3,FALSE)</f>
        <v>#N/A</v>
      </c>
      <c r="G12" s="21" t="e">
        <f>VLOOKUP(B12,'Trips&amp;Operators'!$C$1:$F$10000,4,FALSE)</f>
        <v>#N/A</v>
      </c>
      <c r="H12" s="29" t="e">
        <f>VLOOKUP(B12,'Trips&amp;Operators'!$C$1:$H$10000,5,FALSE)</f>
        <v>#N/A</v>
      </c>
      <c r="I12"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2" s="30" t="e">
        <f>VLOOKUP(B12,'Train Runs'!$A$13:$A$99958,1,FALSE)</f>
        <v>#N/A</v>
      </c>
    </row>
    <row r="13" spans="1:10" x14ac:dyDescent="0.25">
      <c r="A13" s="190"/>
      <c r="B13" s="43" t="str">
        <f>A13&amp;"-"&amp;IF(DAY(Variables!$A$2)&lt;10,0,"")&amp;DAY(Variables!$A$2)</f>
        <v>-05</v>
      </c>
      <c r="C13" s="147"/>
      <c r="D13" s="169"/>
      <c r="E13" s="30"/>
      <c r="F13" s="21" t="e">
        <f>VLOOKUP(B13,'Trips&amp;Operators'!$C$2:$E$10000,3,FALSE)</f>
        <v>#N/A</v>
      </c>
      <c r="G13" s="21" t="e">
        <f>VLOOKUP(B13,'Trips&amp;Operators'!$C$1:$F$10000,4,FALSE)</f>
        <v>#N/A</v>
      </c>
      <c r="H13" s="29" t="e">
        <f>VLOOKUP(B13,'Trips&amp;Operators'!$C$1:$H$10000,5,FALSE)</f>
        <v>#N/A</v>
      </c>
      <c r="I13"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3" s="30" t="e">
        <f>VLOOKUP(B13,'Train Runs'!$A$13:$A$99958,1,FALSE)</f>
        <v>#N/A</v>
      </c>
    </row>
    <row r="14" spans="1:10" x14ac:dyDescent="0.25">
      <c r="A14" s="190"/>
      <c r="B14" s="43" t="str">
        <f>A14&amp;"-"&amp;IF(DAY(Variables!$A$2)&lt;10,0,"")&amp;DAY(Variables!$A$2)</f>
        <v>-05</v>
      </c>
      <c r="C14" s="147"/>
      <c r="D14" s="169"/>
      <c r="E14" s="30"/>
      <c r="F14" s="21" t="e">
        <f>VLOOKUP(B14,'Trips&amp;Operators'!$C$2:$E$10000,3,FALSE)</f>
        <v>#N/A</v>
      </c>
      <c r="G14" s="21" t="e">
        <f>VLOOKUP(B14,'Trips&amp;Operators'!$C$1:$F$10000,4,FALSE)</f>
        <v>#N/A</v>
      </c>
      <c r="H14" s="29" t="e">
        <f>VLOOKUP(B14,'Trips&amp;Operators'!$C$1:$H$10000,5,FALSE)</f>
        <v>#N/A</v>
      </c>
      <c r="I14"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4" s="30" t="e">
        <f>VLOOKUP(B14,'Train Runs'!$A$13:$A$99958,1,FALSE)</f>
        <v>#N/A</v>
      </c>
    </row>
    <row r="15" spans="1:10" x14ac:dyDescent="0.25">
      <c r="A15" s="190"/>
      <c r="B15" s="43" t="str">
        <f>A15&amp;"-"&amp;IF(DAY(Variables!$A$2)&lt;10,0,"")&amp;DAY(Variables!$A$2)</f>
        <v>-05</v>
      </c>
      <c r="C15" s="147"/>
      <c r="D15" s="169"/>
      <c r="E15" s="30"/>
      <c r="F15" s="21" t="e">
        <f>VLOOKUP(B15,'Trips&amp;Operators'!$C$2:$E$10000,3,FALSE)</f>
        <v>#N/A</v>
      </c>
      <c r="G15" s="21" t="e">
        <f>VLOOKUP(B15,'Trips&amp;Operators'!$C$1:$F$10000,4,FALSE)</f>
        <v>#N/A</v>
      </c>
      <c r="H15" s="29" t="e">
        <f>VLOOKUP(B15,'Trips&amp;Operators'!$C$1:$H$10000,5,FALSE)</f>
        <v>#N/A</v>
      </c>
      <c r="I15"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5" s="30" t="e">
        <f>VLOOKUP(B15,'Train Runs'!$A$13:$A$99958,1,FALSE)</f>
        <v>#N/A</v>
      </c>
    </row>
    <row r="16" spans="1:10" x14ac:dyDescent="0.25">
      <c r="A16" s="190"/>
      <c r="B16" s="43" t="str">
        <f>A16&amp;"-"&amp;IF(DAY(Variables!$A$2)&lt;10,0,"")&amp;DAY(Variables!$A$2)</f>
        <v>-05</v>
      </c>
      <c r="C16" s="147"/>
      <c r="D16" s="169"/>
      <c r="E16" s="30"/>
      <c r="F16" s="21" t="e">
        <f>VLOOKUP(B16,'Trips&amp;Operators'!$C$2:$E$10000,3,FALSE)</f>
        <v>#N/A</v>
      </c>
      <c r="G16" s="21" t="e">
        <f>VLOOKUP(B16,'Trips&amp;Operators'!$C$1:$F$10000,4,FALSE)</f>
        <v>#N/A</v>
      </c>
      <c r="H16" s="29" t="e">
        <f>VLOOKUP(B16,'Trips&amp;Operators'!$C$1:$H$10000,5,FALSE)</f>
        <v>#N/A</v>
      </c>
      <c r="I16"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6" s="30" t="e">
        <f>VLOOKUP(B16,'Train Runs'!$A$13:$A$99958,1,FALSE)</f>
        <v>#N/A</v>
      </c>
    </row>
    <row r="17" spans="1:10" x14ac:dyDescent="0.25">
      <c r="A17" s="190"/>
      <c r="B17" s="43" t="str">
        <f>A17&amp;"-"&amp;IF(DAY(Variables!$A$2)&lt;10,0,"")&amp;DAY(Variables!$A$2)</f>
        <v>-05</v>
      </c>
      <c r="C17" s="147"/>
      <c r="D17" s="169"/>
      <c r="E17" s="30"/>
      <c r="F17" s="21" t="e">
        <f>VLOOKUP(B17,'Trips&amp;Operators'!$C$2:$E$10000,3,FALSE)</f>
        <v>#N/A</v>
      </c>
      <c r="G17" s="21" t="e">
        <f>VLOOKUP(B17,'Trips&amp;Operators'!$C$1:$F$10000,4,FALSE)</f>
        <v>#N/A</v>
      </c>
      <c r="H17" s="29" t="e">
        <f>VLOOKUP(B17,'Trips&amp;Operators'!$C$1:$H$10000,5,FALSE)</f>
        <v>#N/A</v>
      </c>
      <c r="I17"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7" s="30" t="e">
        <f>VLOOKUP(B17,'Train Runs'!$A$13:$A$99958,1,FALSE)</f>
        <v>#N/A</v>
      </c>
    </row>
    <row r="18" spans="1:10" x14ac:dyDescent="0.25">
      <c r="A18" s="190"/>
      <c r="B18" s="43" t="str">
        <f>A18&amp;"-"&amp;IF(DAY(Variables!$A$2)&lt;10,0,"")&amp;DAY(Variables!$A$2)</f>
        <v>-05</v>
      </c>
      <c r="C18" s="147"/>
      <c r="D18" s="169"/>
      <c r="E18" s="30"/>
      <c r="F18" s="21" t="e">
        <f>VLOOKUP(B18,'Trips&amp;Operators'!$C$2:$E$10000,3,FALSE)</f>
        <v>#N/A</v>
      </c>
      <c r="G18" s="21" t="e">
        <f>VLOOKUP(B18,'Trips&amp;Operators'!$C$1:$F$10000,4,FALSE)</f>
        <v>#N/A</v>
      </c>
      <c r="H18" s="29" t="e">
        <f>VLOOKUP(B18,'Trips&amp;Operators'!$C$1:$H$10000,5,FALSE)</f>
        <v>#N/A</v>
      </c>
      <c r="I18"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8" s="30" t="e">
        <f>VLOOKUP(B18,'Train Runs'!$A$13:$A$99958,1,FALSE)</f>
        <v>#N/A</v>
      </c>
    </row>
    <row r="19" spans="1:10" x14ac:dyDescent="0.25">
      <c r="A19" s="190"/>
      <c r="B19" s="43" t="str">
        <f>A19&amp;"-"&amp;IF(DAY(Variables!$A$2)&lt;10,0,"")&amp;DAY(Variables!$A$2)</f>
        <v>-05</v>
      </c>
      <c r="C19" s="147"/>
      <c r="D19" s="169"/>
      <c r="E19" s="30"/>
      <c r="F19" s="21" t="e">
        <f>VLOOKUP(B19,'Trips&amp;Operators'!$C$2:$E$10000,3,FALSE)</f>
        <v>#N/A</v>
      </c>
      <c r="G19" s="21" t="e">
        <f>VLOOKUP(B19,'Trips&amp;Operators'!$C$1:$F$10000,4,FALSE)</f>
        <v>#N/A</v>
      </c>
      <c r="H19" s="29" t="e">
        <f>VLOOKUP(B19,'Trips&amp;Operators'!$C$1:$H$10000,5,FALSE)</f>
        <v>#N/A</v>
      </c>
      <c r="I19"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9" s="30" t="e">
        <f>VLOOKUP(B19,'Train Runs'!$A$13:$A$99958,1,FALSE)</f>
        <v>#N/A</v>
      </c>
    </row>
    <row r="20" spans="1:10" x14ac:dyDescent="0.25">
      <c r="A20" s="190"/>
      <c r="B20" s="43" t="str">
        <f>A20&amp;"-"&amp;IF(DAY(Variables!$A$2)&lt;10,0,"")&amp;DAY(Variables!$A$2)</f>
        <v>-05</v>
      </c>
      <c r="C20" s="147"/>
      <c r="D20" s="169"/>
      <c r="E20" s="30"/>
      <c r="F20" s="21" t="e">
        <f>VLOOKUP(B20,'Trips&amp;Operators'!$C$2:$E$10000,3,FALSE)</f>
        <v>#N/A</v>
      </c>
      <c r="G20" s="21" t="e">
        <f>VLOOKUP(B20,'Trips&amp;Operators'!$C$1:$F$10000,4,FALSE)</f>
        <v>#N/A</v>
      </c>
      <c r="H20" s="29" t="e">
        <f>VLOOKUP(B20,'Trips&amp;Operators'!$C$1:$H$10000,5,FALSE)</f>
        <v>#N/A</v>
      </c>
      <c r="I20"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0" s="30" t="e">
        <f>VLOOKUP(B20,'Train Runs'!$A$13:$A$99958,1,FALSE)</f>
        <v>#N/A</v>
      </c>
    </row>
    <row r="21" spans="1:10" x14ac:dyDescent="0.25">
      <c r="A21" s="190"/>
      <c r="B21" s="43" t="str">
        <f>A21&amp;"-"&amp;IF(DAY(Variables!$A$2)&lt;10,0,"")&amp;DAY(Variables!$A$2)</f>
        <v>-05</v>
      </c>
      <c r="C21" s="147"/>
      <c r="D21" s="169"/>
      <c r="E21" s="30"/>
      <c r="F21" s="21" t="e">
        <f>VLOOKUP(B21,'Trips&amp;Operators'!$C$2:$E$10000,3,FALSE)</f>
        <v>#N/A</v>
      </c>
      <c r="G21" s="21" t="e">
        <f>VLOOKUP(B21,'Trips&amp;Operators'!$C$1:$F$10000,4,FALSE)</f>
        <v>#N/A</v>
      </c>
      <c r="H21" s="29" t="e">
        <f>VLOOKUP(B21,'Trips&amp;Operators'!$C$1:$H$10000,5,FALSE)</f>
        <v>#N/A</v>
      </c>
      <c r="I21"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1" s="30" t="e">
        <f>VLOOKUP(B21,'Train Runs'!$A$13:$A$99958,1,FALSE)</f>
        <v>#N/A</v>
      </c>
    </row>
    <row r="22" spans="1:10" x14ac:dyDescent="0.25">
      <c r="A22" s="190"/>
      <c r="B22" s="43" t="str">
        <f>A22&amp;"-"&amp;IF(DAY(Variables!$A$2)&lt;10,0,"")&amp;DAY(Variables!$A$2)</f>
        <v>-05</v>
      </c>
      <c r="C22" s="147"/>
      <c r="D22" s="169"/>
      <c r="E22" s="30"/>
      <c r="F22" s="21" t="e">
        <f>VLOOKUP(B22,'Trips&amp;Operators'!$C$2:$E$10000,3,FALSE)</f>
        <v>#N/A</v>
      </c>
      <c r="G22" s="21" t="e">
        <f>VLOOKUP(B22,'Trips&amp;Operators'!$C$1:$F$10000,4,FALSE)</f>
        <v>#N/A</v>
      </c>
      <c r="H22" s="29" t="e">
        <f>VLOOKUP(B22,'Trips&amp;Operators'!$C$1:$H$10000,5,FALSE)</f>
        <v>#N/A</v>
      </c>
      <c r="I22"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2" s="30" t="e">
        <f>VLOOKUP(B22,'Train Runs'!$A$13:$A$99958,1,FALSE)</f>
        <v>#N/A</v>
      </c>
    </row>
    <row r="23" spans="1:10" x14ac:dyDescent="0.25">
      <c r="A23" s="190"/>
      <c r="B23" s="43" t="str">
        <f>A23&amp;"-"&amp;IF(DAY(Variables!$A$2)&lt;10,0,"")&amp;DAY(Variables!$A$2)</f>
        <v>-05</v>
      </c>
      <c r="C23" s="147"/>
      <c r="D23" s="169"/>
      <c r="E23" s="30"/>
      <c r="F23" s="21" t="e">
        <f>VLOOKUP(B23,'Trips&amp;Operators'!$C$2:$E$10000,3,FALSE)</f>
        <v>#N/A</v>
      </c>
      <c r="G23" s="21" t="e">
        <f>VLOOKUP(B23,'Trips&amp;Operators'!$C$1:$F$10000,4,FALSE)</f>
        <v>#N/A</v>
      </c>
      <c r="H23" s="29" t="e">
        <f>VLOOKUP(B23,'Trips&amp;Operators'!$C$1:$H$10000,5,FALSE)</f>
        <v>#N/A</v>
      </c>
      <c r="I23"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3" s="30" t="e">
        <f>VLOOKUP(B23,'Train Runs'!$A$13:$A$99958,1,FALSE)</f>
        <v>#N/A</v>
      </c>
    </row>
    <row r="24" spans="1:10" x14ac:dyDescent="0.25">
      <c r="A24" s="190"/>
      <c r="B24" s="43" t="str">
        <f>A24&amp;"-"&amp;IF(DAY(Variables!$A$2)&lt;10,0,"")&amp;DAY(Variables!$A$2)</f>
        <v>-05</v>
      </c>
      <c r="C24" s="147"/>
      <c r="D24" s="169"/>
      <c r="E24" s="30"/>
      <c r="F24" s="21" t="e">
        <f>VLOOKUP(B24,'Trips&amp;Operators'!$C$2:$E$10000,3,FALSE)</f>
        <v>#N/A</v>
      </c>
      <c r="G24" s="21" t="e">
        <f>VLOOKUP(B24,'Trips&amp;Operators'!$C$1:$F$10000,4,FALSE)</f>
        <v>#N/A</v>
      </c>
      <c r="H24" s="29" t="e">
        <f>VLOOKUP(B24,'Trips&amp;Operators'!$C$1:$H$10000,5,FALSE)</f>
        <v>#N/A</v>
      </c>
      <c r="I24"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4" s="30" t="e">
        <f>VLOOKUP(B24,'Train Runs'!$A$13:$A$99958,1,FALSE)</f>
        <v>#N/A</v>
      </c>
    </row>
    <row r="25" spans="1:10" x14ac:dyDescent="0.25">
      <c r="A25" s="190"/>
      <c r="B25" s="43" t="str">
        <f>A25&amp;"-"&amp;IF(DAY(Variables!$A$2)&lt;10,0,"")&amp;DAY(Variables!$A$2)</f>
        <v>-05</v>
      </c>
      <c r="C25" s="147"/>
      <c r="D25" s="169"/>
      <c r="E25" s="30"/>
      <c r="F25" s="21" t="e">
        <f>VLOOKUP(B25,'Trips&amp;Operators'!$C$2:$E$10000,3,FALSE)</f>
        <v>#N/A</v>
      </c>
      <c r="G25" s="21" t="e">
        <f>VLOOKUP(B25,'Trips&amp;Operators'!$C$1:$F$10000,4,FALSE)</f>
        <v>#N/A</v>
      </c>
      <c r="H25" s="29" t="e">
        <f>VLOOKUP(B25,'Trips&amp;Operators'!$C$1:$H$10000,5,FALSE)</f>
        <v>#N/A</v>
      </c>
      <c r="I25"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5" s="30" t="e">
        <f>VLOOKUP(B25,'Train Runs'!$A$13:$A$99958,1,FALSE)</f>
        <v>#N/A</v>
      </c>
    </row>
    <row r="26" spans="1:10" x14ac:dyDescent="0.25">
      <c r="A26" s="190"/>
      <c r="B26" s="43" t="str">
        <f>A26&amp;"-"&amp;IF(DAY(Variables!$A$2)&lt;10,0,"")&amp;DAY(Variables!$A$2)</f>
        <v>-05</v>
      </c>
      <c r="C26" s="147"/>
      <c r="D26" s="169"/>
      <c r="E26" s="30"/>
      <c r="F26" s="21" t="e">
        <f>VLOOKUP(B26,'Trips&amp;Operators'!$C$2:$E$10000,3,FALSE)</f>
        <v>#N/A</v>
      </c>
      <c r="G26" s="21" t="e">
        <f>VLOOKUP(B26,'Trips&amp;Operators'!$C$1:$F$10000,4,FALSE)</f>
        <v>#N/A</v>
      </c>
      <c r="H26" s="29" t="e">
        <f>VLOOKUP(B26,'Trips&amp;Operators'!$C$1:$H$10000,5,FALSE)</f>
        <v>#N/A</v>
      </c>
      <c r="I26"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6" s="30" t="e">
        <f>VLOOKUP(B26,'Train Runs'!$A$13:$A$99958,1,FALSE)</f>
        <v>#N/A</v>
      </c>
    </row>
    <row r="27" spans="1:10" x14ac:dyDescent="0.25">
      <c r="A27" s="190"/>
      <c r="B27" s="43" t="str">
        <f>A27&amp;"-"&amp;IF(DAY(Variables!$A$2)&lt;10,0,"")&amp;DAY(Variables!$A$2)</f>
        <v>-05</v>
      </c>
      <c r="C27" s="147"/>
      <c r="D27" s="169"/>
      <c r="E27" s="30"/>
      <c r="F27" s="21" t="e">
        <f>VLOOKUP(B27,'Trips&amp;Operators'!$C$2:$E$10000,3,FALSE)</f>
        <v>#N/A</v>
      </c>
      <c r="G27" s="21" t="e">
        <f>VLOOKUP(B27,'Trips&amp;Operators'!$C$1:$F$10000,4,FALSE)</f>
        <v>#N/A</v>
      </c>
      <c r="H27" s="29" t="e">
        <f>VLOOKUP(B27,'Trips&amp;Operators'!$C$1:$H$10000,5,FALSE)</f>
        <v>#N/A</v>
      </c>
      <c r="I27"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7" s="30" t="e">
        <f>VLOOKUP(B27,'Train Runs'!$A$13:$A$99958,1,FALSE)</f>
        <v>#N/A</v>
      </c>
    </row>
    <row r="28" spans="1:10" x14ac:dyDescent="0.25">
      <c r="A28" s="190"/>
      <c r="B28" s="43" t="str">
        <f>A28&amp;"-"&amp;IF(DAY(Variables!$A$2)&lt;10,0,"")&amp;DAY(Variables!$A$2)</f>
        <v>-05</v>
      </c>
      <c r="C28" s="147"/>
      <c r="D28" s="169"/>
      <c r="E28" s="30"/>
      <c r="F28" s="21" t="e">
        <f>VLOOKUP(B28,'Trips&amp;Operators'!$C$2:$E$10000,3,FALSE)</f>
        <v>#N/A</v>
      </c>
      <c r="G28" s="21" t="e">
        <f>VLOOKUP(B28,'Trips&amp;Operators'!$C$1:$F$10000,4,FALSE)</f>
        <v>#N/A</v>
      </c>
      <c r="H28" s="29" t="e">
        <f>VLOOKUP(B28,'Trips&amp;Operators'!$C$1:$H$10000,5,FALSE)</f>
        <v>#N/A</v>
      </c>
      <c r="I28"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8" s="30" t="e">
        <f>VLOOKUP(B28,'Train Runs'!$A$13:$A$99958,1,FALSE)</f>
        <v>#N/A</v>
      </c>
    </row>
    <row r="29" spans="1:10" x14ac:dyDescent="0.25">
      <c r="A29" s="190"/>
      <c r="B29" s="43" t="str">
        <f>A29&amp;"-"&amp;IF(DAY(Variables!$A$2)&lt;10,0,"")&amp;DAY(Variables!$A$2)</f>
        <v>-05</v>
      </c>
      <c r="C29" s="147"/>
      <c r="D29" s="169"/>
      <c r="E29" s="30"/>
      <c r="F29" s="21" t="e">
        <f>VLOOKUP(B29,'Trips&amp;Operators'!$C$2:$E$10000,3,FALSE)</f>
        <v>#N/A</v>
      </c>
      <c r="G29" s="21" t="e">
        <f>VLOOKUP(B29,'Trips&amp;Operators'!$C$1:$F$10000,4,FALSE)</f>
        <v>#N/A</v>
      </c>
      <c r="H29" s="29" t="e">
        <f>VLOOKUP(B29,'Trips&amp;Operators'!$C$1:$H$10000,5,FALSE)</f>
        <v>#N/A</v>
      </c>
      <c r="I29"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9" s="30" t="e">
        <f>VLOOKUP(B29,'Train Runs'!$A$13:$A$99958,1,FALSE)</f>
        <v>#N/A</v>
      </c>
    </row>
    <row r="30" spans="1:10" x14ac:dyDescent="0.25">
      <c r="A30" s="190"/>
      <c r="B30" s="43" t="str">
        <f>A30&amp;"-"&amp;IF(DAY(Variables!$A$2)&lt;10,0,"")&amp;DAY(Variables!$A$2)</f>
        <v>-05</v>
      </c>
      <c r="C30" s="147"/>
      <c r="D30" s="169"/>
      <c r="E30" s="30"/>
      <c r="F30" s="21" t="e">
        <f>VLOOKUP(B30,'Trips&amp;Operators'!$C$2:$E$10000,3,FALSE)</f>
        <v>#N/A</v>
      </c>
      <c r="G30" s="21" t="e">
        <f>VLOOKUP(B30,'Trips&amp;Operators'!$C$1:$F$10000,4,FALSE)</f>
        <v>#N/A</v>
      </c>
      <c r="H30" s="29" t="e">
        <f>VLOOKUP(B30,'Trips&amp;Operators'!$C$1:$H$10000,5,FALSE)</f>
        <v>#N/A</v>
      </c>
      <c r="I30"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0" s="30" t="e">
        <f>VLOOKUP(B30,'Train Runs'!$A$13:$A$99958,1,FALSE)</f>
        <v>#N/A</v>
      </c>
    </row>
    <row r="31" spans="1:10" x14ac:dyDescent="0.25">
      <c r="A31" s="190"/>
      <c r="B31" s="43" t="str">
        <f>A31&amp;"-"&amp;IF(DAY(Variables!$A$2)&lt;10,0,"")&amp;DAY(Variables!$A$2)</f>
        <v>-05</v>
      </c>
      <c r="C31" s="147"/>
      <c r="D31" s="169"/>
      <c r="E31" s="30"/>
      <c r="F31" s="21" t="e">
        <f>VLOOKUP(B31,'Trips&amp;Operators'!$C$2:$E$10000,3,FALSE)</f>
        <v>#N/A</v>
      </c>
      <c r="G31" s="21" t="e">
        <f>VLOOKUP(B31,'Trips&amp;Operators'!$C$1:$F$10000,4,FALSE)</f>
        <v>#N/A</v>
      </c>
      <c r="H31" s="29" t="e">
        <f>VLOOKUP(B31,'Trips&amp;Operators'!$C$1:$H$10000,5,FALSE)</f>
        <v>#N/A</v>
      </c>
      <c r="I31"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1" s="30" t="e">
        <f>VLOOKUP(B31,'Train Runs'!$A$13:$A$99958,1,FALSE)</f>
        <v>#N/A</v>
      </c>
    </row>
    <row r="32" spans="1:10" x14ac:dyDescent="0.25">
      <c r="A32" s="190"/>
      <c r="B32" s="43" t="str">
        <f>A32&amp;"-"&amp;IF(DAY(Variables!$A$2)&lt;10,0,"")&amp;DAY(Variables!$A$2)</f>
        <v>-05</v>
      </c>
      <c r="C32" s="147"/>
      <c r="D32" s="169"/>
      <c r="E32" s="30"/>
      <c r="F32" s="21" t="e">
        <f>VLOOKUP(B32,'Trips&amp;Operators'!$C$2:$E$10000,3,FALSE)</f>
        <v>#N/A</v>
      </c>
      <c r="G32" s="21" t="e">
        <f>VLOOKUP(B32,'Trips&amp;Operators'!$C$1:$F$10000,4,FALSE)</f>
        <v>#N/A</v>
      </c>
      <c r="H32" s="29" t="e">
        <f>VLOOKUP(B32,'Trips&amp;Operators'!$C$1:$H$10000,5,FALSE)</f>
        <v>#N/A</v>
      </c>
      <c r="I32"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2" s="30" t="e">
        <f>VLOOKUP(B32,'Train Runs'!$A$13:$A$99958,1,FALSE)</f>
        <v>#N/A</v>
      </c>
    </row>
    <row r="33" spans="1:10" x14ac:dyDescent="0.25">
      <c r="A33" s="190"/>
      <c r="B33" s="43" t="str">
        <f>A33&amp;"-"&amp;IF(DAY(Variables!$A$2)&lt;10,0,"")&amp;DAY(Variables!$A$2)</f>
        <v>-05</v>
      </c>
      <c r="C33" s="147"/>
      <c r="D33" s="169"/>
      <c r="E33" s="30"/>
      <c r="F33" s="21" t="e">
        <f>VLOOKUP(B33,'Trips&amp;Operators'!$C$2:$E$10000,3,FALSE)</f>
        <v>#N/A</v>
      </c>
      <c r="G33" s="21" t="e">
        <f>VLOOKUP(B33,'Trips&amp;Operators'!$C$1:$F$10000,4,FALSE)</f>
        <v>#N/A</v>
      </c>
      <c r="H33" s="29" t="e">
        <f>VLOOKUP(B33,'Trips&amp;Operators'!$C$1:$H$10000,5,FALSE)</f>
        <v>#N/A</v>
      </c>
      <c r="I33"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3" s="30" t="e">
        <f>VLOOKUP(B33,'Train Runs'!$A$13:$A$99958,1,FALSE)</f>
        <v>#N/A</v>
      </c>
    </row>
    <row r="34" spans="1:10" x14ac:dyDescent="0.25">
      <c r="A34" s="190"/>
      <c r="B34" s="43" t="str">
        <f>A34&amp;"-"&amp;IF(DAY(Variables!$A$2)&lt;10,0,"")&amp;DAY(Variables!$A$2)</f>
        <v>-05</v>
      </c>
      <c r="C34" s="147"/>
      <c r="D34" s="169"/>
      <c r="E34" s="30"/>
      <c r="F34" s="21" t="e">
        <f>VLOOKUP(B34,'Trips&amp;Operators'!$C$2:$E$10000,3,FALSE)</f>
        <v>#N/A</v>
      </c>
      <c r="G34" s="21" t="e">
        <f>VLOOKUP(B34,'Trips&amp;Operators'!$C$1:$F$10000,4,FALSE)</f>
        <v>#N/A</v>
      </c>
      <c r="H34" s="29" t="e">
        <f>VLOOKUP(B34,'Trips&amp;Operators'!$C$1:$H$10000,5,FALSE)</f>
        <v>#N/A</v>
      </c>
      <c r="I34"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4" s="30" t="e">
        <f>VLOOKUP(B34,'Train Runs'!$A$13:$A$99958,1,FALSE)</f>
        <v>#N/A</v>
      </c>
    </row>
    <row r="35" spans="1:10" x14ac:dyDescent="0.25">
      <c r="A35" s="190"/>
      <c r="B35" s="43" t="str">
        <f>A35&amp;"-"&amp;IF(DAY(Variables!$A$2)&lt;10,0,"")&amp;DAY(Variables!$A$2)</f>
        <v>-05</v>
      </c>
      <c r="C35" s="147"/>
      <c r="D35" s="169"/>
      <c r="E35" s="30"/>
      <c r="F35" s="21" t="e">
        <f>VLOOKUP(B35,'Trips&amp;Operators'!$C$2:$E$10000,3,FALSE)</f>
        <v>#N/A</v>
      </c>
      <c r="G35" s="21" t="e">
        <f>VLOOKUP(B35,'Trips&amp;Operators'!$C$1:$F$10000,4,FALSE)</f>
        <v>#N/A</v>
      </c>
      <c r="H35" s="29" t="e">
        <f>VLOOKUP(B35,'Trips&amp;Operators'!$C$1:$H$10000,5,FALSE)</f>
        <v>#N/A</v>
      </c>
      <c r="I35"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5" s="30" t="e">
        <f>VLOOKUP(B35,'Train Runs'!$A$13:$A$99958,1,FALSE)</f>
        <v>#N/A</v>
      </c>
    </row>
    <row r="36" spans="1:10" x14ac:dyDescent="0.25">
      <c r="A36" s="190"/>
      <c r="B36" s="43" t="str">
        <f>A36&amp;"-"&amp;IF(DAY(Variables!$A$2)&lt;10,0,"")&amp;DAY(Variables!$A$2)</f>
        <v>-05</v>
      </c>
      <c r="C36" s="147"/>
      <c r="D36" s="169"/>
      <c r="E36" s="30"/>
      <c r="F36" s="21" t="e">
        <f>VLOOKUP(B36,'Trips&amp;Operators'!$C$2:$E$10000,3,FALSE)</f>
        <v>#N/A</v>
      </c>
      <c r="G36" s="21" t="e">
        <f>VLOOKUP(B36,'Trips&amp;Operators'!$C$1:$F$10000,4,FALSE)</f>
        <v>#N/A</v>
      </c>
      <c r="H36" s="29" t="e">
        <f>VLOOKUP(B36,'Trips&amp;Operators'!$C$1:$H$10000,5,FALSE)</f>
        <v>#N/A</v>
      </c>
      <c r="I36"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6" s="30" t="e">
        <f>VLOOKUP(B36,'Train Runs'!$A$13:$A$99958,1,FALSE)</f>
        <v>#N/A</v>
      </c>
    </row>
    <row r="37" spans="1:10" x14ac:dyDescent="0.25">
      <c r="A37" s="190"/>
      <c r="B37" s="43" t="str">
        <f>A37&amp;"-"&amp;IF(DAY(Variables!$A$2)&lt;10,0,"")&amp;DAY(Variables!$A$2)</f>
        <v>-05</v>
      </c>
      <c r="C37" s="147"/>
      <c r="D37" s="169"/>
      <c r="E37" s="30"/>
      <c r="F37" s="21" t="e">
        <f>VLOOKUP(B37,'Trips&amp;Operators'!$C$2:$E$10000,3,FALSE)</f>
        <v>#N/A</v>
      </c>
      <c r="G37" s="21" t="e">
        <f>VLOOKUP(B37,'Trips&amp;Operators'!$C$1:$F$10000,4,FALSE)</f>
        <v>#N/A</v>
      </c>
      <c r="H37" s="29" t="e">
        <f>VLOOKUP(B37,'Trips&amp;Operators'!$C$1:$H$10000,5,FALSE)</f>
        <v>#N/A</v>
      </c>
      <c r="I37"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7" s="30" t="e">
        <f>VLOOKUP(B37,'Train Runs'!$A$13:$A$99958,1,FALSE)</f>
        <v>#N/A</v>
      </c>
    </row>
    <row r="38" spans="1:10" x14ac:dyDescent="0.25">
      <c r="A38" s="190"/>
      <c r="B38" s="43" t="str">
        <f>A38&amp;"-"&amp;IF(DAY(Variables!$A$2)&lt;10,0,"")&amp;DAY(Variables!$A$2)</f>
        <v>-05</v>
      </c>
      <c r="C38" s="147"/>
      <c r="D38" s="169"/>
      <c r="E38" s="30"/>
      <c r="F38" s="21" t="e">
        <f>VLOOKUP(B38,'Trips&amp;Operators'!$C$2:$E$10000,3,FALSE)</f>
        <v>#N/A</v>
      </c>
      <c r="G38" s="21" t="e">
        <f>VLOOKUP(B38,'Trips&amp;Operators'!$C$1:$F$10000,4,FALSE)</f>
        <v>#N/A</v>
      </c>
      <c r="H38" s="29" t="e">
        <f>VLOOKUP(B38,'Trips&amp;Operators'!$C$1:$H$10000,5,FALSE)</f>
        <v>#N/A</v>
      </c>
      <c r="I38"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8" s="30" t="e">
        <f>VLOOKUP(B38,'Train Runs'!$A$13:$A$99958,1,FALSE)</f>
        <v>#N/A</v>
      </c>
    </row>
    <row r="39" spans="1:10" x14ac:dyDescent="0.25">
      <c r="A39" s="190"/>
      <c r="B39" s="43" t="str">
        <f>A39&amp;"-"&amp;IF(DAY(Variables!$A$2)&lt;10,0,"")&amp;DAY(Variables!$A$2)</f>
        <v>-05</v>
      </c>
      <c r="C39" s="147"/>
      <c r="D39" s="169"/>
      <c r="E39" s="30"/>
      <c r="F39" s="21" t="e">
        <f>VLOOKUP(B39,'Trips&amp;Operators'!$C$2:$E$10000,3,FALSE)</f>
        <v>#N/A</v>
      </c>
      <c r="G39" s="21" t="e">
        <f>VLOOKUP(B39,'Trips&amp;Operators'!$C$1:$F$10000,4,FALSE)</f>
        <v>#N/A</v>
      </c>
      <c r="H39" s="29" t="e">
        <f>VLOOKUP(B39,'Trips&amp;Operators'!$C$1:$H$10000,5,FALSE)</f>
        <v>#N/A</v>
      </c>
      <c r="I39"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9" s="30" t="e">
        <f>VLOOKUP(B39,'Train Runs'!$A$13:$A$99958,1,FALSE)</f>
        <v>#N/A</v>
      </c>
    </row>
    <row r="40" spans="1:10" x14ac:dyDescent="0.25">
      <c r="A40" s="190"/>
      <c r="B40" s="43" t="str">
        <f>A40&amp;"-"&amp;IF(DAY(Variables!$A$2)&lt;10,0,"")&amp;DAY(Variables!$A$2)</f>
        <v>-05</v>
      </c>
      <c r="C40" s="147"/>
      <c r="D40" s="169"/>
      <c r="E40" s="30"/>
      <c r="F40" s="21" t="e">
        <f>VLOOKUP(B40,'Trips&amp;Operators'!$C$2:$E$10000,3,FALSE)</f>
        <v>#N/A</v>
      </c>
      <c r="G40" s="21" t="e">
        <f>VLOOKUP(B40,'Trips&amp;Operators'!$C$1:$F$10000,4,FALSE)</f>
        <v>#N/A</v>
      </c>
      <c r="H40" s="29" t="e">
        <f>VLOOKUP(B40,'Trips&amp;Operators'!$C$1:$H$10000,5,FALSE)</f>
        <v>#N/A</v>
      </c>
      <c r="I40"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0" s="30" t="e">
        <f>VLOOKUP(B40,'Train Runs'!$A$13:$A$99958,1,FALSE)</f>
        <v>#N/A</v>
      </c>
    </row>
    <row r="41" spans="1:10" x14ac:dyDescent="0.25">
      <c r="A41" s="190"/>
      <c r="B41" s="43" t="str">
        <f>A41&amp;"-"&amp;IF(DAY(Variables!$A$2)&lt;10,0,"")&amp;DAY(Variables!$A$2)</f>
        <v>-05</v>
      </c>
      <c r="C41" s="147"/>
      <c r="D41" s="169"/>
      <c r="E41" s="30"/>
      <c r="F41" s="21" t="e">
        <f>VLOOKUP(B41,'Trips&amp;Operators'!$C$2:$E$10000,3,FALSE)</f>
        <v>#N/A</v>
      </c>
      <c r="G41" s="21" t="e">
        <f>VLOOKUP(B41,'Trips&amp;Operators'!$C$1:$F$10000,4,FALSE)</f>
        <v>#N/A</v>
      </c>
      <c r="H41" s="29" t="e">
        <f>VLOOKUP(B41,'Trips&amp;Operators'!$C$1:$H$10000,5,FALSE)</f>
        <v>#N/A</v>
      </c>
      <c r="I41"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1" s="30" t="e">
        <f>VLOOKUP(B41,'Train Runs'!$A$13:$A$99958,1,FALSE)</f>
        <v>#N/A</v>
      </c>
    </row>
    <row r="42" spans="1:10" x14ac:dyDescent="0.25">
      <c r="A42" s="190"/>
      <c r="B42" s="43" t="str">
        <f>A42&amp;"-"&amp;IF(DAY(Variables!$A$2)&lt;10,0,"")&amp;DAY(Variables!$A$2)</f>
        <v>-05</v>
      </c>
      <c r="C42" s="147"/>
      <c r="D42" s="169"/>
      <c r="E42" s="30"/>
      <c r="F42" s="21" t="e">
        <f>VLOOKUP(B42,'Trips&amp;Operators'!$C$2:$E$10000,3,FALSE)</f>
        <v>#N/A</v>
      </c>
      <c r="G42" s="21" t="e">
        <f>VLOOKUP(B42,'Trips&amp;Operators'!$C$1:$F$10000,4,FALSE)</f>
        <v>#N/A</v>
      </c>
      <c r="H42" s="29" t="e">
        <f>VLOOKUP(B42,'Trips&amp;Operators'!$C$1:$H$10000,5,FALSE)</f>
        <v>#N/A</v>
      </c>
      <c r="I42"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2" s="30" t="e">
        <f>VLOOKUP(B42,'Train Runs'!$A$13:$A$99958,1,FALSE)</f>
        <v>#N/A</v>
      </c>
    </row>
    <row r="43" spans="1:10" x14ac:dyDescent="0.25">
      <c r="A43" s="190"/>
      <c r="B43" s="43" t="str">
        <f>A43&amp;"-"&amp;IF(DAY(Variables!$A$2)&lt;10,0,"")&amp;DAY(Variables!$A$2)</f>
        <v>-05</v>
      </c>
      <c r="C43" s="147"/>
      <c r="D43" s="169"/>
      <c r="E43" s="30"/>
      <c r="F43" s="21" t="e">
        <f>VLOOKUP(B43,'Trips&amp;Operators'!$C$2:$E$10000,3,FALSE)</f>
        <v>#N/A</v>
      </c>
      <c r="G43" s="21" t="e">
        <f>VLOOKUP(B43,'Trips&amp;Operators'!$C$1:$F$10000,4,FALSE)</f>
        <v>#N/A</v>
      </c>
      <c r="H43" s="29" t="e">
        <f>VLOOKUP(B43,'Trips&amp;Operators'!$C$1:$H$10000,5,FALSE)</f>
        <v>#N/A</v>
      </c>
      <c r="I43"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3" s="30" t="e">
        <f>VLOOKUP(B43,'Train Runs'!$A$13:$A$99958,1,FALSE)</f>
        <v>#N/A</v>
      </c>
    </row>
    <row r="44" spans="1:10" x14ac:dyDescent="0.25">
      <c r="A44" s="190"/>
      <c r="B44" s="43" t="str">
        <f>A44&amp;"-"&amp;IF(DAY(Variables!$A$2)&lt;10,0,"")&amp;DAY(Variables!$A$2)</f>
        <v>-05</v>
      </c>
      <c r="C44" s="147"/>
      <c r="D44" s="169"/>
      <c r="E44" s="30"/>
      <c r="F44" s="21" t="e">
        <f>VLOOKUP(B44,'Trips&amp;Operators'!$C$2:$E$10000,3,FALSE)</f>
        <v>#N/A</v>
      </c>
      <c r="G44" s="21" t="e">
        <f>VLOOKUP(B44,'Trips&amp;Operators'!$C$1:$F$10000,4,FALSE)</f>
        <v>#N/A</v>
      </c>
      <c r="H44" s="29" t="e">
        <f>VLOOKUP(B44,'Trips&amp;Operators'!$C$1:$H$10000,5,FALSE)</f>
        <v>#N/A</v>
      </c>
      <c r="I44"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4" s="30" t="e">
        <f>VLOOKUP(B44,'Train Runs'!$A$13:$A$99958,1,FALSE)</f>
        <v>#N/A</v>
      </c>
    </row>
    <row r="45" spans="1:10" x14ac:dyDescent="0.25">
      <c r="A45" s="190"/>
      <c r="B45" s="43" t="str">
        <f>A45&amp;"-"&amp;IF(DAY(Variables!$A$2)&lt;10,0,"")&amp;DAY(Variables!$A$2)</f>
        <v>-05</v>
      </c>
      <c r="C45" s="147"/>
      <c r="D45" s="169"/>
      <c r="E45" s="30"/>
      <c r="F45" s="21" t="e">
        <f>VLOOKUP(B45,'Trips&amp;Operators'!$C$2:$E$10000,3,FALSE)</f>
        <v>#N/A</v>
      </c>
      <c r="G45" s="21" t="e">
        <f>VLOOKUP(B45,'Trips&amp;Operators'!$C$1:$F$10000,4,FALSE)</f>
        <v>#N/A</v>
      </c>
      <c r="H45" s="29" t="e">
        <f>VLOOKUP(B45,'Trips&amp;Operators'!$C$1:$H$10000,5,FALSE)</f>
        <v>#N/A</v>
      </c>
      <c r="I45"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5" s="30" t="e">
        <f>VLOOKUP(B45,'Train Runs'!$A$13:$A$99958,1,FALSE)</f>
        <v>#N/A</v>
      </c>
    </row>
    <row r="46" spans="1:10" x14ac:dyDescent="0.25">
      <c r="A46" s="190"/>
      <c r="B46" s="43" t="str">
        <f>A46&amp;"-"&amp;IF(DAY(Variables!$A$2)&lt;10,0,"")&amp;DAY(Variables!$A$2)</f>
        <v>-05</v>
      </c>
      <c r="C46" s="147"/>
      <c r="D46" s="169"/>
      <c r="E46" s="30"/>
      <c r="F46" s="21" t="e">
        <f>VLOOKUP(B46,'Trips&amp;Operators'!$C$2:$E$10000,3,FALSE)</f>
        <v>#N/A</v>
      </c>
      <c r="G46" s="21" t="e">
        <f>VLOOKUP(B46,'Trips&amp;Operators'!$C$1:$F$10000,4,FALSE)</f>
        <v>#N/A</v>
      </c>
      <c r="H46" s="29" t="e">
        <f>VLOOKUP(B46,'Trips&amp;Operators'!$C$1:$H$10000,5,FALSE)</f>
        <v>#N/A</v>
      </c>
      <c r="I46"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6" s="30" t="e">
        <f>VLOOKUP(B46,'Train Runs'!$A$13:$A$99958,1,FALSE)</f>
        <v>#N/A</v>
      </c>
    </row>
    <row r="47" spans="1:10" x14ac:dyDescent="0.25">
      <c r="A47" s="190"/>
      <c r="B47" s="43" t="str">
        <f>A47&amp;"-"&amp;IF(DAY(Variables!$A$2)&lt;10,0,"")&amp;DAY(Variables!$A$2)</f>
        <v>-05</v>
      </c>
      <c r="C47" s="147"/>
      <c r="D47" s="169"/>
      <c r="E47" s="30"/>
      <c r="F47" s="21" t="e">
        <f>VLOOKUP(B47,'Trips&amp;Operators'!$C$2:$E$10000,3,FALSE)</f>
        <v>#N/A</v>
      </c>
      <c r="G47" s="21" t="e">
        <f>VLOOKUP(B47,'Trips&amp;Operators'!$C$1:$F$10000,4,FALSE)</f>
        <v>#N/A</v>
      </c>
      <c r="H47" s="29" t="e">
        <f>VLOOKUP(B47,'Trips&amp;Operators'!$C$1:$H$10000,5,FALSE)</f>
        <v>#N/A</v>
      </c>
      <c r="I47"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7" s="30" t="e">
        <f>VLOOKUP(B47,'Train Runs'!$A$13:$A$99958,1,FALSE)</f>
        <v>#N/A</v>
      </c>
    </row>
    <row r="48" spans="1:10" x14ac:dyDescent="0.25">
      <c r="A48" s="190"/>
      <c r="B48" s="43" t="str">
        <f>A48&amp;"-"&amp;IF(DAY(Variables!$A$2)&lt;10,0,"")&amp;DAY(Variables!$A$2)</f>
        <v>-05</v>
      </c>
      <c r="C48" s="147"/>
      <c r="D48" s="169"/>
      <c r="E48" s="30"/>
      <c r="F48" s="21" t="e">
        <f>VLOOKUP(B48,'Trips&amp;Operators'!$C$2:$E$10000,3,FALSE)</f>
        <v>#N/A</v>
      </c>
      <c r="G48" s="21" t="e">
        <f>VLOOKUP(B48,'Trips&amp;Operators'!$C$1:$F$10000,4,FALSE)</f>
        <v>#N/A</v>
      </c>
      <c r="H48" s="29" t="e">
        <f>VLOOKUP(B48,'Trips&amp;Operators'!$C$1:$H$10000,5,FALSE)</f>
        <v>#N/A</v>
      </c>
      <c r="I48"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8" s="30" t="e">
        <f>VLOOKUP(B48,'Train Runs'!$A$13:$A$99958,1,FALSE)</f>
        <v>#N/A</v>
      </c>
    </row>
    <row r="49" spans="1:10" x14ac:dyDescent="0.25">
      <c r="A49" s="190"/>
      <c r="B49" s="43" t="str">
        <f>A49&amp;"-"&amp;IF(DAY(Variables!$A$2)&lt;10,0,"")&amp;DAY(Variables!$A$2)</f>
        <v>-05</v>
      </c>
      <c r="C49" s="147"/>
      <c r="D49" s="169"/>
      <c r="E49" s="30"/>
      <c r="F49" s="21" t="e">
        <f>VLOOKUP(B49,'Trips&amp;Operators'!$C$2:$E$10000,3,FALSE)</f>
        <v>#N/A</v>
      </c>
      <c r="G49" s="21" t="e">
        <f>VLOOKUP(B49,'Trips&amp;Operators'!$C$1:$F$10000,4,FALSE)</f>
        <v>#N/A</v>
      </c>
      <c r="H49" s="29" t="e">
        <f>VLOOKUP(B49,'Trips&amp;Operators'!$C$1:$H$10000,5,FALSE)</f>
        <v>#N/A</v>
      </c>
      <c r="I49"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9" s="30" t="e">
        <f>VLOOKUP(B49,'Train Runs'!$A$13:$A$99958,1,FALSE)</f>
        <v>#N/A</v>
      </c>
    </row>
    <row r="50" spans="1:10" x14ac:dyDescent="0.25">
      <c r="A50" s="190"/>
      <c r="B50" s="43" t="str">
        <f>A50&amp;"-"&amp;IF(DAY(Variables!$A$2)&lt;10,0,"")&amp;DAY(Variables!$A$2)</f>
        <v>-05</v>
      </c>
      <c r="C50" s="147"/>
      <c r="D50" s="169"/>
      <c r="E50" s="30"/>
      <c r="F50" s="21" t="e">
        <f>VLOOKUP(B50,'Trips&amp;Operators'!$C$2:$E$10000,3,FALSE)</f>
        <v>#N/A</v>
      </c>
      <c r="G50" s="21" t="e">
        <f>VLOOKUP(B50,'Trips&amp;Operators'!$C$1:$F$10000,4,FALSE)</f>
        <v>#N/A</v>
      </c>
      <c r="H50" s="29" t="e">
        <f>VLOOKUP(B50,'Trips&amp;Operators'!$C$1:$H$10000,5,FALSE)</f>
        <v>#N/A</v>
      </c>
      <c r="I50" s="46" t="str">
        <f t="shared" ref="I50:I113" si="1">"https://d0f6bd738d7f1b3e5a7ca70fe4ff75f0.us-east-1.aws.found.io/app/kibana#/discover/Steve-Slow-Train-Analysis-(2080s-and-2083s)?_g="&amp;"(refreshInterval:(display:Off,pause:!f,section:0,value:0),time:(from:now-7d,mode:quick,to:now))&amp;_a=(columns:!('Locomotive%20ID','Data.Train%20ID','Message%20ID'),filters:!(),"&amp;"index:'emp_*',interval:auto,query:(query_string:(analyze_wildcard:!t,query:%22"&amp;B50&amp;"%22)),sort:!(Time.ISO8601,asc))"</f>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0" s="30" t="e">
        <f>VLOOKUP(B50,'Train Runs'!$A$13:$A$99958,1,FALSE)</f>
        <v>#N/A</v>
      </c>
    </row>
    <row r="51" spans="1:10" x14ac:dyDescent="0.25">
      <c r="A51" s="190"/>
      <c r="B51" s="43" t="str">
        <f>A51&amp;"-"&amp;IF(DAY(Variables!$A$2)&lt;10,0,"")&amp;DAY(Variables!$A$2)</f>
        <v>-05</v>
      </c>
      <c r="C51" s="147"/>
      <c r="D51" s="169"/>
      <c r="E51" s="30"/>
      <c r="F51" s="21" t="e">
        <f>VLOOKUP(B51,'Trips&amp;Operators'!$C$2:$E$10000,3,FALSE)</f>
        <v>#N/A</v>
      </c>
      <c r="G51" s="21" t="e">
        <f>VLOOKUP(B51,'Trips&amp;Operators'!$C$1:$F$10000,4,FALSE)</f>
        <v>#N/A</v>
      </c>
      <c r="H51" s="29" t="e">
        <f>VLOOKUP(B51,'Trips&amp;Operators'!$C$1:$H$10000,5,FALSE)</f>
        <v>#N/A</v>
      </c>
      <c r="I5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1" s="30" t="e">
        <f>VLOOKUP(B51,'Train Runs'!$A$13:$A$99958,1,FALSE)</f>
        <v>#N/A</v>
      </c>
    </row>
    <row r="52" spans="1:10" x14ac:dyDescent="0.25">
      <c r="A52" s="190"/>
      <c r="B52" s="43" t="str">
        <f>A52&amp;"-"&amp;IF(DAY(Variables!$A$2)&lt;10,0,"")&amp;DAY(Variables!$A$2)</f>
        <v>-05</v>
      </c>
      <c r="C52" s="147"/>
      <c r="D52" s="169"/>
      <c r="E52" s="30"/>
      <c r="F52" s="21" t="e">
        <f>VLOOKUP(B52,'Trips&amp;Operators'!$C$2:$E$10000,3,FALSE)</f>
        <v>#N/A</v>
      </c>
      <c r="G52" s="21" t="e">
        <f>VLOOKUP(B52,'Trips&amp;Operators'!$C$1:$F$10000,4,FALSE)</f>
        <v>#N/A</v>
      </c>
      <c r="H52" s="29" t="e">
        <f>VLOOKUP(B52,'Trips&amp;Operators'!$C$1:$H$10000,5,FALSE)</f>
        <v>#N/A</v>
      </c>
      <c r="I5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2" s="30" t="e">
        <f>VLOOKUP(B52,'Train Runs'!$A$13:$A$99958,1,FALSE)</f>
        <v>#N/A</v>
      </c>
    </row>
    <row r="53" spans="1:10" x14ac:dyDescent="0.25">
      <c r="A53" s="190"/>
      <c r="B53" s="43" t="str">
        <f>A53&amp;"-"&amp;IF(DAY(Variables!$A$2)&lt;10,0,"")&amp;DAY(Variables!$A$2)</f>
        <v>-05</v>
      </c>
      <c r="C53" s="147"/>
      <c r="D53" s="169"/>
      <c r="E53" s="30"/>
      <c r="F53" s="21" t="e">
        <f>VLOOKUP(B53,'Trips&amp;Operators'!$C$2:$E$10000,3,FALSE)</f>
        <v>#N/A</v>
      </c>
      <c r="G53" s="21" t="e">
        <f>VLOOKUP(B53,'Trips&amp;Operators'!$C$1:$F$10000,4,FALSE)</f>
        <v>#N/A</v>
      </c>
      <c r="H53" s="29" t="e">
        <f>VLOOKUP(B53,'Trips&amp;Operators'!$C$1:$H$10000,5,FALSE)</f>
        <v>#N/A</v>
      </c>
      <c r="I5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3" s="30" t="e">
        <f>VLOOKUP(B53,'Train Runs'!$A$13:$A$99958,1,FALSE)</f>
        <v>#N/A</v>
      </c>
    </row>
    <row r="54" spans="1:10" x14ac:dyDescent="0.25">
      <c r="A54" s="190"/>
      <c r="B54" s="43" t="str">
        <f>A54&amp;"-"&amp;IF(DAY(Variables!$A$2)&lt;10,0,"")&amp;DAY(Variables!$A$2)</f>
        <v>-05</v>
      </c>
      <c r="C54" s="147"/>
      <c r="D54" s="169"/>
      <c r="E54" s="30"/>
      <c r="F54" s="21" t="e">
        <f>VLOOKUP(B54,'Trips&amp;Operators'!$C$2:$E$10000,3,FALSE)</f>
        <v>#N/A</v>
      </c>
      <c r="G54" s="21" t="e">
        <f>VLOOKUP(B54,'Trips&amp;Operators'!$C$1:$F$10000,4,FALSE)</f>
        <v>#N/A</v>
      </c>
      <c r="H54" s="29" t="e">
        <f>VLOOKUP(B54,'Trips&amp;Operators'!$C$1:$H$10000,5,FALSE)</f>
        <v>#N/A</v>
      </c>
      <c r="I54"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4" s="30" t="e">
        <f>VLOOKUP(B54,'Train Runs'!$A$13:$A$99958,1,FALSE)</f>
        <v>#N/A</v>
      </c>
    </row>
    <row r="55" spans="1:10" x14ac:dyDescent="0.25">
      <c r="A55" s="190"/>
      <c r="B55" s="43" t="str">
        <f>A55&amp;"-"&amp;IF(DAY(Variables!$A$2)&lt;10,0,"")&amp;DAY(Variables!$A$2)</f>
        <v>-05</v>
      </c>
      <c r="C55" s="147"/>
      <c r="D55" s="169"/>
      <c r="E55" s="30"/>
      <c r="F55" s="21" t="e">
        <f>VLOOKUP(B55,'Trips&amp;Operators'!$C$2:$E$10000,3,FALSE)</f>
        <v>#N/A</v>
      </c>
      <c r="G55" s="21" t="e">
        <f>VLOOKUP(B55,'Trips&amp;Operators'!$C$1:$F$10000,4,FALSE)</f>
        <v>#N/A</v>
      </c>
      <c r="H55" s="29" t="e">
        <f>VLOOKUP(B55,'Trips&amp;Operators'!$C$1:$H$10000,5,FALSE)</f>
        <v>#N/A</v>
      </c>
      <c r="I55"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5" s="30" t="e">
        <f>VLOOKUP(B55,'Train Runs'!$A$13:$A$99958,1,FALSE)</f>
        <v>#N/A</v>
      </c>
    </row>
    <row r="56" spans="1:10" x14ac:dyDescent="0.25">
      <c r="A56" s="190"/>
      <c r="B56" s="43" t="str">
        <f>A56&amp;"-"&amp;IF(DAY(Variables!$A$2)&lt;10,0,"")&amp;DAY(Variables!$A$2)</f>
        <v>-05</v>
      </c>
      <c r="C56" s="147"/>
      <c r="D56" s="169"/>
      <c r="E56" s="30"/>
      <c r="F56" s="21" t="e">
        <f>VLOOKUP(B56,'Trips&amp;Operators'!$C$2:$E$10000,3,FALSE)</f>
        <v>#N/A</v>
      </c>
      <c r="G56" s="21" t="e">
        <f>VLOOKUP(B56,'Trips&amp;Operators'!$C$1:$F$10000,4,FALSE)</f>
        <v>#N/A</v>
      </c>
      <c r="H56" s="29" t="e">
        <f>VLOOKUP(B56,'Trips&amp;Operators'!$C$1:$H$10000,5,FALSE)</f>
        <v>#N/A</v>
      </c>
      <c r="I56"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6" s="30" t="e">
        <f>VLOOKUP(B56,'Train Runs'!$A$13:$A$99958,1,FALSE)</f>
        <v>#N/A</v>
      </c>
    </row>
    <row r="57" spans="1:10" x14ac:dyDescent="0.25">
      <c r="A57" s="190"/>
      <c r="B57" s="43" t="str">
        <f>A57&amp;"-"&amp;IF(DAY(Variables!$A$2)&lt;10,0,"")&amp;DAY(Variables!$A$2)</f>
        <v>-05</v>
      </c>
      <c r="C57" s="147"/>
      <c r="D57" s="169"/>
      <c r="E57" s="30"/>
      <c r="F57" s="21" t="e">
        <f>VLOOKUP(B57,'Trips&amp;Operators'!$C$2:$E$10000,3,FALSE)</f>
        <v>#N/A</v>
      </c>
      <c r="G57" s="21" t="e">
        <f>VLOOKUP(B57,'Trips&amp;Operators'!$C$1:$F$10000,4,FALSE)</f>
        <v>#N/A</v>
      </c>
      <c r="H57" s="29" t="e">
        <f>VLOOKUP(B57,'Trips&amp;Operators'!$C$1:$H$10000,5,FALSE)</f>
        <v>#N/A</v>
      </c>
      <c r="I57"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7" s="30" t="e">
        <f>VLOOKUP(B57,'Train Runs'!$A$13:$A$99958,1,FALSE)</f>
        <v>#N/A</v>
      </c>
    </row>
    <row r="58" spans="1:10" x14ac:dyDescent="0.25">
      <c r="A58" s="190"/>
      <c r="B58" s="43" t="str">
        <f>A58&amp;"-"&amp;IF(DAY(Variables!$A$2)&lt;10,0,"")&amp;DAY(Variables!$A$2)</f>
        <v>-05</v>
      </c>
      <c r="C58" s="147"/>
      <c r="D58" s="169"/>
      <c r="E58" s="30"/>
      <c r="F58" s="21" t="e">
        <f>VLOOKUP(B58,'Trips&amp;Operators'!$C$2:$E$10000,3,FALSE)</f>
        <v>#N/A</v>
      </c>
      <c r="G58" s="21" t="e">
        <f>VLOOKUP(B58,'Trips&amp;Operators'!$C$1:$F$10000,4,FALSE)</f>
        <v>#N/A</v>
      </c>
      <c r="H58" s="29" t="e">
        <f>VLOOKUP(B58,'Trips&amp;Operators'!$C$1:$H$10000,5,FALSE)</f>
        <v>#N/A</v>
      </c>
      <c r="I58"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8" s="30" t="e">
        <f>VLOOKUP(B58,'Train Runs'!$A$13:$A$99958,1,FALSE)</f>
        <v>#N/A</v>
      </c>
    </row>
    <row r="59" spans="1:10" x14ac:dyDescent="0.25">
      <c r="A59" s="190"/>
      <c r="B59" s="43" t="str">
        <f>A59&amp;"-"&amp;IF(DAY(Variables!$A$2)&lt;10,0,"")&amp;DAY(Variables!$A$2)</f>
        <v>-05</v>
      </c>
      <c r="C59" s="147"/>
      <c r="D59" s="169"/>
      <c r="E59" s="30"/>
      <c r="F59" s="21" t="e">
        <f>VLOOKUP(B59,'Trips&amp;Operators'!$C$2:$E$10000,3,FALSE)</f>
        <v>#N/A</v>
      </c>
      <c r="G59" s="21" t="e">
        <f>VLOOKUP(B59,'Trips&amp;Operators'!$C$1:$F$10000,4,FALSE)</f>
        <v>#N/A</v>
      </c>
      <c r="H59" s="29" t="e">
        <f>VLOOKUP(B59,'Trips&amp;Operators'!$C$1:$H$10000,5,FALSE)</f>
        <v>#N/A</v>
      </c>
      <c r="I59"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9" s="30" t="e">
        <f>VLOOKUP(B59,'Train Runs'!$A$13:$A$99958,1,FALSE)</f>
        <v>#N/A</v>
      </c>
    </row>
    <row r="60" spans="1:10" x14ac:dyDescent="0.25">
      <c r="A60" s="190"/>
      <c r="B60" s="43" t="str">
        <f>A60&amp;"-"&amp;IF(DAY(Variables!$A$2)&lt;10,0,"")&amp;DAY(Variables!$A$2)</f>
        <v>-05</v>
      </c>
      <c r="C60" s="147"/>
      <c r="D60" s="169"/>
      <c r="E60" s="30"/>
      <c r="F60" s="21" t="e">
        <f>VLOOKUP(B60,'Trips&amp;Operators'!$C$2:$E$10000,3,FALSE)</f>
        <v>#N/A</v>
      </c>
      <c r="G60" s="21" t="e">
        <f>VLOOKUP(B60,'Trips&amp;Operators'!$C$1:$F$10000,4,FALSE)</f>
        <v>#N/A</v>
      </c>
      <c r="H60" s="29" t="e">
        <f>VLOOKUP(B60,'Trips&amp;Operators'!$C$1:$H$10000,5,FALSE)</f>
        <v>#N/A</v>
      </c>
      <c r="I60"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0" s="30" t="e">
        <f>VLOOKUP(B60,'Train Runs'!$A$13:$A$99958,1,FALSE)</f>
        <v>#N/A</v>
      </c>
    </row>
    <row r="61" spans="1:10" x14ac:dyDescent="0.25">
      <c r="A61" s="190"/>
      <c r="B61" s="43" t="str">
        <f>A61&amp;"-"&amp;IF(DAY(Variables!$A$2)&lt;10,0,"")&amp;DAY(Variables!$A$2)</f>
        <v>-05</v>
      </c>
      <c r="C61" s="147"/>
      <c r="D61" s="169"/>
      <c r="E61" s="30"/>
      <c r="F61" s="21" t="e">
        <f>VLOOKUP(B61,'Trips&amp;Operators'!$C$2:$E$10000,3,FALSE)</f>
        <v>#N/A</v>
      </c>
      <c r="G61" s="21" t="e">
        <f>VLOOKUP(B61,'Trips&amp;Operators'!$C$1:$F$10000,4,FALSE)</f>
        <v>#N/A</v>
      </c>
      <c r="H61" s="29" t="e">
        <f>VLOOKUP(B61,'Trips&amp;Operators'!$C$1:$H$10000,5,FALSE)</f>
        <v>#N/A</v>
      </c>
      <c r="I6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1" s="30" t="e">
        <f>VLOOKUP(B61,'Train Runs'!$A$13:$A$99958,1,FALSE)</f>
        <v>#N/A</v>
      </c>
    </row>
    <row r="62" spans="1:10" x14ac:dyDescent="0.25">
      <c r="A62" s="190"/>
      <c r="B62" s="43" t="str">
        <f>A62&amp;"-"&amp;IF(DAY(Variables!$A$2)&lt;10,0,"")&amp;DAY(Variables!$A$2)</f>
        <v>-05</v>
      </c>
      <c r="C62" s="147"/>
      <c r="D62" s="169"/>
      <c r="E62" s="30"/>
      <c r="F62" s="21" t="e">
        <f>VLOOKUP(B62,'Trips&amp;Operators'!$C$2:$E$10000,3,FALSE)</f>
        <v>#N/A</v>
      </c>
      <c r="G62" s="21" t="e">
        <f>VLOOKUP(B62,'Trips&amp;Operators'!$C$1:$F$10000,4,FALSE)</f>
        <v>#N/A</v>
      </c>
      <c r="H62" s="29" t="e">
        <f>VLOOKUP(B62,'Trips&amp;Operators'!$C$1:$H$10000,5,FALSE)</f>
        <v>#N/A</v>
      </c>
      <c r="I6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2" s="30" t="e">
        <f>VLOOKUP(B62,'Train Runs'!$A$13:$A$99958,1,FALSE)</f>
        <v>#N/A</v>
      </c>
    </row>
    <row r="63" spans="1:10" x14ac:dyDescent="0.25">
      <c r="A63" s="190"/>
      <c r="B63" s="43" t="str">
        <f>A63&amp;"-"&amp;IF(DAY(Variables!$A$2)&lt;10,0,"")&amp;DAY(Variables!$A$2)</f>
        <v>-05</v>
      </c>
      <c r="C63" s="147"/>
      <c r="D63" s="169"/>
      <c r="E63" s="30"/>
      <c r="F63" s="21" t="e">
        <f>VLOOKUP(B63,'Trips&amp;Operators'!$C$2:$E$10000,3,FALSE)</f>
        <v>#N/A</v>
      </c>
      <c r="G63" s="21" t="e">
        <f>VLOOKUP(B63,'Trips&amp;Operators'!$C$1:$F$10000,4,FALSE)</f>
        <v>#N/A</v>
      </c>
      <c r="H63" s="29" t="e">
        <f>VLOOKUP(B63,'Trips&amp;Operators'!$C$1:$H$10000,5,FALSE)</f>
        <v>#N/A</v>
      </c>
      <c r="I6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3" s="30" t="e">
        <f>VLOOKUP(B63,'Train Runs'!$A$13:$A$99958,1,FALSE)</f>
        <v>#N/A</v>
      </c>
    </row>
    <row r="64" spans="1:10" x14ac:dyDescent="0.25">
      <c r="A64" s="190"/>
      <c r="B64" s="43" t="str">
        <f>A64&amp;"-"&amp;IF(DAY(Variables!$A$2)&lt;10,0,"")&amp;DAY(Variables!$A$2)</f>
        <v>-05</v>
      </c>
      <c r="C64" s="147"/>
      <c r="D64" s="169"/>
      <c r="E64" s="30"/>
      <c r="F64" s="21" t="e">
        <f>VLOOKUP(B64,'Trips&amp;Operators'!$C$2:$E$10000,3,FALSE)</f>
        <v>#N/A</v>
      </c>
      <c r="G64" s="21" t="e">
        <f>VLOOKUP(B64,'Trips&amp;Operators'!$C$1:$F$10000,4,FALSE)</f>
        <v>#N/A</v>
      </c>
      <c r="H64" s="29" t="e">
        <f>VLOOKUP(B64,'Trips&amp;Operators'!$C$1:$H$10000,5,FALSE)</f>
        <v>#N/A</v>
      </c>
      <c r="I64"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4" s="30" t="e">
        <f>VLOOKUP(B64,'Train Runs'!$A$13:$A$99958,1,FALSE)</f>
        <v>#N/A</v>
      </c>
    </row>
    <row r="65" spans="1:10" x14ac:dyDescent="0.25">
      <c r="A65" s="190"/>
      <c r="B65" s="43" t="str">
        <f>A65&amp;"-"&amp;IF(DAY(Variables!$A$2)&lt;10,0,"")&amp;DAY(Variables!$A$2)</f>
        <v>-05</v>
      </c>
      <c r="C65" s="147"/>
      <c r="D65" s="169"/>
      <c r="E65" s="30"/>
      <c r="F65" s="21" t="e">
        <f>VLOOKUP(B65,'Trips&amp;Operators'!$C$2:$E$10000,3,FALSE)</f>
        <v>#N/A</v>
      </c>
      <c r="G65" s="21" t="e">
        <f>VLOOKUP(B65,'Trips&amp;Operators'!$C$1:$F$10000,4,FALSE)</f>
        <v>#N/A</v>
      </c>
      <c r="H65" s="29" t="e">
        <f>VLOOKUP(B65,'Trips&amp;Operators'!$C$1:$H$10000,5,FALSE)</f>
        <v>#N/A</v>
      </c>
      <c r="I65"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5" s="30" t="e">
        <f>VLOOKUP(B65,'Train Runs'!$A$13:$A$99958,1,FALSE)</f>
        <v>#N/A</v>
      </c>
    </row>
    <row r="66" spans="1:10" x14ac:dyDescent="0.25">
      <c r="A66" s="190"/>
      <c r="B66" s="43" t="str">
        <f>A66&amp;"-"&amp;IF(DAY(Variables!$A$2)&lt;10,0,"")&amp;DAY(Variables!$A$2)</f>
        <v>-05</v>
      </c>
      <c r="C66" s="147"/>
      <c r="D66" s="169"/>
      <c r="E66" s="30"/>
      <c r="F66" s="21" t="e">
        <f>VLOOKUP(B66,'Trips&amp;Operators'!$C$2:$E$10000,3,FALSE)</f>
        <v>#N/A</v>
      </c>
      <c r="G66" s="21" t="e">
        <f>VLOOKUP(B66,'Trips&amp;Operators'!$C$1:$F$10000,4,FALSE)</f>
        <v>#N/A</v>
      </c>
      <c r="H66" s="29" t="e">
        <f>VLOOKUP(B66,'Trips&amp;Operators'!$C$1:$H$10000,5,FALSE)</f>
        <v>#N/A</v>
      </c>
      <c r="I66"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6" s="30" t="e">
        <f>VLOOKUP(B66,'Train Runs'!$A$13:$A$99958,1,FALSE)</f>
        <v>#N/A</v>
      </c>
    </row>
    <row r="67" spans="1:10" x14ac:dyDescent="0.25">
      <c r="A67" s="190"/>
      <c r="B67" s="43" t="str">
        <f>A67&amp;"-"&amp;IF(DAY(Variables!$A$2)&lt;10,0,"")&amp;DAY(Variables!$A$2)</f>
        <v>-05</v>
      </c>
      <c r="C67" s="147"/>
      <c r="D67" s="169"/>
      <c r="E67" s="30"/>
      <c r="F67" s="21" t="e">
        <f>VLOOKUP(B67,'Trips&amp;Operators'!$C$2:$E$10000,3,FALSE)</f>
        <v>#N/A</v>
      </c>
      <c r="G67" s="21" t="e">
        <f>VLOOKUP(B67,'Trips&amp;Operators'!$C$1:$F$10000,4,FALSE)</f>
        <v>#N/A</v>
      </c>
      <c r="H67" s="29" t="e">
        <f>VLOOKUP(B67,'Trips&amp;Operators'!$C$1:$H$10000,5,FALSE)</f>
        <v>#N/A</v>
      </c>
      <c r="I67"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7" s="30" t="e">
        <f>VLOOKUP(B67,'Train Runs'!$A$13:$A$99958,1,FALSE)</f>
        <v>#N/A</v>
      </c>
    </row>
    <row r="68" spans="1:10" x14ac:dyDescent="0.25">
      <c r="A68" s="190"/>
      <c r="B68" s="43" t="str">
        <f>A68&amp;"-"&amp;IF(DAY(Variables!$A$2)&lt;10,0,"")&amp;DAY(Variables!$A$2)</f>
        <v>-05</v>
      </c>
      <c r="C68" s="147"/>
      <c r="D68" s="169"/>
      <c r="E68" s="30"/>
      <c r="F68" s="21" t="e">
        <f>VLOOKUP(B68,'Trips&amp;Operators'!$C$2:$E$10000,3,FALSE)</f>
        <v>#N/A</v>
      </c>
      <c r="G68" s="21" t="e">
        <f>VLOOKUP(B68,'Trips&amp;Operators'!$C$1:$F$10000,4,FALSE)</f>
        <v>#N/A</v>
      </c>
      <c r="H68" s="29" t="e">
        <f>VLOOKUP(B68,'Trips&amp;Operators'!$C$1:$H$10000,5,FALSE)</f>
        <v>#N/A</v>
      </c>
      <c r="I68"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8" s="30" t="e">
        <f>VLOOKUP(B68,'Train Runs'!$A$13:$A$99958,1,FALSE)</f>
        <v>#N/A</v>
      </c>
    </row>
    <row r="69" spans="1:10" x14ac:dyDescent="0.25">
      <c r="A69" s="190"/>
      <c r="B69" s="43" t="str">
        <f>A69&amp;"-"&amp;IF(DAY(Variables!$A$2)&lt;10,0,"")&amp;DAY(Variables!$A$2)</f>
        <v>-05</v>
      </c>
      <c r="C69" s="147"/>
      <c r="D69" s="169"/>
      <c r="E69" s="30"/>
      <c r="F69" s="21" t="e">
        <f>VLOOKUP(B69,'Trips&amp;Operators'!$C$2:$E$10000,3,FALSE)</f>
        <v>#N/A</v>
      </c>
      <c r="G69" s="21" t="e">
        <f>VLOOKUP(B69,'Trips&amp;Operators'!$C$1:$F$10000,4,FALSE)</f>
        <v>#N/A</v>
      </c>
      <c r="H69" s="29" t="e">
        <f>VLOOKUP(B69,'Trips&amp;Operators'!$C$1:$H$10000,5,FALSE)</f>
        <v>#N/A</v>
      </c>
      <c r="I69"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9" s="30" t="e">
        <f>VLOOKUP(B69,'Train Runs'!$A$13:$A$99958,1,FALSE)</f>
        <v>#N/A</v>
      </c>
    </row>
    <row r="70" spans="1:10" x14ac:dyDescent="0.25">
      <c r="A70" s="190"/>
      <c r="B70" s="43" t="str">
        <f>A70&amp;"-"&amp;IF(DAY(Variables!$A$2)&lt;10,0,"")&amp;DAY(Variables!$A$2)</f>
        <v>-05</v>
      </c>
      <c r="C70" s="147"/>
      <c r="D70" s="169"/>
      <c r="E70" s="30"/>
      <c r="F70" s="21" t="e">
        <f>VLOOKUP(B70,'Trips&amp;Operators'!$C$2:$E$10000,3,FALSE)</f>
        <v>#N/A</v>
      </c>
      <c r="G70" s="21" t="e">
        <f>VLOOKUP(B70,'Trips&amp;Operators'!$C$1:$F$10000,4,FALSE)</f>
        <v>#N/A</v>
      </c>
      <c r="H70" s="29" t="e">
        <f>VLOOKUP(B70,'Trips&amp;Operators'!$C$1:$H$10000,5,FALSE)</f>
        <v>#N/A</v>
      </c>
      <c r="I70"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0" s="30" t="e">
        <f>VLOOKUP(B70,'Train Runs'!$A$13:$A$99958,1,FALSE)</f>
        <v>#N/A</v>
      </c>
    </row>
    <row r="71" spans="1:10" x14ac:dyDescent="0.25">
      <c r="A71" s="190"/>
      <c r="B71" s="43" t="str">
        <f>A71&amp;"-"&amp;IF(DAY(Variables!$A$2)&lt;10,0,"")&amp;DAY(Variables!$A$2)</f>
        <v>-05</v>
      </c>
      <c r="C71" s="147"/>
      <c r="D71" s="169"/>
      <c r="E71" s="30"/>
      <c r="F71" s="21" t="e">
        <f>VLOOKUP(B71,'Trips&amp;Operators'!$C$2:$E$10000,3,FALSE)</f>
        <v>#N/A</v>
      </c>
      <c r="G71" s="21" t="e">
        <f>VLOOKUP(B71,'Trips&amp;Operators'!$C$1:$F$10000,4,FALSE)</f>
        <v>#N/A</v>
      </c>
      <c r="H71" s="29" t="e">
        <f>VLOOKUP(B71,'Trips&amp;Operators'!$C$1:$H$10000,5,FALSE)</f>
        <v>#N/A</v>
      </c>
      <c r="I7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1" s="30" t="e">
        <f>VLOOKUP(B71,'Train Runs'!$A$13:$A$99958,1,FALSE)</f>
        <v>#N/A</v>
      </c>
    </row>
    <row r="72" spans="1:10" x14ac:dyDescent="0.25">
      <c r="A72" s="190"/>
      <c r="B72" s="43" t="str">
        <f>A72&amp;"-"&amp;IF(DAY(Variables!$A$2)&lt;10,0,"")&amp;DAY(Variables!$A$2)</f>
        <v>-05</v>
      </c>
      <c r="C72" s="147"/>
      <c r="D72" s="169"/>
      <c r="E72" s="30"/>
      <c r="F72" s="21" t="e">
        <f>VLOOKUP(B72,'Trips&amp;Operators'!$C$2:$E$10000,3,FALSE)</f>
        <v>#N/A</v>
      </c>
      <c r="G72" s="21" t="e">
        <f>VLOOKUP(B72,'Trips&amp;Operators'!$C$1:$F$10000,4,FALSE)</f>
        <v>#N/A</v>
      </c>
      <c r="H72" s="29" t="e">
        <f>VLOOKUP(B72,'Trips&amp;Operators'!$C$1:$H$10000,5,FALSE)</f>
        <v>#N/A</v>
      </c>
      <c r="I7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2" s="30" t="e">
        <f>VLOOKUP(B72,'Train Runs'!$A$13:$A$99958,1,FALSE)</f>
        <v>#N/A</v>
      </c>
    </row>
    <row r="73" spans="1:10" x14ac:dyDescent="0.25">
      <c r="A73" s="190"/>
      <c r="B73" s="43" t="str">
        <f>A73&amp;"-"&amp;IF(DAY(Variables!$A$2)&lt;10,0,"")&amp;DAY(Variables!$A$2)</f>
        <v>-05</v>
      </c>
      <c r="C73" s="147"/>
      <c r="D73" s="169"/>
      <c r="E73" s="30"/>
      <c r="F73" s="21" t="e">
        <f>VLOOKUP(B73,'Trips&amp;Operators'!$C$2:$E$10000,3,FALSE)</f>
        <v>#N/A</v>
      </c>
      <c r="G73" s="21" t="e">
        <f>VLOOKUP(B73,'Trips&amp;Operators'!$C$1:$F$10000,4,FALSE)</f>
        <v>#N/A</v>
      </c>
      <c r="H73" s="29" t="e">
        <f>VLOOKUP(B73,'Trips&amp;Operators'!$C$1:$H$10000,5,FALSE)</f>
        <v>#N/A</v>
      </c>
      <c r="I7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3" s="30" t="e">
        <f>VLOOKUP(B73,'Train Runs'!$A$13:$A$99958,1,FALSE)</f>
        <v>#N/A</v>
      </c>
    </row>
    <row r="74" spans="1:10" x14ac:dyDescent="0.25">
      <c r="A74" s="190"/>
      <c r="B74" s="43" t="str">
        <f>A74&amp;"-"&amp;IF(DAY(Variables!$A$2)&lt;10,0,"")&amp;DAY(Variables!$A$2)</f>
        <v>-05</v>
      </c>
      <c r="C74" s="147"/>
      <c r="D74" s="169"/>
      <c r="E74" s="30"/>
      <c r="F74" s="21" t="e">
        <f>VLOOKUP(B74,'Trips&amp;Operators'!$C$2:$E$10000,3,FALSE)</f>
        <v>#N/A</v>
      </c>
      <c r="G74" s="21" t="e">
        <f>VLOOKUP(B74,'Trips&amp;Operators'!$C$1:$F$10000,4,FALSE)</f>
        <v>#N/A</v>
      </c>
      <c r="H74" s="29" t="e">
        <f>VLOOKUP(B74,'Trips&amp;Operators'!$C$1:$H$10000,5,FALSE)</f>
        <v>#N/A</v>
      </c>
      <c r="I74"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4" s="30" t="e">
        <f>VLOOKUP(B74,'Train Runs'!$A$13:$A$99958,1,FALSE)</f>
        <v>#N/A</v>
      </c>
    </row>
    <row r="75" spans="1:10" x14ac:dyDescent="0.25">
      <c r="A75" s="190"/>
      <c r="B75" s="43" t="str">
        <f>A75&amp;"-"&amp;IF(DAY(Variables!$A$2)&lt;10,0,"")&amp;DAY(Variables!$A$2)</f>
        <v>-05</v>
      </c>
      <c r="C75" s="147"/>
      <c r="D75" s="169"/>
      <c r="E75" s="30"/>
      <c r="F75" s="21" t="e">
        <f>VLOOKUP(B75,'Trips&amp;Operators'!$C$2:$E$10000,3,FALSE)</f>
        <v>#N/A</v>
      </c>
      <c r="G75" s="21" t="e">
        <f>VLOOKUP(B75,'Trips&amp;Operators'!$C$1:$F$10000,4,FALSE)</f>
        <v>#N/A</v>
      </c>
      <c r="H75" s="29" t="e">
        <f>VLOOKUP(B75,'Trips&amp;Operators'!$C$1:$H$10000,5,FALSE)</f>
        <v>#N/A</v>
      </c>
      <c r="I75"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5" s="30" t="e">
        <f>VLOOKUP(B75,'Train Runs'!$A$13:$A$99958,1,FALSE)</f>
        <v>#N/A</v>
      </c>
    </row>
    <row r="76" spans="1:10" x14ac:dyDescent="0.25">
      <c r="A76" s="190"/>
      <c r="B76" s="43" t="str">
        <f>A76&amp;"-"&amp;IF(DAY(Variables!$A$2)&lt;10,0,"")&amp;DAY(Variables!$A$2)</f>
        <v>-05</v>
      </c>
      <c r="C76" s="147"/>
      <c r="D76" s="169"/>
      <c r="E76" s="30"/>
      <c r="F76" s="21" t="e">
        <f>VLOOKUP(B76,'Trips&amp;Operators'!$C$2:$E$10000,3,FALSE)</f>
        <v>#N/A</v>
      </c>
      <c r="G76" s="21" t="e">
        <f>VLOOKUP(B76,'Trips&amp;Operators'!$C$1:$F$10000,4,FALSE)</f>
        <v>#N/A</v>
      </c>
      <c r="H76" s="29" t="e">
        <f>VLOOKUP(B76,'Trips&amp;Operators'!$C$1:$H$10000,5,FALSE)</f>
        <v>#N/A</v>
      </c>
      <c r="I76"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6" s="30" t="e">
        <f>VLOOKUP(B76,'Train Runs'!$A$13:$A$99958,1,FALSE)</f>
        <v>#N/A</v>
      </c>
    </row>
    <row r="77" spans="1:10" x14ac:dyDescent="0.25">
      <c r="A77" s="190"/>
      <c r="B77" s="43" t="str">
        <f>A77&amp;"-"&amp;IF(DAY(Variables!$A$2)&lt;10,0,"")&amp;DAY(Variables!$A$2)</f>
        <v>-05</v>
      </c>
      <c r="C77" s="147"/>
      <c r="D77" s="169"/>
      <c r="E77" s="30"/>
      <c r="F77" s="21" t="e">
        <f>VLOOKUP(B77,'Trips&amp;Operators'!$C$2:$E$10000,3,FALSE)</f>
        <v>#N/A</v>
      </c>
      <c r="G77" s="21" t="e">
        <f>VLOOKUP(B77,'Trips&amp;Operators'!$C$1:$F$10000,4,FALSE)</f>
        <v>#N/A</v>
      </c>
      <c r="H77" s="29" t="e">
        <f>VLOOKUP(B77,'Trips&amp;Operators'!$C$1:$H$10000,5,FALSE)</f>
        <v>#N/A</v>
      </c>
      <c r="I77"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7" s="30" t="e">
        <f>VLOOKUP(B77,'Train Runs'!$A$13:$A$99958,1,FALSE)</f>
        <v>#N/A</v>
      </c>
    </row>
    <row r="78" spans="1:10" x14ac:dyDescent="0.25">
      <c r="A78" s="190"/>
      <c r="B78" s="43" t="str">
        <f>A78&amp;"-"&amp;IF(DAY(Variables!$A$2)&lt;10,0,"")&amp;DAY(Variables!$A$2)</f>
        <v>-05</v>
      </c>
      <c r="C78" s="147"/>
      <c r="D78" s="169"/>
      <c r="E78" s="30"/>
      <c r="F78" s="21" t="e">
        <f>VLOOKUP(B78,'Trips&amp;Operators'!$C$2:$E$10000,3,FALSE)</f>
        <v>#N/A</v>
      </c>
      <c r="G78" s="21" t="e">
        <f>VLOOKUP(B78,'Trips&amp;Operators'!$C$1:$F$10000,4,FALSE)</f>
        <v>#N/A</v>
      </c>
      <c r="H78" s="29" t="e">
        <f>VLOOKUP(B78,'Trips&amp;Operators'!$C$1:$H$10000,5,FALSE)</f>
        <v>#N/A</v>
      </c>
      <c r="I78"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8" s="30" t="e">
        <f>VLOOKUP(B78,'Train Runs'!$A$13:$A$99958,1,FALSE)</f>
        <v>#N/A</v>
      </c>
    </row>
    <row r="79" spans="1:10" x14ac:dyDescent="0.25">
      <c r="A79" s="190"/>
      <c r="B79" s="43" t="str">
        <f>A79&amp;"-"&amp;IF(DAY(Variables!$A$2)&lt;10,0,"")&amp;DAY(Variables!$A$2)</f>
        <v>-05</v>
      </c>
      <c r="C79" s="147"/>
      <c r="D79" s="169"/>
      <c r="E79" s="30"/>
      <c r="F79" s="21" t="e">
        <f>VLOOKUP(B79,'Trips&amp;Operators'!$C$2:$E$10000,3,FALSE)</f>
        <v>#N/A</v>
      </c>
      <c r="G79" s="21" t="e">
        <f>VLOOKUP(B79,'Trips&amp;Operators'!$C$1:$F$10000,4,FALSE)</f>
        <v>#N/A</v>
      </c>
      <c r="H79" s="29" t="e">
        <f>VLOOKUP(B79,'Trips&amp;Operators'!$C$1:$H$10000,5,FALSE)</f>
        <v>#N/A</v>
      </c>
      <c r="I79"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9" s="30" t="e">
        <f>VLOOKUP(B79,'Train Runs'!$A$13:$A$99958,1,FALSE)</f>
        <v>#N/A</v>
      </c>
    </row>
    <row r="80" spans="1:10" x14ac:dyDescent="0.25">
      <c r="A80" s="190"/>
      <c r="B80" s="43" t="str">
        <f>A80&amp;"-"&amp;IF(DAY(Variables!$A$2)&lt;10,0,"")&amp;DAY(Variables!$A$2)</f>
        <v>-05</v>
      </c>
      <c r="C80" s="147"/>
      <c r="D80" s="169"/>
      <c r="E80" s="30"/>
      <c r="F80" s="21" t="e">
        <f>VLOOKUP(B80,'Trips&amp;Operators'!$C$2:$E$10000,3,FALSE)</f>
        <v>#N/A</v>
      </c>
      <c r="G80" s="21" t="e">
        <f>VLOOKUP(B80,'Trips&amp;Operators'!$C$1:$F$10000,4,FALSE)</f>
        <v>#N/A</v>
      </c>
      <c r="H80" s="29" t="e">
        <f>VLOOKUP(B80,'Trips&amp;Operators'!$C$1:$H$10000,5,FALSE)</f>
        <v>#N/A</v>
      </c>
      <c r="I80"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0" s="30" t="e">
        <f>VLOOKUP(B80,'Train Runs'!$A$13:$A$99958,1,FALSE)</f>
        <v>#N/A</v>
      </c>
    </row>
    <row r="81" spans="1:10" x14ac:dyDescent="0.25">
      <c r="A81" s="190"/>
      <c r="B81" s="43" t="str">
        <f>A81&amp;"-"&amp;IF(DAY(Variables!$A$2)&lt;10,0,"")&amp;DAY(Variables!$A$2)</f>
        <v>-05</v>
      </c>
      <c r="C81" s="147"/>
      <c r="D81" s="169"/>
      <c r="E81" s="30"/>
      <c r="F81" s="21" t="e">
        <f>VLOOKUP(B81,'Trips&amp;Operators'!$C$2:$E$10000,3,FALSE)</f>
        <v>#N/A</v>
      </c>
      <c r="G81" s="21" t="e">
        <f>VLOOKUP(B81,'Trips&amp;Operators'!$C$1:$F$10000,4,FALSE)</f>
        <v>#N/A</v>
      </c>
      <c r="H81" s="29" t="e">
        <f>VLOOKUP(B81,'Trips&amp;Operators'!$C$1:$H$10000,5,FALSE)</f>
        <v>#N/A</v>
      </c>
      <c r="I8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1" s="30" t="e">
        <f>VLOOKUP(B81,'Train Runs'!$A$13:$A$99958,1,FALSE)</f>
        <v>#N/A</v>
      </c>
    </row>
    <row r="82" spans="1:10" x14ac:dyDescent="0.25">
      <c r="A82" s="190"/>
      <c r="B82" s="43" t="str">
        <f>A82&amp;"-"&amp;IF(DAY(Variables!$A$2)&lt;10,0,"")&amp;DAY(Variables!$A$2)</f>
        <v>-05</v>
      </c>
      <c r="C82" s="147"/>
      <c r="D82" s="169"/>
      <c r="E82" s="30"/>
      <c r="F82" s="21" t="e">
        <f>VLOOKUP(B82,'Trips&amp;Operators'!$C$2:$E$10000,3,FALSE)</f>
        <v>#N/A</v>
      </c>
      <c r="G82" s="21" t="e">
        <f>VLOOKUP(B82,'Trips&amp;Operators'!$C$1:$F$10000,4,FALSE)</f>
        <v>#N/A</v>
      </c>
      <c r="H82" s="29" t="e">
        <f>VLOOKUP(B82,'Trips&amp;Operators'!$C$1:$H$10000,5,FALSE)</f>
        <v>#N/A</v>
      </c>
      <c r="I8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2" s="30" t="e">
        <f>VLOOKUP(B82,'Train Runs'!$A$13:$A$99958,1,FALSE)</f>
        <v>#N/A</v>
      </c>
    </row>
    <row r="83" spans="1:10" x14ac:dyDescent="0.25">
      <c r="A83" s="190"/>
      <c r="B83" s="43" t="str">
        <f>A83&amp;"-"&amp;IF(DAY(Variables!$A$2)&lt;10,0,"")&amp;DAY(Variables!$A$2)</f>
        <v>-05</v>
      </c>
      <c r="C83" s="147"/>
      <c r="D83" s="169"/>
      <c r="E83" s="30"/>
      <c r="F83" s="21" t="e">
        <f>VLOOKUP(B83,'Trips&amp;Operators'!$C$2:$E$10000,3,FALSE)</f>
        <v>#N/A</v>
      </c>
      <c r="G83" s="21" t="e">
        <f>VLOOKUP(B83,'Trips&amp;Operators'!$C$1:$F$10000,4,FALSE)</f>
        <v>#N/A</v>
      </c>
      <c r="H83" s="29" t="e">
        <f>VLOOKUP(B83,'Trips&amp;Operators'!$C$1:$H$10000,5,FALSE)</f>
        <v>#N/A</v>
      </c>
      <c r="I8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3" s="30" t="e">
        <f>VLOOKUP(B83,'Train Runs'!$A$13:$A$99958,1,FALSE)</f>
        <v>#N/A</v>
      </c>
    </row>
    <row r="84" spans="1:10" x14ac:dyDescent="0.25">
      <c r="A84" s="190"/>
      <c r="B84" s="43" t="str">
        <f>A84&amp;"-"&amp;IF(DAY(Variables!$A$2)&lt;10,0,"")&amp;DAY(Variables!$A$2)</f>
        <v>-05</v>
      </c>
      <c r="C84" s="147"/>
      <c r="D84" s="169"/>
      <c r="E84" s="30"/>
      <c r="F84" s="21" t="e">
        <f>VLOOKUP(B84,'Trips&amp;Operators'!$C$2:$E$10000,3,FALSE)</f>
        <v>#N/A</v>
      </c>
      <c r="G84" s="21" t="e">
        <f>VLOOKUP(B84,'Trips&amp;Operators'!$C$1:$F$10000,4,FALSE)</f>
        <v>#N/A</v>
      </c>
      <c r="H84" s="29" t="e">
        <f>VLOOKUP(B84,'Trips&amp;Operators'!$C$1:$H$10000,5,FALSE)</f>
        <v>#N/A</v>
      </c>
      <c r="I84"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4" s="30" t="e">
        <f>VLOOKUP(B84,'Train Runs'!$A$13:$A$99958,1,FALSE)</f>
        <v>#N/A</v>
      </c>
    </row>
    <row r="85" spans="1:10" x14ac:dyDescent="0.25">
      <c r="A85" s="190"/>
      <c r="B85" s="43" t="str">
        <f>A85&amp;"-"&amp;IF(DAY(Variables!$A$2)&lt;10,0,"")&amp;DAY(Variables!$A$2)</f>
        <v>-05</v>
      </c>
      <c r="C85" s="147"/>
      <c r="D85" s="169"/>
      <c r="E85" s="30"/>
      <c r="F85" s="21" t="e">
        <f>VLOOKUP(B85,'Trips&amp;Operators'!$C$2:$E$10000,3,FALSE)</f>
        <v>#N/A</v>
      </c>
      <c r="G85" s="21" t="e">
        <f>VLOOKUP(B85,'Trips&amp;Operators'!$C$1:$F$10000,4,FALSE)</f>
        <v>#N/A</v>
      </c>
      <c r="H85" s="29" t="e">
        <f>VLOOKUP(B85,'Trips&amp;Operators'!$C$1:$H$10000,5,FALSE)</f>
        <v>#N/A</v>
      </c>
      <c r="I85"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5" s="30" t="e">
        <f>VLOOKUP(B85,'Train Runs'!$A$13:$A$99958,1,FALSE)</f>
        <v>#N/A</v>
      </c>
    </row>
    <row r="86" spans="1:10" x14ac:dyDescent="0.25">
      <c r="A86" s="190"/>
      <c r="B86" s="43" t="str">
        <f>A86&amp;"-"&amp;IF(DAY(Variables!$A$2)&lt;10,0,"")&amp;DAY(Variables!$A$2)</f>
        <v>-05</v>
      </c>
      <c r="C86" s="147"/>
      <c r="D86" s="169"/>
      <c r="E86" s="30"/>
      <c r="F86" s="21" t="e">
        <f>VLOOKUP(B86,'Trips&amp;Operators'!$C$2:$E$10000,3,FALSE)</f>
        <v>#N/A</v>
      </c>
      <c r="G86" s="21" t="e">
        <f>VLOOKUP(B86,'Trips&amp;Operators'!$C$1:$F$10000,4,FALSE)</f>
        <v>#N/A</v>
      </c>
      <c r="H86" s="29" t="e">
        <f>VLOOKUP(B86,'Trips&amp;Operators'!$C$1:$H$10000,5,FALSE)</f>
        <v>#N/A</v>
      </c>
      <c r="I86"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6" s="30" t="e">
        <f>VLOOKUP(B86,'Train Runs'!$A$13:$A$99958,1,FALSE)</f>
        <v>#N/A</v>
      </c>
    </row>
    <row r="87" spans="1:10" x14ac:dyDescent="0.25">
      <c r="A87" s="190"/>
      <c r="B87" s="43" t="str">
        <f>A87&amp;"-"&amp;IF(DAY(Variables!$A$2)&lt;10,0,"")&amp;DAY(Variables!$A$2)</f>
        <v>-05</v>
      </c>
      <c r="C87" s="147"/>
      <c r="D87" s="169"/>
      <c r="E87" s="30"/>
      <c r="F87" s="21" t="e">
        <f>VLOOKUP(B87,'Trips&amp;Operators'!$C$2:$E$10000,3,FALSE)</f>
        <v>#N/A</v>
      </c>
      <c r="G87" s="21" t="e">
        <f>VLOOKUP(B87,'Trips&amp;Operators'!$C$1:$F$10000,4,FALSE)</f>
        <v>#N/A</v>
      </c>
      <c r="H87" s="29" t="e">
        <f>VLOOKUP(B87,'Trips&amp;Operators'!$C$1:$H$10000,5,FALSE)</f>
        <v>#N/A</v>
      </c>
      <c r="I87"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7" s="30" t="e">
        <f>VLOOKUP(B87,'Train Runs'!$A$13:$A$99958,1,FALSE)</f>
        <v>#N/A</v>
      </c>
    </row>
    <row r="88" spans="1:10" x14ac:dyDescent="0.25">
      <c r="A88" s="190"/>
      <c r="B88" s="43" t="str">
        <f>A88&amp;"-"&amp;IF(DAY(Variables!$A$2)&lt;10,0,"")&amp;DAY(Variables!$A$2)</f>
        <v>-05</v>
      </c>
      <c r="C88" s="147"/>
      <c r="D88" s="169"/>
      <c r="E88" s="30"/>
      <c r="F88" s="21" t="e">
        <f>VLOOKUP(B88,'Trips&amp;Operators'!$C$2:$E$10000,3,FALSE)</f>
        <v>#N/A</v>
      </c>
      <c r="G88" s="21" t="e">
        <f>VLOOKUP(B88,'Trips&amp;Operators'!$C$1:$F$10000,4,FALSE)</f>
        <v>#N/A</v>
      </c>
      <c r="H88" s="29" t="e">
        <f>VLOOKUP(B88,'Trips&amp;Operators'!$C$1:$H$10000,5,FALSE)</f>
        <v>#N/A</v>
      </c>
      <c r="I88"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8" s="30" t="e">
        <f>VLOOKUP(B88,'Train Runs'!$A$13:$A$99958,1,FALSE)</f>
        <v>#N/A</v>
      </c>
    </row>
    <row r="89" spans="1:10" x14ac:dyDescent="0.25">
      <c r="A89" s="190"/>
      <c r="B89" s="43" t="str">
        <f>A89&amp;"-"&amp;IF(DAY(Variables!$A$2)&lt;10,0,"")&amp;DAY(Variables!$A$2)</f>
        <v>-05</v>
      </c>
      <c r="C89" s="147"/>
      <c r="D89" s="169"/>
      <c r="E89" s="30"/>
      <c r="F89" s="21" t="e">
        <f>VLOOKUP(B89,'Trips&amp;Operators'!$C$2:$E$10000,3,FALSE)</f>
        <v>#N/A</v>
      </c>
      <c r="G89" s="21" t="e">
        <f>VLOOKUP(B89,'Trips&amp;Operators'!$C$1:$F$10000,4,FALSE)</f>
        <v>#N/A</v>
      </c>
      <c r="H89" s="29" t="e">
        <f>VLOOKUP(B89,'Trips&amp;Operators'!$C$1:$H$10000,5,FALSE)</f>
        <v>#N/A</v>
      </c>
      <c r="I89"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9" s="30" t="e">
        <f>VLOOKUP(B89,'Train Runs'!$A$13:$A$99958,1,FALSE)</f>
        <v>#N/A</v>
      </c>
    </row>
    <row r="90" spans="1:10" x14ac:dyDescent="0.25">
      <c r="A90" s="190"/>
      <c r="B90" s="43" t="str">
        <f>A90&amp;"-"&amp;IF(DAY(Variables!$A$2)&lt;10,0,"")&amp;DAY(Variables!$A$2)</f>
        <v>-05</v>
      </c>
      <c r="C90" s="147"/>
      <c r="D90" s="169"/>
      <c r="E90" s="30"/>
      <c r="F90" s="21" t="e">
        <f>VLOOKUP(B90,'Trips&amp;Operators'!$C$2:$E$10000,3,FALSE)</f>
        <v>#N/A</v>
      </c>
      <c r="G90" s="21" t="e">
        <f>VLOOKUP(B90,'Trips&amp;Operators'!$C$1:$F$10000,4,FALSE)</f>
        <v>#N/A</v>
      </c>
      <c r="H90" s="29" t="e">
        <f>VLOOKUP(B90,'Trips&amp;Operators'!$C$1:$H$10000,5,FALSE)</f>
        <v>#N/A</v>
      </c>
      <c r="I90"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0" s="30" t="e">
        <f>VLOOKUP(B90,'Train Runs'!$A$13:$A$99958,1,FALSE)</f>
        <v>#N/A</v>
      </c>
    </row>
    <row r="91" spans="1:10" x14ac:dyDescent="0.25">
      <c r="A91" s="190"/>
      <c r="B91" s="43" t="str">
        <f>A91&amp;"-"&amp;IF(DAY(Variables!$A$2)&lt;10,0,"")&amp;DAY(Variables!$A$2)</f>
        <v>-05</v>
      </c>
      <c r="C91" s="147"/>
      <c r="D91" s="169"/>
      <c r="E91" s="30"/>
      <c r="F91" s="21" t="e">
        <f>VLOOKUP(B91,'Trips&amp;Operators'!$C$2:$E$10000,3,FALSE)</f>
        <v>#N/A</v>
      </c>
      <c r="G91" s="21" t="e">
        <f>VLOOKUP(B91,'Trips&amp;Operators'!$C$1:$F$10000,4,FALSE)</f>
        <v>#N/A</v>
      </c>
      <c r="H91" s="29" t="e">
        <f>VLOOKUP(B91,'Trips&amp;Operators'!$C$1:$H$10000,5,FALSE)</f>
        <v>#N/A</v>
      </c>
      <c r="I9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1" s="30" t="e">
        <f>VLOOKUP(B91,'Train Runs'!$A$13:$A$99958,1,FALSE)</f>
        <v>#N/A</v>
      </c>
    </row>
    <row r="92" spans="1:10" x14ac:dyDescent="0.25">
      <c r="A92" s="190"/>
      <c r="B92" s="43" t="str">
        <f>A92&amp;"-"&amp;IF(DAY(Variables!$A$2)&lt;10,0,"")&amp;DAY(Variables!$A$2)</f>
        <v>-05</v>
      </c>
      <c r="C92" s="147"/>
      <c r="D92" s="169"/>
      <c r="E92" s="30"/>
      <c r="F92" s="21" t="e">
        <f>VLOOKUP(B92,'Trips&amp;Operators'!$C$2:$E$10000,3,FALSE)</f>
        <v>#N/A</v>
      </c>
      <c r="G92" s="21" t="e">
        <f>VLOOKUP(B92,'Trips&amp;Operators'!$C$1:$F$10000,4,FALSE)</f>
        <v>#N/A</v>
      </c>
      <c r="H92" s="29" t="e">
        <f>VLOOKUP(B92,'Trips&amp;Operators'!$C$1:$H$10000,5,FALSE)</f>
        <v>#N/A</v>
      </c>
      <c r="I9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2" s="30" t="e">
        <f>VLOOKUP(B92,'Train Runs'!$A$13:$A$99958,1,FALSE)</f>
        <v>#N/A</v>
      </c>
    </row>
    <row r="93" spans="1:10" x14ac:dyDescent="0.25">
      <c r="A93" s="190"/>
      <c r="B93" s="43" t="str">
        <f>A93&amp;"-"&amp;IF(DAY(Variables!$A$2)&lt;10,0,"")&amp;DAY(Variables!$A$2)</f>
        <v>-05</v>
      </c>
      <c r="C93" s="147"/>
      <c r="D93" s="169"/>
      <c r="E93" s="30"/>
      <c r="F93" s="21" t="e">
        <f>VLOOKUP(B93,'Trips&amp;Operators'!$C$2:$E$10000,3,FALSE)</f>
        <v>#N/A</v>
      </c>
      <c r="G93" s="21" t="e">
        <f>VLOOKUP(B93,'Trips&amp;Operators'!$C$1:$F$10000,4,FALSE)</f>
        <v>#N/A</v>
      </c>
      <c r="H93" s="29" t="e">
        <f>VLOOKUP(B93,'Trips&amp;Operators'!$C$1:$H$10000,5,FALSE)</f>
        <v>#N/A</v>
      </c>
      <c r="I9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3" s="30" t="e">
        <f>VLOOKUP(B93,'Train Runs'!$A$13:$A$99958,1,FALSE)</f>
        <v>#N/A</v>
      </c>
    </row>
    <row r="94" spans="1:10" x14ac:dyDescent="0.25">
      <c r="A94" s="190"/>
      <c r="B94" s="43" t="str">
        <f>A94&amp;"-"&amp;IF(DAY(Variables!$A$2)&lt;10,0,"")&amp;DAY(Variables!$A$2)</f>
        <v>-05</v>
      </c>
      <c r="C94" s="147"/>
      <c r="D94" s="169"/>
      <c r="E94" s="30"/>
      <c r="F94" s="21" t="e">
        <f>VLOOKUP(B94,'Trips&amp;Operators'!$C$2:$E$10000,3,FALSE)</f>
        <v>#N/A</v>
      </c>
      <c r="G94" s="21" t="e">
        <f>VLOOKUP(B94,'Trips&amp;Operators'!$C$1:$F$10000,4,FALSE)</f>
        <v>#N/A</v>
      </c>
      <c r="H94" s="29" t="e">
        <f>VLOOKUP(B94,'Trips&amp;Operators'!$C$1:$H$10000,5,FALSE)</f>
        <v>#N/A</v>
      </c>
      <c r="I94"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4" s="30" t="e">
        <f>VLOOKUP(B94,'Train Runs'!$A$13:$A$99958,1,FALSE)</f>
        <v>#N/A</v>
      </c>
    </row>
    <row r="95" spans="1:10" x14ac:dyDescent="0.25">
      <c r="A95" s="190"/>
      <c r="B95" s="43" t="str">
        <f>A95&amp;"-"&amp;IF(DAY(Variables!$A$2)&lt;10,0,"")&amp;DAY(Variables!$A$2)</f>
        <v>-05</v>
      </c>
      <c r="C95" s="147"/>
      <c r="D95" s="169"/>
      <c r="E95" s="30"/>
      <c r="F95" s="21" t="e">
        <f>VLOOKUP(B95,'Trips&amp;Operators'!$C$2:$E$10000,3,FALSE)</f>
        <v>#N/A</v>
      </c>
      <c r="G95" s="21" t="e">
        <f>VLOOKUP(B95,'Trips&amp;Operators'!$C$1:$F$10000,4,FALSE)</f>
        <v>#N/A</v>
      </c>
      <c r="H95" s="29" t="e">
        <f>VLOOKUP(B95,'Trips&amp;Operators'!$C$1:$H$10000,5,FALSE)</f>
        <v>#N/A</v>
      </c>
      <c r="I95"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5" s="30" t="e">
        <f>VLOOKUP(B95,'Train Runs'!$A$13:$A$99958,1,FALSE)</f>
        <v>#N/A</v>
      </c>
    </row>
    <row r="96" spans="1:10" x14ac:dyDescent="0.25">
      <c r="A96" s="190"/>
      <c r="B96" s="43" t="str">
        <f>A96&amp;"-"&amp;IF(DAY(Variables!$A$2)&lt;10,0,"")&amp;DAY(Variables!$A$2)</f>
        <v>-05</v>
      </c>
      <c r="C96" s="147"/>
      <c r="D96" s="169"/>
      <c r="E96" s="30"/>
      <c r="F96" s="21" t="e">
        <f>VLOOKUP(B96,'Trips&amp;Operators'!$C$2:$E$10000,3,FALSE)</f>
        <v>#N/A</v>
      </c>
      <c r="G96" s="21" t="e">
        <f>VLOOKUP(B96,'Trips&amp;Operators'!$C$1:$F$10000,4,FALSE)</f>
        <v>#N/A</v>
      </c>
      <c r="H96" s="29" t="e">
        <f>VLOOKUP(B96,'Trips&amp;Operators'!$C$1:$H$10000,5,FALSE)</f>
        <v>#N/A</v>
      </c>
      <c r="I96"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6" s="30" t="e">
        <f>VLOOKUP(B96,'Train Runs'!$A$13:$A$99958,1,FALSE)</f>
        <v>#N/A</v>
      </c>
    </row>
    <row r="97" spans="1:10" x14ac:dyDescent="0.25">
      <c r="A97" s="190"/>
      <c r="B97" s="43" t="str">
        <f>A97&amp;"-"&amp;IF(DAY(Variables!$A$2)&lt;10,0,"")&amp;DAY(Variables!$A$2)</f>
        <v>-05</v>
      </c>
      <c r="C97" s="147"/>
      <c r="D97" s="169"/>
      <c r="E97" s="30"/>
      <c r="F97" s="21" t="e">
        <f>VLOOKUP(B97,'Trips&amp;Operators'!$C$2:$E$10000,3,FALSE)</f>
        <v>#N/A</v>
      </c>
      <c r="G97" s="21" t="e">
        <f>VLOOKUP(B97,'Trips&amp;Operators'!$C$1:$F$10000,4,FALSE)</f>
        <v>#N/A</v>
      </c>
      <c r="H97" s="29" t="e">
        <f>VLOOKUP(B97,'Trips&amp;Operators'!$C$1:$H$10000,5,FALSE)</f>
        <v>#N/A</v>
      </c>
      <c r="I97"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7" s="30" t="e">
        <f>VLOOKUP(B97,'Train Runs'!$A$13:$A$99958,1,FALSE)</f>
        <v>#N/A</v>
      </c>
    </row>
    <row r="98" spans="1:10" x14ac:dyDescent="0.25">
      <c r="A98" s="190"/>
      <c r="B98" s="43" t="str">
        <f>A98&amp;"-"&amp;IF(DAY(Variables!$A$2)&lt;10,0,"")&amp;DAY(Variables!$A$2)</f>
        <v>-05</v>
      </c>
      <c r="C98" s="147"/>
      <c r="D98" s="169"/>
      <c r="E98" s="30"/>
      <c r="F98" s="21" t="e">
        <f>VLOOKUP(B98,'Trips&amp;Operators'!$C$2:$E$10000,3,FALSE)</f>
        <v>#N/A</v>
      </c>
      <c r="G98" s="21" t="e">
        <f>VLOOKUP(B98,'Trips&amp;Operators'!$C$1:$F$10000,4,FALSE)</f>
        <v>#N/A</v>
      </c>
      <c r="H98" s="29" t="e">
        <f>VLOOKUP(B98,'Trips&amp;Operators'!$C$1:$H$10000,5,FALSE)</f>
        <v>#N/A</v>
      </c>
      <c r="I98"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8" s="30" t="e">
        <f>VLOOKUP(B98,'Train Runs'!$A$13:$A$99958,1,FALSE)</f>
        <v>#N/A</v>
      </c>
    </row>
    <row r="99" spans="1:10" x14ac:dyDescent="0.25">
      <c r="A99" s="190"/>
      <c r="B99" s="43" t="str">
        <f>A99&amp;"-"&amp;IF(DAY(Variables!$A$2)&lt;10,0,"")&amp;DAY(Variables!$A$2)</f>
        <v>-05</v>
      </c>
      <c r="C99" s="147"/>
      <c r="D99" s="169"/>
      <c r="E99" s="30"/>
      <c r="F99" s="21" t="e">
        <f>VLOOKUP(B99,'Trips&amp;Operators'!$C$2:$E$10000,3,FALSE)</f>
        <v>#N/A</v>
      </c>
      <c r="G99" s="21" t="e">
        <f>VLOOKUP(B99,'Trips&amp;Operators'!$C$1:$F$10000,4,FALSE)</f>
        <v>#N/A</v>
      </c>
      <c r="H99" s="29" t="e">
        <f>VLOOKUP(B99,'Trips&amp;Operators'!$C$1:$H$10000,5,FALSE)</f>
        <v>#N/A</v>
      </c>
      <c r="I99"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9" s="30" t="e">
        <f>VLOOKUP(B99,'Train Runs'!$A$13:$A$99958,1,FALSE)</f>
        <v>#N/A</v>
      </c>
    </row>
    <row r="100" spans="1:10" x14ac:dyDescent="0.25">
      <c r="A100" s="190"/>
      <c r="B100" s="43" t="str">
        <f>A100&amp;"-"&amp;IF(DAY(Variables!$A$2)&lt;10,0,"")&amp;DAY(Variables!$A$2)</f>
        <v>-05</v>
      </c>
      <c r="C100" s="147"/>
      <c r="D100" s="169"/>
      <c r="E100" s="30"/>
      <c r="F100" s="21" t="e">
        <f>VLOOKUP(B100,'Trips&amp;Operators'!$C$2:$E$10000,3,FALSE)</f>
        <v>#N/A</v>
      </c>
      <c r="G100" s="21" t="e">
        <f>VLOOKUP(B100,'Trips&amp;Operators'!$C$1:$F$10000,4,FALSE)</f>
        <v>#N/A</v>
      </c>
      <c r="H100" s="29" t="e">
        <f>VLOOKUP(B100,'Trips&amp;Operators'!$C$1:$H$10000,5,FALSE)</f>
        <v>#N/A</v>
      </c>
      <c r="I100"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0" s="30" t="e">
        <f>VLOOKUP(B100,'Train Runs'!$A$13:$A$99958,1,FALSE)</f>
        <v>#N/A</v>
      </c>
    </row>
    <row r="101" spans="1:10" x14ac:dyDescent="0.25">
      <c r="A101" s="190"/>
      <c r="B101" s="43" t="str">
        <f>A101&amp;"-"&amp;IF(DAY(Variables!$A$2)&lt;10,0,"")&amp;DAY(Variables!$A$2)</f>
        <v>-05</v>
      </c>
      <c r="C101" s="147"/>
      <c r="D101" s="169"/>
      <c r="E101" s="30"/>
      <c r="F101" s="21" t="e">
        <f>VLOOKUP(B101,'Trips&amp;Operators'!$C$2:$E$10000,3,FALSE)</f>
        <v>#N/A</v>
      </c>
      <c r="G101" s="21" t="e">
        <f>VLOOKUP(B101,'Trips&amp;Operators'!$C$1:$F$10000,4,FALSE)</f>
        <v>#N/A</v>
      </c>
      <c r="H101" s="29" t="e">
        <f>VLOOKUP(B101,'Trips&amp;Operators'!$C$1:$H$10000,5,FALSE)</f>
        <v>#N/A</v>
      </c>
      <c r="I10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1" s="30" t="e">
        <f>VLOOKUP(B101,'Train Runs'!$A$13:$A$99958,1,FALSE)</f>
        <v>#N/A</v>
      </c>
    </row>
    <row r="102" spans="1:10" x14ac:dyDescent="0.25">
      <c r="A102" s="190"/>
      <c r="B102" s="43" t="str">
        <f>A102&amp;"-"&amp;IF(DAY(Variables!$A$2)&lt;10,0,"")&amp;DAY(Variables!$A$2)</f>
        <v>-05</v>
      </c>
      <c r="C102" s="147"/>
      <c r="D102" s="169"/>
      <c r="E102" s="30"/>
      <c r="F102" s="21" t="e">
        <f>VLOOKUP(B102,'Trips&amp;Operators'!$C$2:$E$10000,3,FALSE)</f>
        <v>#N/A</v>
      </c>
      <c r="G102" s="21" t="e">
        <f>VLOOKUP(B102,'Trips&amp;Operators'!$C$1:$F$10000,4,FALSE)</f>
        <v>#N/A</v>
      </c>
      <c r="H102" s="29" t="e">
        <f>VLOOKUP(B102,'Trips&amp;Operators'!$C$1:$H$10000,5,FALSE)</f>
        <v>#N/A</v>
      </c>
      <c r="I10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2" s="30" t="e">
        <f>VLOOKUP(B102,'Train Runs'!$A$13:$A$99958,1,FALSE)</f>
        <v>#N/A</v>
      </c>
    </row>
    <row r="103" spans="1:10" x14ac:dyDescent="0.25">
      <c r="A103" s="190"/>
      <c r="B103" s="43" t="str">
        <f>A103&amp;"-"&amp;IF(DAY(Variables!$A$2)&lt;10,0,"")&amp;DAY(Variables!$A$2)</f>
        <v>-05</v>
      </c>
      <c r="C103" s="147"/>
      <c r="D103" s="169"/>
      <c r="E103" s="30"/>
      <c r="F103" s="21" t="e">
        <f>VLOOKUP(B103,'Trips&amp;Operators'!$C$2:$E$10000,3,FALSE)</f>
        <v>#N/A</v>
      </c>
      <c r="G103" s="21" t="e">
        <f>VLOOKUP(B103,'Trips&amp;Operators'!$C$1:$F$10000,4,FALSE)</f>
        <v>#N/A</v>
      </c>
      <c r="H103" s="29" t="e">
        <f>VLOOKUP(B103,'Trips&amp;Operators'!$C$1:$H$10000,5,FALSE)</f>
        <v>#N/A</v>
      </c>
      <c r="I10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3" s="30" t="e">
        <f>VLOOKUP(B103,'Train Runs'!$A$13:$A$99958,1,FALSE)</f>
        <v>#N/A</v>
      </c>
    </row>
    <row r="104" spans="1:10" x14ac:dyDescent="0.25">
      <c r="A104" s="190"/>
      <c r="B104" s="43" t="str">
        <f>A104&amp;"-"&amp;IF(DAY(Variables!$A$2)&lt;10,0,"")&amp;DAY(Variables!$A$2)</f>
        <v>-05</v>
      </c>
      <c r="C104" s="147"/>
      <c r="D104" s="169"/>
      <c r="E104" s="30"/>
      <c r="F104" s="21" t="e">
        <f>VLOOKUP(B104,'Trips&amp;Operators'!$C$2:$E$10000,3,FALSE)</f>
        <v>#N/A</v>
      </c>
      <c r="G104" s="21" t="e">
        <f>VLOOKUP(B104,'Trips&amp;Operators'!$C$1:$F$10000,4,FALSE)</f>
        <v>#N/A</v>
      </c>
      <c r="H104" s="29" t="e">
        <f>VLOOKUP(B104,'Trips&amp;Operators'!$C$1:$H$10000,5,FALSE)</f>
        <v>#N/A</v>
      </c>
      <c r="I104"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4" s="30" t="e">
        <f>VLOOKUP(B104,'Train Runs'!$A$13:$A$99958,1,FALSE)</f>
        <v>#N/A</v>
      </c>
    </row>
    <row r="105" spans="1:10" x14ac:dyDescent="0.25">
      <c r="A105" s="190"/>
      <c r="B105" s="43" t="str">
        <f>A105&amp;"-"&amp;IF(DAY(Variables!$A$2)&lt;10,0,"")&amp;DAY(Variables!$A$2)</f>
        <v>-05</v>
      </c>
      <c r="C105" s="147"/>
      <c r="D105" s="169"/>
      <c r="E105" s="30"/>
      <c r="F105" s="21" t="e">
        <f>VLOOKUP(B105,'Trips&amp;Operators'!$C$2:$E$10000,3,FALSE)</f>
        <v>#N/A</v>
      </c>
      <c r="G105" s="21" t="e">
        <f>VLOOKUP(B105,'Trips&amp;Operators'!$C$1:$F$10000,4,FALSE)</f>
        <v>#N/A</v>
      </c>
      <c r="H105" s="29" t="e">
        <f>VLOOKUP(B105,'Trips&amp;Operators'!$C$1:$H$10000,5,FALSE)</f>
        <v>#N/A</v>
      </c>
      <c r="I105"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5" s="30" t="e">
        <f>VLOOKUP(B105,'Train Runs'!$A$13:$A$99958,1,FALSE)</f>
        <v>#N/A</v>
      </c>
    </row>
    <row r="106" spans="1:10" x14ac:dyDescent="0.25">
      <c r="A106" s="190"/>
      <c r="B106" s="43" t="str">
        <f>A106&amp;"-"&amp;IF(DAY(Variables!$A$2)&lt;10,0,"")&amp;DAY(Variables!$A$2)</f>
        <v>-05</v>
      </c>
      <c r="C106" s="147"/>
      <c r="D106" s="169"/>
      <c r="E106" s="30"/>
      <c r="F106" s="21" t="e">
        <f>VLOOKUP(B106,'Trips&amp;Operators'!$C$2:$E$10000,3,FALSE)</f>
        <v>#N/A</v>
      </c>
      <c r="G106" s="21" t="e">
        <f>VLOOKUP(B106,'Trips&amp;Operators'!$C$1:$F$10000,4,FALSE)</f>
        <v>#N/A</v>
      </c>
      <c r="H106" s="29" t="e">
        <f>VLOOKUP(B106,'Trips&amp;Operators'!$C$1:$H$10000,5,FALSE)</f>
        <v>#N/A</v>
      </c>
      <c r="I106"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6" s="30" t="e">
        <f>VLOOKUP(B106,'Train Runs'!$A$13:$A$99958,1,FALSE)</f>
        <v>#N/A</v>
      </c>
    </row>
    <row r="107" spans="1:10" x14ac:dyDescent="0.25">
      <c r="A107" s="190"/>
      <c r="B107" s="43" t="str">
        <f>A107&amp;"-"&amp;IF(DAY(Variables!$A$2)&lt;10,0,"")&amp;DAY(Variables!$A$2)</f>
        <v>-05</v>
      </c>
      <c r="C107" s="147"/>
      <c r="D107" s="169"/>
      <c r="E107" s="30"/>
      <c r="F107" s="21" t="e">
        <f>VLOOKUP(B107,'Trips&amp;Operators'!$C$2:$E$10000,3,FALSE)</f>
        <v>#N/A</v>
      </c>
      <c r="G107" s="21" t="e">
        <f>VLOOKUP(B107,'Trips&amp;Operators'!$C$1:$F$10000,4,FALSE)</f>
        <v>#N/A</v>
      </c>
      <c r="H107" s="29" t="e">
        <f>VLOOKUP(B107,'Trips&amp;Operators'!$C$1:$H$10000,5,FALSE)</f>
        <v>#N/A</v>
      </c>
      <c r="I107"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7" s="30" t="e">
        <f>VLOOKUP(B107,'Train Runs'!$A$13:$A$99958,1,FALSE)</f>
        <v>#N/A</v>
      </c>
    </row>
    <row r="108" spans="1:10" x14ac:dyDescent="0.25">
      <c r="A108" s="190"/>
      <c r="B108" s="43" t="str">
        <f>A108&amp;"-"&amp;IF(DAY(Variables!$A$2)&lt;10,0,"")&amp;DAY(Variables!$A$2)</f>
        <v>-05</v>
      </c>
      <c r="C108" s="147"/>
      <c r="D108" s="169"/>
      <c r="E108" s="30"/>
      <c r="F108" s="21" t="e">
        <f>VLOOKUP(B108,'Trips&amp;Operators'!$C$2:$E$10000,3,FALSE)</f>
        <v>#N/A</v>
      </c>
      <c r="G108" s="21" t="e">
        <f>VLOOKUP(B108,'Trips&amp;Operators'!$C$1:$F$10000,4,FALSE)</f>
        <v>#N/A</v>
      </c>
      <c r="H108" s="29" t="e">
        <f>VLOOKUP(B108,'Trips&amp;Operators'!$C$1:$H$10000,5,FALSE)</f>
        <v>#N/A</v>
      </c>
      <c r="I108"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8" s="30" t="e">
        <f>VLOOKUP(B108,'Train Runs'!$A$13:$A$99958,1,FALSE)</f>
        <v>#N/A</v>
      </c>
    </row>
    <row r="109" spans="1:10" x14ac:dyDescent="0.25">
      <c r="A109" s="190"/>
      <c r="B109" s="43" t="str">
        <f>A109&amp;"-"&amp;IF(DAY(Variables!$A$2)&lt;10,0,"")&amp;DAY(Variables!$A$2)</f>
        <v>-05</v>
      </c>
      <c r="C109" s="147"/>
      <c r="D109" s="169"/>
      <c r="E109" s="30"/>
      <c r="F109" s="21" t="e">
        <f>VLOOKUP(B109,'Trips&amp;Operators'!$C$2:$E$10000,3,FALSE)</f>
        <v>#N/A</v>
      </c>
      <c r="G109" s="21" t="e">
        <f>VLOOKUP(B109,'Trips&amp;Operators'!$C$1:$F$10000,4,FALSE)</f>
        <v>#N/A</v>
      </c>
      <c r="H109" s="29" t="e">
        <f>VLOOKUP(B109,'Trips&amp;Operators'!$C$1:$H$10000,5,FALSE)</f>
        <v>#N/A</v>
      </c>
      <c r="I109"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9" s="30" t="e">
        <f>VLOOKUP(B109,'Train Runs'!$A$13:$A$99958,1,FALSE)</f>
        <v>#N/A</v>
      </c>
    </row>
    <row r="110" spans="1:10" x14ac:dyDescent="0.25">
      <c r="A110" s="190"/>
      <c r="B110" s="43" t="str">
        <f>A110&amp;"-"&amp;IF(DAY(Variables!$A$2)&lt;10,0,"")&amp;DAY(Variables!$A$2)</f>
        <v>-05</v>
      </c>
      <c r="C110" s="147"/>
      <c r="D110" s="169"/>
      <c r="E110" s="30"/>
      <c r="F110" s="21" t="e">
        <f>VLOOKUP(B110,'Trips&amp;Operators'!$C$2:$E$10000,3,FALSE)</f>
        <v>#N/A</v>
      </c>
      <c r="G110" s="21" t="e">
        <f>VLOOKUP(B110,'Trips&amp;Operators'!$C$1:$F$10000,4,FALSE)</f>
        <v>#N/A</v>
      </c>
      <c r="H110" s="29" t="e">
        <f>VLOOKUP(B110,'Trips&amp;Operators'!$C$1:$H$10000,5,FALSE)</f>
        <v>#N/A</v>
      </c>
      <c r="I110"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0" s="30" t="e">
        <f>VLOOKUP(B110,'Train Runs'!$A$13:$A$99958,1,FALSE)</f>
        <v>#N/A</v>
      </c>
    </row>
    <row r="111" spans="1:10" x14ac:dyDescent="0.25">
      <c r="A111" s="190"/>
      <c r="B111" s="43" t="str">
        <f>A111&amp;"-"&amp;IF(DAY(Variables!$A$2)&lt;10,0,"")&amp;DAY(Variables!$A$2)</f>
        <v>-05</v>
      </c>
      <c r="C111" s="147"/>
      <c r="D111" s="169"/>
      <c r="E111" s="30"/>
      <c r="F111" s="21" t="e">
        <f>VLOOKUP(B111,'Trips&amp;Operators'!$C$2:$E$10000,3,FALSE)</f>
        <v>#N/A</v>
      </c>
      <c r="G111" s="21" t="e">
        <f>VLOOKUP(B111,'Trips&amp;Operators'!$C$1:$F$10000,4,FALSE)</f>
        <v>#N/A</v>
      </c>
      <c r="H111" s="29" t="e">
        <f>VLOOKUP(B111,'Trips&amp;Operators'!$C$1:$H$10000,5,FALSE)</f>
        <v>#N/A</v>
      </c>
      <c r="I11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1" s="30" t="e">
        <f>VLOOKUP(B111,'Train Runs'!$A$13:$A$99958,1,FALSE)</f>
        <v>#N/A</v>
      </c>
    </row>
    <row r="112" spans="1:10" x14ac:dyDescent="0.25">
      <c r="A112" s="190"/>
      <c r="B112" s="43" t="str">
        <f>A112&amp;"-"&amp;IF(DAY(Variables!$A$2)&lt;10,0,"")&amp;DAY(Variables!$A$2)</f>
        <v>-05</v>
      </c>
      <c r="C112" s="147"/>
      <c r="D112" s="169"/>
      <c r="E112" s="30"/>
      <c r="F112" s="21" t="e">
        <f>VLOOKUP(B112,'Trips&amp;Operators'!$C$2:$E$10000,3,FALSE)</f>
        <v>#N/A</v>
      </c>
      <c r="G112" s="21" t="e">
        <f>VLOOKUP(B112,'Trips&amp;Operators'!$C$1:$F$10000,4,FALSE)</f>
        <v>#N/A</v>
      </c>
      <c r="H112" s="29" t="e">
        <f>VLOOKUP(B112,'Trips&amp;Operators'!$C$1:$H$10000,5,FALSE)</f>
        <v>#N/A</v>
      </c>
      <c r="I11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2" s="30" t="e">
        <f>VLOOKUP(B112,'Train Runs'!$A$13:$A$99958,1,FALSE)</f>
        <v>#N/A</v>
      </c>
    </row>
    <row r="113" spans="1:10" x14ac:dyDescent="0.25">
      <c r="A113" s="190"/>
      <c r="B113" s="43" t="str">
        <f>A113&amp;"-"&amp;IF(DAY(Variables!$A$2)&lt;10,0,"")&amp;DAY(Variables!$A$2)</f>
        <v>-05</v>
      </c>
      <c r="C113" s="147"/>
      <c r="D113" s="169"/>
      <c r="E113" s="30"/>
      <c r="F113" s="21" t="e">
        <f>VLOOKUP(B113,'Trips&amp;Operators'!$C$2:$E$10000,3,FALSE)</f>
        <v>#N/A</v>
      </c>
      <c r="G113" s="21" t="e">
        <f>VLOOKUP(B113,'Trips&amp;Operators'!$C$1:$F$10000,4,FALSE)</f>
        <v>#N/A</v>
      </c>
      <c r="H113" s="29" t="e">
        <f>VLOOKUP(B113,'Trips&amp;Operators'!$C$1:$H$10000,5,FALSE)</f>
        <v>#N/A</v>
      </c>
      <c r="I11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3" s="30" t="e">
        <f>VLOOKUP(B113,'Train Runs'!$A$13:$A$99958,1,FALSE)</f>
        <v>#N/A</v>
      </c>
    </row>
    <row r="114" spans="1:10" x14ac:dyDescent="0.25">
      <c r="A114" s="190"/>
      <c r="B114" s="43" t="str">
        <f>A114&amp;"-"&amp;IF(DAY(Variables!$A$2)&lt;10,0,"")&amp;DAY(Variables!$A$2)</f>
        <v>-05</v>
      </c>
      <c r="C114" s="147"/>
      <c r="D114" s="169"/>
      <c r="E114" s="30"/>
      <c r="F114" s="21" t="e">
        <f>VLOOKUP(B114,'Trips&amp;Operators'!$C$2:$E$10000,3,FALSE)</f>
        <v>#N/A</v>
      </c>
      <c r="G114" s="21" t="e">
        <f>VLOOKUP(B114,'Trips&amp;Operators'!$C$1:$F$10000,4,FALSE)</f>
        <v>#N/A</v>
      </c>
      <c r="H114" s="29" t="e">
        <f>VLOOKUP(B114,'Trips&amp;Operators'!$C$1:$H$10000,5,FALSE)</f>
        <v>#N/A</v>
      </c>
      <c r="I114" s="46" t="str">
        <f t="shared" ref="I114:I120" si="2">"https://d0f6bd738d7f1b3e5a7ca70fe4ff75f0.us-east-1.aws.found.io/app/kibana#/discover/Steve-Slow-Train-Analysis-(2080s-and-2083s)?_g="&amp;"(refreshInterval:(display:Off,pause:!f,section:0,value:0),time:(from:now-7d,mode:quick,to:now))&amp;_a=(columns:!('Locomotive%20ID','Data.Train%20ID','Message%20ID'),filters:!(),"&amp;"index:'emp_*',interval:auto,query:(query_string:(analyze_wildcard:!t,query:%22"&amp;B114&amp;"%22)),sort:!(Time.ISO8601,asc))"</f>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4" s="30" t="e">
        <f>VLOOKUP(B114,'Train Runs'!$A$13:$A$99958,1,FALSE)</f>
        <v>#N/A</v>
      </c>
    </row>
    <row r="115" spans="1:10" x14ac:dyDescent="0.25">
      <c r="A115" s="190"/>
      <c r="B115" s="43" t="str">
        <f>A115&amp;"-"&amp;IF(DAY(Variables!$A$2)&lt;10,0,"")&amp;DAY(Variables!$A$2)</f>
        <v>-05</v>
      </c>
      <c r="C115" s="147"/>
      <c r="D115" s="169"/>
      <c r="E115" s="30"/>
      <c r="F115" s="21" t="e">
        <f>VLOOKUP(B115,'Trips&amp;Operators'!$C$2:$E$10000,3,FALSE)</f>
        <v>#N/A</v>
      </c>
      <c r="G115" s="21" t="e">
        <f>VLOOKUP(B115,'Trips&amp;Operators'!$C$1:$F$10000,4,FALSE)</f>
        <v>#N/A</v>
      </c>
      <c r="H115" s="29" t="e">
        <f>VLOOKUP(B115,'Trips&amp;Operators'!$C$1:$H$10000,5,FALSE)</f>
        <v>#N/A</v>
      </c>
      <c r="I115" s="46" t="str">
        <f t="shared" si="2"/>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5" s="30" t="e">
        <f>VLOOKUP(B115,'Train Runs'!$A$13:$A$99958,1,FALSE)</f>
        <v>#N/A</v>
      </c>
    </row>
    <row r="116" spans="1:10" x14ac:dyDescent="0.25">
      <c r="A116" s="190"/>
      <c r="B116" s="43" t="str">
        <f>A116&amp;"-"&amp;IF(DAY(Variables!$A$2)&lt;10,0,"")&amp;DAY(Variables!$A$2)</f>
        <v>-05</v>
      </c>
      <c r="C116" s="147"/>
      <c r="D116" s="169"/>
      <c r="E116" s="30"/>
      <c r="F116" s="21" t="e">
        <f>VLOOKUP(B116,'Trips&amp;Operators'!$C$2:$E$10000,3,FALSE)</f>
        <v>#N/A</v>
      </c>
      <c r="G116" s="21" t="e">
        <f>VLOOKUP(B116,'Trips&amp;Operators'!$C$1:$F$10000,4,FALSE)</f>
        <v>#N/A</v>
      </c>
      <c r="H116" s="29" t="e">
        <f>VLOOKUP(B116,'Trips&amp;Operators'!$C$1:$H$10000,5,FALSE)</f>
        <v>#N/A</v>
      </c>
      <c r="I116" s="46" t="str">
        <f t="shared" si="2"/>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6" s="30" t="e">
        <f>VLOOKUP(B116,'Train Runs'!$A$13:$A$99958,1,FALSE)</f>
        <v>#N/A</v>
      </c>
    </row>
    <row r="117" spans="1:10" x14ac:dyDescent="0.25">
      <c r="A117" s="190"/>
      <c r="B117" s="43" t="str">
        <f>A117&amp;"-"&amp;IF(DAY(Variables!$A$2)&lt;10,0,"")&amp;DAY(Variables!$A$2)</f>
        <v>-05</v>
      </c>
      <c r="C117" s="147"/>
      <c r="D117" s="169"/>
      <c r="E117" s="30"/>
      <c r="F117" s="21" t="e">
        <f>VLOOKUP(B117,'Trips&amp;Operators'!$C$2:$E$10000,3,FALSE)</f>
        <v>#N/A</v>
      </c>
      <c r="G117" s="21" t="e">
        <f>VLOOKUP(B117,'Trips&amp;Operators'!$C$1:$F$10000,4,FALSE)</f>
        <v>#N/A</v>
      </c>
      <c r="H117" s="29" t="e">
        <f>VLOOKUP(B117,'Trips&amp;Operators'!$C$1:$H$10000,5,FALSE)</f>
        <v>#N/A</v>
      </c>
      <c r="I117" s="46" t="str">
        <f t="shared" si="2"/>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7" s="30" t="e">
        <f>VLOOKUP(B117,'Train Runs'!$A$13:$A$99958,1,FALSE)</f>
        <v>#N/A</v>
      </c>
    </row>
    <row r="118" spans="1:10" x14ac:dyDescent="0.25">
      <c r="A118" s="190"/>
      <c r="B118" s="43" t="str">
        <f>A118&amp;"-"&amp;IF(DAY(Variables!$A$2)&lt;10,0,"")&amp;DAY(Variables!$A$2)</f>
        <v>-05</v>
      </c>
      <c r="C118" s="147"/>
      <c r="D118" s="169"/>
      <c r="E118" s="30"/>
      <c r="F118" s="21" t="e">
        <f>VLOOKUP(B118,'Trips&amp;Operators'!$C$2:$E$10000,3,FALSE)</f>
        <v>#N/A</v>
      </c>
      <c r="G118" s="21" t="e">
        <f>VLOOKUP(B118,'Trips&amp;Operators'!$C$1:$F$10000,4,FALSE)</f>
        <v>#N/A</v>
      </c>
      <c r="H118" s="29" t="e">
        <f>VLOOKUP(B118,'Trips&amp;Operators'!$C$1:$H$10000,5,FALSE)</f>
        <v>#N/A</v>
      </c>
      <c r="I118" s="46" t="str">
        <f t="shared" si="2"/>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8" s="30" t="e">
        <f>VLOOKUP(B118,'Train Runs'!$A$13:$A$99958,1,FALSE)</f>
        <v>#N/A</v>
      </c>
    </row>
    <row r="119" spans="1:10" x14ac:dyDescent="0.25">
      <c r="A119" s="190"/>
      <c r="B119" s="43" t="str">
        <f>A119&amp;"-"&amp;IF(DAY(Variables!$A$2)&lt;10,0,"")&amp;DAY(Variables!$A$2)</f>
        <v>-05</v>
      </c>
      <c r="C119" s="147"/>
      <c r="D119" s="169"/>
      <c r="E119" s="30"/>
      <c r="F119" s="21" t="e">
        <f>VLOOKUP(B119,'Trips&amp;Operators'!$C$2:$E$10000,3,FALSE)</f>
        <v>#N/A</v>
      </c>
      <c r="G119" s="21" t="e">
        <f>VLOOKUP(B119,'Trips&amp;Operators'!$C$1:$F$10000,4,FALSE)</f>
        <v>#N/A</v>
      </c>
      <c r="H119" s="29" t="e">
        <f>VLOOKUP(B119,'Trips&amp;Operators'!$C$1:$H$10000,5,FALSE)</f>
        <v>#N/A</v>
      </c>
      <c r="I119" s="46" t="str">
        <f t="shared" si="2"/>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9" s="30" t="e">
        <f>VLOOKUP(B119,'Train Runs'!$A$13:$A$99958,1,FALSE)</f>
        <v>#N/A</v>
      </c>
    </row>
    <row r="120" spans="1:10" x14ac:dyDescent="0.25">
      <c r="A120" s="190"/>
      <c r="B120" s="43" t="str">
        <f>A120&amp;"-"&amp;IF(DAY(Variables!$A$2)&lt;10,0,"")&amp;DAY(Variables!$A$2)</f>
        <v>-05</v>
      </c>
      <c r="C120" s="147"/>
      <c r="D120" s="169"/>
      <c r="E120" s="30"/>
      <c r="F120" s="21" t="e">
        <f>VLOOKUP(B120,'Trips&amp;Operators'!$C$2:$E$10000,3,FALSE)</f>
        <v>#N/A</v>
      </c>
      <c r="G120" s="21" t="e">
        <f>VLOOKUP(B120,'Trips&amp;Operators'!$C$1:$F$10000,4,FALSE)</f>
        <v>#N/A</v>
      </c>
      <c r="H120" s="29" t="e">
        <f>VLOOKUP(B120,'Trips&amp;Operators'!$C$1:$H$10000,5,FALSE)</f>
        <v>#N/A</v>
      </c>
      <c r="I120" s="46" t="str">
        <f t="shared" si="2"/>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20" s="30" t="e">
        <f>VLOOKUP(B120,'Train Runs'!$A$13:$A$99958,1,FALSE)</f>
        <v>#N/A</v>
      </c>
    </row>
  </sheetData>
  <autoFilter ref="A2:J120"/>
  <mergeCells count="1">
    <mergeCell ref="B1:F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543"/>
  <sheetViews>
    <sheetView topLeftCell="A218" workbookViewId="0">
      <selection sqref="A1:F231"/>
    </sheetView>
  </sheetViews>
  <sheetFormatPr defaultRowHeight="15" x14ac:dyDescent="0.25"/>
  <cols>
    <col min="1" max="1" width="18.28515625" style="8" bestFit="1" customWidth="1"/>
    <col min="2" max="2" width="17" bestFit="1" customWidth="1"/>
    <col min="3" max="3" width="10.140625" bestFit="1" customWidth="1"/>
    <col min="4" max="4" width="9.28515625" style="150" customWidth="1"/>
    <col min="5" max="5" width="19.7109375" bestFit="1" customWidth="1"/>
    <col min="6" max="6" width="17" style="20" bestFit="1" customWidth="1"/>
    <col min="7" max="7" width="18.28515625" style="8" bestFit="1" customWidth="1"/>
  </cols>
  <sheetData>
    <row r="1" spans="1:7" s="20" customFormat="1" x14ac:dyDescent="0.25">
      <c r="A1" s="8" t="s">
        <v>174</v>
      </c>
      <c r="B1" s="20" t="s">
        <v>175</v>
      </c>
      <c r="C1" s="20" t="s">
        <v>0</v>
      </c>
      <c r="D1" s="150" t="s">
        <v>176</v>
      </c>
      <c r="E1" s="20" t="s">
        <v>177</v>
      </c>
      <c r="F1" s="20" t="s">
        <v>205</v>
      </c>
      <c r="G1" s="8" t="s">
        <v>204</v>
      </c>
    </row>
    <row r="2" spans="1:7" x14ac:dyDescent="0.25">
      <c r="A2" s="8">
        <v>42771.037118055552</v>
      </c>
      <c r="B2" s="20" t="s">
        <v>245</v>
      </c>
      <c r="C2" s="20" t="s">
        <v>523</v>
      </c>
      <c r="D2" s="150">
        <v>2270000</v>
      </c>
      <c r="E2" s="20" t="s">
        <v>246</v>
      </c>
      <c r="F2" s="20" t="s">
        <v>247</v>
      </c>
      <c r="G2" s="8" t="str">
        <f>E2&amp;" "&amp;F2</f>
        <v>BROWN JACOB</v>
      </c>
    </row>
    <row r="3" spans="1:7" x14ac:dyDescent="0.25">
      <c r="A3" s="8">
        <v>42771.037662037037</v>
      </c>
      <c r="B3" s="20" t="s">
        <v>230</v>
      </c>
      <c r="C3" s="20" t="s">
        <v>524</v>
      </c>
      <c r="D3" s="150">
        <v>2630000</v>
      </c>
      <c r="E3" s="20" t="s">
        <v>525</v>
      </c>
      <c r="F3" s="20" t="s">
        <v>526</v>
      </c>
      <c r="G3" s="8" t="str">
        <f t="shared" ref="G3:G66" si="0">E3&amp;" "&amp;F3</f>
        <v>SAFIEF AEIMEN</v>
      </c>
    </row>
    <row r="4" spans="1:7" x14ac:dyDescent="0.25">
      <c r="A4" s="8">
        <v>42771.04179398148</v>
      </c>
      <c r="B4" s="20" t="s">
        <v>337</v>
      </c>
      <c r="C4" s="20" t="s">
        <v>527</v>
      </c>
      <c r="D4" s="150">
        <v>2710000</v>
      </c>
      <c r="E4" s="20" t="s">
        <v>383</v>
      </c>
      <c r="F4" s="20" t="s">
        <v>384</v>
      </c>
      <c r="G4" s="8" t="str">
        <f t="shared" si="0"/>
        <v>SIMMONS SHYHESHA</v>
      </c>
    </row>
    <row r="5" spans="1:7" x14ac:dyDescent="0.25">
      <c r="A5" s="8">
        <v>42771.04755787037</v>
      </c>
      <c r="B5" s="20" t="s">
        <v>372</v>
      </c>
      <c r="C5" s="20" t="s">
        <v>528</v>
      </c>
      <c r="D5" s="150">
        <v>2220000</v>
      </c>
      <c r="E5" s="20" t="s">
        <v>227</v>
      </c>
      <c r="F5" s="20" t="s">
        <v>228</v>
      </c>
      <c r="G5" s="8" t="str">
        <f t="shared" si="0"/>
        <v>HILLS DUSTIN</v>
      </c>
    </row>
    <row r="6" spans="1:7" x14ac:dyDescent="0.25">
      <c r="A6" s="8">
        <v>42771.070543981485</v>
      </c>
      <c r="B6" s="20" t="s">
        <v>229</v>
      </c>
      <c r="C6" s="20" t="s">
        <v>529</v>
      </c>
      <c r="D6" s="150">
        <v>2630000</v>
      </c>
      <c r="E6" s="20" t="s">
        <v>525</v>
      </c>
      <c r="F6" s="20" t="s">
        <v>526</v>
      </c>
      <c r="G6" s="8" t="str">
        <f t="shared" si="0"/>
        <v>SAFIEF AEIMEN</v>
      </c>
    </row>
    <row r="7" spans="1:7" x14ac:dyDescent="0.25">
      <c r="A7" s="8">
        <v>42771.073900462965</v>
      </c>
      <c r="B7" s="20" t="s">
        <v>530</v>
      </c>
      <c r="C7" s="20" t="s">
        <v>531</v>
      </c>
      <c r="D7" s="150">
        <v>2270000</v>
      </c>
      <c r="E7" s="20" t="s">
        <v>246</v>
      </c>
      <c r="F7" s="20" t="s">
        <v>247</v>
      </c>
      <c r="G7" s="8" t="str">
        <f t="shared" si="0"/>
        <v>BROWN JACOB</v>
      </c>
    </row>
    <row r="8" spans="1:7" x14ac:dyDescent="0.25">
      <c r="A8" s="8">
        <v>42771.07545138889</v>
      </c>
      <c r="B8" s="20" t="s">
        <v>347</v>
      </c>
      <c r="C8" s="20" t="s">
        <v>527</v>
      </c>
      <c r="D8" s="150">
        <v>2710000</v>
      </c>
      <c r="E8" s="20" t="s">
        <v>383</v>
      </c>
      <c r="F8" s="20" t="s">
        <v>384</v>
      </c>
      <c r="G8" s="8" t="str">
        <f t="shared" si="0"/>
        <v>SIMMONS SHYHESHA</v>
      </c>
    </row>
    <row r="9" spans="1:7" ht="15.75" thickBot="1" x14ac:dyDescent="0.3">
      <c r="A9" s="24">
        <v>42771.076574074075</v>
      </c>
      <c r="B9" s="20" t="s">
        <v>347</v>
      </c>
      <c r="C9" s="20" t="s">
        <v>527</v>
      </c>
      <c r="D9" s="150">
        <v>2710000</v>
      </c>
      <c r="E9" s="20" t="s">
        <v>383</v>
      </c>
      <c r="F9" s="20" t="s">
        <v>384</v>
      </c>
      <c r="G9" s="8" t="str">
        <f t="shared" si="0"/>
        <v>SIMMONS SHYHESHA</v>
      </c>
    </row>
    <row r="10" spans="1:7" x14ac:dyDescent="0.25">
      <c r="A10" s="8">
        <v>42771.078020833331</v>
      </c>
      <c r="B10" s="20" t="s">
        <v>347</v>
      </c>
      <c r="C10" s="20" t="s">
        <v>532</v>
      </c>
      <c r="D10" s="150">
        <v>2710000</v>
      </c>
      <c r="E10" s="20" t="s">
        <v>383</v>
      </c>
      <c r="F10" s="20" t="s">
        <v>384</v>
      </c>
      <c r="G10" s="8" t="str">
        <f t="shared" si="0"/>
        <v>SIMMONS SHYHESHA</v>
      </c>
    </row>
    <row r="11" spans="1:7" x14ac:dyDescent="0.25">
      <c r="A11" s="8">
        <v>42771.112743055557</v>
      </c>
      <c r="B11" s="20" t="s">
        <v>245</v>
      </c>
      <c r="C11" s="20" t="s">
        <v>498</v>
      </c>
      <c r="D11" s="150">
        <v>2270000</v>
      </c>
      <c r="E11" s="20" t="s">
        <v>246</v>
      </c>
      <c r="F11" s="20" t="s">
        <v>247</v>
      </c>
      <c r="G11" s="8" t="str">
        <f t="shared" si="0"/>
        <v>BROWN JACOB</v>
      </c>
    </row>
    <row r="12" spans="1:7" x14ac:dyDescent="0.25">
      <c r="A12" s="8">
        <v>42771.129791666666</v>
      </c>
      <c r="B12" s="20" t="s">
        <v>518</v>
      </c>
      <c r="C12" s="20" t="s">
        <v>533</v>
      </c>
      <c r="D12" s="150">
        <v>2110000</v>
      </c>
      <c r="E12" s="20" t="s">
        <v>534</v>
      </c>
      <c r="F12" s="20" t="s">
        <v>535</v>
      </c>
      <c r="G12" s="8" t="str">
        <f t="shared" si="0"/>
        <v>OUN ZACK</v>
      </c>
    </row>
    <row r="13" spans="1:7" x14ac:dyDescent="0.25">
      <c r="A13" s="8">
        <v>42771.135081018518</v>
      </c>
      <c r="B13" s="20" t="s">
        <v>337</v>
      </c>
      <c r="C13" s="20" t="s">
        <v>527</v>
      </c>
      <c r="D13" s="150">
        <v>2710000</v>
      </c>
      <c r="E13" s="20" t="s">
        <v>383</v>
      </c>
      <c r="F13" s="20" t="s">
        <v>384</v>
      </c>
      <c r="G13" s="8" t="str">
        <f t="shared" si="0"/>
        <v>SIMMONS SHYHESHA</v>
      </c>
    </row>
    <row r="14" spans="1:7" x14ac:dyDescent="0.25">
      <c r="A14" s="8">
        <v>42771.153263888889</v>
      </c>
      <c r="B14" s="20" t="s">
        <v>536</v>
      </c>
      <c r="C14" s="20" t="s">
        <v>537</v>
      </c>
      <c r="D14" s="150">
        <v>2010000</v>
      </c>
      <c r="E14" s="20" t="s">
        <v>538</v>
      </c>
      <c r="F14" s="20" t="s">
        <v>539</v>
      </c>
      <c r="G14" s="8" t="str">
        <f t="shared" si="0"/>
        <v>MAELZER KURT</v>
      </c>
    </row>
    <row r="15" spans="1:7" x14ac:dyDescent="0.25">
      <c r="A15" s="8">
        <v>42771.157824074071</v>
      </c>
      <c r="B15" s="20" t="s">
        <v>347</v>
      </c>
      <c r="C15" s="20" t="s">
        <v>527</v>
      </c>
      <c r="D15" s="150">
        <v>2710000</v>
      </c>
      <c r="E15" s="20" t="s">
        <v>383</v>
      </c>
      <c r="F15" s="20" t="s">
        <v>384</v>
      </c>
      <c r="G15" s="8" t="str">
        <f t="shared" si="0"/>
        <v>SIMMONS SHYHESHA</v>
      </c>
    </row>
    <row r="16" spans="1:7" x14ac:dyDescent="0.25">
      <c r="A16" s="8">
        <v>42771.166643518518</v>
      </c>
      <c r="B16" s="20" t="s">
        <v>540</v>
      </c>
      <c r="C16" s="20" t="s">
        <v>541</v>
      </c>
      <c r="D16" s="150">
        <v>2550000</v>
      </c>
      <c r="E16" s="20" t="s">
        <v>342</v>
      </c>
      <c r="F16" s="20" t="s">
        <v>343</v>
      </c>
      <c r="G16" s="8" t="str">
        <f t="shared" si="0"/>
        <v>BADERTSCHER DIANE</v>
      </c>
    </row>
    <row r="17" spans="1:7" x14ac:dyDescent="0.25">
      <c r="A17" s="8">
        <v>42771.169861111113</v>
      </c>
      <c r="B17" s="20" t="s">
        <v>322</v>
      </c>
      <c r="C17" s="20" t="s">
        <v>542</v>
      </c>
      <c r="D17" s="150">
        <v>2110000</v>
      </c>
      <c r="E17" s="20" t="s">
        <v>534</v>
      </c>
      <c r="F17" s="20" t="s">
        <v>535</v>
      </c>
      <c r="G17" s="8" t="str">
        <f t="shared" si="0"/>
        <v>OUN ZACK</v>
      </c>
    </row>
    <row r="18" spans="1:7" x14ac:dyDescent="0.25">
      <c r="A18" s="8">
        <v>42771.171574074076</v>
      </c>
      <c r="B18" s="20" t="s">
        <v>214</v>
      </c>
      <c r="C18" s="20" t="s">
        <v>543</v>
      </c>
      <c r="D18" s="150">
        <v>1240000</v>
      </c>
      <c r="E18" s="20" t="s">
        <v>385</v>
      </c>
      <c r="F18" s="20" t="s">
        <v>386</v>
      </c>
      <c r="G18" s="8" t="str">
        <f t="shared" si="0"/>
        <v>GRASTON MATHEU</v>
      </c>
    </row>
    <row r="19" spans="1:7" x14ac:dyDescent="0.25">
      <c r="A19" s="8">
        <v>42771.1721412037</v>
      </c>
      <c r="B19" s="20" t="s">
        <v>214</v>
      </c>
      <c r="C19" s="20" t="s">
        <v>543</v>
      </c>
      <c r="D19" s="150">
        <v>1240000</v>
      </c>
      <c r="E19" s="20" t="s">
        <v>385</v>
      </c>
      <c r="F19" s="20" t="s">
        <v>386</v>
      </c>
      <c r="G19" s="8" t="str">
        <f t="shared" si="0"/>
        <v>GRASTON MATHEU</v>
      </c>
    </row>
    <row r="20" spans="1:7" x14ac:dyDescent="0.25">
      <c r="A20" s="8">
        <v>42771.17597222222</v>
      </c>
      <c r="B20" s="20" t="s">
        <v>231</v>
      </c>
      <c r="C20" s="20" t="s">
        <v>544</v>
      </c>
      <c r="D20" s="150">
        <v>1990000</v>
      </c>
      <c r="E20" s="20" t="s">
        <v>545</v>
      </c>
      <c r="F20" s="20" t="s">
        <v>546</v>
      </c>
      <c r="G20" s="8" t="str">
        <f t="shared" si="0"/>
        <v>DAVIS WENDY</v>
      </c>
    </row>
    <row r="21" spans="1:7" x14ac:dyDescent="0.25">
      <c r="A21" s="8">
        <v>42771.176527777781</v>
      </c>
      <c r="B21" s="20" t="s">
        <v>316</v>
      </c>
      <c r="C21" s="20" t="s">
        <v>547</v>
      </c>
      <c r="D21" s="150">
        <v>2550000</v>
      </c>
      <c r="E21" s="20" t="s">
        <v>342</v>
      </c>
      <c r="F21" s="20" t="s">
        <v>343</v>
      </c>
      <c r="G21" s="8" t="str">
        <f t="shared" si="0"/>
        <v>BADERTSCHER DIANE</v>
      </c>
    </row>
    <row r="22" spans="1:7" x14ac:dyDescent="0.25">
      <c r="A22" s="26">
        <v>42771.179201388892</v>
      </c>
      <c r="B22" s="20" t="s">
        <v>376</v>
      </c>
      <c r="C22" s="20" t="s">
        <v>548</v>
      </c>
      <c r="D22" s="150">
        <v>2350000</v>
      </c>
      <c r="E22" s="20" t="s">
        <v>549</v>
      </c>
      <c r="F22" s="20" t="s">
        <v>550</v>
      </c>
      <c r="G22" s="8" t="str">
        <f t="shared" si="0"/>
        <v>BERLING GARY</v>
      </c>
    </row>
    <row r="23" spans="1:7" x14ac:dyDescent="0.25">
      <c r="A23" s="8">
        <v>42771.17931712963</v>
      </c>
      <c r="B23" s="20" t="s">
        <v>239</v>
      </c>
      <c r="C23" s="20" t="s">
        <v>543</v>
      </c>
      <c r="D23" s="150">
        <v>1240000</v>
      </c>
      <c r="E23" s="20" t="s">
        <v>385</v>
      </c>
      <c r="F23" s="20" t="s">
        <v>386</v>
      </c>
      <c r="G23" s="8" t="str">
        <f t="shared" si="0"/>
        <v>GRASTON MATHEU</v>
      </c>
    </row>
    <row r="24" spans="1:7" x14ac:dyDescent="0.25">
      <c r="A24" s="8">
        <v>42771.179814814815</v>
      </c>
      <c r="B24" s="20" t="s">
        <v>376</v>
      </c>
      <c r="C24" s="20" t="s">
        <v>548</v>
      </c>
      <c r="D24" s="150">
        <v>2350000</v>
      </c>
      <c r="E24" s="20" t="s">
        <v>549</v>
      </c>
      <c r="F24" s="20" t="s">
        <v>550</v>
      </c>
      <c r="G24" s="8" t="str">
        <f t="shared" si="0"/>
        <v>BERLING GARY</v>
      </c>
    </row>
    <row r="25" spans="1:7" x14ac:dyDescent="0.25">
      <c r="A25" s="8">
        <v>42771.181064814817</v>
      </c>
      <c r="B25" s="20" t="s">
        <v>376</v>
      </c>
      <c r="C25" s="20" t="s">
        <v>548</v>
      </c>
      <c r="D25" s="150">
        <v>2350000</v>
      </c>
      <c r="E25" s="20" t="s">
        <v>549</v>
      </c>
      <c r="F25" s="20" t="s">
        <v>550</v>
      </c>
      <c r="G25" s="8" t="str">
        <f t="shared" si="0"/>
        <v>BERLING GARY</v>
      </c>
    </row>
    <row r="26" spans="1:7" x14ac:dyDescent="0.25">
      <c r="A26" s="8">
        <v>42771.181284722225</v>
      </c>
      <c r="B26" s="20" t="s">
        <v>239</v>
      </c>
      <c r="C26" s="20" t="s">
        <v>543</v>
      </c>
      <c r="D26" s="150">
        <v>1240000</v>
      </c>
      <c r="E26" s="20" t="s">
        <v>385</v>
      </c>
      <c r="F26" s="20" t="s">
        <v>386</v>
      </c>
      <c r="G26" s="8" t="str">
        <f t="shared" si="0"/>
        <v>GRASTON MATHEU</v>
      </c>
    </row>
    <row r="27" spans="1:7" x14ac:dyDescent="0.25">
      <c r="A27" s="8">
        <v>42771.184340277781</v>
      </c>
      <c r="B27" s="20" t="s">
        <v>197</v>
      </c>
      <c r="C27" s="20" t="s">
        <v>551</v>
      </c>
      <c r="D27" s="150">
        <v>1990000</v>
      </c>
      <c r="E27" s="20" t="s">
        <v>545</v>
      </c>
      <c r="F27" s="20" t="s">
        <v>546</v>
      </c>
      <c r="G27" s="8" t="str">
        <f t="shared" si="0"/>
        <v>DAVIS WENDY</v>
      </c>
    </row>
    <row r="28" spans="1:7" x14ac:dyDescent="0.25">
      <c r="A28" s="8">
        <v>42771.18990740741</v>
      </c>
      <c r="B28" s="20" t="s">
        <v>224</v>
      </c>
      <c r="C28" s="20" t="s">
        <v>552</v>
      </c>
      <c r="D28" s="150">
        <v>2010000</v>
      </c>
      <c r="E28" s="20" t="s">
        <v>538</v>
      </c>
      <c r="F28" s="20" t="s">
        <v>539</v>
      </c>
      <c r="G28" s="8" t="str">
        <f t="shared" si="0"/>
        <v>MAELZER KURT</v>
      </c>
    </row>
    <row r="29" spans="1:7" x14ac:dyDescent="0.25">
      <c r="A29" s="8">
        <v>42771.193356481483</v>
      </c>
      <c r="B29" s="20" t="s">
        <v>287</v>
      </c>
      <c r="C29" s="20" t="s">
        <v>499</v>
      </c>
      <c r="D29" s="150">
        <v>2350000</v>
      </c>
      <c r="E29" s="20" t="s">
        <v>549</v>
      </c>
      <c r="F29" s="20" t="s">
        <v>550</v>
      </c>
      <c r="G29" s="8" t="str">
        <f t="shared" si="0"/>
        <v>BERLING GARY</v>
      </c>
    </row>
    <row r="30" spans="1:7" x14ac:dyDescent="0.25">
      <c r="A30" s="8">
        <v>42771.20894675926</v>
      </c>
      <c r="B30" s="20" t="s">
        <v>540</v>
      </c>
      <c r="C30" s="20" t="s">
        <v>553</v>
      </c>
      <c r="D30" s="150">
        <v>2550000</v>
      </c>
      <c r="E30" s="20" t="s">
        <v>342</v>
      </c>
      <c r="F30" s="20" t="s">
        <v>343</v>
      </c>
      <c r="G30" s="8" t="str">
        <f t="shared" si="0"/>
        <v>BADERTSCHER DIANE</v>
      </c>
    </row>
    <row r="31" spans="1:7" x14ac:dyDescent="0.25">
      <c r="A31" s="8">
        <v>42771.214108796295</v>
      </c>
      <c r="B31" s="20" t="s">
        <v>518</v>
      </c>
      <c r="C31" s="20" t="s">
        <v>554</v>
      </c>
      <c r="D31" s="150">
        <v>1100000</v>
      </c>
      <c r="E31" s="20" t="s">
        <v>338</v>
      </c>
      <c r="F31" s="20" t="s">
        <v>339</v>
      </c>
      <c r="G31" s="8" t="str">
        <f t="shared" si="0"/>
        <v>GEBRETEKLE DAGNEW</v>
      </c>
    </row>
    <row r="32" spans="1:7" x14ac:dyDescent="0.25">
      <c r="A32" s="8">
        <v>42771.215590277781</v>
      </c>
      <c r="B32" s="20" t="s">
        <v>323</v>
      </c>
      <c r="C32" s="20" t="s">
        <v>555</v>
      </c>
      <c r="D32" s="150">
        <v>2110000</v>
      </c>
      <c r="E32" s="20" t="s">
        <v>534</v>
      </c>
      <c r="F32" s="20" t="s">
        <v>535</v>
      </c>
      <c r="G32" s="8" t="str">
        <f t="shared" si="0"/>
        <v>OUN ZACK</v>
      </c>
    </row>
    <row r="33" spans="1:7" x14ac:dyDescent="0.25">
      <c r="A33" s="8">
        <v>42771.22420138889</v>
      </c>
      <c r="B33" s="20" t="s">
        <v>231</v>
      </c>
      <c r="C33" s="20" t="s">
        <v>556</v>
      </c>
      <c r="D33" s="150">
        <v>1990000</v>
      </c>
      <c r="E33" s="20" t="s">
        <v>545</v>
      </c>
      <c r="F33" s="20" t="s">
        <v>546</v>
      </c>
      <c r="G33" s="8" t="str">
        <f t="shared" si="0"/>
        <v>DAVIS WENDY</v>
      </c>
    </row>
    <row r="34" spans="1:7" x14ac:dyDescent="0.25">
      <c r="A34" s="8">
        <v>42771.225474537037</v>
      </c>
      <c r="B34" s="20" t="s">
        <v>277</v>
      </c>
      <c r="C34" s="20" t="s">
        <v>557</v>
      </c>
      <c r="D34" s="150">
        <v>1830000</v>
      </c>
      <c r="E34" s="20" t="s">
        <v>340</v>
      </c>
      <c r="F34" s="20" t="s">
        <v>341</v>
      </c>
      <c r="G34" s="8" t="str">
        <f t="shared" si="0"/>
        <v>YORK EDGAR</v>
      </c>
    </row>
    <row r="35" spans="1:7" x14ac:dyDescent="0.25">
      <c r="A35" s="8">
        <v>42771.227187500001</v>
      </c>
      <c r="B35" s="20" t="s">
        <v>536</v>
      </c>
      <c r="C35" s="20" t="s">
        <v>558</v>
      </c>
      <c r="D35" s="150">
        <v>2020000</v>
      </c>
      <c r="E35" s="20" t="s">
        <v>374</v>
      </c>
      <c r="F35" s="20" t="s">
        <v>375</v>
      </c>
      <c r="G35" s="8" t="str">
        <f t="shared" si="0"/>
        <v>SHOOK JOHN</v>
      </c>
    </row>
    <row r="36" spans="1:7" x14ac:dyDescent="0.25">
      <c r="A36" s="8">
        <v>42771.228263888886</v>
      </c>
      <c r="B36" s="20" t="s">
        <v>248</v>
      </c>
      <c r="C36" s="20" t="s">
        <v>559</v>
      </c>
      <c r="D36" s="150">
        <v>2010000</v>
      </c>
      <c r="E36" s="20" t="s">
        <v>538</v>
      </c>
      <c r="F36" s="20" t="s">
        <v>539</v>
      </c>
      <c r="G36" s="8" t="str">
        <f t="shared" si="0"/>
        <v>MAELZER KURT</v>
      </c>
    </row>
    <row r="37" spans="1:7" x14ac:dyDescent="0.25">
      <c r="A37" s="8">
        <v>42771.230358796296</v>
      </c>
      <c r="B37" s="20" t="s">
        <v>376</v>
      </c>
      <c r="C37" s="20" t="s">
        <v>560</v>
      </c>
      <c r="D37" s="150">
        <v>2350000</v>
      </c>
      <c r="E37" s="20" t="s">
        <v>549</v>
      </c>
      <c r="F37" s="20" t="s">
        <v>550</v>
      </c>
      <c r="G37" s="8" t="str">
        <f t="shared" si="0"/>
        <v>BERLING GARY</v>
      </c>
    </row>
    <row r="38" spans="1:7" x14ac:dyDescent="0.25">
      <c r="A38" s="8">
        <v>42771.233993055554</v>
      </c>
      <c r="B38" s="20" t="s">
        <v>278</v>
      </c>
      <c r="C38" s="20" t="s">
        <v>561</v>
      </c>
      <c r="D38" s="150">
        <v>1830000</v>
      </c>
      <c r="E38" s="20" t="s">
        <v>340</v>
      </c>
      <c r="F38" s="20" t="s">
        <v>341</v>
      </c>
      <c r="G38" s="8" t="str">
        <f t="shared" si="0"/>
        <v>YORK EDGAR</v>
      </c>
    </row>
    <row r="39" spans="1:7" x14ac:dyDescent="0.25">
      <c r="A39" s="8">
        <v>42771.244155092594</v>
      </c>
      <c r="B39" s="20" t="s">
        <v>562</v>
      </c>
      <c r="C39" s="20" t="s">
        <v>563</v>
      </c>
      <c r="D39" s="150">
        <v>1100000</v>
      </c>
      <c r="E39" s="20" t="s">
        <v>338</v>
      </c>
      <c r="F39" s="20" t="s">
        <v>339</v>
      </c>
      <c r="G39" s="8" t="str">
        <f t="shared" si="0"/>
        <v>GEBRETEKLE DAGNEW</v>
      </c>
    </row>
    <row r="40" spans="1:7" x14ac:dyDescent="0.25">
      <c r="A40" s="8">
        <v>42771.24726851852</v>
      </c>
      <c r="B40" s="25" t="s">
        <v>277</v>
      </c>
      <c r="C40" s="20" t="s">
        <v>564</v>
      </c>
      <c r="D40" s="150">
        <v>1830000</v>
      </c>
      <c r="E40" s="20" t="s">
        <v>340</v>
      </c>
      <c r="F40" s="20" t="s">
        <v>341</v>
      </c>
      <c r="G40" s="8" t="str">
        <f t="shared" si="0"/>
        <v>YORK EDGAR</v>
      </c>
    </row>
    <row r="41" spans="1:7" x14ac:dyDescent="0.25">
      <c r="A41" s="8">
        <v>42771.249780092592</v>
      </c>
      <c r="B41" s="20" t="s">
        <v>316</v>
      </c>
      <c r="C41" s="20" t="s">
        <v>500</v>
      </c>
      <c r="D41" s="150">
        <v>2550000</v>
      </c>
      <c r="E41" s="20" t="s">
        <v>342</v>
      </c>
      <c r="F41" s="20" t="s">
        <v>343</v>
      </c>
      <c r="G41" s="8" t="str">
        <f t="shared" si="0"/>
        <v>BADERTSCHER DIANE</v>
      </c>
    </row>
    <row r="42" spans="1:7" x14ac:dyDescent="0.25">
      <c r="A42" s="8">
        <v>42771.254942129628</v>
      </c>
      <c r="B42" s="20" t="s">
        <v>322</v>
      </c>
      <c r="C42" s="20" t="s">
        <v>501</v>
      </c>
      <c r="D42" s="150">
        <v>2110000</v>
      </c>
      <c r="E42" s="20" t="s">
        <v>534</v>
      </c>
      <c r="F42" s="20" t="s">
        <v>535</v>
      </c>
      <c r="G42" s="8" t="str">
        <f t="shared" si="0"/>
        <v>OUN ZACK</v>
      </c>
    </row>
    <row r="43" spans="1:7" x14ac:dyDescent="0.25">
      <c r="A43" s="8">
        <v>42771.256053240744</v>
      </c>
      <c r="B43" s="20" t="s">
        <v>197</v>
      </c>
      <c r="C43" s="20" t="s">
        <v>565</v>
      </c>
      <c r="D43" s="150">
        <v>1990000</v>
      </c>
      <c r="E43" s="20" t="s">
        <v>545</v>
      </c>
      <c r="F43" s="20" t="s">
        <v>546</v>
      </c>
      <c r="G43" s="8" t="str">
        <f t="shared" si="0"/>
        <v>DAVIS WENDY</v>
      </c>
    </row>
    <row r="44" spans="1:7" x14ac:dyDescent="0.25">
      <c r="A44" s="8">
        <v>42771.258020833331</v>
      </c>
      <c r="B44" s="20" t="s">
        <v>566</v>
      </c>
      <c r="C44" s="20" t="s">
        <v>567</v>
      </c>
      <c r="D44" s="150">
        <v>2020000</v>
      </c>
      <c r="E44" s="20" t="s">
        <v>374</v>
      </c>
      <c r="F44" s="20" t="s">
        <v>375</v>
      </c>
      <c r="G44" s="8" t="str">
        <f t="shared" si="0"/>
        <v>SHOOK JOHN</v>
      </c>
    </row>
    <row r="45" spans="1:7" x14ac:dyDescent="0.25">
      <c r="A45" s="8">
        <v>42771.266875000001</v>
      </c>
      <c r="B45" s="20" t="s">
        <v>287</v>
      </c>
      <c r="C45" s="20" t="s">
        <v>568</v>
      </c>
      <c r="D45" s="150">
        <v>2350000</v>
      </c>
      <c r="E45" s="20" t="s">
        <v>549</v>
      </c>
      <c r="F45" s="20" t="s">
        <v>550</v>
      </c>
      <c r="G45" s="8" t="str">
        <f t="shared" si="0"/>
        <v>BERLING GARY</v>
      </c>
    </row>
    <row r="46" spans="1:7" x14ac:dyDescent="0.25">
      <c r="A46" s="8">
        <v>42771.270856481482</v>
      </c>
      <c r="B46" s="20" t="s">
        <v>224</v>
      </c>
      <c r="C46" s="20" t="s">
        <v>569</v>
      </c>
      <c r="D46" s="150">
        <v>2010000</v>
      </c>
      <c r="E46" s="20" t="s">
        <v>538</v>
      </c>
      <c r="F46" s="20" t="s">
        <v>539</v>
      </c>
      <c r="G46" s="8" t="str">
        <f t="shared" si="0"/>
        <v>MAELZER KURT</v>
      </c>
    </row>
    <row r="47" spans="1:7" x14ac:dyDescent="0.25">
      <c r="A47" s="8">
        <v>42771.275891203702</v>
      </c>
      <c r="B47" s="20" t="s">
        <v>278</v>
      </c>
      <c r="C47" s="20" t="s">
        <v>570</v>
      </c>
      <c r="D47" s="150">
        <v>1830000</v>
      </c>
      <c r="E47" s="20" t="s">
        <v>340</v>
      </c>
      <c r="F47" s="20" t="s">
        <v>341</v>
      </c>
      <c r="G47" s="8" t="str">
        <f t="shared" si="0"/>
        <v>YORK EDGAR</v>
      </c>
    </row>
    <row r="48" spans="1:7" x14ac:dyDescent="0.25">
      <c r="A48" s="8">
        <v>42771.276273148149</v>
      </c>
      <c r="B48" s="20" t="s">
        <v>518</v>
      </c>
      <c r="C48" s="20" t="s">
        <v>571</v>
      </c>
      <c r="D48" s="150">
        <v>1100000</v>
      </c>
      <c r="E48" s="20" t="s">
        <v>338</v>
      </c>
      <c r="F48" s="20" t="s">
        <v>339</v>
      </c>
      <c r="G48" s="8" t="str">
        <f t="shared" si="0"/>
        <v>GEBRETEKLE DAGNEW</v>
      </c>
    </row>
    <row r="49" spans="1:7" x14ac:dyDescent="0.25">
      <c r="A49" s="8">
        <v>42771.285682870373</v>
      </c>
      <c r="B49" s="20" t="s">
        <v>238</v>
      </c>
      <c r="C49" s="20" t="s">
        <v>572</v>
      </c>
      <c r="D49" s="150">
        <v>2550000</v>
      </c>
      <c r="E49" s="20" t="s">
        <v>342</v>
      </c>
      <c r="F49" s="20" t="s">
        <v>343</v>
      </c>
      <c r="G49" s="8" t="str">
        <f t="shared" si="0"/>
        <v>BADERTSCHER DIANE</v>
      </c>
    </row>
    <row r="50" spans="1:7" x14ac:dyDescent="0.25">
      <c r="A50" s="8">
        <v>42771.289178240739</v>
      </c>
      <c r="B50" s="20" t="s">
        <v>323</v>
      </c>
      <c r="C50" s="20" t="s">
        <v>502</v>
      </c>
      <c r="D50" s="150">
        <v>2110000</v>
      </c>
      <c r="E50" s="20" t="s">
        <v>534</v>
      </c>
      <c r="F50" s="20" t="s">
        <v>535</v>
      </c>
      <c r="G50" s="8" t="str">
        <f t="shared" si="0"/>
        <v>OUN ZACK</v>
      </c>
    </row>
    <row r="51" spans="1:7" x14ac:dyDescent="0.25">
      <c r="A51" s="8">
        <v>42771.2893287037</v>
      </c>
      <c r="B51" s="20" t="s">
        <v>277</v>
      </c>
      <c r="C51" s="20" t="s">
        <v>573</v>
      </c>
      <c r="D51" s="150">
        <v>1830000</v>
      </c>
      <c r="E51" s="20" t="s">
        <v>340</v>
      </c>
      <c r="F51" s="20" t="s">
        <v>341</v>
      </c>
      <c r="G51" s="8" t="str">
        <f t="shared" si="0"/>
        <v>YORK EDGAR</v>
      </c>
    </row>
    <row r="52" spans="1:7" x14ac:dyDescent="0.25">
      <c r="A52" s="8">
        <v>42771.295590277776</v>
      </c>
      <c r="B52" s="20" t="s">
        <v>231</v>
      </c>
      <c r="C52" s="20" t="s">
        <v>574</v>
      </c>
      <c r="D52" s="150">
        <v>1990000</v>
      </c>
      <c r="E52" s="20" t="s">
        <v>545</v>
      </c>
      <c r="F52" s="20" t="s">
        <v>546</v>
      </c>
      <c r="G52" s="8" t="str">
        <f t="shared" si="0"/>
        <v>DAVIS WENDY</v>
      </c>
    </row>
    <row r="53" spans="1:7" x14ac:dyDescent="0.25">
      <c r="A53" s="8">
        <v>42771.298391203702</v>
      </c>
      <c r="B53" s="20" t="s">
        <v>536</v>
      </c>
      <c r="C53" s="20" t="s">
        <v>575</v>
      </c>
      <c r="D53" s="150">
        <v>2020000</v>
      </c>
      <c r="E53" s="20" t="s">
        <v>374</v>
      </c>
      <c r="F53" s="20" t="s">
        <v>375</v>
      </c>
      <c r="G53" s="8" t="str">
        <f t="shared" si="0"/>
        <v>SHOOK JOHN</v>
      </c>
    </row>
    <row r="54" spans="1:7" x14ac:dyDescent="0.25">
      <c r="A54" s="8">
        <v>42771.302210648151</v>
      </c>
      <c r="B54" s="20" t="s">
        <v>376</v>
      </c>
      <c r="C54" s="20" t="s">
        <v>576</v>
      </c>
      <c r="D54" s="150">
        <v>2350000</v>
      </c>
      <c r="E54" s="20" t="s">
        <v>549</v>
      </c>
      <c r="F54" s="20" t="s">
        <v>550</v>
      </c>
      <c r="G54" s="8" t="str">
        <f t="shared" si="0"/>
        <v>BERLING GARY</v>
      </c>
    </row>
    <row r="55" spans="1:7" x14ac:dyDescent="0.25">
      <c r="A55" s="8">
        <v>42771.310173611113</v>
      </c>
      <c r="B55" s="20" t="s">
        <v>248</v>
      </c>
      <c r="C55" s="20" t="s">
        <v>577</v>
      </c>
      <c r="D55" s="150">
        <v>2010000</v>
      </c>
      <c r="E55" s="20" t="s">
        <v>538</v>
      </c>
      <c r="F55" s="20" t="s">
        <v>539</v>
      </c>
      <c r="G55" s="8" t="str">
        <f t="shared" si="0"/>
        <v>MAELZER KURT</v>
      </c>
    </row>
    <row r="56" spans="1:7" x14ac:dyDescent="0.25">
      <c r="A56" s="8">
        <v>42771.31486111111</v>
      </c>
      <c r="B56" s="20" t="s">
        <v>562</v>
      </c>
      <c r="C56" s="20" t="s">
        <v>578</v>
      </c>
      <c r="D56" s="150">
        <v>1100000</v>
      </c>
      <c r="E56" s="20" t="s">
        <v>338</v>
      </c>
      <c r="F56" s="20" t="s">
        <v>339</v>
      </c>
      <c r="G56" s="8" t="str">
        <f t="shared" si="0"/>
        <v>GEBRETEKLE DAGNEW</v>
      </c>
    </row>
    <row r="57" spans="1:7" x14ac:dyDescent="0.25">
      <c r="A57" s="8">
        <v>42771.317939814813</v>
      </c>
      <c r="B57" s="20" t="s">
        <v>278</v>
      </c>
      <c r="C57" s="20" t="s">
        <v>579</v>
      </c>
      <c r="D57" s="150">
        <v>1830000</v>
      </c>
      <c r="E57" s="20" t="s">
        <v>340</v>
      </c>
      <c r="F57" s="20" t="s">
        <v>341</v>
      </c>
      <c r="G57" s="8" t="str">
        <f t="shared" si="0"/>
        <v>YORK EDGAR</v>
      </c>
    </row>
    <row r="58" spans="1:7" x14ac:dyDescent="0.25">
      <c r="A58" s="8">
        <v>42771.321782407409</v>
      </c>
      <c r="B58" s="20" t="s">
        <v>316</v>
      </c>
      <c r="C58" s="20" t="s">
        <v>580</v>
      </c>
      <c r="D58" s="150">
        <v>2550000</v>
      </c>
      <c r="E58" s="20" t="s">
        <v>342</v>
      </c>
      <c r="F58" s="20" t="s">
        <v>343</v>
      </c>
      <c r="G58" s="8" t="str">
        <f t="shared" si="0"/>
        <v>BADERTSCHER DIANE</v>
      </c>
    </row>
    <row r="59" spans="1:7" x14ac:dyDescent="0.25">
      <c r="A59" s="8">
        <v>42771.327025462961</v>
      </c>
      <c r="B59" s="20" t="s">
        <v>322</v>
      </c>
      <c r="C59" s="20" t="s">
        <v>504</v>
      </c>
      <c r="D59" s="150">
        <v>2110000</v>
      </c>
      <c r="E59" s="20" t="s">
        <v>534</v>
      </c>
      <c r="F59" s="20" t="s">
        <v>535</v>
      </c>
      <c r="G59" s="8" t="str">
        <f t="shared" si="0"/>
        <v>OUN ZACK</v>
      </c>
    </row>
    <row r="60" spans="1:7" x14ac:dyDescent="0.25">
      <c r="A60" s="8">
        <v>42771.328946759262</v>
      </c>
      <c r="B60" s="20" t="s">
        <v>197</v>
      </c>
      <c r="C60" s="20" t="s">
        <v>581</v>
      </c>
      <c r="D60" s="150">
        <v>1990000</v>
      </c>
      <c r="E60" s="20" t="s">
        <v>545</v>
      </c>
      <c r="F60" s="20" t="s">
        <v>546</v>
      </c>
      <c r="G60" s="8" t="str">
        <f t="shared" si="0"/>
        <v>DAVIS WENDY</v>
      </c>
    </row>
    <row r="61" spans="1:7" x14ac:dyDescent="0.25">
      <c r="A61" s="8">
        <v>42771.33116898148</v>
      </c>
      <c r="B61" s="20" t="s">
        <v>566</v>
      </c>
      <c r="C61" s="20" t="s">
        <v>582</v>
      </c>
      <c r="D61" s="150">
        <v>2020000</v>
      </c>
      <c r="E61" s="20" t="s">
        <v>374</v>
      </c>
      <c r="F61" s="20" t="s">
        <v>375</v>
      </c>
      <c r="G61" s="8" t="str">
        <f t="shared" si="0"/>
        <v>SHOOK JOHN</v>
      </c>
    </row>
    <row r="62" spans="1:7" x14ac:dyDescent="0.25">
      <c r="A62" s="8">
        <v>42771.331666666665</v>
      </c>
      <c r="B62" s="20" t="s">
        <v>277</v>
      </c>
      <c r="C62" s="20" t="s">
        <v>583</v>
      </c>
      <c r="D62" s="150">
        <v>1830000</v>
      </c>
      <c r="E62" s="20" t="s">
        <v>340</v>
      </c>
      <c r="F62" s="20" t="s">
        <v>341</v>
      </c>
      <c r="G62" s="8" t="str">
        <f t="shared" si="0"/>
        <v>YORK EDGAR</v>
      </c>
    </row>
    <row r="63" spans="1:7" x14ac:dyDescent="0.25">
      <c r="A63" s="8">
        <v>42771.339189814818</v>
      </c>
      <c r="B63" s="20" t="s">
        <v>287</v>
      </c>
      <c r="C63" s="20" t="s">
        <v>584</v>
      </c>
      <c r="D63" s="150">
        <v>2350000</v>
      </c>
      <c r="E63" s="20" t="s">
        <v>549</v>
      </c>
      <c r="F63" s="20" t="s">
        <v>550</v>
      </c>
      <c r="G63" s="8" t="str">
        <f t="shared" si="0"/>
        <v>BERLING GARY</v>
      </c>
    </row>
    <row r="64" spans="1:7" x14ac:dyDescent="0.25">
      <c r="A64" s="26">
        <v>42771.344027777777</v>
      </c>
      <c r="B64" s="20" t="s">
        <v>224</v>
      </c>
      <c r="C64" s="20" t="s">
        <v>503</v>
      </c>
      <c r="D64" s="150">
        <v>2010000</v>
      </c>
      <c r="E64" s="20" t="s">
        <v>538</v>
      </c>
      <c r="F64" s="20" t="s">
        <v>539</v>
      </c>
      <c r="G64" s="8" t="str">
        <f t="shared" si="0"/>
        <v>MAELZER KURT</v>
      </c>
    </row>
    <row r="65" spans="1:7" x14ac:dyDescent="0.25">
      <c r="A65" s="8">
        <v>42771.348645833335</v>
      </c>
      <c r="B65" s="20" t="s">
        <v>518</v>
      </c>
      <c r="C65" s="20" t="s">
        <v>585</v>
      </c>
      <c r="D65" s="150">
        <v>1100000</v>
      </c>
      <c r="E65" s="20" t="s">
        <v>338</v>
      </c>
      <c r="F65" s="20" t="s">
        <v>339</v>
      </c>
      <c r="G65" s="8" t="str">
        <f t="shared" si="0"/>
        <v>GEBRETEKLE DAGNEW</v>
      </c>
    </row>
    <row r="66" spans="1:7" x14ac:dyDescent="0.25">
      <c r="A66" s="8">
        <v>42771.353807870371</v>
      </c>
      <c r="B66" s="20" t="s">
        <v>238</v>
      </c>
      <c r="C66" s="20" t="s">
        <v>586</v>
      </c>
      <c r="D66" s="150">
        <v>2550000</v>
      </c>
      <c r="E66" s="20" t="s">
        <v>342</v>
      </c>
      <c r="F66" s="20" t="s">
        <v>343</v>
      </c>
      <c r="G66" s="8" t="str">
        <f t="shared" si="0"/>
        <v>BADERTSCHER DIANE</v>
      </c>
    </row>
    <row r="67" spans="1:7" x14ac:dyDescent="0.25">
      <c r="A67" s="8">
        <v>42771.359398148146</v>
      </c>
      <c r="B67" s="20" t="s">
        <v>278</v>
      </c>
      <c r="C67" s="20" t="s">
        <v>587</v>
      </c>
      <c r="D67" s="150">
        <v>1830000</v>
      </c>
      <c r="E67" s="20" t="s">
        <v>340</v>
      </c>
      <c r="F67" s="20" t="s">
        <v>341</v>
      </c>
      <c r="G67" s="8" t="str">
        <f t="shared" ref="G67:G130" si="1">E67&amp;" "&amp;F67</f>
        <v>YORK EDGAR</v>
      </c>
    </row>
    <row r="68" spans="1:7" x14ac:dyDescent="0.25">
      <c r="A68" s="8">
        <v>42771.359525462962</v>
      </c>
      <c r="B68" s="20" t="s">
        <v>323</v>
      </c>
      <c r="C68" s="20" t="s">
        <v>588</v>
      </c>
      <c r="D68" s="150">
        <v>2110000</v>
      </c>
      <c r="E68" s="20" t="s">
        <v>534</v>
      </c>
      <c r="F68" s="20" t="s">
        <v>535</v>
      </c>
      <c r="G68" s="8" t="str">
        <f t="shared" si="1"/>
        <v>OUN ZACK</v>
      </c>
    </row>
    <row r="69" spans="1:7" x14ac:dyDescent="0.25">
      <c r="A69" s="8">
        <v>42771.369201388887</v>
      </c>
      <c r="B69" s="20" t="s">
        <v>231</v>
      </c>
      <c r="C69" s="20" t="s">
        <v>589</v>
      </c>
      <c r="D69" s="150">
        <v>1990000</v>
      </c>
      <c r="E69" s="20" t="s">
        <v>545</v>
      </c>
      <c r="F69" s="20" t="s">
        <v>546</v>
      </c>
      <c r="G69" s="8" t="str">
        <f t="shared" si="1"/>
        <v>DAVIS WENDY</v>
      </c>
    </row>
    <row r="70" spans="1:7" x14ac:dyDescent="0.25">
      <c r="A70" s="8">
        <v>42771.371423611112</v>
      </c>
      <c r="B70" s="20" t="s">
        <v>536</v>
      </c>
      <c r="C70" s="20" t="s">
        <v>590</v>
      </c>
      <c r="D70" s="150">
        <v>2020000</v>
      </c>
      <c r="E70" s="20" t="s">
        <v>374</v>
      </c>
      <c r="F70" s="20" t="s">
        <v>375</v>
      </c>
      <c r="G70" s="8" t="str">
        <f t="shared" si="1"/>
        <v>SHOOK JOHN</v>
      </c>
    </row>
    <row r="71" spans="1:7" x14ac:dyDescent="0.25">
      <c r="A71" s="8">
        <v>42771.37232638889</v>
      </c>
      <c r="B71" s="20" t="s">
        <v>277</v>
      </c>
      <c r="C71" s="20" t="s">
        <v>591</v>
      </c>
      <c r="D71" s="150">
        <v>1830000</v>
      </c>
      <c r="E71" s="20" t="s">
        <v>340</v>
      </c>
      <c r="F71" s="20" t="s">
        <v>341</v>
      </c>
      <c r="G71" s="8" t="str">
        <f t="shared" si="1"/>
        <v>YORK EDGAR</v>
      </c>
    </row>
    <row r="72" spans="1:7" x14ac:dyDescent="0.25">
      <c r="A72" s="8">
        <v>42771.376759259256</v>
      </c>
      <c r="B72" s="20" t="s">
        <v>376</v>
      </c>
      <c r="C72" s="20" t="s">
        <v>592</v>
      </c>
      <c r="D72" s="150">
        <v>2350000</v>
      </c>
      <c r="E72" s="20" t="s">
        <v>549</v>
      </c>
      <c r="F72" s="20" t="s">
        <v>550</v>
      </c>
      <c r="G72" s="8" t="str">
        <f t="shared" si="1"/>
        <v>BERLING GARY</v>
      </c>
    </row>
    <row r="73" spans="1:7" x14ac:dyDescent="0.25">
      <c r="A73" s="8">
        <v>42771.38318287037</v>
      </c>
      <c r="B73" s="20" t="s">
        <v>248</v>
      </c>
      <c r="C73" s="20" t="s">
        <v>593</v>
      </c>
      <c r="D73" s="150">
        <v>2010000</v>
      </c>
      <c r="E73" s="20" t="s">
        <v>538</v>
      </c>
      <c r="F73" s="20" t="s">
        <v>539</v>
      </c>
      <c r="G73" s="8" t="str">
        <f t="shared" si="1"/>
        <v>MAELZER KURT</v>
      </c>
    </row>
    <row r="74" spans="1:7" x14ac:dyDescent="0.25">
      <c r="A74" s="8">
        <v>42771.387476851851</v>
      </c>
      <c r="B74" s="20" t="s">
        <v>562</v>
      </c>
      <c r="C74" s="20" t="s">
        <v>594</v>
      </c>
      <c r="D74" s="150">
        <v>1100000</v>
      </c>
      <c r="E74" s="20" t="s">
        <v>338</v>
      </c>
      <c r="F74" s="20" t="s">
        <v>339</v>
      </c>
      <c r="G74" s="8" t="str">
        <f t="shared" si="1"/>
        <v>GEBRETEKLE DAGNEW</v>
      </c>
    </row>
    <row r="75" spans="1:7" x14ac:dyDescent="0.25">
      <c r="A75" s="8">
        <v>42771.392627314817</v>
      </c>
      <c r="B75" s="20" t="s">
        <v>316</v>
      </c>
      <c r="C75" s="20" t="s">
        <v>595</v>
      </c>
      <c r="D75" s="150">
        <v>2550000</v>
      </c>
      <c r="E75" s="20" t="s">
        <v>342</v>
      </c>
      <c r="F75" s="20" t="s">
        <v>343</v>
      </c>
      <c r="G75" s="8" t="str">
        <f t="shared" si="1"/>
        <v>BADERTSCHER DIANE</v>
      </c>
    </row>
    <row r="76" spans="1:7" x14ac:dyDescent="0.25">
      <c r="A76" s="8">
        <v>42771.399733796294</v>
      </c>
      <c r="B76" s="20" t="s">
        <v>322</v>
      </c>
      <c r="C76" s="20" t="s">
        <v>596</v>
      </c>
      <c r="D76" s="150">
        <v>2110000</v>
      </c>
      <c r="E76" s="20" t="s">
        <v>534</v>
      </c>
      <c r="F76" s="20" t="s">
        <v>535</v>
      </c>
      <c r="G76" s="8" t="str">
        <f t="shared" si="1"/>
        <v>OUN ZACK</v>
      </c>
    </row>
    <row r="77" spans="1:7" x14ac:dyDescent="0.25">
      <c r="A77" s="8">
        <v>42771.399826388886</v>
      </c>
      <c r="B77" s="20" t="s">
        <v>278</v>
      </c>
      <c r="C77" s="20" t="s">
        <v>597</v>
      </c>
      <c r="D77" s="150">
        <v>1830000</v>
      </c>
      <c r="E77" s="20" t="s">
        <v>340</v>
      </c>
      <c r="F77" s="20" t="s">
        <v>341</v>
      </c>
      <c r="G77" s="8" t="str">
        <f t="shared" si="1"/>
        <v>YORK EDGAR</v>
      </c>
    </row>
    <row r="78" spans="1:7" x14ac:dyDescent="0.25">
      <c r="A78" s="8">
        <v>42771.401608796295</v>
      </c>
      <c r="B78" s="20" t="s">
        <v>197</v>
      </c>
      <c r="C78" s="20" t="s">
        <v>505</v>
      </c>
      <c r="D78" s="150">
        <v>1990000</v>
      </c>
      <c r="E78" s="20" t="s">
        <v>545</v>
      </c>
      <c r="F78" s="20" t="s">
        <v>546</v>
      </c>
      <c r="G78" s="8" t="str">
        <f t="shared" si="1"/>
        <v>DAVIS WENDY</v>
      </c>
    </row>
    <row r="79" spans="1:7" x14ac:dyDescent="0.25">
      <c r="A79" s="8">
        <v>42771.402766203704</v>
      </c>
      <c r="B79" s="20" t="s">
        <v>566</v>
      </c>
      <c r="C79" s="20" t="s">
        <v>598</v>
      </c>
      <c r="D79" s="150">
        <v>2020000</v>
      </c>
      <c r="E79" s="20" t="s">
        <v>374</v>
      </c>
      <c r="F79" s="20" t="s">
        <v>375</v>
      </c>
      <c r="G79" s="8" t="str">
        <f t="shared" si="1"/>
        <v>SHOOK JOHN</v>
      </c>
    </row>
    <row r="80" spans="1:7" x14ac:dyDescent="0.25">
      <c r="A80" s="8">
        <v>42771.411874999998</v>
      </c>
      <c r="B80" s="20" t="s">
        <v>287</v>
      </c>
      <c r="C80" s="20" t="s">
        <v>506</v>
      </c>
      <c r="D80" s="150">
        <v>2350000</v>
      </c>
      <c r="E80" s="20" t="s">
        <v>549</v>
      </c>
      <c r="F80" s="20" t="s">
        <v>550</v>
      </c>
      <c r="G80" s="8" t="str">
        <f t="shared" si="1"/>
        <v>BERLING GARY</v>
      </c>
    </row>
    <row r="81" spans="1:7" x14ac:dyDescent="0.25">
      <c r="A81" s="8">
        <v>42771.413865740738</v>
      </c>
      <c r="B81" s="20" t="s">
        <v>277</v>
      </c>
      <c r="C81" s="20" t="s">
        <v>599</v>
      </c>
      <c r="D81" s="150">
        <v>1830000</v>
      </c>
      <c r="E81" s="20" t="s">
        <v>340</v>
      </c>
      <c r="F81" s="20" t="s">
        <v>341</v>
      </c>
      <c r="G81" s="8" t="str">
        <f t="shared" si="1"/>
        <v>YORK EDGAR</v>
      </c>
    </row>
    <row r="82" spans="1:7" x14ac:dyDescent="0.25">
      <c r="A82" s="8">
        <v>42771.420590277776</v>
      </c>
      <c r="B82" s="20" t="s">
        <v>224</v>
      </c>
      <c r="C82" s="20" t="s">
        <v>600</v>
      </c>
      <c r="D82" s="150">
        <v>2010000</v>
      </c>
      <c r="E82" s="20" t="s">
        <v>538</v>
      </c>
      <c r="F82" s="20" t="s">
        <v>539</v>
      </c>
      <c r="G82" s="8" t="str">
        <f t="shared" si="1"/>
        <v>MAELZER KURT</v>
      </c>
    </row>
    <row r="83" spans="1:7" x14ac:dyDescent="0.25">
      <c r="A83" s="8">
        <v>42771.422650462962</v>
      </c>
      <c r="B83" s="20" t="s">
        <v>518</v>
      </c>
      <c r="C83" s="20" t="s">
        <v>601</v>
      </c>
      <c r="D83" s="150">
        <v>1100000</v>
      </c>
      <c r="E83" s="20" t="s">
        <v>338</v>
      </c>
      <c r="F83" s="20" t="s">
        <v>339</v>
      </c>
      <c r="G83" s="8" t="str">
        <f t="shared" si="1"/>
        <v>GEBRETEKLE DAGNEW</v>
      </c>
    </row>
    <row r="84" spans="1:7" x14ac:dyDescent="0.25">
      <c r="A84" s="8">
        <v>42771.424756944441</v>
      </c>
      <c r="B84" s="20" t="s">
        <v>238</v>
      </c>
      <c r="C84" s="20" t="s">
        <v>602</v>
      </c>
      <c r="D84" s="150">
        <v>2550000</v>
      </c>
      <c r="E84" s="20" t="s">
        <v>342</v>
      </c>
      <c r="F84" s="20" t="s">
        <v>343</v>
      </c>
      <c r="G84" s="8" t="str">
        <f t="shared" si="1"/>
        <v>BADERTSCHER DIANE</v>
      </c>
    </row>
    <row r="85" spans="1:7" x14ac:dyDescent="0.25">
      <c r="A85" s="8">
        <v>42771.43378472222</v>
      </c>
      <c r="B85" s="20" t="s">
        <v>323</v>
      </c>
      <c r="C85" s="20" t="s">
        <v>603</v>
      </c>
      <c r="D85" s="150">
        <v>2470000</v>
      </c>
      <c r="E85" s="20" t="s">
        <v>604</v>
      </c>
      <c r="F85" s="20" t="s">
        <v>605</v>
      </c>
      <c r="G85" s="8" t="str">
        <f t="shared" si="1"/>
        <v>ROMERO CHAD</v>
      </c>
    </row>
    <row r="86" spans="1:7" x14ac:dyDescent="0.25">
      <c r="A86" s="8">
        <v>42771.442569444444</v>
      </c>
      <c r="B86" s="20" t="s">
        <v>278</v>
      </c>
      <c r="C86" s="20" t="s">
        <v>606</v>
      </c>
      <c r="D86" s="150">
        <v>1830000</v>
      </c>
      <c r="E86" s="20" t="s">
        <v>340</v>
      </c>
      <c r="F86" s="20" t="s">
        <v>341</v>
      </c>
      <c r="G86" s="8" t="str">
        <f t="shared" si="1"/>
        <v>YORK EDGAR</v>
      </c>
    </row>
    <row r="87" spans="1:7" x14ac:dyDescent="0.25">
      <c r="A87" s="8">
        <v>42771.443703703706</v>
      </c>
      <c r="B87" s="20" t="s">
        <v>231</v>
      </c>
      <c r="C87" s="20" t="s">
        <v>607</v>
      </c>
      <c r="D87" s="150">
        <v>1990000</v>
      </c>
      <c r="E87" s="20" t="s">
        <v>545</v>
      </c>
      <c r="F87" s="20" t="s">
        <v>546</v>
      </c>
      <c r="G87" s="8" t="str">
        <f t="shared" si="1"/>
        <v>DAVIS WENDY</v>
      </c>
    </row>
    <row r="88" spans="1:7" x14ac:dyDescent="0.25">
      <c r="A88" s="8">
        <v>42771.443807870368</v>
      </c>
      <c r="B88" s="20" t="s">
        <v>536</v>
      </c>
      <c r="C88" s="20" t="s">
        <v>608</v>
      </c>
      <c r="D88" s="150">
        <v>2020000</v>
      </c>
      <c r="E88" s="20" t="s">
        <v>374</v>
      </c>
      <c r="F88" s="20" t="s">
        <v>375</v>
      </c>
      <c r="G88" s="8" t="str">
        <f t="shared" si="1"/>
        <v>SHOOK JOHN</v>
      </c>
    </row>
    <row r="89" spans="1:7" x14ac:dyDescent="0.25">
      <c r="A89" s="8">
        <v>42771.451990740738</v>
      </c>
      <c r="B89" s="20" t="s">
        <v>376</v>
      </c>
      <c r="C89" s="20" t="s">
        <v>609</v>
      </c>
      <c r="D89" s="150">
        <v>2350000</v>
      </c>
      <c r="E89" s="20" t="s">
        <v>549</v>
      </c>
      <c r="F89" s="20" t="s">
        <v>550</v>
      </c>
      <c r="G89" s="8" t="str">
        <f t="shared" si="1"/>
        <v>BERLING GARY</v>
      </c>
    </row>
    <row r="90" spans="1:7" x14ac:dyDescent="0.25">
      <c r="A90" s="8">
        <v>42771.453935185185</v>
      </c>
      <c r="B90" s="20" t="s">
        <v>248</v>
      </c>
      <c r="C90" s="20" t="s">
        <v>610</v>
      </c>
      <c r="D90" s="150">
        <v>880000</v>
      </c>
      <c r="E90" s="20" t="s">
        <v>611</v>
      </c>
      <c r="F90" s="20" t="s">
        <v>207</v>
      </c>
      <c r="G90" s="8" t="str">
        <f t="shared" si="1"/>
        <v>STEWART MICHAEL</v>
      </c>
    </row>
    <row r="91" spans="1:7" x14ac:dyDescent="0.25">
      <c r="A91" s="8">
        <v>42771.456030092595</v>
      </c>
      <c r="B91" s="20" t="s">
        <v>277</v>
      </c>
      <c r="C91" s="20" t="s">
        <v>612</v>
      </c>
      <c r="D91" s="150">
        <v>1830000</v>
      </c>
      <c r="E91" s="20" t="s">
        <v>340</v>
      </c>
      <c r="F91" s="20" t="s">
        <v>341</v>
      </c>
      <c r="G91" s="8" t="str">
        <f t="shared" si="1"/>
        <v>YORK EDGAR</v>
      </c>
    </row>
    <row r="92" spans="1:7" x14ac:dyDescent="0.25">
      <c r="A92" s="8">
        <v>42771.460405092592</v>
      </c>
      <c r="B92" s="20" t="s">
        <v>214</v>
      </c>
      <c r="C92" s="20" t="s">
        <v>507</v>
      </c>
      <c r="D92" s="150">
        <v>2560000</v>
      </c>
      <c r="E92" s="20" t="s">
        <v>379</v>
      </c>
      <c r="F92" s="20" t="s">
        <v>380</v>
      </c>
      <c r="G92" s="8" t="str">
        <f t="shared" si="1"/>
        <v>MACDONALD THOMAS</v>
      </c>
    </row>
    <row r="93" spans="1:7" x14ac:dyDescent="0.25">
      <c r="A93" s="8">
        <v>42771.462881944448</v>
      </c>
      <c r="B93" s="20" t="s">
        <v>562</v>
      </c>
      <c r="C93" s="20" t="s">
        <v>613</v>
      </c>
      <c r="D93" s="150">
        <v>1100000</v>
      </c>
      <c r="E93" s="20" t="s">
        <v>338</v>
      </c>
      <c r="F93" s="20" t="s">
        <v>339</v>
      </c>
      <c r="G93" s="8" t="str">
        <f t="shared" si="1"/>
        <v>GEBRETEKLE DAGNEW</v>
      </c>
    </row>
    <row r="94" spans="1:7" x14ac:dyDescent="0.25">
      <c r="A94" s="8">
        <v>42771.464780092596</v>
      </c>
      <c r="B94" s="20" t="s">
        <v>322</v>
      </c>
      <c r="C94" s="20" t="s">
        <v>614</v>
      </c>
      <c r="D94" s="150">
        <v>2470000</v>
      </c>
      <c r="E94" s="20" t="s">
        <v>604</v>
      </c>
      <c r="F94" s="20" t="s">
        <v>605</v>
      </c>
      <c r="G94" s="8" t="str">
        <f t="shared" si="1"/>
        <v>ROMERO CHAD</v>
      </c>
    </row>
    <row r="95" spans="1:7" x14ac:dyDescent="0.25">
      <c r="A95" s="8">
        <v>42771.46702546296</v>
      </c>
      <c r="B95" s="20" t="s">
        <v>316</v>
      </c>
      <c r="C95" s="20" t="s">
        <v>615</v>
      </c>
      <c r="D95" s="150">
        <v>920000</v>
      </c>
      <c r="E95" s="20" t="s">
        <v>545</v>
      </c>
      <c r="F95" s="20" t="s">
        <v>207</v>
      </c>
      <c r="G95" s="8" t="str">
        <f t="shared" si="1"/>
        <v>DAVIS MICHAEL</v>
      </c>
    </row>
    <row r="96" spans="1:7" x14ac:dyDescent="0.25">
      <c r="A96" s="8">
        <v>42771.475162037037</v>
      </c>
      <c r="B96" s="20" t="s">
        <v>197</v>
      </c>
      <c r="C96" s="20" t="s">
        <v>616</v>
      </c>
      <c r="D96" s="150">
        <v>1300000</v>
      </c>
      <c r="E96" s="20" t="s">
        <v>617</v>
      </c>
      <c r="F96" s="20" t="s">
        <v>618</v>
      </c>
      <c r="G96" s="8" t="str">
        <f t="shared" si="1"/>
        <v>LEVIN SCOTT</v>
      </c>
    </row>
    <row r="97" spans="1:7" x14ac:dyDescent="0.25">
      <c r="A97" s="8">
        <v>42771.476365740738</v>
      </c>
      <c r="B97" s="20" t="s">
        <v>566</v>
      </c>
      <c r="C97" s="20" t="s">
        <v>619</v>
      </c>
      <c r="D97" s="150">
        <v>2020000</v>
      </c>
      <c r="E97" s="20" t="s">
        <v>374</v>
      </c>
      <c r="F97" s="20" t="s">
        <v>375</v>
      </c>
      <c r="G97" s="8" t="str">
        <f t="shared" si="1"/>
        <v>SHOOK JOHN</v>
      </c>
    </row>
    <row r="98" spans="1:7" x14ac:dyDescent="0.25">
      <c r="A98" s="8">
        <v>42771.47824074074</v>
      </c>
      <c r="B98" s="20" t="s">
        <v>239</v>
      </c>
      <c r="C98" s="20" t="s">
        <v>620</v>
      </c>
      <c r="D98" s="150">
        <v>1990000</v>
      </c>
      <c r="E98" s="20" t="s">
        <v>545</v>
      </c>
      <c r="F98" s="20" t="s">
        <v>546</v>
      </c>
      <c r="G98" s="8" t="str">
        <f t="shared" si="1"/>
        <v>DAVIS WENDY</v>
      </c>
    </row>
    <row r="99" spans="1:7" x14ac:dyDescent="0.25">
      <c r="A99" s="8">
        <v>42771.483275462961</v>
      </c>
      <c r="B99" s="20" t="s">
        <v>278</v>
      </c>
      <c r="C99" s="20" t="s">
        <v>621</v>
      </c>
      <c r="D99" s="150">
        <v>1830000</v>
      </c>
      <c r="E99" s="20" t="s">
        <v>340</v>
      </c>
      <c r="F99" s="20" t="s">
        <v>341</v>
      </c>
      <c r="G99" s="8" t="str">
        <f t="shared" si="1"/>
        <v>YORK EDGAR</v>
      </c>
    </row>
    <row r="100" spans="1:7" x14ac:dyDescent="0.25">
      <c r="A100" s="8">
        <v>42771.485578703701</v>
      </c>
      <c r="B100" s="20" t="s">
        <v>287</v>
      </c>
      <c r="C100" s="20" t="s">
        <v>622</v>
      </c>
      <c r="D100" s="150">
        <v>2480000</v>
      </c>
      <c r="E100" s="20" t="s">
        <v>346</v>
      </c>
      <c r="F100" s="20" t="s">
        <v>228</v>
      </c>
      <c r="G100" s="8" t="str">
        <f t="shared" si="1"/>
        <v>WHITED DUSTIN</v>
      </c>
    </row>
    <row r="101" spans="1:7" x14ac:dyDescent="0.25">
      <c r="A101" s="8">
        <v>42771.493587962963</v>
      </c>
      <c r="B101" s="20" t="s">
        <v>224</v>
      </c>
      <c r="C101" s="20" t="s">
        <v>623</v>
      </c>
      <c r="D101" s="150">
        <v>880000</v>
      </c>
      <c r="E101" s="20" t="s">
        <v>611</v>
      </c>
      <c r="F101" s="20" t="s">
        <v>207</v>
      </c>
      <c r="G101" s="8" t="str">
        <f t="shared" si="1"/>
        <v>STEWART MICHAEL</v>
      </c>
    </row>
    <row r="102" spans="1:7" x14ac:dyDescent="0.25">
      <c r="A102" s="8">
        <v>42771.494375000002</v>
      </c>
      <c r="B102" s="20" t="s">
        <v>518</v>
      </c>
      <c r="C102" s="20" t="s">
        <v>624</v>
      </c>
      <c r="D102" s="150">
        <v>2250000</v>
      </c>
      <c r="E102" s="20" t="s">
        <v>625</v>
      </c>
      <c r="F102" s="20" t="s">
        <v>626</v>
      </c>
      <c r="G102" s="8" t="str">
        <f t="shared" si="1"/>
        <v>CRAYTON QUNTRELL</v>
      </c>
    </row>
    <row r="103" spans="1:7" x14ac:dyDescent="0.25">
      <c r="A103" s="8">
        <v>42771.498379629629</v>
      </c>
      <c r="B103" s="20" t="s">
        <v>277</v>
      </c>
      <c r="C103" s="20" t="s">
        <v>627</v>
      </c>
      <c r="D103" s="150">
        <v>1830000</v>
      </c>
      <c r="E103" s="20" t="s">
        <v>340</v>
      </c>
      <c r="F103" s="20" t="s">
        <v>341</v>
      </c>
      <c r="G103" s="8" t="str">
        <f t="shared" si="1"/>
        <v>YORK EDGAR</v>
      </c>
    </row>
    <row r="104" spans="1:7" x14ac:dyDescent="0.25">
      <c r="A104" s="8">
        <v>42771.505173611113</v>
      </c>
      <c r="B104" s="20" t="s">
        <v>323</v>
      </c>
      <c r="C104" s="20" t="s">
        <v>628</v>
      </c>
      <c r="D104" s="150">
        <v>2470000</v>
      </c>
      <c r="E104" s="20" t="s">
        <v>604</v>
      </c>
      <c r="F104" s="20" t="s">
        <v>605</v>
      </c>
      <c r="G104" s="8" t="str">
        <f t="shared" si="1"/>
        <v>ROMERO CHAD</v>
      </c>
    </row>
    <row r="105" spans="1:7" x14ac:dyDescent="0.25">
      <c r="A105" s="8">
        <v>42771.505196759259</v>
      </c>
      <c r="B105" s="20" t="s">
        <v>238</v>
      </c>
      <c r="C105" s="20" t="s">
        <v>629</v>
      </c>
      <c r="D105" s="150">
        <v>920000</v>
      </c>
      <c r="E105" s="20" t="s">
        <v>545</v>
      </c>
      <c r="F105" s="20" t="s">
        <v>207</v>
      </c>
      <c r="G105" s="8" t="str">
        <f t="shared" si="1"/>
        <v>DAVIS MICHAEL</v>
      </c>
    </row>
    <row r="106" spans="1:7" x14ac:dyDescent="0.25">
      <c r="A106" s="8">
        <v>42771.517071759263</v>
      </c>
      <c r="B106" s="20" t="s">
        <v>536</v>
      </c>
      <c r="C106" s="20" t="s">
        <v>630</v>
      </c>
      <c r="D106" s="150">
        <v>2030000</v>
      </c>
      <c r="E106" s="20" t="s">
        <v>631</v>
      </c>
      <c r="F106" s="20" t="s">
        <v>632</v>
      </c>
      <c r="G106" s="8" t="str">
        <f t="shared" si="1"/>
        <v>KILLION DAVID</v>
      </c>
    </row>
    <row r="107" spans="1:7" x14ac:dyDescent="0.25">
      <c r="A107" s="8">
        <v>42771.517106481479</v>
      </c>
      <c r="B107" s="20" t="s">
        <v>231</v>
      </c>
      <c r="C107" s="20" t="s">
        <v>633</v>
      </c>
      <c r="D107" s="150">
        <v>1300000</v>
      </c>
      <c r="E107" s="20" t="s">
        <v>617</v>
      </c>
      <c r="F107" s="20" t="s">
        <v>618</v>
      </c>
      <c r="G107" s="8" t="str">
        <f t="shared" si="1"/>
        <v>LEVIN SCOTT</v>
      </c>
    </row>
    <row r="108" spans="1:7" x14ac:dyDescent="0.25">
      <c r="A108" s="8">
        <v>42771.523402777777</v>
      </c>
      <c r="B108" s="20" t="s">
        <v>376</v>
      </c>
      <c r="C108" s="20" t="s">
        <v>634</v>
      </c>
      <c r="D108" s="150">
        <v>2480000</v>
      </c>
      <c r="E108" s="20" t="s">
        <v>346</v>
      </c>
      <c r="F108" s="20" t="s">
        <v>228</v>
      </c>
      <c r="G108" s="8" t="str">
        <f t="shared" si="1"/>
        <v>WHITED DUSTIN</v>
      </c>
    </row>
    <row r="109" spans="1:7" x14ac:dyDescent="0.25">
      <c r="A109" s="8">
        <v>42771.526342592595</v>
      </c>
      <c r="B109" s="20" t="s">
        <v>278</v>
      </c>
      <c r="C109" s="20" t="s">
        <v>635</v>
      </c>
      <c r="D109" s="150">
        <v>1830000</v>
      </c>
      <c r="E109" s="20" t="s">
        <v>340</v>
      </c>
      <c r="F109" s="20" t="s">
        <v>341</v>
      </c>
      <c r="G109" s="8" t="str">
        <f t="shared" si="1"/>
        <v>YORK EDGAR</v>
      </c>
    </row>
    <row r="110" spans="1:7" x14ac:dyDescent="0.25">
      <c r="A110" s="8">
        <v>42771.527731481481</v>
      </c>
      <c r="B110" s="20" t="s">
        <v>248</v>
      </c>
      <c r="C110" s="20" t="s">
        <v>636</v>
      </c>
      <c r="D110" s="150">
        <v>2530000</v>
      </c>
      <c r="E110" s="20" t="s">
        <v>637</v>
      </c>
      <c r="F110" s="20" t="s">
        <v>638</v>
      </c>
      <c r="G110" s="8" t="str">
        <f t="shared" si="1"/>
        <v>LALONDE GREGORY</v>
      </c>
    </row>
    <row r="111" spans="1:7" x14ac:dyDescent="0.25">
      <c r="A111" s="8">
        <v>42771.532488425924</v>
      </c>
      <c r="B111" s="20" t="s">
        <v>562</v>
      </c>
      <c r="C111" s="20" t="s">
        <v>639</v>
      </c>
      <c r="D111" s="150">
        <v>2250000</v>
      </c>
      <c r="E111" s="20" t="s">
        <v>625</v>
      </c>
      <c r="F111" s="20" t="s">
        <v>626</v>
      </c>
      <c r="G111" s="8" t="str">
        <f t="shared" si="1"/>
        <v>CRAYTON QUNTRELL</v>
      </c>
    </row>
    <row r="112" spans="1:7" x14ac:dyDescent="0.25">
      <c r="A112" s="8">
        <v>42771.538599537038</v>
      </c>
      <c r="B112" s="20" t="s">
        <v>316</v>
      </c>
      <c r="C112" s="20" t="s">
        <v>640</v>
      </c>
      <c r="D112" s="150">
        <v>920000</v>
      </c>
      <c r="E112" s="20" t="s">
        <v>545</v>
      </c>
      <c r="F112" s="20" t="s">
        <v>207</v>
      </c>
      <c r="G112" s="8" t="str">
        <f t="shared" si="1"/>
        <v>DAVIS MICHAEL</v>
      </c>
    </row>
    <row r="113" spans="1:7" x14ac:dyDescent="0.25">
      <c r="A113" s="8">
        <v>42771.539097222223</v>
      </c>
      <c r="B113" s="20" t="s">
        <v>277</v>
      </c>
      <c r="C113" s="20" t="s">
        <v>641</v>
      </c>
      <c r="D113" s="150">
        <v>1830000</v>
      </c>
      <c r="E113" s="20" t="s">
        <v>340</v>
      </c>
      <c r="F113" s="20" t="s">
        <v>341</v>
      </c>
      <c r="G113" s="8" t="str">
        <f t="shared" si="1"/>
        <v>YORK EDGAR</v>
      </c>
    </row>
    <row r="114" spans="1:7" x14ac:dyDescent="0.25">
      <c r="A114" s="8">
        <v>42771.539386574077</v>
      </c>
      <c r="B114" s="20" t="s">
        <v>322</v>
      </c>
      <c r="C114" s="20" t="s">
        <v>642</v>
      </c>
      <c r="D114" s="150">
        <v>2470000</v>
      </c>
      <c r="E114" s="20" t="s">
        <v>604</v>
      </c>
      <c r="F114" s="20" t="s">
        <v>605</v>
      </c>
      <c r="G114" s="8" t="str">
        <f t="shared" si="1"/>
        <v>ROMERO CHAD</v>
      </c>
    </row>
    <row r="115" spans="1:7" x14ac:dyDescent="0.25">
      <c r="A115" s="8">
        <v>42771.547974537039</v>
      </c>
      <c r="B115" s="20" t="s">
        <v>197</v>
      </c>
      <c r="C115" s="20" t="s">
        <v>643</v>
      </c>
      <c r="D115" s="150">
        <v>1300000</v>
      </c>
      <c r="E115" s="20" t="s">
        <v>617</v>
      </c>
      <c r="F115" s="20" t="s">
        <v>618</v>
      </c>
      <c r="G115" s="8" t="str">
        <f t="shared" si="1"/>
        <v>LEVIN SCOTT</v>
      </c>
    </row>
    <row r="116" spans="1:7" x14ac:dyDescent="0.25">
      <c r="A116" s="8">
        <v>42771.553113425929</v>
      </c>
      <c r="B116" s="20" t="s">
        <v>566</v>
      </c>
      <c r="C116" s="20" t="s">
        <v>644</v>
      </c>
      <c r="D116" s="150">
        <v>2030000</v>
      </c>
      <c r="E116" s="20" t="s">
        <v>631</v>
      </c>
      <c r="F116" s="20" t="s">
        <v>632</v>
      </c>
      <c r="G116" s="8" t="str">
        <f t="shared" si="1"/>
        <v>KILLION DAVID</v>
      </c>
    </row>
    <row r="117" spans="1:7" x14ac:dyDescent="0.25">
      <c r="A117" s="8">
        <v>42771.558599537035</v>
      </c>
      <c r="B117" s="20" t="s">
        <v>287</v>
      </c>
      <c r="C117" s="20" t="s">
        <v>645</v>
      </c>
      <c r="D117" s="150">
        <v>2480000</v>
      </c>
      <c r="E117" s="20" t="s">
        <v>346</v>
      </c>
      <c r="F117" s="20" t="s">
        <v>228</v>
      </c>
      <c r="G117" s="8" t="str">
        <f t="shared" si="1"/>
        <v>WHITED DUSTIN</v>
      </c>
    </row>
    <row r="118" spans="1:7" x14ac:dyDescent="0.25">
      <c r="A118" s="8">
        <v>42771.559895833336</v>
      </c>
      <c r="B118" s="20" t="s">
        <v>224</v>
      </c>
      <c r="C118" s="20" t="s">
        <v>646</v>
      </c>
      <c r="D118" s="150">
        <v>2530000</v>
      </c>
      <c r="E118" s="20" t="s">
        <v>637</v>
      </c>
      <c r="F118" s="20" t="s">
        <v>638</v>
      </c>
      <c r="G118" s="8" t="str">
        <f t="shared" si="1"/>
        <v>LALONDE GREGORY</v>
      </c>
    </row>
    <row r="119" spans="1:7" x14ac:dyDescent="0.25">
      <c r="A119" s="8">
        <v>42771.566435185188</v>
      </c>
      <c r="B119" s="20" t="s">
        <v>278</v>
      </c>
      <c r="C119" s="20" t="s">
        <v>647</v>
      </c>
      <c r="D119" s="150">
        <v>1830000</v>
      </c>
      <c r="E119" s="20" t="s">
        <v>340</v>
      </c>
      <c r="F119" s="20" t="s">
        <v>341</v>
      </c>
      <c r="G119" s="8" t="str">
        <f t="shared" si="1"/>
        <v>YORK EDGAR</v>
      </c>
    </row>
    <row r="120" spans="1:7" x14ac:dyDescent="0.25">
      <c r="A120" s="8">
        <v>42771.56758101852</v>
      </c>
      <c r="B120" s="20" t="s">
        <v>518</v>
      </c>
      <c r="C120" s="20" t="s">
        <v>648</v>
      </c>
      <c r="D120" s="150">
        <v>2250000</v>
      </c>
      <c r="E120" s="20" t="s">
        <v>625</v>
      </c>
      <c r="F120" s="20" t="s">
        <v>626</v>
      </c>
      <c r="G120" s="8" t="str">
        <f t="shared" si="1"/>
        <v>CRAYTON QUNTRELL</v>
      </c>
    </row>
    <row r="121" spans="1:7" x14ac:dyDescent="0.25">
      <c r="A121" s="8">
        <v>42771.578182870369</v>
      </c>
      <c r="B121" s="20" t="s">
        <v>238</v>
      </c>
      <c r="C121" s="20" t="s">
        <v>649</v>
      </c>
      <c r="D121" s="150">
        <v>920000</v>
      </c>
      <c r="E121" s="20" t="s">
        <v>545</v>
      </c>
      <c r="F121" s="20" t="s">
        <v>207</v>
      </c>
      <c r="G121" s="8" t="str">
        <f t="shared" si="1"/>
        <v>DAVIS MICHAEL</v>
      </c>
    </row>
    <row r="122" spans="1:7" x14ac:dyDescent="0.25">
      <c r="A122" s="8">
        <v>42771.578634259262</v>
      </c>
      <c r="B122" s="25" t="s">
        <v>323</v>
      </c>
      <c r="C122" s="20" t="s">
        <v>650</v>
      </c>
      <c r="D122" s="150">
        <v>2470000</v>
      </c>
      <c r="E122" s="20" t="s">
        <v>604</v>
      </c>
      <c r="F122" s="20" t="s">
        <v>605</v>
      </c>
      <c r="G122" s="8" t="str">
        <f t="shared" si="1"/>
        <v>ROMERO CHAD</v>
      </c>
    </row>
    <row r="123" spans="1:7" x14ac:dyDescent="0.25">
      <c r="A123" s="8">
        <v>42771.587523148148</v>
      </c>
      <c r="B123" s="20" t="s">
        <v>198</v>
      </c>
      <c r="C123" s="20" t="s">
        <v>508</v>
      </c>
      <c r="D123" s="150">
        <v>2440000</v>
      </c>
      <c r="E123" s="20" t="s">
        <v>651</v>
      </c>
      <c r="F123" s="20" t="s">
        <v>652</v>
      </c>
      <c r="G123" s="8" t="str">
        <f t="shared" si="1"/>
        <v>LOPES KIMBERLY</v>
      </c>
    </row>
    <row r="124" spans="1:7" x14ac:dyDescent="0.25">
      <c r="A124" s="8">
        <v>42771.588738425926</v>
      </c>
      <c r="B124" s="20" t="s">
        <v>231</v>
      </c>
      <c r="C124" s="20" t="s">
        <v>653</v>
      </c>
      <c r="D124" s="150">
        <v>1300000</v>
      </c>
      <c r="E124" s="20" t="s">
        <v>617</v>
      </c>
      <c r="F124" s="20" t="s">
        <v>618</v>
      </c>
      <c r="G124" s="8" t="str">
        <f t="shared" si="1"/>
        <v>LEVIN SCOTT</v>
      </c>
    </row>
    <row r="125" spans="1:7" x14ac:dyDescent="0.25">
      <c r="A125" s="8">
        <v>42771.594525462962</v>
      </c>
      <c r="B125" s="20" t="s">
        <v>277</v>
      </c>
      <c r="C125" s="20" t="s">
        <v>654</v>
      </c>
      <c r="D125" s="150">
        <v>1540000</v>
      </c>
      <c r="E125" s="20" t="s">
        <v>344</v>
      </c>
      <c r="F125" s="20" t="s">
        <v>345</v>
      </c>
      <c r="G125" s="8" t="str">
        <f t="shared" si="1"/>
        <v>HELVIE ADAM</v>
      </c>
    </row>
    <row r="126" spans="1:7" x14ac:dyDescent="0.25">
      <c r="A126" s="8">
        <v>42771.594976851855</v>
      </c>
      <c r="B126" s="20" t="s">
        <v>376</v>
      </c>
      <c r="C126" s="20" t="s">
        <v>655</v>
      </c>
      <c r="D126" s="150">
        <v>2480000</v>
      </c>
      <c r="E126" s="20" t="s">
        <v>346</v>
      </c>
      <c r="F126" s="20" t="s">
        <v>228</v>
      </c>
      <c r="G126" s="8" t="str">
        <f t="shared" si="1"/>
        <v>WHITED DUSTIN</v>
      </c>
    </row>
    <row r="127" spans="1:7" x14ac:dyDescent="0.25">
      <c r="A127" s="8">
        <v>42771.599085648151</v>
      </c>
      <c r="B127" s="20" t="s">
        <v>198</v>
      </c>
      <c r="C127" s="20" t="s">
        <v>508</v>
      </c>
      <c r="D127" s="150">
        <v>2440000</v>
      </c>
      <c r="E127" s="20" t="s">
        <v>651</v>
      </c>
      <c r="F127" s="20" t="s">
        <v>652</v>
      </c>
      <c r="G127" s="8" t="str">
        <f t="shared" si="1"/>
        <v>LOPES KIMBERLY</v>
      </c>
    </row>
    <row r="128" spans="1:7" x14ac:dyDescent="0.25">
      <c r="A128" s="8">
        <v>42771.602199074077</v>
      </c>
      <c r="B128" s="20" t="s">
        <v>248</v>
      </c>
      <c r="C128" s="20" t="s">
        <v>656</v>
      </c>
      <c r="D128" s="150">
        <v>880000</v>
      </c>
      <c r="E128" s="20" t="s">
        <v>611</v>
      </c>
      <c r="F128" s="20" t="s">
        <v>207</v>
      </c>
      <c r="G128" s="8" t="str">
        <f t="shared" si="1"/>
        <v>STEWART MICHAEL</v>
      </c>
    </row>
    <row r="129" spans="1:7" x14ac:dyDescent="0.25">
      <c r="A129" s="8">
        <v>42771.606296296297</v>
      </c>
      <c r="B129" s="20" t="s">
        <v>562</v>
      </c>
      <c r="C129" s="20" t="s">
        <v>657</v>
      </c>
      <c r="D129" s="150">
        <v>2250000</v>
      </c>
      <c r="E129" s="20" t="s">
        <v>625</v>
      </c>
      <c r="F129" s="20" t="s">
        <v>626</v>
      </c>
      <c r="G129" s="8" t="str">
        <f t="shared" si="1"/>
        <v>CRAYTON QUNTRELL</v>
      </c>
    </row>
    <row r="130" spans="1:7" x14ac:dyDescent="0.25">
      <c r="A130" s="8">
        <v>42771.608599537038</v>
      </c>
      <c r="B130" s="20" t="s">
        <v>278</v>
      </c>
      <c r="C130" s="20" t="s">
        <v>509</v>
      </c>
      <c r="D130" s="150">
        <v>1540000</v>
      </c>
      <c r="E130" s="20" t="s">
        <v>344</v>
      </c>
      <c r="F130" s="20" t="s">
        <v>345</v>
      </c>
      <c r="G130" s="8" t="str">
        <f t="shared" si="1"/>
        <v>HELVIE ADAM</v>
      </c>
    </row>
    <row r="131" spans="1:7" x14ac:dyDescent="0.25">
      <c r="A131" s="8">
        <v>42771.611446759256</v>
      </c>
      <c r="B131" s="20" t="s">
        <v>322</v>
      </c>
      <c r="C131" s="20" t="s">
        <v>658</v>
      </c>
      <c r="D131" s="150">
        <v>2470000</v>
      </c>
      <c r="E131" s="20" t="s">
        <v>604</v>
      </c>
      <c r="F131" s="20" t="s">
        <v>605</v>
      </c>
      <c r="G131" s="8" t="str">
        <f t="shared" ref="G131:G194" si="2">E131&amp;" "&amp;F131</f>
        <v>ROMERO CHAD</v>
      </c>
    </row>
    <row r="132" spans="1:7" x14ac:dyDescent="0.25">
      <c r="A132" s="8">
        <v>42771.611631944441</v>
      </c>
      <c r="B132" s="20" t="s">
        <v>316</v>
      </c>
      <c r="C132" s="20" t="s">
        <v>510</v>
      </c>
      <c r="D132" s="150">
        <v>920000</v>
      </c>
      <c r="E132" s="20" t="s">
        <v>545</v>
      </c>
      <c r="F132" s="20" t="s">
        <v>207</v>
      </c>
      <c r="G132" s="8" t="str">
        <f t="shared" si="2"/>
        <v>DAVIS MICHAEL</v>
      </c>
    </row>
    <row r="133" spans="1:7" x14ac:dyDescent="0.25">
      <c r="A133" s="8">
        <v>42771.621990740743</v>
      </c>
      <c r="B133" s="20" t="s">
        <v>197</v>
      </c>
      <c r="C133" s="20" t="s">
        <v>511</v>
      </c>
      <c r="D133" s="150">
        <v>1300000</v>
      </c>
      <c r="E133" s="20" t="s">
        <v>617</v>
      </c>
      <c r="F133" s="20" t="s">
        <v>618</v>
      </c>
      <c r="G133" s="8" t="str">
        <f t="shared" si="2"/>
        <v>LEVIN SCOTT</v>
      </c>
    </row>
    <row r="134" spans="1:7" x14ac:dyDescent="0.25">
      <c r="A134" s="8">
        <v>42771.624259259261</v>
      </c>
      <c r="B134" s="20" t="s">
        <v>540</v>
      </c>
      <c r="C134" s="20" t="s">
        <v>659</v>
      </c>
      <c r="D134" s="150">
        <v>2440000</v>
      </c>
      <c r="E134" s="20" t="s">
        <v>651</v>
      </c>
      <c r="F134" s="20" t="s">
        <v>652</v>
      </c>
      <c r="G134" s="8" t="str">
        <f t="shared" si="2"/>
        <v>LOPES KIMBERLY</v>
      </c>
    </row>
    <row r="135" spans="1:7" x14ac:dyDescent="0.25">
      <c r="A135" s="8">
        <v>42771.633437500001</v>
      </c>
      <c r="B135" s="20" t="s">
        <v>287</v>
      </c>
      <c r="C135" s="20" t="s">
        <v>660</v>
      </c>
      <c r="D135" s="150">
        <v>2480000</v>
      </c>
      <c r="E135" s="20" t="s">
        <v>346</v>
      </c>
      <c r="F135" s="20" t="s">
        <v>228</v>
      </c>
      <c r="G135" s="8" t="str">
        <f t="shared" si="2"/>
        <v>WHITED DUSTIN</v>
      </c>
    </row>
    <row r="136" spans="1:7" x14ac:dyDescent="0.25">
      <c r="A136" s="8">
        <v>42771.637939814813</v>
      </c>
      <c r="B136" s="20" t="s">
        <v>277</v>
      </c>
      <c r="C136" s="20" t="s">
        <v>661</v>
      </c>
      <c r="D136" s="150">
        <v>1540000</v>
      </c>
      <c r="E136" s="20" t="s">
        <v>344</v>
      </c>
      <c r="F136" s="20" t="s">
        <v>345</v>
      </c>
      <c r="G136" s="8" t="str">
        <f t="shared" si="2"/>
        <v>HELVIE ADAM</v>
      </c>
    </row>
    <row r="137" spans="1:7" x14ac:dyDescent="0.25">
      <c r="A137" s="8">
        <v>42771.641689814816</v>
      </c>
      <c r="B137" s="20" t="s">
        <v>224</v>
      </c>
      <c r="C137" s="20" t="s">
        <v>662</v>
      </c>
      <c r="D137" s="150">
        <v>880000</v>
      </c>
      <c r="E137" s="20" t="s">
        <v>611</v>
      </c>
      <c r="F137" s="20" t="s">
        <v>207</v>
      </c>
      <c r="G137" s="8" t="str">
        <f t="shared" si="2"/>
        <v>STEWART MICHAEL</v>
      </c>
    </row>
    <row r="138" spans="1:7" x14ac:dyDescent="0.25">
      <c r="A138" s="8">
        <v>42771.644687499997</v>
      </c>
      <c r="B138" s="20" t="s">
        <v>518</v>
      </c>
      <c r="C138" s="20" t="s">
        <v>663</v>
      </c>
      <c r="D138" s="150">
        <v>2250000</v>
      </c>
      <c r="E138" s="20" t="s">
        <v>625</v>
      </c>
      <c r="F138" s="20" t="s">
        <v>626</v>
      </c>
      <c r="G138" s="8" t="str">
        <f t="shared" si="2"/>
        <v>CRAYTON QUNTRELL</v>
      </c>
    </row>
    <row r="139" spans="1:7" x14ac:dyDescent="0.25">
      <c r="A139" s="8">
        <v>42771.651620370372</v>
      </c>
      <c r="B139" s="20" t="s">
        <v>278</v>
      </c>
      <c r="C139" s="20" t="s">
        <v>664</v>
      </c>
      <c r="D139" s="150">
        <v>1540000</v>
      </c>
      <c r="E139" s="20" t="s">
        <v>344</v>
      </c>
      <c r="F139" s="20" t="s">
        <v>345</v>
      </c>
      <c r="G139" s="8" t="str">
        <f t="shared" si="2"/>
        <v>HELVIE ADAM</v>
      </c>
    </row>
    <row r="140" spans="1:7" x14ac:dyDescent="0.25">
      <c r="A140" s="8">
        <v>42771.652037037034</v>
      </c>
      <c r="B140" s="20" t="s">
        <v>238</v>
      </c>
      <c r="C140" s="20" t="s">
        <v>665</v>
      </c>
      <c r="D140" s="150">
        <v>920000</v>
      </c>
      <c r="E140" s="20" t="s">
        <v>545</v>
      </c>
      <c r="F140" s="20" t="s">
        <v>207</v>
      </c>
      <c r="G140" s="8" t="str">
        <f t="shared" si="2"/>
        <v>DAVIS MICHAEL</v>
      </c>
    </row>
    <row r="141" spans="1:7" x14ac:dyDescent="0.25">
      <c r="A141" s="8">
        <v>42771.652349537035</v>
      </c>
      <c r="B141" s="20" t="s">
        <v>323</v>
      </c>
      <c r="C141" s="20" t="s">
        <v>666</v>
      </c>
      <c r="D141" s="150">
        <v>2470000</v>
      </c>
      <c r="E141" s="20" t="s">
        <v>604</v>
      </c>
      <c r="F141" s="20" t="s">
        <v>605</v>
      </c>
      <c r="G141" s="8" t="str">
        <f t="shared" si="2"/>
        <v>ROMERO CHAD</v>
      </c>
    </row>
    <row r="142" spans="1:7" x14ac:dyDescent="0.25">
      <c r="A142" s="8">
        <v>42771.66070601852</v>
      </c>
      <c r="B142" s="20" t="s">
        <v>231</v>
      </c>
      <c r="C142" s="20" t="s">
        <v>667</v>
      </c>
      <c r="D142" s="150">
        <v>1300000</v>
      </c>
      <c r="E142" s="20" t="s">
        <v>617</v>
      </c>
      <c r="F142" s="20" t="s">
        <v>618</v>
      </c>
      <c r="G142" s="8" t="str">
        <f t="shared" si="2"/>
        <v>LEVIN SCOTT</v>
      </c>
    </row>
    <row r="143" spans="1:7" x14ac:dyDescent="0.25">
      <c r="A143" s="8">
        <v>42771.662743055553</v>
      </c>
      <c r="B143" s="20" t="s">
        <v>198</v>
      </c>
      <c r="C143" s="20" t="s">
        <v>668</v>
      </c>
      <c r="D143" s="150">
        <v>2030000</v>
      </c>
      <c r="E143" s="20" t="s">
        <v>631</v>
      </c>
      <c r="F143" s="20" t="s">
        <v>632</v>
      </c>
      <c r="G143" s="8" t="str">
        <f t="shared" si="2"/>
        <v>KILLION DAVID</v>
      </c>
    </row>
    <row r="144" spans="1:7" x14ac:dyDescent="0.25">
      <c r="A144" s="8">
        <v>42771.666701388887</v>
      </c>
      <c r="B144" s="20" t="s">
        <v>376</v>
      </c>
      <c r="C144" s="20" t="s">
        <v>669</v>
      </c>
      <c r="D144" s="150">
        <v>2530000</v>
      </c>
      <c r="E144" s="20" t="s">
        <v>637</v>
      </c>
      <c r="F144" s="20" t="s">
        <v>638</v>
      </c>
      <c r="G144" s="8" t="str">
        <f t="shared" si="2"/>
        <v>LALONDE GREGORY</v>
      </c>
    </row>
    <row r="145" spans="1:7" x14ac:dyDescent="0.25">
      <c r="A145" s="8">
        <v>42771.675243055557</v>
      </c>
      <c r="B145" s="20" t="s">
        <v>248</v>
      </c>
      <c r="C145" s="20" t="s">
        <v>513</v>
      </c>
      <c r="D145" s="150">
        <v>880000</v>
      </c>
      <c r="E145" s="20" t="s">
        <v>611</v>
      </c>
      <c r="F145" s="20" t="s">
        <v>207</v>
      </c>
      <c r="G145" s="8" t="str">
        <f t="shared" si="2"/>
        <v>STEWART MICHAEL</v>
      </c>
    </row>
    <row r="146" spans="1:7" x14ac:dyDescent="0.25">
      <c r="A146" s="8">
        <v>42771.676759259259</v>
      </c>
      <c r="B146" s="20" t="s">
        <v>562</v>
      </c>
      <c r="C146" s="20" t="s">
        <v>670</v>
      </c>
      <c r="D146" s="150">
        <v>2250000</v>
      </c>
      <c r="E146" s="20" t="s">
        <v>625</v>
      </c>
      <c r="F146" s="20" t="s">
        <v>626</v>
      </c>
      <c r="G146" s="8" t="str">
        <f t="shared" si="2"/>
        <v>CRAYTON QUNTRELL</v>
      </c>
    </row>
    <row r="147" spans="1:7" x14ac:dyDescent="0.25">
      <c r="A147" s="8">
        <v>42771.680335648147</v>
      </c>
      <c r="B147" s="20" t="s">
        <v>277</v>
      </c>
      <c r="C147" s="20" t="s">
        <v>512</v>
      </c>
      <c r="D147" s="150">
        <v>1540000</v>
      </c>
      <c r="E147" s="20" t="s">
        <v>344</v>
      </c>
      <c r="F147" s="20" t="s">
        <v>345</v>
      </c>
      <c r="G147" s="8" t="str">
        <f t="shared" si="2"/>
        <v>HELVIE ADAM</v>
      </c>
    </row>
    <row r="148" spans="1:7" x14ac:dyDescent="0.25">
      <c r="A148" s="8">
        <v>42771.683749999997</v>
      </c>
      <c r="B148" s="20" t="s">
        <v>322</v>
      </c>
      <c r="C148" s="20" t="s">
        <v>671</v>
      </c>
      <c r="D148" s="150">
        <v>2470000</v>
      </c>
      <c r="E148" s="20" t="s">
        <v>604</v>
      </c>
      <c r="F148" s="20" t="s">
        <v>605</v>
      </c>
      <c r="G148" s="8" t="str">
        <f t="shared" si="2"/>
        <v>ROMERO CHAD</v>
      </c>
    </row>
    <row r="149" spans="1:7" x14ac:dyDescent="0.25">
      <c r="A149" s="8">
        <v>42771.68650462963</v>
      </c>
      <c r="B149" s="20" t="s">
        <v>316</v>
      </c>
      <c r="C149" s="20" t="s">
        <v>514</v>
      </c>
      <c r="D149" s="150">
        <v>920000</v>
      </c>
      <c r="E149" s="20" t="s">
        <v>545</v>
      </c>
      <c r="F149" s="20" t="s">
        <v>207</v>
      </c>
      <c r="G149" s="8" t="str">
        <f t="shared" si="2"/>
        <v>DAVIS MICHAEL</v>
      </c>
    </row>
    <row r="150" spans="1:7" x14ac:dyDescent="0.25">
      <c r="A150" s="8">
        <v>42771.694386574076</v>
      </c>
      <c r="B150" s="20" t="s">
        <v>278</v>
      </c>
      <c r="C150" s="20" t="s">
        <v>672</v>
      </c>
      <c r="D150" s="150">
        <v>1540000</v>
      </c>
      <c r="E150" s="20" t="s">
        <v>344</v>
      </c>
      <c r="F150" s="20" t="s">
        <v>345</v>
      </c>
      <c r="G150" s="8" t="str">
        <f t="shared" si="2"/>
        <v>HELVIE ADAM</v>
      </c>
    </row>
    <row r="151" spans="1:7" x14ac:dyDescent="0.25">
      <c r="A151" s="8">
        <v>42771.697199074071</v>
      </c>
      <c r="B151" s="20" t="s">
        <v>197</v>
      </c>
      <c r="C151" s="20" t="s">
        <v>673</v>
      </c>
      <c r="D151" s="150">
        <v>1300000</v>
      </c>
      <c r="E151" s="20" t="s">
        <v>617</v>
      </c>
      <c r="F151" s="20" t="s">
        <v>618</v>
      </c>
      <c r="G151" s="8" t="str">
        <f t="shared" si="2"/>
        <v>LEVIN SCOTT</v>
      </c>
    </row>
    <row r="152" spans="1:7" x14ac:dyDescent="0.25">
      <c r="A152" s="8">
        <v>42771.699074074073</v>
      </c>
      <c r="B152" s="20" t="s">
        <v>540</v>
      </c>
      <c r="C152" s="20" t="s">
        <v>674</v>
      </c>
      <c r="D152" s="150">
        <v>2030000</v>
      </c>
      <c r="E152" s="20" t="s">
        <v>631</v>
      </c>
      <c r="F152" s="20" t="s">
        <v>632</v>
      </c>
      <c r="G152" s="8" t="str">
        <f t="shared" si="2"/>
        <v>KILLION DAVID</v>
      </c>
    </row>
    <row r="153" spans="1:7" x14ac:dyDescent="0.25">
      <c r="A153" s="8">
        <v>42771.704930555556</v>
      </c>
      <c r="B153" s="20" t="s">
        <v>287</v>
      </c>
      <c r="C153" s="20" t="s">
        <v>675</v>
      </c>
      <c r="D153" s="150">
        <v>2420000</v>
      </c>
      <c r="E153" s="20" t="s">
        <v>676</v>
      </c>
      <c r="F153" s="20" t="s">
        <v>677</v>
      </c>
      <c r="G153" s="8" t="str">
        <f t="shared" si="2"/>
        <v>HOLCOMB KAMDEN</v>
      </c>
    </row>
    <row r="154" spans="1:7" x14ac:dyDescent="0.25">
      <c r="A154" s="8">
        <v>42771.706250000003</v>
      </c>
      <c r="B154" s="20" t="s">
        <v>536</v>
      </c>
      <c r="C154" s="20" t="s">
        <v>678</v>
      </c>
      <c r="D154" s="150">
        <v>2480000</v>
      </c>
      <c r="E154" s="20" t="s">
        <v>346</v>
      </c>
      <c r="F154" s="20" t="s">
        <v>228</v>
      </c>
      <c r="G154" s="8" t="str">
        <f t="shared" si="2"/>
        <v>WHITED DUSTIN</v>
      </c>
    </row>
    <row r="155" spans="1:7" x14ac:dyDescent="0.25">
      <c r="A155" s="8">
        <v>42771.712824074071</v>
      </c>
      <c r="B155" s="20" t="s">
        <v>224</v>
      </c>
      <c r="C155" s="20" t="s">
        <v>679</v>
      </c>
      <c r="D155" s="150">
        <v>880000</v>
      </c>
      <c r="E155" s="20" t="s">
        <v>611</v>
      </c>
      <c r="F155" s="20" t="s">
        <v>207</v>
      </c>
      <c r="G155" s="8" t="str">
        <f t="shared" si="2"/>
        <v>STEWART MICHAEL</v>
      </c>
    </row>
    <row r="156" spans="1:7" x14ac:dyDescent="0.25">
      <c r="A156" s="8">
        <v>42771.715416666666</v>
      </c>
      <c r="B156" s="20" t="s">
        <v>518</v>
      </c>
      <c r="C156" s="20" t="s">
        <v>680</v>
      </c>
      <c r="D156" s="150">
        <v>2610000</v>
      </c>
      <c r="E156" s="20" t="s">
        <v>681</v>
      </c>
      <c r="F156" s="20" t="s">
        <v>682</v>
      </c>
      <c r="G156" s="8" t="str">
        <f t="shared" si="2"/>
        <v>MAGEE KENYA</v>
      </c>
    </row>
    <row r="157" spans="1:7" x14ac:dyDescent="0.25">
      <c r="A157" s="8">
        <v>42771.720949074072</v>
      </c>
      <c r="B157" s="20" t="s">
        <v>277</v>
      </c>
      <c r="C157" s="20" t="s">
        <v>683</v>
      </c>
      <c r="D157" s="150">
        <v>1540000</v>
      </c>
      <c r="E157" s="20" t="s">
        <v>344</v>
      </c>
      <c r="F157" s="20" t="s">
        <v>345</v>
      </c>
      <c r="G157" s="8" t="str">
        <f t="shared" si="2"/>
        <v>HELVIE ADAM</v>
      </c>
    </row>
    <row r="158" spans="1:7" x14ac:dyDescent="0.25">
      <c r="A158" s="8">
        <v>42771.722337962965</v>
      </c>
      <c r="B158" s="20" t="s">
        <v>323</v>
      </c>
      <c r="C158" s="20" t="s">
        <v>684</v>
      </c>
      <c r="D158" s="150">
        <v>2250000</v>
      </c>
      <c r="E158" s="20" t="s">
        <v>625</v>
      </c>
      <c r="F158" s="20" t="s">
        <v>626</v>
      </c>
      <c r="G158" s="8" t="str">
        <f t="shared" si="2"/>
        <v>CRAYTON QUNTRELL</v>
      </c>
    </row>
    <row r="159" spans="1:7" x14ac:dyDescent="0.25">
      <c r="A159" s="8">
        <v>42771.722939814812</v>
      </c>
      <c r="B159" s="20" t="s">
        <v>378</v>
      </c>
      <c r="C159" s="20" t="s">
        <v>685</v>
      </c>
      <c r="D159" s="150">
        <v>2440000</v>
      </c>
      <c r="E159" s="20" t="s">
        <v>651</v>
      </c>
      <c r="F159" s="20" t="s">
        <v>652</v>
      </c>
      <c r="G159" s="8" t="str">
        <f t="shared" si="2"/>
        <v>LOPES KIMBERLY</v>
      </c>
    </row>
    <row r="160" spans="1:7" x14ac:dyDescent="0.25">
      <c r="A160" s="8">
        <v>42771.724606481483</v>
      </c>
      <c r="B160" s="20" t="s">
        <v>238</v>
      </c>
      <c r="C160" s="20" t="s">
        <v>516</v>
      </c>
      <c r="D160" s="150">
        <v>920000</v>
      </c>
      <c r="E160" s="20" t="s">
        <v>545</v>
      </c>
      <c r="F160" s="20" t="s">
        <v>207</v>
      </c>
      <c r="G160" s="8" t="str">
        <f t="shared" si="2"/>
        <v>DAVIS MICHAEL</v>
      </c>
    </row>
    <row r="161" spans="1:7" x14ac:dyDescent="0.25">
      <c r="A161" s="8">
        <v>42771.729363425926</v>
      </c>
      <c r="B161" s="20" t="s">
        <v>323</v>
      </c>
      <c r="C161" s="20" t="s">
        <v>684</v>
      </c>
      <c r="D161" s="150">
        <v>2250000</v>
      </c>
      <c r="E161" s="20" t="s">
        <v>625</v>
      </c>
      <c r="F161" s="20" t="s">
        <v>626</v>
      </c>
      <c r="G161" s="8" t="str">
        <f t="shared" si="2"/>
        <v>CRAYTON QUNTRELL</v>
      </c>
    </row>
    <row r="162" spans="1:7" x14ac:dyDescent="0.25">
      <c r="A162" s="8">
        <v>42771.730069444442</v>
      </c>
      <c r="B162" s="20" t="s">
        <v>231</v>
      </c>
      <c r="C162" s="20" t="s">
        <v>686</v>
      </c>
      <c r="D162" s="150">
        <v>1300000</v>
      </c>
      <c r="E162" s="20" t="s">
        <v>617</v>
      </c>
      <c r="F162" s="20" t="s">
        <v>618</v>
      </c>
      <c r="G162" s="8" t="str">
        <f t="shared" si="2"/>
        <v>LEVIN SCOTT</v>
      </c>
    </row>
    <row r="163" spans="1:7" x14ac:dyDescent="0.25">
      <c r="A163" s="8">
        <v>42771.734490740739</v>
      </c>
      <c r="B163" s="20" t="s">
        <v>278</v>
      </c>
      <c r="C163" s="20" t="s">
        <v>687</v>
      </c>
      <c r="D163" s="150">
        <v>1540000</v>
      </c>
      <c r="E163" s="20" t="s">
        <v>344</v>
      </c>
      <c r="F163" s="20" t="s">
        <v>345</v>
      </c>
      <c r="G163" s="8" t="str">
        <f t="shared" si="2"/>
        <v>HELVIE ADAM</v>
      </c>
    </row>
    <row r="164" spans="1:7" x14ac:dyDescent="0.25">
      <c r="A164" s="8">
        <v>42771.73578703704</v>
      </c>
      <c r="B164" s="20" t="s">
        <v>214</v>
      </c>
      <c r="C164" s="20" t="s">
        <v>688</v>
      </c>
      <c r="D164" s="150">
        <v>2230000</v>
      </c>
      <c r="E164" s="20" t="s">
        <v>377</v>
      </c>
      <c r="F164" s="20" t="s">
        <v>207</v>
      </c>
      <c r="G164" s="8" t="str">
        <f t="shared" si="2"/>
        <v>SMITH MICHAEL</v>
      </c>
    </row>
    <row r="165" spans="1:7" x14ac:dyDescent="0.25">
      <c r="A165" s="8">
        <v>42771.738055555557</v>
      </c>
      <c r="B165" s="20" t="s">
        <v>198</v>
      </c>
      <c r="C165" s="20" t="s">
        <v>515</v>
      </c>
      <c r="D165" s="150">
        <v>1810000</v>
      </c>
      <c r="E165" s="20" t="s">
        <v>210</v>
      </c>
      <c r="F165" s="20" t="s">
        <v>203</v>
      </c>
      <c r="G165" s="8" t="str">
        <f t="shared" si="2"/>
        <v>NEWELL JAMES</v>
      </c>
    </row>
    <row r="166" spans="1:7" x14ac:dyDescent="0.25">
      <c r="A166" s="8">
        <v>42771.742407407408</v>
      </c>
      <c r="B166" s="20" t="s">
        <v>566</v>
      </c>
      <c r="C166" s="20" t="s">
        <v>689</v>
      </c>
      <c r="D166" s="150">
        <v>2480000</v>
      </c>
      <c r="E166" s="20" t="s">
        <v>346</v>
      </c>
      <c r="F166" s="20" t="s">
        <v>228</v>
      </c>
      <c r="G166" s="8" t="str">
        <f t="shared" si="2"/>
        <v>WHITED DUSTIN</v>
      </c>
    </row>
    <row r="167" spans="1:7" x14ac:dyDescent="0.25">
      <c r="A167" s="8">
        <v>42771.744305555556</v>
      </c>
      <c r="B167" s="20" t="s">
        <v>248</v>
      </c>
      <c r="C167" s="20" t="s">
        <v>690</v>
      </c>
      <c r="D167" s="150">
        <v>2030000</v>
      </c>
      <c r="E167" s="20" t="s">
        <v>631</v>
      </c>
      <c r="F167" s="20" t="s">
        <v>632</v>
      </c>
      <c r="G167" s="8" t="str">
        <f t="shared" si="2"/>
        <v>KILLION DAVID</v>
      </c>
    </row>
    <row r="168" spans="1:7" x14ac:dyDescent="0.25">
      <c r="A168" s="8">
        <v>42771.75403935185</v>
      </c>
      <c r="B168" s="20" t="s">
        <v>230</v>
      </c>
      <c r="C168" s="20" t="s">
        <v>691</v>
      </c>
      <c r="D168" s="150">
        <v>2670000</v>
      </c>
      <c r="E168" s="20" t="s">
        <v>257</v>
      </c>
      <c r="F168" s="20" t="s">
        <v>258</v>
      </c>
      <c r="G168" s="8" t="str">
        <f t="shared" si="2"/>
        <v>COMELLA JUSTIN</v>
      </c>
    </row>
    <row r="169" spans="1:7" x14ac:dyDescent="0.25">
      <c r="A169" s="8">
        <v>42771.754548611112</v>
      </c>
      <c r="B169" s="20" t="s">
        <v>562</v>
      </c>
      <c r="C169" s="20" t="s">
        <v>692</v>
      </c>
      <c r="D169" s="150">
        <v>2610000</v>
      </c>
      <c r="E169" s="20" t="s">
        <v>681</v>
      </c>
      <c r="F169" s="20" t="s">
        <v>682</v>
      </c>
      <c r="G169" s="8" t="str">
        <f t="shared" si="2"/>
        <v>MAGEE KENYA</v>
      </c>
    </row>
    <row r="170" spans="1:7" x14ac:dyDescent="0.25">
      <c r="A170" s="8">
        <v>42771.758634259262</v>
      </c>
      <c r="B170" s="20" t="s">
        <v>316</v>
      </c>
      <c r="C170" s="20" t="s">
        <v>693</v>
      </c>
      <c r="D170" s="150">
        <v>2230000</v>
      </c>
      <c r="E170" s="20" t="s">
        <v>377</v>
      </c>
      <c r="F170" s="20" t="s">
        <v>207</v>
      </c>
      <c r="G170" s="8" t="str">
        <f t="shared" si="2"/>
        <v>SMITH MICHAEL</v>
      </c>
    </row>
    <row r="171" spans="1:7" x14ac:dyDescent="0.25">
      <c r="A171" s="8">
        <v>42771.761377314811</v>
      </c>
      <c r="B171" s="20" t="s">
        <v>277</v>
      </c>
      <c r="C171" s="20" t="s">
        <v>517</v>
      </c>
      <c r="D171" s="150">
        <v>1540000</v>
      </c>
      <c r="E171" s="20" t="s">
        <v>344</v>
      </c>
      <c r="F171" s="20" t="s">
        <v>345</v>
      </c>
      <c r="G171" s="8" t="str">
        <f t="shared" si="2"/>
        <v>HELVIE ADAM</v>
      </c>
    </row>
    <row r="172" spans="1:7" x14ac:dyDescent="0.25">
      <c r="A172" s="8">
        <v>42771.764618055553</v>
      </c>
      <c r="B172" s="20" t="s">
        <v>322</v>
      </c>
      <c r="C172" s="20" t="s">
        <v>694</v>
      </c>
      <c r="D172" s="150">
        <v>2250000</v>
      </c>
      <c r="E172" s="20" t="s">
        <v>625</v>
      </c>
      <c r="F172" s="20" t="s">
        <v>626</v>
      </c>
      <c r="G172" s="8" t="str">
        <f t="shared" si="2"/>
        <v>CRAYTON QUNTRELL</v>
      </c>
    </row>
    <row r="173" spans="1:7" x14ac:dyDescent="0.25">
      <c r="A173" s="8">
        <v>42771.768055555556</v>
      </c>
      <c r="B173" s="20" t="s">
        <v>239</v>
      </c>
      <c r="C173" s="20" t="s">
        <v>695</v>
      </c>
      <c r="D173" s="150">
        <v>1300000</v>
      </c>
      <c r="E173" s="20" t="s">
        <v>617</v>
      </c>
      <c r="F173" s="20" t="s">
        <v>618</v>
      </c>
      <c r="G173" s="8" t="str">
        <f t="shared" si="2"/>
        <v>LEVIN SCOTT</v>
      </c>
    </row>
    <row r="174" spans="1:7" x14ac:dyDescent="0.25">
      <c r="A174" s="8">
        <v>42771.76834490741</v>
      </c>
      <c r="B174" s="20" t="s">
        <v>197</v>
      </c>
      <c r="C174" s="20" t="s">
        <v>696</v>
      </c>
      <c r="D174" s="150">
        <v>2730000</v>
      </c>
      <c r="E174" s="20" t="s">
        <v>381</v>
      </c>
      <c r="F174" s="20" t="s">
        <v>382</v>
      </c>
      <c r="G174" s="8" t="str">
        <f t="shared" si="2"/>
        <v>YANG JAN</v>
      </c>
    </row>
    <row r="175" spans="1:7" x14ac:dyDescent="0.25">
      <c r="A175" s="8">
        <v>42771.77484953704</v>
      </c>
      <c r="B175" s="20" t="s">
        <v>540</v>
      </c>
      <c r="C175" s="20" t="s">
        <v>697</v>
      </c>
      <c r="D175" s="150">
        <v>1810000</v>
      </c>
      <c r="E175" s="20" t="s">
        <v>210</v>
      </c>
      <c r="F175" s="20" t="s">
        <v>203</v>
      </c>
      <c r="G175" s="8" t="str">
        <f t="shared" si="2"/>
        <v>NEWELL JAMES</v>
      </c>
    </row>
    <row r="176" spans="1:7" x14ac:dyDescent="0.25">
      <c r="A176" s="8">
        <v>42771.776493055557</v>
      </c>
      <c r="B176" s="20" t="s">
        <v>278</v>
      </c>
      <c r="C176" s="20" t="s">
        <v>698</v>
      </c>
      <c r="D176" s="150">
        <v>1540000</v>
      </c>
      <c r="E176" s="20" t="s">
        <v>344</v>
      </c>
      <c r="F176" s="20" t="s">
        <v>345</v>
      </c>
      <c r="G176" s="8" t="str">
        <f t="shared" si="2"/>
        <v>HELVIE ADAM</v>
      </c>
    </row>
    <row r="177" spans="1:7" x14ac:dyDescent="0.25">
      <c r="A177" s="8">
        <v>42771.779120370367</v>
      </c>
      <c r="B177" s="20" t="s">
        <v>536</v>
      </c>
      <c r="C177" s="20" t="s">
        <v>699</v>
      </c>
      <c r="D177" s="150">
        <v>2480000</v>
      </c>
      <c r="E177" s="20" t="s">
        <v>346</v>
      </c>
      <c r="F177" s="20" t="s">
        <v>228</v>
      </c>
      <c r="G177" s="8" t="str">
        <f t="shared" si="2"/>
        <v>WHITED DUSTIN</v>
      </c>
    </row>
    <row r="178" spans="1:7" x14ac:dyDescent="0.25">
      <c r="A178" s="8">
        <v>42771.784189814818</v>
      </c>
      <c r="B178" s="20" t="s">
        <v>224</v>
      </c>
      <c r="C178" s="20" t="s">
        <v>700</v>
      </c>
      <c r="D178" s="150">
        <v>2030000</v>
      </c>
      <c r="E178" s="20" t="s">
        <v>631</v>
      </c>
      <c r="F178" s="20" t="s">
        <v>632</v>
      </c>
      <c r="G178" s="8" t="str">
        <f t="shared" si="2"/>
        <v>KILLION DAVID</v>
      </c>
    </row>
    <row r="179" spans="1:7" x14ac:dyDescent="0.25">
      <c r="A179" s="8">
        <v>42771.788206018522</v>
      </c>
      <c r="B179" s="20" t="s">
        <v>518</v>
      </c>
      <c r="C179" s="20" t="s">
        <v>519</v>
      </c>
      <c r="D179" s="150">
        <v>2610000</v>
      </c>
      <c r="E179" s="20" t="s">
        <v>681</v>
      </c>
      <c r="F179" s="20" t="s">
        <v>682</v>
      </c>
      <c r="G179" s="8" t="str">
        <f t="shared" si="2"/>
        <v>MAGEE KENYA</v>
      </c>
    </row>
    <row r="180" spans="1:7" x14ac:dyDescent="0.25">
      <c r="A180" s="8">
        <v>42771.793773148151</v>
      </c>
      <c r="B180" s="20" t="s">
        <v>238</v>
      </c>
      <c r="C180" s="20" t="s">
        <v>701</v>
      </c>
      <c r="D180" s="150">
        <v>2230000</v>
      </c>
      <c r="E180" s="20" t="s">
        <v>377</v>
      </c>
      <c r="F180" s="20" t="s">
        <v>207</v>
      </c>
      <c r="G180" s="8" t="str">
        <f t="shared" si="2"/>
        <v>SMITH MICHAEL</v>
      </c>
    </row>
    <row r="181" spans="1:7" x14ac:dyDescent="0.25">
      <c r="A181" s="8">
        <v>42771.799641203703</v>
      </c>
      <c r="B181" s="20" t="s">
        <v>323</v>
      </c>
      <c r="C181" s="20" t="s">
        <v>702</v>
      </c>
      <c r="D181" s="150">
        <v>2250000</v>
      </c>
      <c r="E181" s="20" t="s">
        <v>625</v>
      </c>
      <c r="F181" s="20" t="s">
        <v>626</v>
      </c>
      <c r="G181" s="8" t="str">
        <f t="shared" si="2"/>
        <v>CRAYTON QUNTRELL</v>
      </c>
    </row>
    <row r="182" spans="1:7" x14ac:dyDescent="0.25">
      <c r="A182" s="8">
        <v>42771.802164351851</v>
      </c>
      <c r="B182" s="20" t="s">
        <v>231</v>
      </c>
      <c r="C182" s="20" t="s">
        <v>703</v>
      </c>
      <c r="D182" s="150">
        <v>2730000</v>
      </c>
      <c r="E182" s="20" t="s">
        <v>381</v>
      </c>
      <c r="F182" s="20" t="s">
        <v>382</v>
      </c>
      <c r="G182" s="8" t="str">
        <f t="shared" si="2"/>
        <v>YANG JAN</v>
      </c>
    </row>
    <row r="183" spans="1:7" x14ac:dyDescent="0.25">
      <c r="A183" s="8">
        <v>42771.804247685184</v>
      </c>
      <c r="B183" s="20" t="s">
        <v>277</v>
      </c>
      <c r="C183" s="20" t="s">
        <v>704</v>
      </c>
      <c r="D183" s="150">
        <v>1540000</v>
      </c>
      <c r="E183" s="20" t="s">
        <v>344</v>
      </c>
      <c r="F183" s="20" t="s">
        <v>345</v>
      </c>
      <c r="G183" s="8" t="str">
        <f t="shared" si="2"/>
        <v>HELVIE ADAM</v>
      </c>
    </row>
    <row r="184" spans="1:7" x14ac:dyDescent="0.25">
      <c r="A184" s="8">
        <v>42771.805798611109</v>
      </c>
      <c r="B184" s="20" t="s">
        <v>521</v>
      </c>
      <c r="C184" s="20" t="s">
        <v>705</v>
      </c>
      <c r="D184" s="150">
        <v>2710000</v>
      </c>
      <c r="E184" s="20" t="s">
        <v>383</v>
      </c>
      <c r="F184" s="20" t="s">
        <v>384</v>
      </c>
      <c r="G184" s="8" t="str">
        <f t="shared" si="2"/>
        <v>SIMMONS SHYHESHA</v>
      </c>
    </row>
    <row r="185" spans="1:7" x14ac:dyDescent="0.25">
      <c r="A185" s="8">
        <v>42771.80672453704</v>
      </c>
      <c r="B185" s="20" t="s">
        <v>198</v>
      </c>
      <c r="C185" s="20" t="s">
        <v>706</v>
      </c>
      <c r="D185" s="150">
        <v>1810000</v>
      </c>
      <c r="E185" s="20" t="s">
        <v>210</v>
      </c>
      <c r="F185" s="20" t="s">
        <v>203</v>
      </c>
      <c r="G185" s="8" t="str">
        <f t="shared" si="2"/>
        <v>NEWELL JAMES</v>
      </c>
    </row>
    <row r="186" spans="1:7" x14ac:dyDescent="0.25">
      <c r="A186" s="8">
        <v>42771.813993055555</v>
      </c>
      <c r="B186" s="20" t="s">
        <v>521</v>
      </c>
      <c r="C186" s="20" t="s">
        <v>705</v>
      </c>
      <c r="D186" s="150">
        <v>2710000</v>
      </c>
      <c r="E186" s="20" t="s">
        <v>383</v>
      </c>
      <c r="F186" s="20" t="s">
        <v>384</v>
      </c>
      <c r="G186" s="8" t="str">
        <f t="shared" si="2"/>
        <v>SIMMONS SHYHESHA</v>
      </c>
    </row>
    <row r="187" spans="1:7" x14ac:dyDescent="0.25">
      <c r="A187" s="8">
        <v>42771.818043981482</v>
      </c>
      <c r="B187" s="20" t="s">
        <v>278</v>
      </c>
      <c r="C187" s="20" t="s">
        <v>707</v>
      </c>
      <c r="D187" s="150">
        <v>1540000</v>
      </c>
      <c r="E187" s="20" t="s">
        <v>344</v>
      </c>
      <c r="F187" s="20" t="s">
        <v>345</v>
      </c>
      <c r="G187" s="8" t="str">
        <f t="shared" si="2"/>
        <v>HELVIE ADAM</v>
      </c>
    </row>
    <row r="188" spans="1:7" x14ac:dyDescent="0.25">
      <c r="A188" s="8">
        <v>42771.818923611114</v>
      </c>
      <c r="B188" s="20" t="s">
        <v>248</v>
      </c>
      <c r="C188" s="20" t="s">
        <v>708</v>
      </c>
      <c r="D188" s="150">
        <v>2030000</v>
      </c>
      <c r="E188" s="20" t="s">
        <v>631</v>
      </c>
      <c r="F188" s="20" t="s">
        <v>632</v>
      </c>
      <c r="G188" s="8" t="str">
        <f t="shared" si="2"/>
        <v>KILLION DAVID</v>
      </c>
    </row>
    <row r="189" spans="1:7" x14ac:dyDescent="0.25">
      <c r="A189" s="8">
        <v>42771.827337962961</v>
      </c>
      <c r="B189" s="20" t="s">
        <v>337</v>
      </c>
      <c r="C189" s="20" t="s">
        <v>709</v>
      </c>
      <c r="D189" s="150">
        <v>2710000</v>
      </c>
      <c r="E189" s="20" t="s">
        <v>383</v>
      </c>
      <c r="F189" s="20" t="s">
        <v>384</v>
      </c>
      <c r="G189" s="8" t="str">
        <f t="shared" si="2"/>
        <v>SIMMONS SHYHESHA</v>
      </c>
    </row>
    <row r="190" spans="1:7" x14ac:dyDescent="0.25">
      <c r="A190" s="8">
        <v>42771.827997685185</v>
      </c>
      <c r="B190" s="20" t="s">
        <v>562</v>
      </c>
      <c r="C190" s="20" t="s">
        <v>710</v>
      </c>
      <c r="D190" s="150">
        <v>2610000</v>
      </c>
      <c r="E190" s="20" t="s">
        <v>681</v>
      </c>
      <c r="F190" s="20" t="s">
        <v>682</v>
      </c>
      <c r="G190" s="8" t="str">
        <f t="shared" si="2"/>
        <v>MAGEE KENYA</v>
      </c>
    </row>
    <row r="191" spans="1:7" x14ac:dyDescent="0.25">
      <c r="A191" s="8">
        <v>42771.828715277778</v>
      </c>
      <c r="B191" s="20" t="s">
        <v>337</v>
      </c>
      <c r="C191" s="20" t="s">
        <v>709</v>
      </c>
      <c r="D191" s="150">
        <v>2710000</v>
      </c>
      <c r="E191" s="20" t="s">
        <v>383</v>
      </c>
      <c r="F191" s="20" t="s">
        <v>384</v>
      </c>
      <c r="G191" s="8" t="str">
        <f t="shared" si="2"/>
        <v>SIMMONS SHYHESHA</v>
      </c>
    </row>
    <row r="192" spans="1:7" x14ac:dyDescent="0.25">
      <c r="A192" s="8">
        <v>42771.830891203703</v>
      </c>
      <c r="B192" s="20" t="s">
        <v>316</v>
      </c>
      <c r="C192" s="20" t="s">
        <v>711</v>
      </c>
      <c r="D192" s="150">
        <v>2230000</v>
      </c>
      <c r="E192" s="20" t="s">
        <v>377</v>
      </c>
      <c r="F192" s="20" t="s">
        <v>207</v>
      </c>
      <c r="G192" s="8" t="str">
        <f t="shared" si="2"/>
        <v>SMITH MICHAEL</v>
      </c>
    </row>
    <row r="193" spans="1:7" x14ac:dyDescent="0.25">
      <c r="A193" s="8">
        <v>42771.831284722219</v>
      </c>
      <c r="B193" s="20" t="s">
        <v>337</v>
      </c>
      <c r="C193" s="20" t="s">
        <v>709</v>
      </c>
      <c r="D193" s="150">
        <v>2710000</v>
      </c>
      <c r="E193" s="20" t="s">
        <v>383</v>
      </c>
      <c r="F193" s="20" t="s">
        <v>384</v>
      </c>
      <c r="G193" s="8" t="str">
        <f t="shared" si="2"/>
        <v>SIMMONS SHYHESHA</v>
      </c>
    </row>
    <row r="194" spans="1:7" x14ac:dyDescent="0.25">
      <c r="A194" s="8">
        <v>42771.846932870372</v>
      </c>
      <c r="B194" s="20" t="s">
        <v>277</v>
      </c>
      <c r="C194" s="20" t="s">
        <v>712</v>
      </c>
      <c r="D194" s="150">
        <v>1540000</v>
      </c>
      <c r="E194" s="20" t="s">
        <v>344</v>
      </c>
      <c r="F194" s="20" t="s">
        <v>345</v>
      </c>
      <c r="G194" s="8" t="str">
        <f t="shared" si="2"/>
        <v>HELVIE ADAM</v>
      </c>
    </row>
    <row r="195" spans="1:7" x14ac:dyDescent="0.25">
      <c r="A195" s="8">
        <v>42771.849027777775</v>
      </c>
      <c r="B195" s="20" t="s">
        <v>540</v>
      </c>
      <c r="C195" s="20" t="s">
        <v>713</v>
      </c>
      <c r="D195" s="150">
        <v>1810000</v>
      </c>
      <c r="E195" s="20" t="s">
        <v>210</v>
      </c>
      <c r="F195" s="20" t="s">
        <v>203</v>
      </c>
      <c r="G195" s="8" t="str">
        <f t="shared" ref="G195:G258" si="3">E195&amp;" "&amp;F195</f>
        <v>NEWELL JAMES</v>
      </c>
    </row>
    <row r="196" spans="1:7" x14ac:dyDescent="0.25">
      <c r="A196" s="8">
        <v>42771.849340277775</v>
      </c>
      <c r="B196" s="20" t="s">
        <v>197</v>
      </c>
      <c r="C196" s="20" t="s">
        <v>714</v>
      </c>
      <c r="D196" s="150">
        <v>2730000</v>
      </c>
      <c r="E196" s="20" t="s">
        <v>381</v>
      </c>
      <c r="F196" s="20" t="s">
        <v>382</v>
      </c>
      <c r="G196" s="8" t="str">
        <f t="shared" si="3"/>
        <v>YANG JAN</v>
      </c>
    </row>
    <row r="197" spans="1:7" x14ac:dyDescent="0.25">
      <c r="A197" s="8">
        <v>42771.859409722223</v>
      </c>
      <c r="B197" s="20" t="s">
        <v>278</v>
      </c>
      <c r="C197" s="20" t="s">
        <v>715</v>
      </c>
      <c r="D197" s="150">
        <v>1540000</v>
      </c>
      <c r="E197" s="20" t="s">
        <v>344</v>
      </c>
      <c r="F197" s="20" t="s">
        <v>345</v>
      </c>
      <c r="G197" s="8" t="str">
        <f t="shared" si="3"/>
        <v>HELVIE ADAM</v>
      </c>
    </row>
    <row r="198" spans="1:7" x14ac:dyDescent="0.25">
      <c r="A198" s="8">
        <v>42771.865543981483</v>
      </c>
      <c r="B198" s="20" t="s">
        <v>238</v>
      </c>
      <c r="C198" s="20" t="s">
        <v>716</v>
      </c>
      <c r="D198" s="150">
        <v>2230000</v>
      </c>
      <c r="E198" s="20" t="s">
        <v>377</v>
      </c>
      <c r="F198" s="20" t="s">
        <v>207</v>
      </c>
      <c r="G198" s="8" t="str">
        <f t="shared" si="3"/>
        <v>SMITH MICHAEL</v>
      </c>
    </row>
    <row r="199" spans="1:7" x14ac:dyDescent="0.25">
      <c r="A199" s="8">
        <v>42771.866574074076</v>
      </c>
      <c r="B199" s="20" t="s">
        <v>518</v>
      </c>
      <c r="C199" s="20" t="s">
        <v>717</v>
      </c>
      <c r="D199" s="150">
        <v>2610000</v>
      </c>
      <c r="E199" s="20" t="s">
        <v>681</v>
      </c>
      <c r="F199" s="20" t="s">
        <v>682</v>
      </c>
      <c r="G199" s="8" t="str">
        <f t="shared" si="3"/>
        <v>MAGEE KENYA</v>
      </c>
    </row>
    <row r="200" spans="1:7" x14ac:dyDescent="0.25">
      <c r="A200" s="8">
        <v>42771.880613425928</v>
      </c>
      <c r="B200" s="20" t="s">
        <v>198</v>
      </c>
      <c r="C200" s="20" t="s">
        <v>718</v>
      </c>
      <c r="D200" s="150">
        <v>1810000</v>
      </c>
      <c r="E200" s="20" t="s">
        <v>210</v>
      </c>
      <c r="F200" s="20" t="s">
        <v>203</v>
      </c>
      <c r="G200" s="8" t="str">
        <f t="shared" si="3"/>
        <v>NEWELL JAMES</v>
      </c>
    </row>
    <row r="201" spans="1:7" x14ac:dyDescent="0.25">
      <c r="A201" s="8">
        <v>42771.881631944445</v>
      </c>
      <c r="B201" s="20" t="s">
        <v>521</v>
      </c>
      <c r="C201" s="20" t="s">
        <v>522</v>
      </c>
      <c r="D201" s="150">
        <v>2710000</v>
      </c>
      <c r="E201" s="20" t="s">
        <v>383</v>
      </c>
      <c r="F201" s="20" t="s">
        <v>384</v>
      </c>
      <c r="G201" s="8" t="str">
        <f t="shared" si="3"/>
        <v>SIMMONS SHYHESHA</v>
      </c>
    </row>
    <row r="202" spans="1:7" x14ac:dyDescent="0.25">
      <c r="A202" s="26">
        <v>42771.888067129628</v>
      </c>
      <c r="B202" s="20" t="s">
        <v>277</v>
      </c>
      <c r="C202" s="20" t="s">
        <v>719</v>
      </c>
      <c r="D202" s="150">
        <v>1540000</v>
      </c>
      <c r="E202" s="20" t="s">
        <v>344</v>
      </c>
      <c r="F202" s="20" t="s">
        <v>345</v>
      </c>
      <c r="G202" s="8" t="str">
        <f t="shared" si="3"/>
        <v>HELVIE ADAM</v>
      </c>
    </row>
    <row r="203" spans="1:7" x14ac:dyDescent="0.25">
      <c r="A203" s="8">
        <v>42771.891585648147</v>
      </c>
      <c r="B203" s="20" t="s">
        <v>231</v>
      </c>
      <c r="C203" s="20" t="s">
        <v>720</v>
      </c>
      <c r="D203" s="150">
        <v>2730000</v>
      </c>
      <c r="E203" s="20" t="s">
        <v>381</v>
      </c>
      <c r="F203" s="20" t="s">
        <v>382</v>
      </c>
      <c r="G203" s="8" t="str">
        <f t="shared" si="3"/>
        <v>YANG JAN</v>
      </c>
    </row>
    <row r="204" spans="1:7" x14ac:dyDescent="0.25">
      <c r="A204" s="8">
        <v>42771.900752314818</v>
      </c>
      <c r="B204" s="20" t="s">
        <v>278</v>
      </c>
      <c r="C204" s="20" t="s">
        <v>721</v>
      </c>
      <c r="D204" s="150">
        <v>1540000</v>
      </c>
      <c r="E204" s="20" t="s">
        <v>344</v>
      </c>
      <c r="F204" s="20" t="s">
        <v>345</v>
      </c>
      <c r="G204" s="8" t="str">
        <f t="shared" si="3"/>
        <v>HELVIE ADAM</v>
      </c>
    </row>
    <row r="205" spans="1:7" x14ac:dyDescent="0.25">
      <c r="A205" s="8">
        <v>42771.905127314814</v>
      </c>
      <c r="B205" s="20" t="s">
        <v>562</v>
      </c>
      <c r="C205" s="20" t="s">
        <v>722</v>
      </c>
      <c r="D205" s="150">
        <v>2610000</v>
      </c>
      <c r="E205" s="20" t="s">
        <v>681</v>
      </c>
      <c r="F205" s="20" t="s">
        <v>682</v>
      </c>
      <c r="G205" s="8" t="str">
        <f t="shared" si="3"/>
        <v>MAGEE KENYA</v>
      </c>
    </row>
    <row r="206" spans="1:7" x14ac:dyDescent="0.25">
      <c r="A206" s="8">
        <v>42771.905601851853</v>
      </c>
      <c r="B206" s="20" t="s">
        <v>316</v>
      </c>
      <c r="C206" s="20" t="s">
        <v>723</v>
      </c>
      <c r="D206" s="150">
        <v>2230000</v>
      </c>
      <c r="E206" s="20" t="s">
        <v>377</v>
      </c>
      <c r="F206" s="20" t="s">
        <v>207</v>
      </c>
      <c r="G206" s="8" t="str">
        <f t="shared" si="3"/>
        <v>SMITH MICHAEL</v>
      </c>
    </row>
    <row r="207" spans="1:7" x14ac:dyDescent="0.25">
      <c r="A207" s="8">
        <v>42771.913148148145</v>
      </c>
      <c r="B207" s="20" t="s">
        <v>337</v>
      </c>
      <c r="C207" s="20" t="s">
        <v>709</v>
      </c>
      <c r="D207" s="150">
        <v>2710000</v>
      </c>
      <c r="E207" s="20" t="s">
        <v>383</v>
      </c>
      <c r="F207" s="20" t="s">
        <v>384</v>
      </c>
      <c r="G207" s="8" t="str">
        <f t="shared" si="3"/>
        <v>SIMMONS SHYHESHA</v>
      </c>
    </row>
    <row r="208" spans="1:7" x14ac:dyDescent="0.25">
      <c r="A208" s="8">
        <v>42771.918680555558</v>
      </c>
      <c r="B208" s="20" t="s">
        <v>316</v>
      </c>
      <c r="C208" s="20" t="s">
        <v>723</v>
      </c>
      <c r="D208" s="150">
        <v>2230000</v>
      </c>
      <c r="E208" s="20" t="s">
        <v>377</v>
      </c>
      <c r="F208" s="20" t="s">
        <v>207</v>
      </c>
      <c r="G208" s="8" t="str">
        <f t="shared" si="3"/>
        <v>SMITH MICHAEL</v>
      </c>
    </row>
    <row r="209" spans="1:7" x14ac:dyDescent="0.25">
      <c r="A209" s="8">
        <v>42771.922754629632</v>
      </c>
      <c r="B209" s="20" t="s">
        <v>540</v>
      </c>
      <c r="C209" s="20" t="s">
        <v>724</v>
      </c>
      <c r="D209" s="150">
        <v>1810000</v>
      </c>
      <c r="E209" s="20" t="s">
        <v>210</v>
      </c>
      <c r="F209" s="20" t="s">
        <v>203</v>
      </c>
      <c r="G209" s="8" t="str">
        <f t="shared" si="3"/>
        <v>NEWELL JAMES</v>
      </c>
    </row>
    <row r="210" spans="1:7" x14ac:dyDescent="0.25">
      <c r="A210" s="8">
        <v>42771.927094907405</v>
      </c>
      <c r="B210" s="20" t="s">
        <v>277</v>
      </c>
      <c r="C210" s="20" t="s">
        <v>725</v>
      </c>
      <c r="D210" s="150">
        <v>1540000</v>
      </c>
      <c r="E210" s="20" t="s">
        <v>344</v>
      </c>
      <c r="F210" s="20" t="s">
        <v>345</v>
      </c>
      <c r="G210" s="8" t="str">
        <f t="shared" si="3"/>
        <v>HELVIE ADAM</v>
      </c>
    </row>
    <row r="211" spans="1:7" x14ac:dyDescent="0.25">
      <c r="A211" s="8">
        <v>42771.930844907409</v>
      </c>
      <c r="B211" s="20" t="s">
        <v>197</v>
      </c>
      <c r="C211" s="20" t="s">
        <v>726</v>
      </c>
      <c r="D211" s="150">
        <v>2730000</v>
      </c>
      <c r="E211" s="20" t="s">
        <v>381</v>
      </c>
      <c r="F211" s="20" t="s">
        <v>382</v>
      </c>
      <c r="G211" s="8" t="str">
        <f t="shared" si="3"/>
        <v>YANG JAN</v>
      </c>
    </row>
    <row r="212" spans="1:7" x14ac:dyDescent="0.25">
      <c r="A212" s="8">
        <v>42771.941782407404</v>
      </c>
      <c r="B212" s="20" t="s">
        <v>278</v>
      </c>
      <c r="C212" s="20" t="s">
        <v>727</v>
      </c>
      <c r="D212" s="150">
        <v>1540000</v>
      </c>
      <c r="E212" s="20" t="s">
        <v>344</v>
      </c>
      <c r="F212" s="20" t="s">
        <v>345</v>
      </c>
      <c r="G212" s="8" t="str">
        <f t="shared" si="3"/>
        <v>HELVIE ADAM</v>
      </c>
    </row>
    <row r="213" spans="1:7" x14ac:dyDescent="0.25">
      <c r="A213" s="8">
        <v>42771.944120370368</v>
      </c>
      <c r="B213" s="20" t="s">
        <v>518</v>
      </c>
      <c r="C213" s="20" t="s">
        <v>728</v>
      </c>
      <c r="D213" s="150">
        <v>2610000</v>
      </c>
      <c r="E213" s="20" t="s">
        <v>681</v>
      </c>
      <c r="F213" s="20" t="s">
        <v>682</v>
      </c>
      <c r="G213" s="8" t="str">
        <f t="shared" si="3"/>
        <v>MAGEE KENYA</v>
      </c>
    </row>
    <row r="214" spans="1:7" x14ac:dyDescent="0.25">
      <c r="A214" s="8">
        <v>42771.947442129633</v>
      </c>
      <c r="B214" s="20" t="s">
        <v>238</v>
      </c>
      <c r="C214" s="20" t="s">
        <v>520</v>
      </c>
      <c r="D214" s="150">
        <v>2230000</v>
      </c>
      <c r="E214" s="20" t="s">
        <v>377</v>
      </c>
      <c r="F214" s="20" t="s">
        <v>207</v>
      </c>
      <c r="G214" s="8" t="str">
        <f t="shared" si="3"/>
        <v>SMITH MICHAEL</v>
      </c>
    </row>
    <row r="215" spans="1:7" x14ac:dyDescent="0.25">
      <c r="A215" s="8">
        <v>42771.960219907407</v>
      </c>
      <c r="B215" s="20" t="s">
        <v>521</v>
      </c>
      <c r="C215" s="20" t="s">
        <v>522</v>
      </c>
      <c r="D215" s="150">
        <v>2710000</v>
      </c>
      <c r="E215" s="20" t="s">
        <v>383</v>
      </c>
      <c r="F215" s="20" t="s">
        <v>384</v>
      </c>
      <c r="G215" s="8" t="str">
        <f t="shared" si="3"/>
        <v>SIMMONS SHYHESHA</v>
      </c>
    </row>
    <row r="216" spans="1:7" x14ac:dyDescent="0.25">
      <c r="A216" s="8">
        <v>42771.97446759259</v>
      </c>
      <c r="B216" s="20" t="s">
        <v>231</v>
      </c>
      <c r="C216" s="20" t="s">
        <v>729</v>
      </c>
      <c r="D216" s="150">
        <v>2730000</v>
      </c>
      <c r="E216" s="20" t="s">
        <v>381</v>
      </c>
      <c r="F216" s="20" t="s">
        <v>382</v>
      </c>
      <c r="G216" s="8" t="str">
        <f t="shared" si="3"/>
        <v>YANG JAN</v>
      </c>
    </row>
    <row r="217" spans="1:7" x14ac:dyDescent="0.25">
      <c r="A217" s="8">
        <v>42771.977210648147</v>
      </c>
      <c r="B217" s="20" t="s">
        <v>198</v>
      </c>
      <c r="C217" s="20" t="s">
        <v>730</v>
      </c>
      <c r="D217" s="150">
        <v>1810000</v>
      </c>
      <c r="E217" s="20" t="s">
        <v>210</v>
      </c>
      <c r="F217" s="20" t="s">
        <v>203</v>
      </c>
      <c r="G217" s="8" t="str">
        <f t="shared" si="3"/>
        <v>NEWELL JAMES</v>
      </c>
    </row>
    <row r="218" spans="1:7" x14ac:dyDescent="0.25">
      <c r="A218" s="8">
        <v>42771.987175925926</v>
      </c>
      <c r="B218" s="20" t="s">
        <v>316</v>
      </c>
      <c r="C218" s="20" t="s">
        <v>731</v>
      </c>
      <c r="D218" s="150">
        <v>2230000</v>
      </c>
      <c r="E218" s="20" t="s">
        <v>377</v>
      </c>
      <c r="F218" s="20" t="s">
        <v>207</v>
      </c>
      <c r="G218" s="8" t="str">
        <f t="shared" si="3"/>
        <v>SMITH MICHAEL</v>
      </c>
    </row>
    <row r="219" spans="1:7" x14ac:dyDescent="0.25">
      <c r="A219" s="8">
        <v>42771.987847222219</v>
      </c>
      <c r="B219" s="20" t="s">
        <v>562</v>
      </c>
      <c r="C219" s="20" t="s">
        <v>732</v>
      </c>
      <c r="D219" s="150">
        <v>2610000</v>
      </c>
      <c r="E219" s="20" t="s">
        <v>681</v>
      </c>
      <c r="F219" s="20" t="s">
        <v>682</v>
      </c>
      <c r="G219" s="8" t="str">
        <f t="shared" si="3"/>
        <v>MAGEE KENYA</v>
      </c>
    </row>
    <row r="220" spans="1:7" x14ac:dyDescent="0.25">
      <c r="A220" s="8">
        <v>42771.997002314813</v>
      </c>
      <c r="B220" s="20" t="s">
        <v>562</v>
      </c>
      <c r="C220" s="20" t="s">
        <v>732</v>
      </c>
      <c r="D220" s="150">
        <v>2610000</v>
      </c>
      <c r="E220" s="20" t="s">
        <v>681</v>
      </c>
      <c r="F220" s="20" t="s">
        <v>682</v>
      </c>
      <c r="G220" s="8" t="str">
        <f t="shared" si="3"/>
        <v>MAGEE KENYA</v>
      </c>
    </row>
    <row r="221" spans="1:7" x14ac:dyDescent="0.25">
      <c r="A221" s="8">
        <v>42772.004178240742</v>
      </c>
      <c r="B221" s="20" t="s">
        <v>337</v>
      </c>
      <c r="C221" s="20" t="s">
        <v>709</v>
      </c>
      <c r="D221" s="150">
        <v>2710000</v>
      </c>
      <c r="E221" s="20" t="s">
        <v>383</v>
      </c>
      <c r="F221" s="20" t="s">
        <v>384</v>
      </c>
      <c r="G221" s="8" t="str">
        <f t="shared" si="3"/>
        <v>SIMMONS SHYHESHA</v>
      </c>
    </row>
    <row r="222" spans="1:7" x14ac:dyDescent="0.25">
      <c r="A222" s="8">
        <v>42772.016967592594</v>
      </c>
      <c r="B222" s="20" t="s">
        <v>562</v>
      </c>
      <c r="C222" s="20" t="s">
        <v>732</v>
      </c>
      <c r="D222" s="150">
        <v>2610000</v>
      </c>
      <c r="E222" s="20" t="s">
        <v>681</v>
      </c>
      <c r="F222" s="20" t="s">
        <v>682</v>
      </c>
      <c r="G222" s="8" t="str">
        <f t="shared" si="3"/>
        <v>MAGEE KENYA</v>
      </c>
    </row>
    <row r="223" spans="1:7" x14ac:dyDescent="0.25">
      <c r="A223" s="8">
        <v>42772.021412037036</v>
      </c>
      <c r="B223" s="20" t="s">
        <v>229</v>
      </c>
      <c r="C223" s="20" t="s">
        <v>733</v>
      </c>
      <c r="D223" s="150">
        <v>2730000</v>
      </c>
      <c r="E223" s="20" t="s">
        <v>381</v>
      </c>
      <c r="F223" s="20" t="s">
        <v>382</v>
      </c>
      <c r="G223" s="8" t="str">
        <f t="shared" si="3"/>
        <v>YANG JAN</v>
      </c>
    </row>
    <row r="224" spans="1:7" x14ac:dyDescent="0.25">
      <c r="A224" s="8">
        <v>42772.036157407405</v>
      </c>
      <c r="B224" t="s">
        <v>238</v>
      </c>
      <c r="C224" t="s">
        <v>734</v>
      </c>
      <c r="D224" s="150">
        <v>2230000</v>
      </c>
      <c r="E224" t="s">
        <v>377</v>
      </c>
      <c r="F224" s="20" t="s">
        <v>207</v>
      </c>
      <c r="G224" s="8" t="str">
        <f t="shared" si="3"/>
        <v>SMITH MICHAEL</v>
      </c>
    </row>
    <row r="225" spans="1:7" x14ac:dyDescent="0.25">
      <c r="A225" s="8">
        <v>42772.038113425922</v>
      </c>
      <c r="B225" t="s">
        <v>518</v>
      </c>
      <c r="C225" t="s">
        <v>735</v>
      </c>
      <c r="D225" s="150">
        <v>2610000</v>
      </c>
      <c r="E225" t="s">
        <v>681</v>
      </c>
      <c r="F225" s="20" t="s">
        <v>682</v>
      </c>
      <c r="G225" s="8" t="str">
        <f t="shared" si="3"/>
        <v>MAGEE KENYA</v>
      </c>
    </row>
    <row r="226" spans="1:7" x14ac:dyDescent="0.25">
      <c r="A226" s="8">
        <v>42772.040902777779</v>
      </c>
      <c r="B226" t="s">
        <v>518</v>
      </c>
      <c r="C226" t="s">
        <v>736</v>
      </c>
      <c r="D226" s="150">
        <v>2610000</v>
      </c>
      <c r="E226" t="s">
        <v>681</v>
      </c>
      <c r="F226" s="20" t="s">
        <v>682</v>
      </c>
      <c r="G226" s="8" t="str">
        <f t="shared" si="3"/>
        <v>MAGEE KENYA</v>
      </c>
    </row>
    <row r="227" spans="1:7" x14ac:dyDescent="0.25">
      <c r="A227" s="8">
        <v>42772.040960648148</v>
      </c>
      <c r="B227" t="s">
        <v>521</v>
      </c>
      <c r="C227" t="s">
        <v>522</v>
      </c>
      <c r="D227" s="150">
        <v>2710000</v>
      </c>
      <c r="E227" t="s">
        <v>383</v>
      </c>
      <c r="F227" s="20" t="s">
        <v>384</v>
      </c>
      <c r="G227" s="8" t="str">
        <f t="shared" si="3"/>
        <v>SIMMONS SHYHESHA</v>
      </c>
    </row>
    <row r="228" spans="1:7" x14ac:dyDescent="0.25">
      <c r="A228" s="8">
        <v>42772.053391203706</v>
      </c>
      <c r="B228" t="s">
        <v>337</v>
      </c>
      <c r="C228" t="s">
        <v>709</v>
      </c>
      <c r="D228" s="150">
        <v>2710000</v>
      </c>
      <c r="E228" t="s">
        <v>383</v>
      </c>
      <c r="F228" s="20" t="s">
        <v>384</v>
      </c>
      <c r="G228" s="8" t="str">
        <f t="shared" si="3"/>
        <v>SIMMONS SHYHESHA</v>
      </c>
    </row>
    <row r="229" spans="1:7" x14ac:dyDescent="0.25">
      <c r="A229" s="8">
        <v>42772.057696759257</v>
      </c>
      <c r="B229" t="s">
        <v>230</v>
      </c>
      <c r="C229" t="s">
        <v>737</v>
      </c>
      <c r="D229" s="150">
        <v>2730000</v>
      </c>
      <c r="E229" t="s">
        <v>381</v>
      </c>
      <c r="F229" s="20" t="s">
        <v>382</v>
      </c>
      <c r="G229" s="8" t="str">
        <f t="shared" si="3"/>
        <v>YANG JAN</v>
      </c>
    </row>
    <row r="230" spans="1:7" x14ac:dyDescent="0.25">
      <c r="A230" s="8">
        <v>42772.075416666667</v>
      </c>
      <c r="B230" t="s">
        <v>230</v>
      </c>
      <c r="C230" t="s">
        <v>737</v>
      </c>
      <c r="D230" s="150">
        <v>2730000</v>
      </c>
      <c r="E230" t="s">
        <v>381</v>
      </c>
      <c r="F230" s="20" t="s">
        <v>382</v>
      </c>
      <c r="G230" s="8" t="str">
        <f t="shared" si="3"/>
        <v>YANG JAN</v>
      </c>
    </row>
    <row r="231" spans="1:7" x14ac:dyDescent="0.25">
      <c r="A231" s="8">
        <v>42772.076354166667</v>
      </c>
      <c r="B231" t="s">
        <v>316</v>
      </c>
      <c r="C231" t="s">
        <v>738</v>
      </c>
      <c r="D231" s="150">
        <v>2230000</v>
      </c>
      <c r="E231" t="s">
        <v>377</v>
      </c>
      <c r="F231" s="20" t="s">
        <v>207</v>
      </c>
      <c r="G231" s="8" t="str">
        <f t="shared" si="3"/>
        <v>SMITH MICHAEL</v>
      </c>
    </row>
    <row r="232" spans="1:7" x14ac:dyDescent="0.25">
      <c r="A232" s="8">
        <v>42769.017314814817</v>
      </c>
      <c r="B232" t="s">
        <v>347</v>
      </c>
      <c r="C232" t="s">
        <v>373</v>
      </c>
      <c r="D232" s="150">
        <v>2710000</v>
      </c>
      <c r="E232" t="s">
        <v>383</v>
      </c>
      <c r="F232" s="20" t="s">
        <v>384</v>
      </c>
      <c r="G232" s="8" t="str">
        <f t="shared" si="3"/>
        <v>SIMMONS SHYHESHA</v>
      </c>
    </row>
    <row r="233" spans="1:7" x14ac:dyDescent="0.25">
      <c r="A233" s="8">
        <v>42769.02847222222</v>
      </c>
      <c r="B233" t="s">
        <v>234</v>
      </c>
      <c r="C233" t="s">
        <v>388</v>
      </c>
      <c r="D233" s="150">
        <v>1800000</v>
      </c>
      <c r="E233" t="s">
        <v>279</v>
      </c>
      <c r="F233" s="20" t="s">
        <v>280</v>
      </c>
      <c r="G233" s="8" t="str">
        <f t="shared" si="3"/>
        <v>CHANDLER KELVIN</v>
      </c>
    </row>
    <row r="234" spans="1:7" x14ac:dyDescent="0.25">
      <c r="A234" s="8">
        <v>42769.034826388888</v>
      </c>
      <c r="B234" t="s">
        <v>195</v>
      </c>
      <c r="C234" t="s">
        <v>389</v>
      </c>
      <c r="D234" s="150">
        <v>2560000</v>
      </c>
      <c r="E234" t="s">
        <v>379</v>
      </c>
      <c r="F234" s="20" t="s">
        <v>380</v>
      </c>
      <c r="G234" s="8" t="str">
        <f t="shared" si="3"/>
        <v>MACDONALD THOMAS</v>
      </c>
    </row>
    <row r="235" spans="1:7" x14ac:dyDescent="0.25">
      <c r="A235" s="8">
        <v>42769.048842592594</v>
      </c>
      <c r="B235" t="s">
        <v>316</v>
      </c>
      <c r="C235" t="s">
        <v>390</v>
      </c>
      <c r="D235" s="150">
        <v>1810000</v>
      </c>
      <c r="E235" t="s">
        <v>210</v>
      </c>
      <c r="F235" s="20" t="s">
        <v>203</v>
      </c>
      <c r="G235" s="8" t="str">
        <f t="shared" si="3"/>
        <v>NEWELL JAMES</v>
      </c>
    </row>
    <row r="236" spans="1:7" x14ac:dyDescent="0.25">
      <c r="A236" s="8">
        <v>42769.05</v>
      </c>
      <c r="B236" t="s">
        <v>293</v>
      </c>
      <c r="C236" t="s">
        <v>391</v>
      </c>
      <c r="D236" s="150">
        <v>2220000</v>
      </c>
      <c r="E236" t="s">
        <v>227</v>
      </c>
      <c r="F236" s="20" t="s">
        <v>228</v>
      </c>
      <c r="G236" s="8" t="str">
        <f t="shared" si="3"/>
        <v>HILLS DUSTIN</v>
      </c>
    </row>
    <row r="237" spans="1:7" x14ac:dyDescent="0.25">
      <c r="A237" s="8">
        <v>42769.054016203707</v>
      </c>
      <c r="B237" t="s">
        <v>337</v>
      </c>
      <c r="C237" t="s">
        <v>387</v>
      </c>
      <c r="D237" s="150">
        <v>2710000</v>
      </c>
      <c r="E237" t="s">
        <v>383</v>
      </c>
      <c r="F237" s="20" t="s">
        <v>384</v>
      </c>
      <c r="G237" s="8" t="str">
        <f t="shared" si="3"/>
        <v>SIMMONS SHYHESHA</v>
      </c>
    </row>
    <row r="238" spans="1:7" x14ac:dyDescent="0.25">
      <c r="A238" s="8">
        <v>42769.068425925929</v>
      </c>
      <c r="B238" t="s">
        <v>192</v>
      </c>
      <c r="C238" t="s">
        <v>392</v>
      </c>
      <c r="D238" s="150">
        <v>2560000</v>
      </c>
      <c r="E238" t="s">
        <v>379</v>
      </c>
      <c r="F238" s="20" t="s">
        <v>380</v>
      </c>
      <c r="G238" s="8" t="str">
        <f t="shared" si="3"/>
        <v>MACDONALD THOMAS</v>
      </c>
    </row>
    <row r="239" spans="1:7" x14ac:dyDescent="0.25">
      <c r="A239" s="8">
        <v>42769.087592592594</v>
      </c>
      <c r="B239" t="s">
        <v>292</v>
      </c>
      <c r="C239" t="s">
        <v>393</v>
      </c>
      <c r="D239" s="150">
        <v>2220000</v>
      </c>
      <c r="E239" t="s">
        <v>227</v>
      </c>
      <c r="F239" s="20" t="s">
        <v>228</v>
      </c>
      <c r="G239" s="8" t="str">
        <f t="shared" si="3"/>
        <v>HILLS DUSTIN</v>
      </c>
    </row>
    <row r="240" spans="1:7" x14ac:dyDescent="0.25">
      <c r="A240" s="8">
        <v>42769.104016203702</v>
      </c>
      <c r="B240" t="s">
        <v>347</v>
      </c>
      <c r="C240" t="s">
        <v>373</v>
      </c>
      <c r="D240" s="150">
        <v>2710000</v>
      </c>
      <c r="E240" t="s">
        <v>383</v>
      </c>
      <c r="F240" s="20" t="s">
        <v>384</v>
      </c>
      <c r="G240" s="8" t="str">
        <f t="shared" si="3"/>
        <v>SIMMONS SHYHESHA</v>
      </c>
    </row>
    <row r="241" spans="1:7" x14ac:dyDescent="0.25">
      <c r="A241" s="8">
        <v>42768.067361111112</v>
      </c>
      <c r="B241" t="s">
        <v>198</v>
      </c>
      <c r="C241" t="s">
        <v>348</v>
      </c>
      <c r="D241" s="150">
        <v>1740000</v>
      </c>
      <c r="E241" t="s">
        <v>242</v>
      </c>
      <c r="F241" s="20" t="s">
        <v>243</v>
      </c>
      <c r="G241" s="8" t="str">
        <f t="shared" si="3"/>
        <v>STORY SAMANTHA</v>
      </c>
    </row>
    <row r="242" spans="1:7" x14ac:dyDescent="0.25">
      <c r="A242" s="8">
        <v>42768.078194444446</v>
      </c>
      <c r="B242" t="s">
        <v>282</v>
      </c>
      <c r="C242" t="s">
        <v>349</v>
      </c>
      <c r="D242" s="150">
        <v>2270000</v>
      </c>
      <c r="E242" t="s">
        <v>246</v>
      </c>
      <c r="F242" s="20" t="s">
        <v>247</v>
      </c>
      <c r="G242" s="8" t="str">
        <f t="shared" si="3"/>
        <v>BROWN JACOB</v>
      </c>
    </row>
    <row r="243" spans="1:7" x14ac:dyDescent="0.25">
      <c r="A243" s="8">
        <v>42768.095821759256</v>
      </c>
      <c r="B243" t="s">
        <v>229</v>
      </c>
      <c r="C243" t="s">
        <v>350</v>
      </c>
      <c r="D243" s="150">
        <v>2540000</v>
      </c>
      <c r="E243" t="s">
        <v>235</v>
      </c>
      <c r="F243" s="20" t="s">
        <v>236</v>
      </c>
      <c r="G243" s="8" t="str">
        <f t="shared" si="3"/>
        <v>MCREYNOLDS KYLE</v>
      </c>
    </row>
    <row r="244" spans="1:7" x14ac:dyDescent="0.25">
      <c r="A244" s="8">
        <v>42761.974421296298</v>
      </c>
      <c r="B244" t="s">
        <v>292</v>
      </c>
      <c r="C244" t="s">
        <v>296</v>
      </c>
      <c r="D244" s="150">
        <v>1810000</v>
      </c>
      <c r="E244" t="s">
        <v>210</v>
      </c>
      <c r="F244" s="20" t="s">
        <v>203</v>
      </c>
      <c r="G244" s="8" t="str">
        <f t="shared" si="3"/>
        <v>NEWELL JAMES</v>
      </c>
    </row>
    <row r="245" spans="1:7" x14ac:dyDescent="0.25">
      <c r="A245" s="8">
        <v>42761.993668981479</v>
      </c>
      <c r="B245" t="s">
        <v>277</v>
      </c>
      <c r="C245" t="s">
        <v>294</v>
      </c>
      <c r="D245" s="150">
        <v>2270000</v>
      </c>
      <c r="E245" t="s">
        <v>246</v>
      </c>
      <c r="F245" s="20" t="s">
        <v>247</v>
      </c>
      <c r="G245" s="8" t="str">
        <f t="shared" si="3"/>
        <v>BROWN JACOB</v>
      </c>
    </row>
    <row r="246" spans="1:7" x14ac:dyDescent="0.25">
      <c r="A246" s="8">
        <v>42761.994988425926</v>
      </c>
      <c r="B246" t="s">
        <v>230</v>
      </c>
      <c r="C246" t="s">
        <v>297</v>
      </c>
      <c r="D246" s="150">
        <v>1800000</v>
      </c>
      <c r="E246" t="s">
        <v>279</v>
      </c>
      <c r="F246" s="20" t="s">
        <v>280</v>
      </c>
      <c r="G246" s="8" t="str">
        <f t="shared" si="3"/>
        <v>CHANDLER KELVIN</v>
      </c>
    </row>
    <row r="247" spans="1:7" x14ac:dyDescent="0.25">
      <c r="A247" s="8">
        <v>42762.010069444441</v>
      </c>
      <c r="B247" t="s">
        <v>282</v>
      </c>
      <c r="C247" t="s">
        <v>298</v>
      </c>
      <c r="D247" s="150">
        <v>2220000</v>
      </c>
      <c r="E247" t="s">
        <v>227</v>
      </c>
      <c r="F247" s="20" t="s">
        <v>228</v>
      </c>
      <c r="G247" s="8" t="str">
        <f t="shared" si="3"/>
        <v>HILLS DUSTIN</v>
      </c>
    </row>
    <row r="248" spans="1:7" x14ac:dyDescent="0.25">
      <c r="A248" s="8">
        <v>42762.016180555554</v>
      </c>
      <c r="B248" t="s">
        <v>293</v>
      </c>
      <c r="C248" t="s">
        <v>299</v>
      </c>
      <c r="D248" s="150">
        <v>1810000</v>
      </c>
      <c r="E248" t="s">
        <v>210</v>
      </c>
      <c r="F248" s="20" t="s">
        <v>203</v>
      </c>
      <c r="G248" s="8" t="str">
        <f t="shared" si="3"/>
        <v>NEWELL JAMES</v>
      </c>
    </row>
    <row r="249" spans="1:7" x14ac:dyDescent="0.25">
      <c r="A249" s="8">
        <v>42762.02784722222</v>
      </c>
      <c r="B249" t="s">
        <v>229</v>
      </c>
      <c r="C249" t="s">
        <v>300</v>
      </c>
      <c r="D249" s="150">
        <v>1800000</v>
      </c>
      <c r="E249" t="s">
        <v>279</v>
      </c>
      <c r="F249" s="20" t="s">
        <v>280</v>
      </c>
      <c r="G249" s="8" t="str">
        <f t="shared" si="3"/>
        <v>CHANDLER KELVIN</v>
      </c>
    </row>
    <row r="250" spans="1:7" x14ac:dyDescent="0.25">
      <c r="A250" s="8">
        <v>42762.032488425924</v>
      </c>
      <c r="B250" t="s">
        <v>278</v>
      </c>
      <c r="C250" t="s">
        <v>295</v>
      </c>
      <c r="D250" s="150">
        <v>2270000</v>
      </c>
      <c r="E250" t="s">
        <v>246</v>
      </c>
      <c r="F250" s="20" t="s">
        <v>247</v>
      </c>
      <c r="G250" s="8" t="str">
        <f t="shared" si="3"/>
        <v>BROWN JACOB</v>
      </c>
    </row>
    <row r="251" spans="1:7" x14ac:dyDescent="0.25">
      <c r="A251" s="8">
        <v>42762.046157407407</v>
      </c>
      <c r="B251" t="s">
        <v>292</v>
      </c>
      <c r="C251" t="s">
        <v>301</v>
      </c>
      <c r="D251" s="150">
        <v>1810000</v>
      </c>
      <c r="E251" t="s">
        <v>210</v>
      </c>
      <c r="F251" s="20" t="s">
        <v>203</v>
      </c>
      <c r="G251" s="8" t="str">
        <f t="shared" si="3"/>
        <v>NEWELL JAMES</v>
      </c>
    </row>
    <row r="252" spans="1:7" x14ac:dyDescent="0.25">
      <c r="A252" s="8">
        <v>42762.050347222219</v>
      </c>
      <c r="B252" t="s">
        <v>281</v>
      </c>
      <c r="C252" t="s">
        <v>302</v>
      </c>
      <c r="D252" s="150">
        <v>2220000</v>
      </c>
      <c r="E252" t="s">
        <v>227</v>
      </c>
      <c r="F252" s="20" t="s">
        <v>228</v>
      </c>
      <c r="G252" s="8" t="str">
        <f t="shared" si="3"/>
        <v>HILLS DUSTIN</v>
      </c>
    </row>
    <row r="253" spans="1:7" x14ac:dyDescent="0.25">
      <c r="A253" s="8">
        <v>42762.064432870371</v>
      </c>
      <c r="B253" t="s">
        <v>281</v>
      </c>
      <c r="C253" t="s">
        <v>302</v>
      </c>
      <c r="D253" s="150">
        <v>2220000</v>
      </c>
      <c r="E253" t="s">
        <v>227</v>
      </c>
      <c r="F253" s="20" t="s">
        <v>228</v>
      </c>
      <c r="G253" s="8" t="str">
        <f t="shared" si="3"/>
        <v>HILLS DUSTIN</v>
      </c>
    </row>
    <row r="254" spans="1:7" x14ac:dyDescent="0.25">
      <c r="A254" s="8">
        <v>42762.072662037041</v>
      </c>
      <c r="B254" t="s">
        <v>277</v>
      </c>
      <c r="C254" t="s">
        <v>303</v>
      </c>
      <c r="D254" s="150">
        <v>2270000</v>
      </c>
      <c r="E254" t="s">
        <v>246</v>
      </c>
      <c r="F254" s="20" t="s">
        <v>247</v>
      </c>
      <c r="G254" s="8" t="str">
        <f t="shared" si="3"/>
        <v>BROWN JACOB</v>
      </c>
    </row>
    <row r="255" spans="1:7" x14ac:dyDescent="0.25">
      <c r="A255" s="8">
        <v>42762.095057870371</v>
      </c>
      <c r="B255" t="s">
        <v>282</v>
      </c>
      <c r="C255" t="s">
        <v>304</v>
      </c>
      <c r="D255" s="150">
        <v>2220000</v>
      </c>
      <c r="E255" t="s">
        <v>227</v>
      </c>
      <c r="F255" s="20" t="s">
        <v>228</v>
      </c>
      <c r="G255" s="8" t="str">
        <f t="shared" si="3"/>
        <v>HILLS DUSTIN</v>
      </c>
    </row>
    <row r="256" spans="1:7" x14ac:dyDescent="0.25">
      <c r="A256" s="8">
        <v>42756.050243055557</v>
      </c>
      <c r="B256" t="s">
        <v>214</v>
      </c>
      <c r="C256" t="s">
        <v>266</v>
      </c>
      <c r="D256" s="150">
        <v>2220000</v>
      </c>
      <c r="E256" t="s">
        <v>227</v>
      </c>
      <c r="F256" s="20" t="s">
        <v>228</v>
      </c>
      <c r="G256" s="8" t="str">
        <f t="shared" si="3"/>
        <v>HILLS DUSTIN</v>
      </c>
    </row>
    <row r="257" spans="1:7" x14ac:dyDescent="0.25">
      <c r="A257" s="8">
        <v>42756.067199074074</v>
      </c>
      <c r="B257" t="s">
        <v>198</v>
      </c>
      <c r="C257" t="s">
        <v>267</v>
      </c>
      <c r="D257" s="150">
        <v>2000000</v>
      </c>
      <c r="E257" t="s">
        <v>265</v>
      </c>
      <c r="F257" s="20" t="s">
        <v>203</v>
      </c>
      <c r="G257" s="8" t="str">
        <f t="shared" si="3"/>
        <v>STAMBAUGH JAMES</v>
      </c>
    </row>
    <row r="258" spans="1:7" x14ac:dyDescent="0.25">
      <c r="A258" s="8">
        <v>42756.088101851848</v>
      </c>
      <c r="B258" t="s">
        <v>239</v>
      </c>
      <c r="C258" t="s">
        <v>268</v>
      </c>
      <c r="D258" s="150">
        <v>2220000</v>
      </c>
      <c r="E258" t="s">
        <v>227</v>
      </c>
      <c r="F258" s="20" t="s">
        <v>228</v>
      </c>
      <c r="G258" s="8" t="str">
        <f t="shared" si="3"/>
        <v>HILLS DUSTIN</v>
      </c>
    </row>
    <row r="259" spans="1:7" x14ac:dyDescent="0.25">
      <c r="A259" s="8">
        <v>42756.114201388889</v>
      </c>
      <c r="B259" t="s">
        <v>264</v>
      </c>
      <c r="C259" t="s">
        <v>269</v>
      </c>
      <c r="D259" s="150">
        <v>1360000</v>
      </c>
      <c r="E259" t="s">
        <v>270</v>
      </c>
      <c r="F259" s="20" t="s">
        <v>271</v>
      </c>
      <c r="G259" s="8" t="str">
        <f t="shared" ref="G259:G322" si="4">E259&amp;" "&amp;F259</f>
        <v>SANTIZO D. EDY</v>
      </c>
    </row>
    <row r="260" spans="1:7" x14ac:dyDescent="0.25">
      <c r="A260" s="8">
        <v>42754.05332175926</v>
      </c>
      <c r="B260" t="s">
        <v>248</v>
      </c>
      <c r="C260" t="s">
        <v>254</v>
      </c>
      <c r="D260" s="150">
        <v>2450000</v>
      </c>
      <c r="E260" t="s">
        <v>250</v>
      </c>
      <c r="F260" s="20" t="s">
        <v>251</v>
      </c>
      <c r="G260" s="8" t="str">
        <f t="shared" si="4"/>
        <v>NELSON ARIANE</v>
      </c>
    </row>
    <row r="261" spans="1:7" x14ac:dyDescent="0.25">
      <c r="A261" s="8">
        <v>42754.057476851849</v>
      </c>
      <c r="B261" t="s">
        <v>233</v>
      </c>
      <c r="C261" t="s">
        <v>261</v>
      </c>
      <c r="D261" s="150">
        <v>1810000</v>
      </c>
      <c r="E261" t="s">
        <v>210</v>
      </c>
      <c r="F261" s="20" t="s">
        <v>203</v>
      </c>
      <c r="G261" s="8" t="str">
        <f t="shared" si="4"/>
        <v>NEWELL JAMES</v>
      </c>
    </row>
    <row r="262" spans="1:7" x14ac:dyDescent="0.25">
      <c r="A262" s="8">
        <v>42754.060081018521</v>
      </c>
      <c r="B262" t="s">
        <v>255</v>
      </c>
      <c r="C262" t="s">
        <v>259</v>
      </c>
      <c r="D262" s="150">
        <v>2670000</v>
      </c>
      <c r="E262" t="s">
        <v>257</v>
      </c>
      <c r="F262" s="20" t="s">
        <v>258</v>
      </c>
      <c r="G262" s="8" t="str">
        <f t="shared" si="4"/>
        <v>COMELLA JUSTIN</v>
      </c>
    </row>
    <row r="263" spans="1:7" x14ac:dyDescent="0.25">
      <c r="A263" s="8">
        <v>42754.060555555552</v>
      </c>
      <c r="B263" t="s">
        <v>229</v>
      </c>
      <c r="C263" t="s">
        <v>253</v>
      </c>
      <c r="D263" s="150">
        <v>2540000</v>
      </c>
      <c r="E263" t="s">
        <v>235</v>
      </c>
      <c r="F263" s="20" t="s">
        <v>236</v>
      </c>
      <c r="G263" s="8" t="str">
        <f t="shared" si="4"/>
        <v>MCREYNOLDS KYLE</v>
      </c>
    </row>
    <row r="264" spans="1:7" x14ac:dyDescent="0.25">
      <c r="A264" s="8">
        <v>42754.068148148152</v>
      </c>
      <c r="B264" t="s">
        <v>224</v>
      </c>
      <c r="C264" t="s">
        <v>249</v>
      </c>
      <c r="D264" s="150">
        <v>2450000</v>
      </c>
      <c r="E264" t="s">
        <v>250</v>
      </c>
      <c r="F264" s="20" t="s">
        <v>251</v>
      </c>
      <c r="G264" s="8" t="str">
        <f t="shared" si="4"/>
        <v>NELSON ARIANE</v>
      </c>
    </row>
    <row r="265" spans="1:7" x14ac:dyDescent="0.25">
      <c r="A265" s="8">
        <v>42754.069988425923</v>
      </c>
      <c r="B265" t="s">
        <v>245</v>
      </c>
      <c r="C265" t="s">
        <v>262</v>
      </c>
      <c r="D265" s="150">
        <v>2270000</v>
      </c>
      <c r="E265" t="s">
        <v>246</v>
      </c>
      <c r="F265" s="20" t="s">
        <v>247</v>
      </c>
      <c r="G265" s="8" t="str">
        <f t="shared" si="4"/>
        <v>BROWN JACOB</v>
      </c>
    </row>
    <row r="266" spans="1:7" x14ac:dyDescent="0.25">
      <c r="A266" s="8">
        <v>42754.070185185185</v>
      </c>
      <c r="B266" t="s">
        <v>230</v>
      </c>
      <c r="C266" t="s">
        <v>252</v>
      </c>
      <c r="D266" s="150">
        <v>2540000</v>
      </c>
      <c r="E266" t="s">
        <v>235</v>
      </c>
      <c r="F266" s="20" t="s">
        <v>236</v>
      </c>
      <c r="G266" s="8" t="str">
        <f t="shared" si="4"/>
        <v>MCREYNOLDS KYLE</v>
      </c>
    </row>
    <row r="267" spans="1:7" x14ac:dyDescent="0.25">
      <c r="A267" s="8">
        <v>42754.077326388891</v>
      </c>
      <c r="B267" t="s">
        <v>248</v>
      </c>
      <c r="C267" t="s">
        <v>254</v>
      </c>
      <c r="D267" s="150">
        <v>2450000</v>
      </c>
      <c r="E267" t="s">
        <v>250</v>
      </c>
      <c r="F267" s="20" t="s">
        <v>251</v>
      </c>
      <c r="G267" s="8" t="str">
        <f t="shared" si="4"/>
        <v>NELSON ARIANE</v>
      </c>
    </row>
    <row r="268" spans="1:7" x14ac:dyDescent="0.25">
      <c r="A268" s="8">
        <v>42754.08556712963</v>
      </c>
      <c r="B268" t="s">
        <v>245</v>
      </c>
      <c r="C268" t="s">
        <v>262</v>
      </c>
      <c r="D268" s="150">
        <v>2270000</v>
      </c>
      <c r="E268" t="s">
        <v>246</v>
      </c>
      <c r="F268" s="20" t="s">
        <v>247</v>
      </c>
      <c r="G268" s="8" t="str">
        <f t="shared" si="4"/>
        <v>BROWN JACOB</v>
      </c>
    </row>
    <row r="269" spans="1:7" x14ac:dyDescent="0.25">
      <c r="A269" s="8">
        <v>42754.092013888891</v>
      </c>
      <c r="B269" t="s">
        <v>229</v>
      </c>
      <c r="C269" t="s">
        <v>253</v>
      </c>
      <c r="D269" s="150">
        <v>2540000</v>
      </c>
      <c r="E269" t="s">
        <v>235</v>
      </c>
      <c r="F269" s="20" t="s">
        <v>236</v>
      </c>
      <c r="G269" s="8" t="str">
        <f t="shared" si="4"/>
        <v>MCREYNOLDS KYLE</v>
      </c>
    </row>
    <row r="270" spans="1:7" x14ac:dyDescent="0.25">
      <c r="A270" s="8">
        <v>42754.093356481484</v>
      </c>
      <c r="B270" t="s">
        <v>234</v>
      </c>
      <c r="C270" t="s">
        <v>263</v>
      </c>
      <c r="D270" s="150">
        <v>1810000</v>
      </c>
      <c r="E270" t="s">
        <v>210</v>
      </c>
      <c r="F270" s="20" t="s">
        <v>203</v>
      </c>
      <c r="G270" s="8" t="str">
        <f t="shared" si="4"/>
        <v>NEWELL JAMES</v>
      </c>
    </row>
    <row r="271" spans="1:7" x14ac:dyDescent="0.25">
      <c r="A271" s="8">
        <v>42754.098680555559</v>
      </c>
      <c r="B271" t="s">
        <v>260</v>
      </c>
      <c r="C271" t="s">
        <v>256</v>
      </c>
      <c r="D271" s="150">
        <v>2670000</v>
      </c>
      <c r="E271" t="s">
        <v>257</v>
      </c>
      <c r="F271" s="20" t="s">
        <v>258</v>
      </c>
      <c r="G271" s="8" t="str">
        <f t="shared" si="4"/>
        <v>COMELLA JUSTIN</v>
      </c>
    </row>
    <row r="272" spans="1:7" x14ac:dyDescent="0.25">
      <c r="A272" s="8">
        <v>42754.108900462961</v>
      </c>
      <c r="B272" t="s">
        <v>224</v>
      </c>
      <c r="C272" t="s">
        <v>249</v>
      </c>
      <c r="D272" s="150">
        <v>2450000</v>
      </c>
      <c r="E272" t="s">
        <v>250</v>
      </c>
      <c r="F272" s="20" t="s">
        <v>251</v>
      </c>
      <c r="G272" s="8" t="str">
        <f t="shared" si="4"/>
        <v>NELSON ARIANE</v>
      </c>
    </row>
    <row r="273" spans="1:7" x14ac:dyDescent="0.25">
      <c r="A273" s="8">
        <v>42754.109803240739</v>
      </c>
      <c r="B273" t="s">
        <v>230</v>
      </c>
      <c r="C273" t="s">
        <v>252</v>
      </c>
      <c r="D273" s="150">
        <v>2540000</v>
      </c>
      <c r="E273" t="s">
        <v>235</v>
      </c>
      <c r="F273" s="20" t="s">
        <v>236</v>
      </c>
      <c r="G273" s="8" t="str">
        <f t="shared" si="4"/>
        <v>MCREYNOLDS KYLE</v>
      </c>
    </row>
    <row r="274" spans="1:7" x14ac:dyDescent="0.25">
      <c r="F274" s="20">
        <f t="shared" ref="F274:F281" si="5">B274</f>
        <v>0</v>
      </c>
      <c r="G274" s="8" t="str">
        <f t="shared" si="4"/>
        <v xml:space="preserve"> 0</v>
      </c>
    </row>
    <row r="275" spans="1:7" x14ac:dyDescent="0.25">
      <c r="F275" s="20">
        <f t="shared" si="5"/>
        <v>0</v>
      </c>
      <c r="G275" s="8" t="str">
        <f t="shared" si="4"/>
        <v xml:space="preserve"> 0</v>
      </c>
    </row>
    <row r="276" spans="1:7" x14ac:dyDescent="0.25">
      <c r="F276" s="20">
        <f t="shared" si="5"/>
        <v>0</v>
      </c>
      <c r="G276" s="8" t="str">
        <f t="shared" si="4"/>
        <v xml:space="preserve"> 0</v>
      </c>
    </row>
    <row r="277" spans="1:7" x14ac:dyDescent="0.25">
      <c r="F277" s="20">
        <f t="shared" si="5"/>
        <v>0</v>
      </c>
      <c r="G277" s="8" t="str">
        <f t="shared" si="4"/>
        <v xml:space="preserve"> 0</v>
      </c>
    </row>
    <row r="278" spans="1:7" x14ac:dyDescent="0.25">
      <c r="F278" s="20">
        <f t="shared" si="5"/>
        <v>0</v>
      </c>
      <c r="G278" s="8" t="str">
        <f t="shared" si="4"/>
        <v xml:space="preserve"> 0</v>
      </c>
    </row>
    <row r="279" spans="1:7" x14ac:dyDescent="0.25">
      <c r="F279" s="20">
        <f t="shared" si="5"/>
        <v>0</v>
      </c>
      <c r="G279" s="8" t="str">
        <f t="shared" si="4"/>
        <v xml:space="preserve"> 0</v>
      </c>
    </row>
    <row r="280" spans="1:7" x14ac:dyDescent="0.25">
      <c r="F280" s="20">
        <f t="shared" si="5"/>
        <v>0</v>
      </c>
      <c r="G280" s="8" t="str">
        <f t="shared" si="4"/>
        <v xml:space="preserve"> 0</v>
      </c>
    </row>
    <row r="281" spans="1:7" x14ac:dyDescent="0.25">
      <c r="F281" s="20">
        <f t="shared" si="5"/>
        <v>0</v>
      </c>
      <c r="G281" s="8" t="str">
        <f t="shared" si="4"/>
        <v xml:space="preserve"> 0</v>
      </c>
    </row>
    <row r="282" spans="1:7" x14ac:dyDescent="0.25">
      <c r="F282" s="20">
        <f t="shared" ref="F282:F345" si="6">B282</f>
        <v>0</v>
      </c>
      <c r="G282" s="8" t="str">
        <f t="shared" si="4"/>
        <v xml:space="preserve"> 0</v>
      </c>
    </row>
    <row r="283" spans="1:7" x14ac:dyDescent="0.25">
      <c r="F283" s="20">
        <f t="shared" si="6"/>
        <v>0</v>
      </c>
      <c r="G283" s="8" t="str">
        <f t="shared" si="4"/>
        <v xml:space="preserve"> 0</v>
      </c>
    </row>
    <row r="284" spans="1:7" x14ac:dyDescent="0.25">
      <c r="F284" s="20">
        <f t="shared" si="6"/>
        <v>0</v>
      </c>
      <c r="G284" s="8" t="str">
        <f t="shared" si="4"/>
        <v xml:space="preserve"> 0</v>
      </c>
    </row>
    <row r="285" spans="1:7" x14ac:dyDescent="0.25">
      <c r="F285" s="20">
        <f t="shared" si="6"/>
        <v>0</v>
      </c>
      <c r="G285" s="8" t="str">
        <f t="shared" si="4"/>
        <v xml:space="preserve"> 0</v>
      </c>
    </row>
    <row r="286" spans="1:7" x14ac:dyDescent="0.25">
      <c r="F286" s="20">
        <f t="shared" si="6"/>
        <v>0</v>
      </c>
      <c r="G286" s="8" t="str">
        <f t="shared" si="4"/>
        <v xml:space="preserve"> 0</v>
      </c>
    </row>
    <row r="287" spans="1:7" x14ac:dyDescent="0.25">
      <c r="F287" s="20">
        <f t="shared" si="6"/>
        <v>0</v>
      </c>
      <c r="G287" s="8" t="str">
        <f t="shared" si="4"/>
        <v xml:space="preserve"> 0</v>
      </c>
    </row>
    <row r="288" spans="1:7" x14ac:dyDescent="0.25">
      <c r="F288" s="20">
        <f t="shared" si="6"/>
        <v>0</v>
      </c>
      <c r="G288" s="8" t="str">
        <f t="shared" si="4"/>
        <v xml:space="preserve"> 0</v>
      </c>
    </row>
    <row r="289" spans="6:7" x14ac:dyDescent="0.25">
      <c r="F289" s="20">
        <f t="shared" si="6"/>
        <v>0</v>
      </c>
      <c r="G289" s="8" t="str">
        <f t="shared" si="4"/>
        <v xml:space="preserve"> 0</v>
      </c>
    </row>
    <row r="290" spans="6:7" x14ac:dyDescent="0.25">
      <c r="F290" s="20">
        <f t="shared" si="6"/>
        <v>0</v>
      </c>
      <c r="G290" s="8" t="str">
        <f t="shared" si="4"/>
        <v xml:space="preserve"> 0</v>
      </c>
    </row>
    <row r="291" spans="6:7" x14ac:dyDescent="0.25">
      <c r="F291" s="20">
        <f t="shared" si="6"/>
        <v>0</v>
      </c>
      <c r="G291" s="8" t="str">
        <f t="shared" si="4"/>
        <v xml:space="preserve"> 0</v>
      </c>
    </row>
    <row r="292" spans="6:7" x14ac:dyDescent="0.25">
      <c r="F292" s="20">
        <f t="shared" si="6"/>
        <v>0</v>
      </c>
      <c r="G292" s="8" t="str">
        <f t="shared" si="4"/>
        <v xml:space="preserve"> 0</v>
      </c>
    </row>
    <row r="293" spans="6:7" x14ac:dyDescent="0.25">
      <c r="F293" s="20">
        <f t="shared" si="6"/>
        <v>0</v>
      </c>
      <c r="G293" s="8" t="str">
        <f t="shared" si="4"/>
        <v xml:space="preserve"> 0</v>
      </c>
    </row>
    <row r="294" spans="6:7" x14ac:dyDescent="0.25">
      <c r="F294" s="20">
        <f t="shared" si="6"/>
        <v>0</v>
      </c>
      <c r="G294" s="8" t="str">
        <f t="shared" si="4"/>
        <v xml:space="preserve"> 0</v>
      </c>
    </row>
    <row r="295" spans="6:7" x14ac:dyDescent="0.25">
      <c r="F295" s="20">
        <f t="shared" si="6"/>
        <v>0</v>
      </c>
      <c r="G295" s="8" t="str">
        <f t="shared" si="4"/>
        <v xml:space="preserve"> 0</v>
      </c>
    </row>
    <row r="296" spans="6:7" x14ac:dyDescent="0.25">
      <c r="F296" s="20">
        <f t="shared" si="6"/>
        <v>0</v>
      </c>
      <c r="G296" s="8" t="str">
        <f t="shared" si="4"/>
        <v xml:space="preserve"> 0</v>
      </c>
    </row>
    <row r="297" spans="6:7" x14ac:dyDescent="0.25">
      <c r="F297" s="20">
        <f t="shared" si="6"/>
        <v>0</v>
      </c>
      <c r="G297" s="8" t="str">
        <f t="shared" si="4"/>
        <v xml:space="preserve"> 0</v>
      </c>
    </row>
    <row r="298" spans="6:7" x14ac:dyDescent="0.25">
      <c r="F298" s="20">
        <f t="shared" si="6"/>
        <v>0</v>
      </c>
      <c r="G298" s="8" t="str">
        <f t="shared" si="4"/>
        <v xml:space="preserve"> 0</v>
      </c>
    </row>
    <row r="299" spans="6:7" x14ac:dyDescent="0.25">
      <c r="F299" s="20">
        <f t="shared" si="6"/>
        <v>0</v>
      </c>
      <c r="G299" s="8" t="str">
        <f t="shared" si="4"/>
        <v xml:space="preserve"> 0</v>
      </c>
    </row>
    <row r="300" spans="6:7" x14ac:dyDescent="0.25">
      <c r="F300" s="20">
        <f t="shared" si="6"/>
        <v>0</v>
      </c>
      <c r="G300" s="8" t="str">
        <f t="shared" si="4"/>
        <v xml:space="preserve"> 0</v>
      </c>
    </row>
    <row r="301" spans="6:7" x14ac:dyDescent="0.25">
      <c r="F301" s="20">
        <f t="shared" si="6"/>
        <v>0</v>
      </c>
      <c r="G301" s="8" t="str">
        <f t="shared" si="4"/>
        <v xml:space="preserve"> 0</v>
      </c>
    </row>
    <row r="302" spans="6:7" x14ac:dyDescent="0.25">
      <c r="F302" s="20">
        <f t="shared" si="6"/>
        <v>0</v>
      </c>
      <c r="G302" s="8" t="str">
        <f t="shared" si="4"/>
        <v xml:space="preserve"> 0</v>
      </c>
    </row>
    <row r="303" spans="6:7" x14ac:dyDescent="0.25">
      <c r="F303" s="20">
        <f t="shared" si="6"/>
        <v>0</v>
      </c>
      <c r="G303" s="8" t="str">
        <f t="shared" si="4"/>
        <v xml:space="preserve"> 0</v>
      </c>
    </row>
    <row r="304" spans="6:7" x14ac:dyDescent="0.25">
      <c r="F304" s="20">
        <f t="shared" si="6"/>
        <v>0</v>
      </c>
      <c r="G304" s="8" t="str">
        <f t="shared" si="4"/>
        <v xml:space="preserve"> 0</v>
      </c>
    </row>
    <row r="305" spans="6:7" x14ac:dyDescent="0.25">
      <c r="F305" s="20">
        <f t="shared" si="6"/>
        <v>0</v>
      </c>
      <c r="G305" s="8" t="str">
        <f t="shared" si="4"/>
        <v xml:space="preserve"> 0</v>
      </c>
    </row>
    <row r="306" spans="6:7" x14ac:dyDescent="0.25">
      <c r="F306" s="20">
        <f t="shared" si="6"/>
        <v>0</v>
      </c>
      <c r="G306" s="8" t="str">
        <f t="shared" si="4"/>
        <v xml:space="preserve"> 0</v>
      </c>
    </row>
    <row r="307" spans="6:7" x14ac:dyDescent="0.25">
      <c r="F307" s="20">
        <f t="shared" si="6"/>
        <v>0</v>
      </c>
      <c r="G307" s="8" t="str">
        <f t="shared" si="4"/>
        <v xml:space="preserve"> 0</v>
      </c>
    </row>
    <row r="308" spans="6:7" x14ac:dyDescent="0.25">
      <c r="F308" s="20">
        <f t="shared" si="6"/>
        <v>0</v>
      </c>
      <c r="G308" s="8" t="str">
        <f t="shared" si="4"/>
        <v xml:space="preserve"> 0</v>
      </c>
    </row>
    <row r="309" spans="6:7" x14ac:dyDescent="0.25">
      <c r="F309" s="20">
        <f t="shared" si="6"/>
        <v>0</v>
      </c>
      <c r="G309" s="8" t="str">
        <f t="shared" si="4"/>
        <v xml:space="preserve"> 0</v>
      </c>
    </row>
    <row r="310" spans="6:7" x14ac:dyDescent="0.25">
      <c r="F310" s="20">
        <f t="shared" si="6"/>
        <v>0</v>
      </c>
      <c r="G310" s="8" t="str">
        <f t="shared" si="4"/>
        <v xml:space="preserve"> 0</v>
      </c>
    </row>
    <row r="311" spans="6:7" x14ac:dyDescent="0.25">
      <c r="F311" s="20">
        <f t="shared" si="6"/>
        <v>0</v>
      </c>
      <c r="G311" s="8" t="str">
        <f t="shared" si="4"/>
        <v xml:space="preserve"> 0</v>
      </c>
    </row>
    <row r="312" spans="6:7" x14ac:dyDescent="0.25">
      <c r="F312" s="20">
        <f t="shared" si="6"/>
        <v>0</v>
      </c>
      <c r="G312" s="8" t="str">
        <f t="shared" si="4"/>
        <v xml:space="preserve"> 0</v>
      </c>
    </row>
    <row r="313" spans="6:7" x14ac:dyDescent="0.25">
      <c r="F313" s="20">
        <f t="shared" si="6"/>
        <v>0</v>
      </c>
      <c r="G313" s="8" t="str">
        <f t="shared" si="4"/>
        <v xml:space="preserve"> 0</v>
      </c>
    </row>
    <row r="314" spans="6:7" x14ac:dyDescent="0.25">
      <c r="F314" s="20">
        <f t="shared" si="6"/>
        <v>0</v>
      </c>
      <c r="G314" s="8" t="str">
        <f t="shared" si="4"/>
        <v xml:space="preserve"> 0</v>
      </c>
    </row>
    <row r="315" spans="6:7" x14ac:dyDescent="0.25">
      <c r="F315" s="20">
        <f t="shared" si="6"/>
        <v>0</v>
      </c>
      <c r="G315" s="8" t="str">
        <f t="shared" si="4"/>
        <v xml:space="preserve"> 0</v>
      </c>
    </row>
    <row r="316" spans="6:7" x14ac:dyDescent="0.25">
      <c r="F316" s="20">
        <f t="shared" si="6"/>
        <v>0</v>
      </c>
      <c r="G316" s="8" t="str">
        <f t="shared" si="4"/>
        <v xml:space="preserve"> 0</v>
      </c>
    </row>
    <row r="317" spans="6:7" x14ac:dyDescent="0.25">
      <c r="F317" s="20">
        <f t="shared" si="6"/>
        <v>0</v>
      </c>
      <c r="G317" s="8" t="str">
        <f t="shared" si="4"/>
        <v xml:space="preserve"> 0</v>
      </c>
    </row>
    <row r="318" spans="6:7" x14ac:dyDescent="0.25">
      <c r="F318" s="20">
        <f t="shared" si="6"/>
        <v>0</v>
      </c>
      <c r="G318" s="8" t="str">
        <f t="shared" si="4"/>
        <v xml:space="preserve"> 0</v>
      </c>
    </row>
    <row r="319" spans="6:7" x14ac:dyDescent="0.25">
      <c r="F319" s="20">
        <f t="shared" si="6"/>
        <v>0</v>
      </c>
      <c r="G319" s="8" t="str">
        <f t="shared" si="4"/>
        <v xml:space="preserve"> 0</v>
      </c>
    </row>
    <row r="320" spans="6:7" x14ac:dyDescent="0.25">
      <c r="F320" s="20">
        <f t="shared" si="6"/>
        <v>0</v>
      </c>
      <c r="G320" s="8" t="str">
        <f t="shared" si="4"/>
        <v xml:space="preserve"> 0</v>
      </c>
    </row>
    <row r="321" spans="6:7" x14ac:dyDescent="0.25">
      <c r="F321" s="20">
        <f t="shared" si="6"/>
        <v>0</v>
      </c>
      <c r="G321" s="8" t="str">
        <f t="shared" si="4"/>
        <v xml:space="preserve"> 0</v>
      </c>
    </row>
    <row r="322" spans="6:7" x14ac:dyDescent="0.25">
      <c r="F322" s="20">
        <f t="shared" si="6"/>
        <v>0</v>
      </c>
      <c r="G322" s="8" t="str">
        <f t="shared" si="4"/>
        <v xml:space="preserve"> 0</v>
      </c>
    </row>
    <row r="323" spans="6:7" x14ac:dyDescent="0.25">
      <c r="F323" s="20">
        <f t="shared" si="6"/>
        <v>0</v>
      </c>
      <c r="G323" s="8" t="str">
        <f t="shared" ref="G323:G386" si="7">E323&amp;" "&amp;F323</f>
        <v xml:space="preserve"> 0</v>
      </c>
    </row>
    <row r="324" spans="6:7" x14ac:dyDescent="0.25">
      <c r="F324" s="20">
        <f t="shared" si="6"/>
        <v>0</v>
      </c>
      <c r="G324" s="8" t="str">
        <f t="shared" si="7"/>
        <v xml:space="preserve"> 0</v>
      </c>
    </row>
    <row r="325" spans="6:7" x14ac:dyDescent="0.25">
      <c r="F325" s="20">
        <f t="shared" si="6"/>
        <v>0</v>
      </c>
      <c r="G325" s="8" t="str">
        <f t="shared" si="7"/>
        <v xml:space="preserve"> 0</v>
      </c>
    </row>
    <row r="326" spans="6:7" x14ac:dyDescent="0.25">
      <c r="F326" s="20">
        <f t="shared" si="6"/>
        <v>0</v>
      </c>
      <c r="G326" s="8" t="str">
        <f t="shared" si="7"/>
        <v xml:space="preserve"> 0</v>
      </c>
    </row>
    <row r="327" spans="6:7" x14ac:dyDescent="0.25">
      <c r="F327" s="20">
        <f t="shared" si="6"/>
        <v>0</v>
      </c>
      <c r="G327" s="8" t="str">
        <f t="shared" si="7"/>
        <v xml:space="preserve"> 0</v>
      </c>
    </row>
    <row r="328" spans="6:7" x14ac:dyDescent="0.25">
      <c r="F328" s="20">
        <f t="shared" si="6"/>
        <v>0</v>
      </c>
      <c r="G328" s="8" t="str">
        <f t="shared" si="7"/>
        <v xml:space="preserve"> 0</v>
      </c>
    </row>
    <row r="329" spans="6:7" x14ac:dyDescent="0.25">
      <c r="F329" s="20">
        <f t="shared" si="6"/>
        <v>0</v>
      </c>
      <c r="G329" s="8" t="str">
        <f t="shared" si="7"/>
        <v xml:space="preserve"> 0</v>
      </c>
    </row>
    <row r="330" spans="6:7" x14ac:dyDescent="0.25">
      <c r="F330" s="20">
        <f t="shared" si="6"/>
        <v>0</v>
      </c>
      <c r="G330" s="8" t="str">
        <f t="shared" si="7"/>
        <v xml:space="preserve"> 0</v>
      </c>
    </row>
    <row r="331" spans="6:7" x14ac:dyDescent="0.25">
      <c r="F331" s="20">
        <f t="shared" si="6"/>
        <v>0</v>
      </c>
      <c r="G331" s="8" t="str">
        <f t="shared" si="7"/>
        <v xml:space="preserve"> 0</v>
      </c>
    </row>
    <row r="332" spans="6:7" x14ac:dyDescent="0.25">
      <c r="F332" s="20">
        <f t="shared" si="6"/>
        <v>0</v>
      </c>
      <c r="G332" s="8" t="str">
        <f t="shared" si="7"/>
        <v xml:space="preserve"> 0</v>
      </c>
    </row>
    <row r="333" spans="6:7" x14ac:dyDescent="0.25">
      <c r="F333" s="20">
        <f t="shared" si="6"/>
        <v>0</v>
      </c>
      <c r="G333" s="8" t="str">
        <f t="shared" si="7"/>
        <v xml:space="preserve"> 0</v>
      </c>
    </row>
    <row r="334" spans="6:7" x14ac:dyDescent="0.25">
      <c r="F334" s="20">
        <f t="shared" si="6"/>
        <v>0</v>
      </c>
      <c r="G334" s="8" t="str">
        <f t="shared" si="7"/>
        <v xml:space="preserve"> 0</v>
      </c>
    </row>
    <row r="335" spans="6:7" x14ac:dyDescent="0.25">
      <c r="F335" s="20">
        <f t="shared" si="6"/>
        <v>0</v>
      </c>
      <c r="G335" s="8" t="str">
        <f t="shared" si="7"/>
        <v xml:space="preserve"> 0</v>
      </c>
    </row>
    <row r="336" spans="6:7" x14ac:dyDescent="0.25">
      <c r="F336" s="20">
        <f t="shared" si="6"/>
        <v>0</v>
      </c>
      <c r="G336" s="8" t="str">
        <f t="shared" si="7"/>
        <v xml:space="preserve"> 0</v>
      </c>
    </row>
    <row r="337" spans="6:7" x14ac:dyDescent="0.25">
      <c r="F337" s="20">
        <f t="shared" si="6"/>
        <v>0</v>
      </c>
      <c r="G337" s="8" t="str">
        <f t="shared" si="7"/>
        <v xml:space="preserve"> 0</v>
      </c>
    </row>
    <row r="338" spans="6:7" x14ac:dyDescent="0.25">
      <c r="F338" s="20">
        <f t="shared" si="6"/>
        <v>0</v>
      </c>
      <c r="G338" s="8" t="str">
        <f t="shared" si="7"/>
        <v xml:space="preserve"> 0</v>
      </c>
    </row>
    <row r="339" spans="6:7" x14ac:dyDescent="0.25">
      <c r="F339" s="20">
        <f t="shared" si="6"/>
        <v>0</v>
      </c>
      <c r="G339" s="8" t="str">
        <f t="shared" si="7"/>
        <v xml:space="preserve"> 0</v>
      </c>
    </row>
    <row r="340" spans="6:7" x14ac:dyDescent="0.25">
      <c r="F340" s="20">
        <f t="shared" si="6"/>
        <v>0</v>
      </c>
      <c r="G340" s="8" t="str">
        <f t="shared" si="7"/>
        <v xml:space="preserve"> 0</v>
      </c>
    </row>
    <row r="341" spans="6:7" x14ac:dyDescent="0.25">
      <c r="F341" s="20">
        <f t="shared" si="6"/>
        <v>0</v>
      </c>
      <c r="G341" s="8" t="str">
        <f t="shared" si="7"/>
        <v xml:space="preserve"> 0</v>
      </c>
    </row>
    <row r="342" spans="6:7" x14ac:dyDescent="0.25">
      <c r="F342" s="20">
        <f t="shared" si="6"/>
        <v>0</v>
      </c>
      <c r="G342" s="8" t="str">
        <f t="shared" si="7"/>
        <v xml:space="preserve"> 0</v>
      </c>
    </row>
    <row r="343" spans="6:7" x14ac:dyDescent="0.25">
      <c r="F343" s="20">
        <f t="shared" si="6"/>
        <v>0</v>
      </c>
      <c r="G343" s="8" t="str">
        <f t="shared" si="7"/>
        <v xml:space="preserve"> 0</v>
      </c>
    </row>
    <row r="344" spans="6:7" x14ac:dyDescent="0.25">
      <c r="F344" s="20">
        <f t="shared" si="6"/>
        <v>0</v>
      </c>
      <c r="G344" s="8" t="str">
        <f t="shared" si="7"/>
        <v xml:space="preserve"> 0</v>
      </c>
    </row>
    <row r="345" spans="6:7" x14ac:dyDescent="0.25">
      <c r="F345" s="20">
        <f t="shared" si="6"/>
        <v>0</v>
      </c>
      <c r="G345" s="8" t="str">
        <f t="shared" si="7"/>
        <v xml:space="preserve"> 0</v>
      </c>
    </row>
    <row r="346" spans="6:7" x14ac:dyDescent="0.25">
      <c r="F346" s="20">
        <f t="shared" ref="F346:F409" si="8">B346</f>
        <v>0</v>
      </c>
      <c r="G346" s="8" t="str">
        <f t="shared" si="7"/>
        <v xml:space="preserve"> 0</v>
      </c>
    </row>
    <row r="347" spans="6:7" x14ac:dyDescent="0.25">
      <c r="F347" s="20">
        <f t="shared" si="8"/>
        <v>0</v>
      </c>
      <c r="G347" s="8" t="str">
        <f t="shared" si="7"/>
        <v xml:space="preserve"> 0</v>
      </c>
    </row>
    <row r="348" spans="6:7" x14ac:dyDescent="0.25">
      <c r="F348" s="20">
        <f t="shared" si="8"/>
        <v>0</v>
      </c>
      <c r="G348" s="8" t="str">
        <f t="shared" si="7"/>
        <v xml:space="preserve"> 0</v>
      </c>
    </row>
    <row r="349" spans="6:7" x14ac:dyDescent="0.25">
      <c r="F349" s="20">
        <f t="shared" si="8"/>
        <v>0</v>
      </c>
      <c r="G349" s="8" t="str">
        <f t="shared" si="7"/>
        <v xml:space="preserve"> 0</v>
      </c>
    </row>
    <row r="350" spans="6:7" x14ac:dyDescent="0.25">
      <c r="F350" s="20">
        <f t="shared" si="8"/>
        <v>0</v>
      </c>
      <c r="G350" s="8" t="str">
        <f t="shared" si="7"/>
        <v xml:space="preserve"> 0</v>
      </c>
    </row>
    <row r="351" spans="6:7" x14ac:dyDescent="0.25">
      <c r="F351" s="20">
        <f t="shared" si="8"/>
        <v>0</v>
      </c>
      <c r="G351" s="8" t="str">
        <f t="shared" si="7"/>
        <v xml:space="preserve"> 0</v>
      </c>
    </row>
    <row r="352" spans="6:7" x14ac:dyDescent="0.25">
      <c r="F352" s="20">
        <f t="shared" si="8"/>
        <v>0</v>
      </c>
      <c r="G352" s="8" t="str">
        <f t="shared" si="7"/>
        <v xml:space="preserve"> 0</v>
      </c>
    </row>
    <row r="353" spans="6:7" x14ac:dyDescent="0.25">
      <c r="F353" s="20">
        <f t="shared" si="8"/>
        <v>0</v>
      </c>
      <c r="G353" s="8" t="str">
        <f t="shared" si="7"/>
        <v xml:space="preserve"> 0</v>
      </c>
    </row>
    <row r="354" spans="6:7" x14ac:dyDescent="0.25">
      <c r="F354" s="20">
        <f t="shared" si="8"/>
        <v>0</v>
      </c>
      <c r="G354" s="8" t="str">
        <f t="shared" si="7"/>
        <v xml:space="preserve"> 0</v>
      </c>
    </row>
    <row r="355" spans="6:7" x14ac:dyDescent="0.25">
      <c r="F355" s="20">
        <f t="shared" si="8"/>
        <v>0</v>
      </c>
      <c r="G355" s="8" t="str">
        <f t="shared" si="7"/>
        <v xml:space="preserve"> 0</v>
      </c>
    </row>
    <row r="356" spans="6:7" x14ac:dyDescent="0.25">
      <c r="F356" s="20">
        <f t="shared" si="8"/>
        <v>0</v>
      </c>
      <c r="G356" s="8" t="str">
        <f t="shared" si="7"/>
        <v xml:space="preserve"> 0</v>
      </c>
    </row>
    <row r="357" spans="6:7" x14ac:dyDescent="0.25">
      <c r="F357" s="20">
        <f t="shared" si="8"/>
        <v>0</v>
      </c>
      <c r="G357" s="8" t="str">
        <f t="shared" si="7"/>
        <v xml:space="preserve"> 0</v>
      </c>
    </row>
    <row r="358" spans="6:7" x14ac:dyDescent="0.25">
      <c r="F358" s="20">
        <f t="shared" si="8"/>
        <v>0</v>
      </c>
      <c r="G358" s="8" t="str">
        <f t="shared" si="7"/>
        <v xml:space="preserve"> 0</v>
      </c>
    </row>
    <row r="359" spans="6:7" x14ac:dyDescent="0.25">
      <c r="F359" s="20">
        <f t="shared" si="8"/>
        <v>0</v>
      </c>
      <c r="G359" s="8" t="str">
        <f t="shared" si="7"/>
        <v xml:space="preserve"> 0</v>
      </c>
    </row>
    <row r="360" spans="6:7" x14ac:dyDescent="0.25">
      <c r="F360" s="20">
        <f t="shared" si="8"/>
        <v>0</v>
      </c>
      <c r="G360" s="8" t="str">
        <f t="shared" si="7"/>
        <v xml:space="preserve"> 0</v>
      </c>
    </row>
    <row r="361" spans="6:7" x14ac:dyDescent="0.25">
      <c r="F361" s="20">
        <f t="shared" si="8"/>
        <v>0</v>
      </c>
      <c r="G361" s="8" t="str">
        <f t="shared" si="7"/>
        <v xml:space="preserve"> 0</v>
      </c>
    </row>
    <row r="362" spans="6:7" x14ac:dyDescent="0.25">
      <c r="F362" s="20">
        <f t="shared" si="8"/>
        <v>0</v>
      </c>
      <c r="G362" s="8" t="str">
        <f t="shared" si="7"/>
        <v xml:space="preserve"> 0</v>
      </c>
    </row>
    <row r="363" spans="6:7" x14ac:dyDescent="0.25">
      <c r="F363" s="20">
        <f t="shared" si="8"/>
        <v>0</v>
      </c>
      <c r="G363" s="8" t="str">
        <f t="shared" si="7"/>
        <v xml:space="preserve"> 0</v>
      </c>
    </row>
    <row r="364" spans="6:7" x14ac:dyDescent="0.25">
      <c r="F364" s="20">
        <f t="shared" si="8"/>
        <v>0</v>
      </c>
      <c r="G364" s="8" t="str">
        <f t="shared" si="7"/>
        <v xml:space="preserve"> 0</v>
      </c>
    </row>
    <row r="365" spans="6:7" x14ac:dyDescent="0.25">
      <c r="F365" s="20">
        <f t="shared" si="8"/>
        <v>0</v>
      </c>
      <c r="G365" s="8" t="str">
        <f t="shared" si="7"/>
        <v xml:space="preserve"> 0</v>
      </c>
    </row>
    <row r="366" spans="6:7" x14ac:dyDescent="0.25">
      <c r="F366" s="20">
        <f t="shared" si="8"/>
        <v>0</v>
      </c>
      <c r="G366" s="8" t="str">
        <f t="shared" si="7"/>
        <v xml:space="preserve"> 0</v>
      </c>
    </row>
    <row r="367" spans="6:7" x14ac:dyDescent="0.25">
      <c r="F367" s="20">
        <f t="shared" si="8"/>
        <v>0</v>
      </c>
      <c r="G367" s="8" t="str">
        <f t="shared" si="7"/>
        <v xml:space="preserve"> 0</v>
      </c>
    </row>
    <row r="368" spans="6:7" x14ac:dyDescent="0.25">
      <c r="F368" s="20">
        <f t="shared" si="8"/>
        <v>0</v>
      </c>
      <c r="G368" s="8" t="str">
        <f t="shared" si="7"/>
        <v xml:space="preserve"> 0</v>
      </c>
    </row>
    <row r="369" spans="6:7" x14ac:dyDescent="0.25">
      <c r="F369" s="20">
        <f t="shared" si="8"/>
        <v>0</v>
      </c>
      <c r="G369" s="8" t="str">
        <f t="shared" si="7"/>
        <v xml:space="preserve"> 0</v>
      </c>
    </row>
    <row r="370" spans="6:7" x14ac:dyDescent="0.25">
      <c r="F370" s="20">
        <f t="shared" si="8"/>
        <v>0</v>
      </c>
      <c r="G370" s="8" t="str">
        <f t="shared" si="7"/>
        <v xml:space="preserve"> 0</v>
      </c>
    </row>
    <row r="371" spans="6:7" x14ac:dyDescent="0.25">
      <c r="F371" s="20">
        <f t="shared" si="8"/>
        <v>0</v>
      </c>
      <c r="G371" s="8" t="str">
        <f t="shared" si="7"/>
        <v xml:space="preserve"> 0</v>
      </c>
    </row>
    <row r="372" spans="6:7" x14ac:dyDescent="0.25">
      <c r="F372" s="20">
        <f t="shared" si="8"/>
        <v>0</v>
      </c>
      <c r="G372" s="8" t="str">
        <f t="shared" si="7"/>
        <v xml:space="preserve"> 0</v>
      </c>
    </row>
    <row r="373" spans="6:7" x14ac:dyDescent="0.25">
      <c r="F373" s="20">
        <f t="shared" si="8"/>
        <v>0</v>
      </c>
      <c r="G373" s="8" t="str">
        <f t="shared" si="7"/>
        <v xml:space="preserve"> 0</v>
      </c>
    </row>
    <row r="374" spans="6:7" x14ac:dyDescent="0.25">
      <c r="F374" s="20">
        <f t="shared" si="8"/>
        <v>0</v>
      </c>
      <c r="G374" s="8" t="str">
        <f t="shared" si="7"/>
        <v xml:space="preserve"> 0</v>
      </c>
    </row>
    <row r="375" spans="6:7" x14ac:dyDescent="0.25">
      <c r="F375" s="20">
        <f t="shared" si="8"/>
        <v>0</v>
      </c>
      <c r="G375" s="8" t="str">
        <f t="shared" si="7"/>
        <v xml:space="preserve"> 0</v>
      </c>
    </row>
    <row r="376" spans="6:7" x14ac:dyDescent="0.25">
      <c r="F376" s="20">
        <f t="shared" si="8"/>
        <v>0</v>
      </c>
      <c r="G376" s="8" t="str">
        <f t="shared" si="7"/>
        <v xml:space="preserve"> 0</v>
      </c>
    </row>
    <row r="377" spans="6:7" x14ac:dyDescent="0.25">
      <c r="F377" s="20">
        <f t="shared" si="8"/>
        <v>0</v>
      </c>
      <c r="G377" s="8" t="str">
        <f t="shared" si="7"/>
        <v xml:space="preserve"> 0</v>
      </c>
    </row>
    <row r="378" spans="6:7" x14ac:dyDescent="0.25">
      <c r="F378" s="20">
        <f t="shared" si="8"/>
        <v>0</v>
      </c>
      <c r="G378" s="8" t="str">
        <f t="shared" si="7"/>
        <v xml:space="preserve"> 0</v>
      </c>
    </row>
    <row r="379" spans="6:7" x14ac:dyDescent="0.25">
      <c r="F379" s="20">
        <f t="shared" si="8"/>
        <v>0</v>
      </c>
      <c r="G379" s="8" t="str">
        <f t="shared" si="7"/>
        <v xml:space="preserve"> 0</v>
      </c>
    </row>
    <row r="380" spans="6:7" x14ac:dyDescent="0.25">
      <c r="F380" s="20">
        <f t="shared" si="8"/>
        <v>0</v>
      </c>
      <c r="G380" s="8" t="str">
        <f t="shared" si="7"/>
        <v xml:space="preserve"> 0</v>
      </c>
    </row>
    <row r="381" spans="6:7" x14ac:dyDescent="0.25">
      <c r="F381" s="20">
        <f t="shared" si="8"/>
        <v>0</v>
      </c>
      <c r="G381" s="8" t="str">
        <f t="shared" si="7"/>
        <v xml:space="preserve"> 0</v>
      </c>
    </row>
    <row r="382" spans="6:7" x14ac:dyDescent="0.25">
      <c r="F382" s="20">
        <f t="shared" si="8"/>
        <v>0</v>
      </c>
      <c r="G382" s="8" t="str">
        <f t="shared" si="7"/>
        <v xml:space="preserve"> 0</v>
      </c>
    </row>
    <row r="383" spans="6:7" x14ac:dyDescent="0.25">
      <c r="F383" s="20">
        <f t="shared" si="8"/>
        <v>0</v>
      </c>
      <c r="G383" s="8" t="str">
        <f t="shared" si="7"/>
        <v xml:space="preserve"> 0</v>
      </c>
    </row>
    <row r="384" spans="6:7" x14ac:dyDescent="0.25">
      <c r="F384" s="20">
        <f t="shared" si="8"/>
        <v>0</v>
      </c>
      <c r="G384" s="8" t="str">
        <f t="shared" si="7"/>
        <v xml:space="preserve"> 0</v>
      </c>
    </row>
    <row r="385" spans="6:7" x14ac:dyDescent="0.25">
      <c r="F385" s="20">
        <f t="shared" si="8"/>
        <v>0</v>
      </c>
      <c r="G385" s="8" t="str">
        <f t="shared" si="7"/>
        <v xml:space="preserve"> 0</v>
      </c>
    </row>
    <row r="386" spans="6:7" x14ac:dyDescent="0.25">
      <c r="F386" s="20">
        <f t="shared" si="8"/>
        <v>0</v>
      </c>
      <c r="G386" s="8" t="str">
        <f t="shared" si="7"/>
        <v xml:space="preserve"> 0</v>
      </c>
    </row>
    <row r="387" spans="6:7" x14ac:dyDescent="0.25">
      <c r="F387" s="20">
        <f t="shared" si="8"/>
        <v>0</v>
      </c>
      <c r="G387" s="8" t="str">
        <f t="shared" ref="G387:G450" si="9">E387&amp;" "&amp;F387</f>
        <v xml:space="preserve"> 0</v>
      </c>
    </row>
    <row r="388" spans="6:7" x14ac:dyDescent="0.25">
      <c r="F388" s="20">
        <f t="shared" si="8"/>
        <v>0</v>
      </c>
      <c r="G388" s="8" t="str">
        <f t="shared" si="9"/>
        <v xml:space="preserve"> 0</v>
      </c>
    </row>
    <row r="389" spans="6:7" x14ac:dyDescent="0.25">
      <c r="F389" s="20">
        <f t="shared" si="8"/>
        <v>0</v>
      </c>
      <c r="G389" s="8" t="str">
        <f t="shared" si="9"/>
        <v xml:space="preserve"> 0</v>
      </c>
    </row>
    <row r="390" spans="6:7" x14ac:dyDescent="0.25">
      <c r="F390" s="20">
        <f t="shared" si="8"/>
        <v>0</v>
      </c>
      <c r="G390" s="8" t="str">
        <f t="shared" si="9"/>
        <v xml:space="preserve"> 0</v>
      </c>
    </row>
    <row r="391" spans="6:7" x14ac:dyDescent="0.25">
      <c r="F391" s="20">
        <f t="shared" si="8"/>
        <v>0</v>
      </c>
      <c r="G391" s="8" t="str">
        <f t="shared" si="9"/>
        <v xml:space="preserve"> 0</v>
      </c>
    </row>
    <row r="392" spans="6:7" x14ac:dyDescent="0.25">
      <c r="F392" s="20">
        <f t="shared" si="8"/>
        <v>0</v>
      </c>
      <c r="G392" s="8" t="str">
        <f t="shared" si="9"/>
        <v xml:space="preserve"> 0</v>
      </c>
    </row>
    <row r="393" spans="6:7" x14ac:dyDescent="0.25">
      <c r="F393" s="20">
        <f t="shared" si="8"/>
        <v>0</v>
      </c>
      <c r="G393" s="8" t="str">
        <f t="shared" si="9"/>
        <v xml:space="preserve"> 0</v>
      </c>
    </row>
    <row r="394" spans="6:7" x14ac:dyDescent="0.25">
      <c r="F394" s="20">
        <f t="shared" si="8"/>
        <v>0</v>
      </c>
      <c r="G394" s="8" t="str">
        <f t="shared" si="9"/>
        <v xml:space="preserve"> 0</v>
      </c>
    </row>
    <row r="395" spans="6:7" x14ac:dyDescent="0.25">
      <c r="F395" s="20">
        <f t="shared" si="8"/>
        <v>0</v>
      </c>
      <c r="G395" s="8" t="str">
        <f t="shared" si="9"/>
        <v xml:space="preserve"> 0</v>
      </c>
    </row>
    <row r="396" spans="6:7" x14ac:dyDescent="0.25">
      <c r="F396" s="20">
        <f t="shared" si="8"/>
        <v>0</v>
      </c>
      <c r="G396" s="8" t="str">
        <f t="shared" si="9"/>
        <v xml:space="preserve"> 0</v>
      </c>
    </row>
    <row r="397" spans="6:7" x14ac:dyDescent="0.25">
      <c r="F397" s="20">
        <f t="shared" si="8"/>
        <v>0</v>
      </c>
      <c r="G397" s="8" t="str">
        <f t="shared" si="9"/>
        <v xml:space="preserve"> 0</v>
      </c>
    </row>
    <row r="398" spans="6:7" x14ac:dyDescent="0.25">
      <c r="F398" s="20">
        <f t="shared" si="8"/>
        <v>0</v>
      </c>
      <c r="G398" s="8" t="str">
        <f t="shared" si="9"/>
        <v xml:space="preserve"> 0</v>
      </c>
    </row>
    <row r="399" spans="6:7" x14ac:dyDescent="0.25">
      <c r="F399" s="20">
        <f t="shared" si="8"/>
        <v>0</v>
      </c>
      <c r="G399" s="8" t="str">
        <f t="shared" si="9"/>
        <v xml:space="preserve"> 0</v>
      </c>
    </row>
    <row r="400" spans="6:7" x14ac:dyDescent="0.25">
      <c r="F400" s="20">
        <f t="shared" si="8"/>
        <v>0</v>
      </c>
      <c r="G400" s="8" t="str">
        <f t="shared" si="9"/>
        <v xml:space="preserve"> 0</v>
      </c>
    </row>
    <row r="401" spans="6:7" x14ac:dyDescent="0.25">
      <c r="F401" s="20">
        <f t="shared" si="8"/>
        <v>0</v>
      </c>
      <c r="G401" s="8" t="str">
        <f t="shared" si="9"/>
        <v xml:space="preserve"> 0</v>
      </c>
    </row>
    <row r="402" spans="6:7" x14ac:dyDescent="0.25">
      <c r="F402" s="20">
        <f t="shared" si="8"/>
        <v>0</v>
      </c>
      <c r="G402" s="8" t="str">
        <f t="shared" si="9"/>
        <v xml:space="preserve"> 0</v>
      </c>
    </row>
    <row r="403" spans="6:7" x14ac:dyDescent="0.25">
      <c r="F403" s="20">
        <f t="shared" si="8"/>
        <v>0</v>
      </c>
      <c r="G403" s="8" t="str">
        <f t="shared" si="9"/>
        <v xml:space="preserve"> 0</v>
      </c>
    </row>
    <row r="404" spans="6:7" x14ac:dyDescent="0.25">
      <c r="F404" s="20">
        <f t="shared" si="8"/>
        <v>0</v>
      </c>
      <c r="G404" s="8" t="str">
        <f t="shared" si="9"/>
        <v xml:space="preserve"> 0</v>
      </c>
    </row>
    <row r="405" spans="6:7" x14ac:dyDescent="0.25">
      <c r="F405" s="20">
        <f t="shared" si="8"/>
        <v>0</v>
      </c>
      <c r="G405" s="8" t="str">
        <f t="shared" si="9"/>
        <v xml:space="preserve"> 0</v>
      </c>
    </row>
    <row r="406" spans="6:7" x14ac:dyDescent="0.25">
      <c r="F406" s="20">
        <f t="shared" si="8"/>
        <v>0</v>
      </c>
      <c r="G406" s="8" t="str">
        <f t="shared" si="9"/>
        <v xml:space="preserve"> 0</v>
      </c>
    </row>
    <row r="407" spans="6:7" x14ac:dyDescent="0.25">
      <c r="F407" s="20">
        <f t="shared" si="8"/>
        <v>0</v>
      </c>
      <c r="G407" s="8" t="str">
        <f t="shared" si="9"/>
        <v xml:space="preserve"> 0</v>
      </c>
    </row>
    <row r="408" spans="6:7" x14ac:dyDescent="0.25">
      <c r="F408" s="20">
        <f t="shared" si="8"/>
        <v>0</v>
      </c>
      <c r="G408" s="8" t="str">
        <f t="shared" si="9"/>
        <v xml:space="preserve"> 0</v>
      </c>
    </row>
    <row r="409" spans="6:7" x14ac:dyDescent="0.25">
      <c r="F409" s="20">
        <f t="shared" si="8"/>
        <v>0</v>
      </c>
      <c r="G409" s="8" t="str">
        <f t="shared" si="9"/>
        <v xml:space="preserve"> 0</v>
      </c>
    </row>
    <row r="410" spans="6:7" x14ac:dyDescent="0.25">
      <c r="F410" s="20">
        <f t="shared" ref="F410:F473" si="10">B410</f>
        <v>0</v>
      </c>
      <c r="G410" s="8" t="str">
        <f t="shared" si="9"/>
        <v xml:space="preserve"> 0</v>
      </c>
    </row>
    <row r="411" spans="6:7" x14ac:dyDescent="0.25">
      <c r="F411" s="20">
        <f t="shared" si="10"/>
        <v>0</v>
      </c>
      <c r="G411" s="8" t="str">
        <f t="shared" si="9"/>
        <v xml:space="preserve"> 0</v>
      </c>
    </row>
    <row r="412" spans="6:7" x14ac:dyDescent="0.25">
      <c r="F412" s="20">
        <f t="shared" si="10"/>
        <v>0</v>
      </c>
      <c r="G412" s="8" t="str">
        <f t="shared" si="9"/>
        <v xml:space="preserve"> 0</v>
      </c>
    </row>
    <row r="413" spans="6:7" x14ac:dyDescent="0.25">
      <c r="F413" s="20">
        <f t="shared" si="10"/>
        <v>0</v>
      </c>
      <c r="G413" s="8" t="str">
        <f t="shared" si="9"/>
        <v xml:space="preserve"> 0</v>
      </c>
    </row>
    <row r="414" spans="6:7" x14ac:dyDescent="0.25">
      <c r="F414" s="20">
        <f t="shared" si="10"/>
        <v>0</v>
      </c>
      <c r="G414" s="8" t="str">
        <f t="shared" si="9"/>
        <v xml:space="preserve"> 0</v>
      </c>
    </row>
    <row r="415" spans="6:7" x14ac:dyDescent="0.25">
      <c r="F415" s="20">
        <f t="shared" si="10"/>
        <v>0</v>
      </c>
      <c r="G415" s="8" t="str">
        <f t="shared" si="9"/>
        <v xml:space="preserve"> 0</v>
      </c>
    </row>
    <row r="416" spans="6:7" x14ac:dyDescent="0.25">
      <c r="F416" s="20">
        <f t="shared" si="10"/>
        <v>0</v>
      </c>
      <c r="G416" s="8" t="str">
        <f t="shared" si="9"/>
        <v xml:space="preserve"> 0</v>
      </c>
    </row>
    <row r="417" spans="6:7" x14ac:dyDescent="0.25">
      <c r="F417" s="20">
        <f t="shared" si="10"/>
        <v>0</v>
      </c>
      <c r="G417" s="8" t="str">
        <f t="shared" si="9"/>
        <v xml:space="preserve"> 0</v>
      </c>
    </row>
    <row r="418" spans="6:7" x14ac:dyDescent="0.25">
      <c r="F418" s="20">
        <f t="shared" si="10"/>
        <v>0</v>
      </c>
      <c r="G418" s="8" t="str">
        <f t="shared" si="9"/>
        <v xml:space="preserve"> 0</v>
      </c>
    </row>
    <row r="419" spans="6:7" x14ac:dyDescent="0.25">
      <c r="F419" s="20">
        <f t="shared" si="10"/>
        <v>0</v>
      </c>
      <c r="G419" s="8" t="str">
        <f t="shared" si="9"/>
        <v xml:space="preserve"> 0</v>
      </c>
    </row>
    <row r="420" spans="6:7" x14ac:dyDescent="0.25">
      <c r="F420" s="20">
        <f t="shared" si="10"/>
        <v>0</v>
      </c>
      <c r="G420" s="8" t="str">
        <f t="shared" si="9"/>
        <v xml:space="preserve"> 0</v>
      </c>
    </row>
    <row r="421" spans="6:7" x14ac:dyDescent="0.25">
      <c r="F421" s="20">
        <f t="shared" si="10"/>
        <v>0</v>
      </c>
      <c r="G421" s="8" t="str">
        <f t="shared" si="9"/>
        <v xml:space="preserve"> 0</v>
      </c>
    </row>
    <row r="422" spans="6:7" x14ac:dyDescent="0.25">
      <c r="F422" s="20">
        <f t="shared" si="10"/>
        <v>0</v>
      </c>
      <c r="G422" s="8" t="str">
        <f t="shared" si="9"/>
        <v xml:space="preserve"> 0</v>
      </c>
    </row>
    <row r="423" spans="6:7" x14ac:dyDescent="0.25">
      <c r="F423" s="20">
        <f t="shared" si="10"/>
        <v>0</v>
      </c>
      <c r="G423" s="8" t="str">
        <f t="shared" si="9"/>
        <v xml:space="preserve"> 0</v>
      </c>
    </row>
    <row r="424" spans="6:7" x14ac:dyDescent="0.25">
      <c r="F424" s="20">
        <f t="shared" si="10"/>
        <v>0</v>
      </c>
      <c r="G424" s="8" t="str">
        <f t="shared" si="9"/>
        <v xml:space="preserve"> 0</v>
      </c>
    </row>
    <row r="425" spans="6:7" x14ac:dyDescent="0.25">
      <c r="F425" s="20">
        <f t="shared" si="10"/>
        <v>0</v>
      </c>
      <c r="G425" s="8" t="str">
        <f t="shared" si="9"/>
        <v xml:space="preserve"> 0</v>
      </c>
    </row>
    <row r="426" spans="6:7" x14ac:dyDescent="0.25">
      <c r="F426" s="20">
        <f t="shared" si="10"/>
        <v>0</v>
      </c>
      <c r="G426" s="8" t="str">
        <f t="shared" si="9"/>
        <v xml:space="preserve"> 0</v>
      </c>
    </row>
    <row r="427" spans="6:7" x14ac:dyDescent="0.25">
      <c r="F427" s="20">
        <f t="shared" si="10"/>
        <v>0</v>
      </c>
      <c r="G427" s="8" t="str">
        <f t="shared" si="9"/>
        <v xml:space="preserve"> 0</v>
      </c>
    </row>
    <row r="428" spans="6:7" x14ac:dyDescent="0.25">
      <c r="F428" s="20">
        <f t="shared" si="10"/>
        <v>0</v>
      </c>
      <c r="G428" s="8" t="str">
        <f t="shared" si="9"/>
        <v xml:space="preserve"> 0</v>
      </c>
    </row>
    <row r="429" spans="6:7" x14ac:dyDescent="0.25">
      <c r="F429" s="20">
        <f t="shared" si="10"/>
        <v>0</v>
      </c>
      <c r="G429" s="8" t="str">
        <f t="shared" si="9"/>
        <v xml:space="preserve"> 0</v>
      </c>
    </row>
    <row r="430" spans="6:7" x14ac:dyDescent="0.25">
      <c r="F430" s="20">
        <f t="shared" si="10"/>
        <v>0</v>
      </c>
      <c r="G430" s="8" t="str">
        <f t="shared" si="9"/>
        <v xml:space="preserve"> 0</v>
      </c>
    </row>
    <row r="431" spans="6:7" x14ac:dyDescent="0.25">
      <c r="F431" s="20">
        <f t="shared" si="10"/>
        <v>0</v>
      </c>
      <c r="G431" s="8" t="str">
        <f t="shared" si="9"/>
        <v xml:space="preserve"> 0</v>
      </c>
    </row>
    <row r="432" spans="6:7" x14ac:dyDescent="0.25">
      <c r="F432" s="20">
        <f t="shared" si="10"/>
        <v>0</v>
      </c>
      <c r="G432" s="8" t="str">
        <f t="shared" si="9"/>
        <v xml:space="preserve"> 0</v>
      </c>
    </row>
    <row r="433" spans="6:7" x14ac:dyDescent="0.25">
      <c r="F433" s="20">
        <f t="shared" si="10"/>
        <v>0</v>
      </c>
      <c r="G433" s="8" t="str">
        <f t="shared" si="9"/>
        <v xml:space="preserve"> 0</v>
      </c>
    </row>
    <row r="434" spans="6:7" x14ac:dyDescent="0.25">
      <c r="F434" s="20">
        <f t="shared" si="10"/>
        <v>0</v>
      </c>
      <c r="G434" s="8" t="str">
        <f t="shared" si="9"/>
        <v xml:space="preserve"> 0</v>
      </c>
    </row>
    <row r="435" spans="6:7" x14ac:dyDescent="0.25">
      <c r="F435" s="20">
        <f t="shared" si="10"/>
        <v>0</v>
      </c>
      <c r="G435" s="8" t="str">
        <f t="shared" si="9"/>
        <v xml:space="preserve"> 0</v>
      </c>
    </row>
    <row r="436" spans="6:7" x14ac:dyDescent="0.25">
      <c r="F436" s="20">
        <f t="shared" si="10"/>
        <v>0</v>
      </c>
      <c r="G436" s="8" t="str">
        <f t="shared" si="9"/>
        <v xml:space="preserve"> 0</v>
      </c>
    </row>
    <row r="437" spans="6:7" x14ac:dyDescent="0.25">
      <c r="F437" s="20">
        <f t="shared" si="10"/>
        <v>0</v>
      </c>
      <c r="G437" s="8" t="str">
        <f t="shared" si="9"/>
        <v xml:space="preserve"> 0</v>
      </c>
    </row>
    <row r="438" spans="6:7" x14ac:dyDescent="0.25">
      <c r="F438" s="20">
        <f t="shared" si="10"/>
        <v>0</v>
      </c>
      <c r="G438" s="8" t="str">
        <f t="shared" si="9"/>
        <v xml:space="preserve"> 0</v>
      </c>
    </row>
    <row r="439" spans="6:7" x14ac:dyDescent="0.25">
      <c r="F439" s="20">
        <f t="shared" si="10"/>
        <v>0</v>
      </c>
      <c r="G439" s="8" t="str">
        <f t="shared" si="9"/>
        <v xml:space="preserve"> 0</v>
      </c>
    </row>
    <row r="440" spans="6:7" x14ac:dyDescent="0.25">
      <c r="F440" s="20">
        <f t="shared" si="10"/>
        <v>0</v>
      </c>
      <c r="G440" s="8" t="str">
        <f t="shared" si="9"/>
        <v xml:space="preserve"> 0</v>
      </c>
    </row>
    <row r="441" spans="6:7" x14ac:dyDescent="0.25">
      <c r="F441" s="20">
        <f t="shared" si="10"/>
        <v>0</v>
      </c>
      <c r="G441" s="8" t="str">
        <f t="shared" si="9"/>
        <v xml:space="preserve"> 0</v>
      </c>
    </row>
    <row r="442" spans="6:7" x14ac:dyDescent="0.25">
      <c r="F442" s="20">
        <f t="shared" si="10"/>
        <v>0</v>
      </c>
      <c r="G442" s="8" t="str">
        <f t="shared" si="9"/>
        <v xml:space="preserve"> 0</v>
      </c>
    </row>
    <row r="443" spans="6:7" x14ac:dyDescent="0.25">
      <c r="F443" s="20">
        <f t="shared" si="10"/>
        <v>0</v>
      </c>
      <c r="G443" s="8" t="str">
        <f t="shared" si="9"/>
        <v xml:space="preserve"> 0</v>
      </c>
    </row>
    <row r="444" spans="6:7" x14ac:dyDescent="0.25">
      <c r="F444" s="20">
        <f t="shared" si="10"/>
        <v>0</v>
      </c>
      <c r="G444" s="8" t="str">
        <f t="shared" si="9"/>
        <v xml:space="preserve"> 0</v>
      </c>
    </row>
    <row r="445" spans="6:7" x14ac:dyDescent="0.25">
      <c r="F445" s="20">
        <f t="shared" si="10"/>
        <v>0</v>
      </c>
      <c r="G445" s="8" t="str">
        <f t="shared" si="9"/>
        <v xml:space="preserve"> 0</v>
      </c>
    </row>
    <row r="446" spans="6:7" x14ac:dyDescent="0.25">
      <c r="F446" s="20">
        <f t="shared" si="10"/>
        <v>0</v>
      </c>
      <c r="G446" s="8" t="str">
        <f t="shared" si="9"/>
        <v xml:space="preserve"> 0</v>
      </c>
    </row>
    <row r="447" spans="6:7" x14ac:dyDescent="0.25">
      <c r="F447" s="20">
        <f t="shared" si="10"/>
        <v>0</v>
      </c>
      <c r="G447" s="8" t="str">
        <f t="shared" si="9"/>
        <v xml:space="preserve"> 0</v>
      </c>
    </row>
    <row r="448" spans="6:7" x14ac:dyDescent="0.25">
      <c r="F448" s="20">
        <f t="shared" si="10"/>
        <v>0</v>
      </c>
      <c r="G448" s="8" t="str">
        <f t="shared" si="9"/>
        <v xml:space="preserve"> 0</v>
      </c>
    </row>
    <row r="449" spans="6:7" x14ac:dyDescent="0.25">
      <c r="F449" s="20">
        <f t="shared" si="10"/>
        <v>0</v>
      </c>
      <c r="G449" s="8" t="str">
        <f t="shared" si="9"/>
        <v xml:space="preserve"> 0</v>
      </c>
    </row>
    <row r="450" spans="6:7" x14ac:dyDescent="0.25">
      <c r="F450" s="20">
        <f t="shared" si="10"/>
        <v>0</v>
      </c>
      <c r="G450" s="8" t="str">
        <f t="shared" si="9"/>
        <v xml:space="preserve"> 0</v>
      </c>
    </row>
    <row r="451" spans="6:7" x14ac:dyDescent="0.25">
      <c r="F451" s="20">
        <f t="shared" si="10"/>
        <v>0</v>
      </c>
      <c r="G451" s="8" t="str">
        <f t="shared" ref="G451:G514" si="11">E451&amp;" "&amp;F451</f>
        <v xml:space="preserve"> 0</v>
      </c>
    </row>
    <row r="452" spans="6:7" x14ac:dyDescent="0.25">
      <c r="F452" s="20">
        <f t="shared" si="10"/>
        <v>0</v>
      </c>
      <c r="G452" s="8" t="str">
        <f t="shared" si="11"/>
        <v xml:space="preserve"> 0</v>
      </c>
    </row>
    <row r="453" spans="6:7" x14ac:dyDescent="0.25">
      <c r="F453" s="20">
        <f t="shared" si="10"/>
        <v>0</v>
      </c>
      <c r="G453" s="8" t="str">
        <f t="shared" si="11"/>
        <v xml:space="preserve"> 0</v>
      </c>
    </row>
    <row r="454" spans="6:7" x14ac:dyDescent="0.25">
      <c r="F454" s="20">
        <f t="shared" si="10"/>
        <v>0</v>
      </c>
      <c r="G454" s="8" t="str">
        <f t="shared" si="11"/>
        <v xml:space="preserve"> 0</v>
      </c>
    </row>
    <row r="455" spans="6:7" x14ac:dyDescent="0.25">
      <c r="F455" s="20">
        <f t="shared" si="10"/>
        <v>0</v>
      </c>
      <c r="G455" s="8" t="str">
        <f t="shared" si="11"/>
        <v xml:space="preserve"> 0</v>
      </c>
    </row>
    <row r="456" spans="6:7" x14ac:dyDescent="0.25">
      <c r="F456" s="20">
        <f t="shared" si="10"/>
        <v>0</v>
      </c>
      <c r="G456" s="8" t="str">
        <f t="shared" si="11"/>
        <v xml:space="preserve"> 0</v>
      </c>
    </row>
    <row r="457" spans="6:7" x14ac:dyDescent="0.25">
      <c r="F457" s="20">
        <f t="shared" si="10"/>
        <v>0</v>
      </c>
      <c r="G457" s="8" t="str">
        <f t="shared" si="11"/>
        <v xml:space="preserve"> 0</v>
      </c>
    </row>
    <row r="458" spans="6:7" x14ac:dyDescent="0.25">
      <c r="F458" s="20">
        <f t="shared" si="10"/>
        <v>0</v>
      </c>
      <c r="G458" s="8" t="str">
        <f t="shared" si="11"/>
        <v xml:space="preserve"> 0</v>
      </c>
    </row>
    <row r="459" spans="6:7" x14ac:dyDescent="0.25">
      <c r="F459" s="20">
        <f t="shared" si="10"/>
        <v>0</v>
      </c>
      <c r="G459" s="8" t="str">
        <f t="shared" si="11"/>
        <v xml:space="preserve"> 0</v>
      </c>
    </row>
    <row r="460" spans="6:7" x14ac:dyDescent="0.25">
      <c r="F460" s="20">
        <f t="shared" si="10"/>
        <v>0</v>
      </c>
      <c r="G460" s="8" t="str">
        <f t="shared" si="11"/>
        <v xml:space="preserve"> 0</v>
      </c>
    </row>
    <row r="461" spans="6:7" x14ac:dyDescent="0.25">
      <c r="F461" s="20">
        <f t="shared" si="10"/>
        <v>0</v>
      </c>
      <c r="G461" s="8" t="str">
        <f t="shared" si="11"/>
        <v xml:space="preserve"> 0</v>
      </c>
    </row>
    <row r="462" spans="6:7" x14ac:dyDescent="0.25">
      <c r="F462" s="20">
        <f t="shared" si="10"/>
        <v>0</v>
      </c>
      <c r="G462" s="8" t="str">
        <f t="shared" si="11"/>
        <v xml:space="preserve"> 0</v>
      </c>
    </row>
    <row r="463" spans="6:7" x14ac:dyDescent="0.25">
      <c r="F463" s="20">
        <f t="shared" si="10"/>
        <v>0</v>
      </c>
      <c r="G463" s="8" t="str">
        <f t="shared" si="11"/>
        <v xml:space="preserve"> 0</v>
      </c>
    </row>
    <row r="464" spans="6:7" x14ac:dyDescent="0.25">
      <c r="F464" s="20">
        <f t="shared" si="10"/>
        <v>0</v>
      </c>
      <c r="G464" s="8" t="str">
        <f t="shared" si="11"/>
        <v xml:space="preserve"> 0</v>
      </c>
    </row>
    <row r="465" spans="6:7" x14ac:dyDescent="0.25">
      <c r="F465" s="20">
        <f t="shared" si="10"/>
        <v>0</v>
      </c>
      <c r="G465" s="8" t="str">
        <f t="shared" si="11"/>
        <v xml:space="preserve"> 0</v>
      </c>
    </row>
    <row r="466" spans="6:7" x14ac:dyDescent="0.25">
      <c r="F466" s="20">
        <f t="shared" si="10"/>
        <v>0</v>
      </c>
      <c r="G466" s="8" t="str">
        <f t="shared" si="11"/>
        <v xml:space="preserve"> 0</v>
      </c>
    </row>
    <row r="467" spans="6:7" x14ac:dyDescent="0.25">
      <c r="F467" s="20">
        <f t="shared" si="10"/>
        <v>0</v>
      </c>
      <c r="G467" s="8" t="str">
        <f t="shared" si="11"/>
        <v xml:space="preserve"> 0</v>
      </c>
    </row>
    <row r="468" spans="6:7" x14ac:dyDescent="0.25">
      <c r="F468" s="20">
        <f t="shared" si="10"/>
        <v>0</v>
      </c>
      <c r="G468" s="8" t="str">
        <f t="shared" si="11"/>
        <v xml:space="preserve"> 0</v>
      </c>
    </row>
    <row r="469" spans="6:7" x14ac:dyDescent="0.25">
      <c r="F469" s="20">
        <f t="shared" si="10"/>
        <v>0</v>
      </c>
      <c r="G469" s="8" t="str">
        <f t="shared" si="11"/>
        <v xml:space="preserve"> 0</v>
      </c>
    </row>
    <row r="470" spans="6:7" x14ac:dyDescent="0.25">
      <c r="F470" s="20">
        <f t="shared" si="10"/>
        <v>0</v>
      </c>
      <c r="G470" s="8" t="str">
        <f t="shared" si="11"/>
        <v xml:space="preserve"> 0</v>
      </c>
    </row>
    <row r="471" spans="6:7" x14ac:dyDescent="0.25">
      <c r="F471" s="20">
        <f t="shared" si="10"/>
        <v>0</v>
      </c>
      <c r="G471" s="8" t="str">
        <f t="shared" si="11"/>
        <v xml:space="preserve"> 0</v>
      </c>
    </row>
    <row r="472" spans="6:7" x14ac:dyDescent="0.25">
      <c r="F472" s="20">
        <f t="shared" si="10"/>
        <v>0</v>
      </c>
      <c r="G472" s="8" t="str">
        <f t="shared" si="11"/>
        <v xml:space="preserve"> 0</v>
      </c>
    </row>
    <row r="473" spans="6:7" x14ac:dyDescent="0.25">
      <c r="F473" s="20">
        <f t="shared" si="10"/>
        <v>0</v>
      </c>
      <c r="G473" s="8" t="str">
        <f t="shared" si="11"/>
        <v xml:space="preserve"> 0</v>
      </c>
    </row>
    <row r="474" spans="6:7" x14ac:dyDescent="0.25">
      <c r="F474" s="20">
        <f t="shared" ref="F474:F537" si="12">B474</f>
        <v>0</v>
      </c>
      <c r="G474" s="8" t="str">
        <f t="shared" si="11"/>
        <v xml:space="preserve"> 0</v>
      </c>
    </row>
    <row r="475" spans="6:7" x14ac:dyDescent="0.25">
      <c r="F475" s="20">
        <f t="shared" si="12"/>
        <v>0</v>
      </c>
      <c r="G475" s="8" t="str">
        <f t="shared" si="11"/>
        <v xml:space="preserve"> 0</v>
      </c>
    </row>
    <row r="476" spans="6:7" x14ac:dyDescent="0.25">
      <c r="F476" s="20">
        <f t="shared" si="12"/>
        <v>0</v>
      </c>
      <c r="G476" s="8" t="str">
        <f t="shared" si="11"/>
        <v xml:space="preserve"> 0</v>
      </c>
    </row>
    <row r="477" spans="6:7" x14ac:dyDescent="0.25">
      <c r="F477" s="20">
        <f t="shared" si="12"/>
        <v>0</v>
      </c>
      <c r="G477" s="8" t="str">
        <f t="shared" si="11"/>
        <v xml:space="preserve"> 0</v>
      </c>
    </row>
    <row r="478" spans="6:7" x14ac:dyDescent="0.25">
      <c r="F478" s="20">
        <f t="shared" si="12"/>
        <v>0</v>
      </c>
      <c r="G478" s="8" t="str">
        <f t="shared" si="11"/>
        <v xml:space="preserve"> 0</v>
      </c>
    </row>
    <row r="479" spans="6:7" x14ac:dyDescent="0.25">
      <c r="F479" s="20">
        <f t="shared" si="12"/>
        <v>0</v>
      </c>
      <c r="G479" s="8" t="str">
        <f t="shared" si="11"/>
        <v xml:space="preserve"> 0</v>
      </c>
    </row>
    <row r="480" spans="6:7" x14ac:dyDescent="0.25">
      <c r="F480" s="20">
        <f t="shared" si="12"/>
        <v>0</v>
      </c>
      <c r="G480" s="8" t="str">
        <f t="shared" si="11"/>
        <v xml:space="preserve"> 0</v>
      </c>
    </row>
    <row r="481" spans="6:7" x14ac:dyDescent="0.25">
      <c r="F481" s="20">
        <f t="shared" si="12"/>
        <v>0</v>
      </c>
      <c r="G481" s="8" t="str">
        <f t="shared" si="11"/>
        <v xml:space="preserve"> 0</v>
      </c>
    </row>
    <row r="482" spans="6:7" x14ac:dyDescent="0.25">
      <c r="F482" s="20">
        <f t="shared" si="12"/>
        <v>0</v>
      </c>
      <c r="G482" s="8" t="str">
        <f t="shared" si="11"/>
        <v xml:space="preserve"> 0</v>
      </c>
    </row>
    <row r="483" spans="6:7" x14ac:dyDescent="0.25">
      <c r="F483" s="20">
        <f t="shared" si="12"/>
        <v>0</v>
      </c>
      <c r="G483" s="8" t="str">
        <f t="shared" si="11"/>
        <v xml:space="preserve"> 0</v>
      </c>
    </row>
    <row r="484" spans="6:7" x14ac:dyDescent="0.25">
      <c r="F484" s="20">
        <f t="shared" si="12"/>
        <v>0</v>
      </c>
      <c r="G484" s="8" t="str">
        <f t="shared" si="11"/>
        <v xml:space="preserve"> 0</v>
      </c>
    </row>
    <row r="485" spans="6:7" x14ac:dyDescent="0.25">
      <c r="F485" s="20">
        <f t="shared" si="12"/>
        <v>0</v>
      </c>
      <c r="G485" s="8" t="str">
        <f t="shared" si="11"/>
        <v xml:space="preserve"> 0</v>
      </c>
    </row>
    <row r="486" spans="6:7" x14ac:dyDescent="0.25">
      <c r="F486" s="20">
        <f t="shared" si="12"/>
        <v>0</v>
      </c>
      <c r="G486" s="8" t="str">
        <f t="shared" si="11"/>
        <v xml:space="preserve"> 0</v>
      </c>
    </row>
    <row r="487" spans="6:7" x14ac:dyDescent="0.25">
      <c r="F487" s="20">
        <f t="shared" si="12"/>
        <v>0</v>
      </c>
      <c r="G487" s="8" t="str">
        <f t="shared" si="11"/>
        <v xml:space="preserve"> 0</v>
      </c>
    </row>
    <row r="488" spans="6:7" x14ac:dyDescent="0.25">
      <c r="F488" s="20">
        <f t="shared" si="12"/>
        <v>0</v>
      </c>
      <c r="G488" s="8" t="str">
        <f t="shared" si="11"/>
        <v xml:space="preserve"> 0</v>
      </c>
    </row>
    <row r="489" spans="6:7" x14ac:dyDescent="0.25">
      <c r="F489" s="20">
        <f t="shared" si="12"/>
        <v>0</v>
      </c>
      <c r="G489" s="8" t="str">
        <f t="shared" si="11"/>
        <v xml:space="preserve"> 0</v>
      </c>
    </row>
    <row r="490" spans="6:7" x14ac:dyDescent="0.25">
      <c r="F490" s="20">
        <f t="shared" si="12"/>
        <v>0</v>
      </c>
      <c r="G490" s="8" t="str">
        <f t="shared" si="11"/>
        <v xml:space="preserve"> 0</v>
      </c>
    </row>
    <row r="491" spans="6:7" x14ac:dyDescent="0.25">
      <c r="F491" s="20">
        <f t="shared" si="12"/>
        <v>0</v>
      </c>
      <c r="G491" s="8" t="str">
        <f t="shared" si="11"/>
        <v xml:space="preserve"> 0</v>
      </c>
    </row>
    <row r="492" spans="6:7" x14ac:dyDescent="0.25">
      <c r="F492" s="20">
        <f t="shared" si="12"/>
        <v>0</v>
      </c>
      <c r="G492" s="8" t="str">
        <f t="shared" si="11"/>
        <v xml:space="preserve"> 0</v>
      </c>
    </row>
    <row r="493" spans="6:7" x14ac:dyDescent="0.25">
      <c r="F493" s="20">
        <f t="shared" si="12"/>
        <v>0</v>
      </c>
      <c r="G493" s="8" t="str">
        <f t="shared" si="11"/>
        <v xml:space="preserve"> 0</v>
      </c>
    </row>
    <row r="494" spans="6:7" x14ac:dyDescent="0.25">
      <c r="F494" s="20">
        <f t="shared" si="12"/>
        <v>0</v>
      </c>
      <c r="G494" s="8" t="str">
        <f t="shared" si="11"/>
        <v xml:space="preserve"> 0</v>
      </c>
    </row>
    <row r="495" spans="6:7" x14ac:dyDescent="0.25">
      <c r="F495" s="20">
        <f t="shared" si="12"/>
        <v>0</v>
      </c>
      <c r="G495" s="8" t="str">
        <f t="shared" si="11"/>
        <v xml:space="preserve"> 0</v>
      </c>
    </row>
    <row r="496" spans="6:7" x14ac:dyDescent="0.25">
      <c r="F496" s="20">
        <f t="shared" si="12"/>
        <v>0</v>
      </c>
      <c r="G496" s="8" t="str">
        <f t="shared" si="11"/>
        <v xml:space="preserve"> 0</v>
      </c>
    </row>
    <row r="497" spans="6:7" x14ac:dyDescent="0.25">
      <c r="F497" s="20">
        <f t="shared" si="12"/>
        <v>0</v>
      </c>
      <c r="G497" s="8" t="str">
        <f t="shared" si="11"/>
        <v xml:space="preserve"> 0</v>
      </c>
    </row>
    <row r="498" spans="6:7" x14ac:dyDescent="0.25">
      <c r="F498" s="20">
        <f t="shared" si="12"/>
        <v>0</v>
      </c>
      <c r="G498" s="8" t="str">
        <f t="shared" si="11"/>
        <v xml:space="preserve"> 0</v>
      </c>
    </row>
    <row r="499" spans="6:7" x14ac:dyDescent="0.25">
      <c r="F499" s="20">
        <f t="shared" si="12"/>
        <v>0</v>
      </c>
      <c r="G499" s="8" t="str">
        <f t="shared" si="11"/>
        <v xml:space="preserve"> 0</v>
      </c>
    </row>
    <row r="500" spans="6:7" x14ac:dyDescent="0.25">
      <c r="F500" s="20">
        <f t="shared" si="12"/>
        <v>0</v>
      </c>
      <c r="G500" s="8" t="str">
        <f t="shared" si="11"/>
        <v xml:space="preserve"> 0</v>
      </c>
    </row>
    <row r="501" spans="6:7" x14ac:dyDescent="0.25">
      <c r="F501" s="20">
        <f t="shared" si="12"/>
        <v>0</v>
      </c>
      <c r="G501" s="8" t="str">
        <f t="shared" si="11"/>
        <v xml:space="preserve"> 0</v>
      </c>
    </row>
    <row r="502" spans="6:7" x14ac:dyDescent="0.25">
      <c r="F502" s="20">
        <f t="shared" si="12"/>
        <v>0</v>
      </c>
      <c r="G502" s="8" t="str">
        <f t="shared" si="11"/>
        <v xml:space="preserve"> 0</v>
      </c>
    </row>
    <row r="503" spans="6:7" x14ac:dyDescent="0.25">
      <c r="F503" s="20">
        <f t="shared" si="12"/>
        <v>0</v>
      </c>
      <c r="G503" s="8" t="str">
        <f t="shared" si="11"/>
        <v xml:space="preserve"> 0</v>
      </c>
    </row>
    <row r="504" spans="6:7" x14ac:dyDescent="0.25">
      <c r="F504" s="20">
        <f t="shared" si="12"/>
        <v>0</v>
      </c>
      <c r="G504" s="8" t="str">
        <f t="shared" si="11"/>
        <v xml:space="preserve"> 0</v>
      </c>
    </row>
    <row r="505" spans="6:7" x14ac:dyDescent="0.25">
      <c r="F505" s="20">
        <f t="shared" si="12"/>
        <v>0</v>
      </c>
      <c r="G505" s="8" t="str">
        <f t="shared" si="11"/>
        <v xml:space="preserve"> 0</v>
      </c>
    </row>
    <row r="506" spans="6:7" x14ac:dyDescent="0.25">
      <c r="F506" s="20">
        <f t="shared" si="12"/>
        <v>0</v>
      </c>
      <c r="G506" s="8" t="str">
        <f t="shared" si="11"/>
        <v xml:space="preserve"> 0</v>
      </c>
    </row>
    <row r="507" spans="6:7" x14ac:dyDescent="0.25">
      <c r="F507" s="20">
        <f t="shared" si="12"/>
        <v>0</v>
      </c>
      <c r="G507" s="8" t="str">
        <f t="shared" si="11"/>
        <v xml:space="preserve"> 0</v>
      </c>
    </row>
    <row r="508" spans="6:7" x14ac:dyDescent="0.25">
      <c r="F508" s="20">
        <f t="shared" si="12"/>
        <v>0</v>
      </c>
      <c r="G508" s="8" t="str">
        <f t="shared" si="11"/>
        <v xml:space="preserve"> 0</v>
      </c>
    </row>
    <row r="509" spans="6:7" x14ac:dyDescent="0.25">
      <c r="F509" s="20">
        <f t="shared" si="12"/>
        <v>0</v>
      </c>
      <c r="G509" s="8" t="str">
        <f t="shared" si="11"/>
        <v xml:space="preserve"> 0</v>
      </c>
    </row>
    <row r="510" spans="6:7" x14ac:dyDescent="0.25">
      <c r="F510" s="20">
        <f t="shared" si="12"/>
        <v>0</v>
      </c>
      <c r="G510" s="8" t="str">
        <f t="shared" si="11"/>
        <v xml:space="preserve"> 0</v>
      </c>
    </row>
    <row r="511" spans="6:7" x14ac:dyDescent="0.25">
      <c r="F511" s="20">
        <f t="shared" si="12"/>
        <v>0</v>
      </c>
      <c r="G511" s="8" t="str">
        <f t="shared" si="11"/>
        <v xml:space="preserve"> 0</v>
      </c>
    </row>
    <row r="512" spans="6:7" x14ac:dyDescent="0.25">
      <c r="F512" s="20">
        <f t="shared" si="12"/>
        <v>0</v>
      </c>
      <c r="G512" s="8" t="str">
        <f t="shared" si="11"/>
        <v xml:space="preserve"> 0</v>
      </c>
    </row>
    <row r="513" spans="6:7" x14ac:dyDescent="0.25">
      <c r="F513" s="20">
        <f t="shared" si="12"/>
        <v>0</v>
      </c>
      <c r="G513" s="8" t="str">
        <f t="shared" si="11"/>
        <v xml:space="preserve"> 0</v>
      </c>
    </row>
    <row r="514" spans="6:7" x14ac:dyDescent="0.25">
      <c r="F514" s="20">
        <f t="shared" si="12"/>
        <v>0</v>
      </c>
      <c r="G514" s="8" t="str">
        <f t="shared" si="11"/>
        <v xml:space="preserve"> 0</v>
      </c>
    </row>
    <row r="515" spans="6:7" x14ac:dyDescent="0.25">
      <c r="F515" s="20">
        <f t="shared" si="12"/>
        <v>0</v>
      </c>
      <c r="G515" s="8" t="str">
        <f t="shared" ref="G515:G543" si="13">E515&amp;" "&amp;F515</f>
        <v xml:space="preserve"> 0</v>
      </c>
    </row>
    <row r="516" spans="6:7" x14ac:dyDescent="0.25">
      <c r="F516" s="20">
        <f t="shared" si="12"/>
        <v>0</v>
      </c>
      <c r="G516" s="8" t="str">
        <f t="shared" si="13"/>
        <v xml:space="preserve"> 0</v>
      </c>
    </row>
    <row r="517" spans="6:7" x14ac:dyDescent="0.25">
      <c r="F517" s="20">
        <f t="shared" si="12"/>
        <v>0</v>
      </c>
      <c r="G517" s="8" t="str">
        <f t="shared" si="13"/>
        <v xml:space="preserve"> 0</v>
      </c>
    </row>
    <row r="518" spans="6:7" x14ac:dyDescent="0.25">
      <c r="F518" s="20">
        <f t="shared" si="12"/>
        <v>0</v>
      </c>
      <c r="G518" s="8" t="str">
        <f t="shared" si="13"/>
        <v xml:space="preserve"> 0</v>
      </c>
    </row>
    <row r="519" spans="6:7" x14ac:dyDescent="0.25">
      <c r="F519" s="20">
        <f t="shared" si="12"/>
        <v>0</v>
      </c>
      <c r="G519" s="8" t="str">
        <f t="shared" si="13"/>
        <v xml:space="preserve"> 0</v>
      </c>
    </row>
    <row r="520" spans="6:7" x14ac:dyDescent="0.25">
      <c r="F520" s="20">
        <f t="shared" si="12"/>
        <v>0</v>
      </c>
      <c r="G520" s="8" t="str">
        <f t="shared" si="13"/>
        <v xml:space="preserve"> 0</v>
      </c>
    </row>
    <row r="521" spans="6:7" x14ac:dyDescent="0.25">
      <c r="F521" s="20">
        <f t="shared" si="12"/>
        <v>0</v>
      </c>
      <c r="G521" s="8" t="str">
        <f t="shared" si="13"/>
        <v xml:space="preserve"> 0</v>
      </c>
    </row>
    <row r="522" spans="6:7" x14ac:dyDescent="0.25">
      <c r="F522" s="20">
        <f t="shared" si="12"/>
        <v>0</v>
      </c>
      <c r="G522" s="8" t="str">
        <f t="shared" si="13"/>
        <v xml:space="preserve"> 0</v>
      </c>
    </row>
    <row r="523" spans="6:7" x14ac:dyDescent="0.25">
      <c r="F523" s="20">
        <f t="shared" si="12"/>
        <v>0</v>
      </c>
      <c r="G523" s="8" t="str">
        <f t="shared" si="13"/>
        <v xml:space="preserve"> 0</v>
      </c>
    </row>
    <row r="524" spans="6:7" x14ac:dyDescent="0.25">
      <c r="F524" s="20">
        <f t="shared" si="12"/>
        <v>0</v>
      </c>
      <c r="G524" s="8" t="str">
        <f t="shared" si="13"/>
        <v xml:space="preserve"> 0</v>
      </c>
    </row>
    <row r="525" spans="6:7" x14ac:dyDescent="0.25">
      <c r="F525" s="20">
        <f t="shared" si="12"/>
        <v>0</v>
      </c>
      <c r="G525" s="8" t="str">
        <f t="shared" si="13"/>
        <v xml:space="preserve"> 0</v>
      </c>
    </row>
    <row r="526" spans="6:7" x14ac:dyDescent="0.25">
      <c r="F526" s="20">
        <f t="shared" si="12"/>
        <v>0</v>
      </c>
      <c r="G526" s="8" t="str">
        <f t="shared" si="13"/>
        <v xml:space="preserve"> 0</v>
      </c>
    </row>
    <row r="527" spans="6:7" x14ac:dyDescent="0.25">
      <c r="F527" s="20">
        <f t="shared" si="12"/>
        <v>0</v>
      </c>
      <c r="G527" s="8" t="str">
        <f t="shared" si="13"/>
        <v xml:space="preserve"> 0</v>
      </c>
    </row>
    <row r="528" spans="6:7" x14ac:dyDescent="0.25">
      <c r="F528" s="20">
        <f t="shared" si="12"/>
        <v>0</v>
      </c>
      <c r="G528" s="8" t="str">
        <f t="shared" si="13"/>
        <v xml:space="preserve"> 0</v>
      </c>
    </row>
    <row r="529" spans="6:7" x14ac:dyDescent="0.25">
      <c r="F529" s="20">
        <f t="shared" si="12"/>
        <v>0</v>
      </c>
      <c r="G529" s="8" t="str">
        <f t="shared" si="13"/>
        <v xml:space="preserve"> 0</v>
      </c>
    </row>
    <row r="530" spans="6:7" x14ac:dyDescent="0.25">
      <c r="F530" s="20">
        <f t="shared" si="12"/>
        <v>0</v>
      </c>
      <c r="G530" s="8" t="str">
        <f t="shared" si="13"/>
        <v xml:space="preserve"> 0</v>
      </c>
    </row>
    <row r="531" spans="6:7" x14ac:dyDescent="0.25">
      <c r="F531" s="20">
        <f t="shared" si="12"/>
        <v>0</v>
      </c>
      <c r="G531" s="8" t="str">
        <f t="shared" si="13"/>
        <v xml:space="preserve"> 0</v>
      </c>
    </row>
    <row r="532" spans="6:7" x14ac:dyDescent="0.25">
      <c r="F532" s="20">
        <f t="shared" si="12"/>
        <v>0</v>
      </c>
      <c r="G532" s="8" t="str">
        <f t="shared" si="13"/>
        <v xml:space="preserve"> 0</v>
      </c>
    </row>
    <row r="533" spans="6:7" x14ac:dyDescent="0.25">
      <c r="F533" s="20">
        <f t="shared" si="12"/>
        <v>0</v>
      </c>
      <c r="G533" s="8" t="str">
        <f t="shared" si="13"/>
        <v xml:space="preserve"> 0</v>
      </c>
    </row>
    <row r="534" spans="6:7" x14ac:dyDescent="0.25">
      <c r="F534" s="20">
        <f t="shared" si="12"/>
        <v>0</v>
      </c>
      <c r="G534" s="8" t="str">
        <f t="shared" si="13"/>
        <v xml:space="preserve"> 0</v>
      </c>
    </row>
    <row r="535" spans="6:7" x14ac:dyDescent="0.25">
      <c r="F535" s="20">
        <f t="shared" si="12"/>
        <v>0</v>
      </c>
      <c r="G535" s="8" t="str">
        <f t="shared" si="13"/>
        <v xml:space="preserve"> 0</v>
      </c>
    </row>
    <row r="536" spans="6:7" x14ac:dyDescent="0.25">
      <c r="F536" s="20">
        <f t="shared" si="12"/>
        <v>0</v>
      </c>
      <c r="G536" s="8" t="str">
        <f t="shared" si="13"/>
        <v xml:space="preserve"> 0</v>
      </c>
    </row>
    <row r="537" spans="6:7" x14ac:dyDescent="0.25">
      <c r="F537" s="20">
        <f t="shared" si="12"/>
        <v>0</v>
      </c>
      <c r="G537" s="8" t="str">
        <f t="shared" si="13"/>
        <v xml:space="preserve"> 0</v>
      </c>
    </row>
    <row r="538" spans="6:7" x14ac:dyDescent="0.25">
      <c r="F538" s="20">
        <f t="shared" ref="F538:F543" si="14">B538</f>
        <v>0</v>
      </c>
      <c r="G538" s="8" t="str">
        <f t="shared" si="13"/>
        <v xml:space="preserve"> 0</v>
      </c>
    </row>
    <row r="539" spans="6:7" x14ac:dyDescent="0.25">
      <c r="F539" s="20">
        <f t="shared" si="14"/>
        <v>0</v>
      </c>
      <c r="G539" s="8" t="str">
        <f t="shared" si="13"/>
        <v xml:space="preserve"> 0</v>
      </c>
    </row>
    <row r="540" spans="6:7" x14ac:dyDescent="0.25">
      <c r="F540" s="20">
        <f t="shared" si="14"/>
        <v>0</v>
      </c>
      <c r="G540" s="8" t="str">
        <f t="shared" si="13"/>
        <v xml:space="preserve"> 0</v>
      </c>
    </row>
    <row r="541" spans="6:7" x14ac:dyDescent="0.25">
      <c r="F541" s="20">
        <f t="shared" si="14"/>
        <v>0</v>
      </c>
      <c r="G541" s="8" t="str">
        <f t="shared" si="13"/>
        <v xml:space="preserve"> 0</v>
      </c>
    </row>
    <row r="542" spans="6:7" x14ac:dyDescent="0.25">
      <c r="F542" s="20">
        <f t="shared" si="14"/>
        <v>0</v>
      </c>
      <c r="G542" s="8" t="str">
        <f t="shared" si="13"/>
        <v xml:space="preserve"> 0</v>
      </c>
    </row>
    <row r="543" spans="6:7" x14ac:dyDescent="0.25">
      <c r="F543" s="20">
        <f t="shared" si="14"/>
        <v>0</v>
      </c>
      <c r="G543" s="8" t="str">
        <f t="shared" si="13"/>
        <v xml:space="preserve"> 0</v>
      </c>
    </row>
  </sheetData>
  <sortState ref="A1:E291">
    <sortCondition ref="C1:C291"/>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R33"/>
  <sheetViews>
    <sheetView workbookViewId="0">
      <selection sqref="A1:P29"/>
    </sheetView>
  </sheetViews>
  <sheetFormatPr defaultRowHeight="15" x14ac:dyDescent="0.25"/>
  <cols>
    <col min="1" max="1" width="22.5703125" style="153" customWidth="1"/>
    <col min="2" max="2" width="8.42578125" style="153" bestFit="1" customWidth="1"/>
    <col min="3" max="3" width="12.5703125" style="153" bestFit="1" customWidth="1"/>
    <col min="4" max="4" width="18.5703125" style="142" bestFit="1" customWidth="1"/>
    <col min="5" max="5" width="9.85546875" style="153" bestFit="1" customWidth="1"/>
    <col min="6" max="6" width="9" style="153" bestFit="1" customWidth="1"/>
    <col min="7" max="7" width="8.85546875" style="153" bestFit="1" customWidth="1"/>
    <col min="8" max="8" width="14" style="153" bestFit="1" customWidth="1"/>
    <col min="9" max="9" width="21.140625" style="153" bestFit="1" customWidth="1"/>
    <col min="10" max="10" width="8.7109375" style="153" bestFit="1" customWidth="1"/>
    <col min="11" max="11" width="11.28515625" style="153" bestFit="1" customWidth="1"/>
    <col min="12" max="12" width="11" style="153" bestFit="1" customWidth="1"/>
    <col min="13" max="13" width="11.28515625" style="153" bestFit="1" customWidth="1"/>
    <col min="14" max="14" width="13.7109375" style="153" bestFit="1" customWidth="1"/>
    <col min="15" max="15" width="14.85546875" style="153" bestFit="1" customWidth="1"/>
    <col min="16" max="16" width="16.7109375" style="153" bestFit="1" customWidth="1"/>
    <col min="17" max="17" width="9.42578125" style="122" bestFit="1" customWidth="1"/>
    <col min="18" max="16384" width="9.140625" style="122"/>
  </cols>
  <sheetData>
    <row r="1" spans="1:18" s="123" customFormat="1" x14ac:dyDescent="0.25">
      <c r="A1" s="170" t="s">
        <v>162</v>
      </c>
      <c r="B1" s="170" t="s">
        <v>165</v>
      </c>
      <c r="C1" s="170" t="s">
        <v>158</v>
      </c>
      <c r="D1" s="148" t="s">
        <v>170</v>
      </c>
      <c r="E1" s="170" t="s">
        <v>159</v>
      </c>
      <c r="F1" s="170" t="s">
        <v>157</v>
      </c>
      <c r="G1" s="170" t="s">
        <v>155</v>
      </c>
      <c r="H1" s="170" t="s">
        <v>168</v>
      </c>
      <c r="I1" s="170" t="s">
        <v>169</v>
      </c>
      <c r="J1" s="170" t="s">
        <v>163</v>
      </c>
      <c r="K1" s="170" t="s">
        <v>161</v>
      </c>
      <c r="L1" s="170" t="s">
        <v>156</v>
      </c>
      <c r="M1" s="170" t="s">
        <v>166</v>
      </c>
      <c r="N1" s="170" t="s">
        <v>160</v>
      </c>
      <c r="O1" s="170" t="s">
        <v>167</v>
      </c>
      <c r="P1" s="170" t="s">
        <v>164</v>
      </c>
      <c r="Q1"/>
      <c r="R1"/>
    </row>
    <row r="2" spans="1:18" x14ac:dyDescent="0.25">
      <c r="A2" s="171">
        <v>37.25</v>
      </c>
      <c r="B2" s="171">
        <v>0.47</v>
      </c>
      <c r="C2" s="171">
        <v>20.440000000000001</v>
      </c>
      <c r="D2" s="8">
        <v>42771</v>
      </c>
      <c r="E2" s="171">
        <v>0.5</v>
      </c>
      <c r="F2" s="171" t="s">
        <v>272</v>
      </c>
      <c r="G2" s="171">
        <v>316.88</v>
      </c>
      <c r="H2" s="171">
        <v>0</v>
      </c>
      <c r="I2" s="171">
        <v>0</v>
      </c>
      <c r="J2" s="171">
        <v>1016.46</v>
      </c>
      <c r="K2" s="171" t="s">
        <v>274</v>
      </c>
      <c r="L2" s="171">
        <v>37.25</v>
      </c>
      <c r="M2" s="171">
        <v>1486278000</v>
      </c>
      <c r="N2" s="171">
        <v>4.12</v>
      </c>
      <c r="O2" s="171">
        <v>189</v>
      </c>
      <c r="P2" s="171">
        <v>1.99</v>
      </c>
      <c r="Q2"/>
      <c r="R2"/>
    </row>
    <row r="3" spans="1:18" x14ac:dyDescent="0.25">
      <c r="A3" s="171">
        <v>37.159999999999997</v>
      </c>
      <c r="B3" s="171">
        <v>0.51</v>
      </c>
      <c r="C3" s="171">
        <v>20.82</v>
      </c>
      <c r="D3" s="8">
        <v>42771.041666666664</v>
      </c>
      <c r="E3" s="171">
        <v>0.51</v>
      </c>
      <c r="F3" s="171" t="s">
        <v>272</v>
      </c>
      <c r="G3" s="171">
        <v>315.26</v>
      </c>
      <c r="H3" s="171">
        <v>0</v>
      </c>
      <c r="I3" s="171">
        <v>0</v>
      </c>
      <c r="J3" s="171">
        <v>1017.44</v>
      </c>
      <c r="K3" s="171" t="s">
        <v>274</v>
      </c>
      <c r="L3" s="171">
        <v>37.159999999999997</v>
      </c>
      <c r="M3" s="171">
        <v>1486281600</v>
      </c>
      <c r="N3" s="171">
        <v>4.2300000000000004</v>
      </c>
      <c r="O3" s="171">
        <v>228</v>
      </c>
      <c r="P3" s="171">
        <v>1.75</v>
      </c>
      <c r="Q3"/>
      <c r="R3"/>
    </row>
    <row r="4" spans="1:18" x14ac:dyDescent="0.25">
      <c r="A4" s="171">
        <v>35.19</v>
      </c>
      <c r="B4" s="171">
        <v>0.49</v>
      </c>
      <c r="C4" s="171">
        <v>21.13</v>
      </c>
      <c r="D4" s="8">
        <v>42771.083333333336</v>
      </c>
      <c r="E4" s="171">
        <v>0.56000000000000005</v>
      </c>
      <c r="F4" s="171" t="s">
        <v>272</v>
      </c>
      <c r="G4" s="171">
        <v>313.64</v>
      </c>
      <c r="H4" s="171">
        <v>0</v>
      </c>
      <c r="I4" s="171">
        <v>0</v>
      </c>
      <c r="J4" s="171">
        <v>1018.37</v>
      </c>
      <c r="K4" s="171" t="s">
        <v>274</v>
      </c>
      <c r="L4" s="171">
        <v>35.19</v>
      </c>
      <c r="M4" s="171">
        <v>1486285200</v>
      </c>
      <c r="N4" s="171">
        <v>3.62</v>
      </c>
      <c r="O4" s="171">
        <v>218</v>
      </c>
      <c r="P4" s="171">
        <v>2.7</v>
      </c>
      <c r="Q4"/>
      <c r="R4"/>
    </row>
    <row r="5" spans="1:18" x14ac:dyDescent="0.25">
      <c r="A5" s="171">
        <v>33.46</v>
      </c>
      <c r="B5" s="171">
        <v>0.54</v>
      </c>
      <c r="C5" s="171">
        <v>20.12</v>
      </c>
      <c r="D5" s="8">
        <v>42771.125</v>
      </c>
      <c r="E5" s="171">
        <v>0.57999999999999996</v>
      </c>
      <c r="F5" s="171" t="s">
        <v>272</v>
      </c>
      <c r="G5" s="171">
        <v>312.74</v>
      </c>
      <c r="H5" s="171">
        <v>0</v>
      </c>
      <c r="I5" s="171">
        <v>0</v>
      </c>
      <c r="J5" s="171">
        <v>1017.86</v>
      </c>
      <c r="K5" s="171" t="s">
        <v>274</v>
      </c>
      <c r="L5" s="171">
        <v>33.46</v>
      </c>
      <c r="M5" s="171">
        <v>1486288800</v>
      </c>
      <c r="N5" s="171">
        <v>3.26</v>
      </c>
      <c r="O5" s="171">
        <v>231</v>
      </c>
      <c r="P5" s="171">
        <v>2.4900000000000002</v>
      </c>
      <c r="Q5"/>
      <c r="R5"/>
    </row>
    <row r="6" spans="1:18" x14ac:dyDescent="0.25">
      <c r="A6" s="171">
        <v>29.81</v>
      </c>
      <c r="B6" s="171">
        <v>0.65</v>
      </c>
      <c r="C6" s="171">
        <v>19.87</v>
      </c>
      <c r="D6" s="8">
        <v>42771.166666666664</v>
      </c>
      <c r="E6" s="171">
        <v>0.57999999999999996</v>
      </c>
      <c r="F6" s="171" t="s">
        <v>272</v>
      </c>
      <c r="G6" s="171">
        <v>312.22000000000003</v>
      </c>
      <c r="H6" s="171">
        <v>0</v>
      </c>
      <c r="I6" s="171">
        <v>0</v>
      </c>
      <c r="J6" s="171">
        <v>1016.77</v>
      </c>
      <c r="K6" s="171" t="s">
        <v>317</v>
      </c>
      <c r="L6" s="171">
        <v>33.07</v>
      </c>
      <c r="M6" s="171">
        <v>1486292400</v>
      </c>
      <c r="N6" s="171">
        <v>3.37</v>
      </c>
      <c r="O6" s="171">
        <v>234</v>
      </c>
      <c r="P6" s="171">
        <v>3.57</v>
      </c>
      <c r="Q6"/>
      <c r="R6"/>
    </row>
    <row r="7" spans="1:18" x14ac:dyDescent="0.25">
      <c r="A7" s="171">
        <v>32.979999999999997</v>
      </c>
      <c r="B7" s="171">
        <v>0.7</v>
      </c>
      <c r="C7" s="171">
        <v>19.22</v>
      </c>
      <c r="D7" s="8">
        <v>42771.208333333336</v>
      </c>
      <c r="E7" s="171">
        <v>0.56000000000000005</v>
      </c>
      <c r="F7" s="171" t="s">
        <v>272</v>
      </c>
      <c r="G7" s="171">
        <v>312.18</v>
      </c>
      <c r="H7" s="171">
        <v>0</v>
      </c>
      <c r="I7" s="171">
        <v>0</v>
      </c>
      <c r="J7" s="171">
        <v>1015.98</v>
      </c>
      <c r="K7" s="171" t="s">
        <v>317</v>
      </c>
      <c r="L7" s="171">
        <v>32.979999999999997</v>
      </c>
      <c r="M7" s="171">
        <v>1486296000</v>
      </c>
      <c r="N7" s="171">
        <v>4.3099999999999996</v>
      </c>
      <c r="O7" s="171">
        <v>224</v>
      </c>
      <c r="P7" s="171">
        <v>2</v>
      </c>
      <c r="Q7"/>
      <c r="R7"/>
    </row>
    <row r="8" spans="1:18" x14ac:dyDescent="0.25">
      <c r="A8" s="171">
        <v>32.92</v>
      </c>
      <c r="B8" s="171">
        <v>0.63</v>
      </c>
      <c r="C8" s="171">
        <v>19.38</v>
      </c>
      <c r="D8" s="8">
        <v>42771.25</v>
      </c>
      <c r="E8" s="171">
        <v>0.56999999999999995</v>
      </c>
      <c r="F8" s="171" t="s">
        <v>272</v>
      </c>
      <c r="G8" s="171">
        <v>313.12</v>
      </c>
      <c r="H8" s="171">
        <v>0</v>
      </c>
      <c r="I8" s="171">
        <v>0</v>
      </c>
      <c r="J8" s="171">
        <v>1016.2</v>
      </c>
      <c r="K8" s="171" t="s">
        <v>317</v>
      </c>
      <c r="L8" s="171">
        <v>32.92</v>
      </c>
      <c r="M8" s="171">
        <v>1486299600</v>
      </c>
      <c r="N8" s="171">
        <v>4.71</v>
      </c>
      <c r="O8" s="171">
        <v>223</v>
      </c>
      <c r="P8" s="171">
        <v>2.87</v>
      </c>
      <c r="Q8"/>
      <c r="R8"/>
    </row>
    <row r="9" spans="1:18" x14ac:dyDescent="0.25">
      <c r="A9" s="171">
        <v>31.73</v>
      </c>
      <c r="B9" s="171">
        <v>0.48</v>
      </c>
      <c r="C9" s="171">
        <v>19.72</v>
      </c>
      <c r="D9" s="8">
        <v>42771.291666666664</v>
      </c>
      <c r="E9" s="171">
        <v>0.61</v>
      </c>
      <c r="F9" s="171" t="s">
        <v>272</v>
      </c>
      <c r="G9" s="171">
        <v>314.54000000000002</v>
      </c>
      <c r="H9" s="171">
        <v>0</v>
      </c>
      <c r="I9" s="171">
        <v>0</v>
      </c>
      <c r="J9" s="171">
        <v>1016.78</v>
      </c>
      <c r="K9" s="171" t="s">
        <v>274</v>
      </c>
      <c r="L9" s="171">
        <v>31.73</v>
      </c>
      <c r="M9" s="171">
        <v>1486303200</v>
      </c>
      <c r="N9" s="171">
        <v>3.71</v>
      </c>
      <c r="O9" s="171">
        <v>261</v>
      </c>
      <c r="P9" s="171">
        <v>2.91</v>
      </c>
      <c r="Q9"/>
      <c r="R9"/>
    </row>
    <row r="10" spans="1:18" x14ac:dyDescent="0.25">
      <c r="A10" s="171">
        <v>32.520000000000003</v>
      </c>
      <c r="B10" s="171">
        <v>0.41</v>
      </c>
      <c r="C10" s="171">
        <v>20.32</v>
      </c>
      <c r="D10" s="8">
        <v>42771.333333333336</v>
      </c>
      <c r="E10" s="171">
        <v>0.6</v>
      </c>
      <c r="F10" s="171" t="s">
        <v>273</v>
      </c>
      <c r="G10" s="171">
        <v>315.08</v>
      </c>
      <c r="H10" s="171">
        <v>0</v>
      </c>
      <c r="I10" s="171">
        <v>0</v>
      </c>
      <c r="J10" s="171">
        <v>1016.78</v>
      </c>
      <c r="K10" s="171" t="s">
        <v>274</v>
      </c>
      <c r="L10" s="171">
        <v>32.520000000000003</v>
      </c>
      <c r="M10" s="171">
        <v>1486306800</v>
      </c>
      <c r="N10" s="171">
        <v>3.23</v>
      </c>
      <c r="O10" s="171">
        <v>289</v>
      </c>
      <c r="P10" s="171">
        <v>1.28</v>
      </c>
      <c r="Q10"/>
      <c r="R10"/>
    </row>
    <row r="11" spans="1:18" x14ac:dyDescent="0.25">
      <c r="A11" s="171">
        <v>36.51</v>
      </c>
      <c r="B11" s="171">
        <v>0.46</v>
      </c>
      <c r="C11" s="171">
        <v>21.07</v>
      </c>
      <c r="D11" s="8">
        <v>42771.375</v>
      </c>
      <c r="E11" s="171">
        <v>0.53</v>
      </c>
      <c r="F11" s="171" t="s">
        <v>273</v>
      </c>
      <c r="G11" s="171">
        <v>314.13</v>
      </c>
      <c r="H11" s="171">
        <v>0</v>
      </c>
      <c r="I11" s="171">
        <v>0</v>
      </c>
      <c r="J11" s="171">
        <v>1015.64</v>
      </c>
      <c r="K11" s="171" t="s">
        <v>274</v>
      </c>
      <c r="L11" s="171">
        <v>36.51</v>
      </c>
      <c r="M11" s="171">
        <v>1486310400</v>
      </c>
      <c r="N11" s="171">
        <v>3.14</v>
      </c>
      <c r="O11" s="171">
        <v>251</v>
      </c>
      <c r="P11" s="171">
        <v>1.76</v>
      </c>
      <c r="Q11"/>
      <c r="R11"/>
    </row>
    <row r="12" spans="1:18" x14ac:dyDescent="0.25">
      <c r="A12" s="171">
        <v>41.44</v>
      </c>
      <c r="B12" s="171">
        <v>0.6</v>
      </c>
      <c r="C12" s="171">
        <v>21.18</v>
      </c>
      <c r="D12" s="8">
        <v>42771.416666666664</v>
      </c>
      <c r="E12" s="171">
        <v>0.44</v>
      </c>
      <c r="F12" s="171" t="s">
        <v>273</v>
      </c>
      <c r="G12" s="171">
        <v>312.29000000000002</v>
      </c>
      <c r="H12" s="171">
        <v>0</v>
      </c>
      <c r="I12" s="171">
        <v>0</v>
      </c>
      <c r="J12" s="171">
        <v>1013.92</v>
      </c>
      <c r="K12" s="171" t="s">
        <v>317</v>
      </c>
      <c r="L12" s="171">
        <v>41.44</v>
      </c>
      <c r="M12" s="171">
        <v>1486314000</v>
      </c>
      <c r="N12" s="171">
        <v>3.03</v>
      </c>
      <c r="O12" s="171">
        <v>302</v>
      </c>
      <c r="P12" s="171">
        <v>1.08</v>
      </c>
      <c r="Q12"/>
      <c r="R12"/>
    </row>
    <row r="13" spans="1:18" x14ac:dyDescent="0.25">
      <c r="A13" s="171">
        <v>48.2</v>
      </c>
      <c r="B13" s="171">
        <v>0.65</v>
      </c>
      <c r="C13" s="171">
        <v>21.94</v>
      </c>
      <c r="D13" s="8">
        <v>42771.458333333336</v>
      </c>
      <c r="E13" s="171">
        <v>0.35</v>
      </c>
      <c r="F13" s="171" t="s">
        <v>273</v>
      </c>
      <c r="G13" s="171">
        <v>310.08999999999997</v>
      </c>
      <c r="H13" s="171">
        <v>0</v>
      </c>
      <c r="I13" s="171">
        <v>0</v>
      </c>
      <c r="J13" s="171">
        <v>1012.54</v>
      </c>
      <c r="K13" s="171" t="s">
        <v>317</v>
      </c>
      <c r="L13" s="171">
        <v>48.2</v>
      </c>
      <c r="M13" s="171">
        <v>1486317600</v>
      </c>
      <c r="N13" s="171">
        <v>3.02</v>
      </c>
      <c r="O13" s="171">
        <v>331</v>
      </c>
      <c r="P13" s="171">
        <v>1.75</v>
      </c>
      <c r="Q13"/>
      <c r="R13"/>
    </row>
    <row r="14" spans="1:18" x14ac:dyDescent="0.25">
      <c r="A14" s="171">
        <v>51.78</v>
      </c>
      <c r="B14" s="171">
        <v>0.57999999999999996</v>
      </c>
      <c r="C14" s="171">
        <v>23.25</v>
      </c>
      <c r="D14" s="8">
        <v>42771.5</v>
      </c>
      <c r="E14" s="171">
        <v>0.33</v>
      </c>
      <c r="F14" s="171" t="s">
        <v>273</v>
      </c>
      <c r="G14" s="171">
        <v>307.64</v>
      </c>
      <c r="H14" s="171">
        <v>0</v>
      </c>
      <c r="I14" s="171">
        <v>0</v>
      </c>
      <c r="J14" s="171">
        <v>1011.7</v>
      </c>
      <c r="K14" s="171" t="s">
        <v>274</v>
      </c>
      <c r="L14" s="171">
        <v>51.78</v>
      </c>
      <c r="M14" s="171">
        <v>1486321200</v>
      </c>
      <c r="N14" s="171">
        <v>3.02</v>
      </c>
      <c r="O14" s="171">
        <v>356</v>
      </c>
      <c r="P14" s="171">
        <v>3.47</v>
      </c>
      <c r="Q14"/>
      <c r="R14"/>
    </row>
    <row r="15" spans="1:18" x14ac:dyDescent="0.25">
      <c r="A15" s="171">
        <v>53.63</v>
      </c>
      <c r="B15" s="171">
        <v>0.44</v>
      </c>
      <c r="C15" s="171">
        <v>21.29</v>
      </c>
      <c r="D15" s="8">
        <v>42771.541666666664</v>
      </c>
      <c r="E15" s="171">
        <v>0.28000000000000003</v>
      </c>
      <c r="F15" s="171" t="s">
        <v>273</v>
      </c>
      <c r="G15" s="171">
        <v>304.83</v>
      </c>
      <c r="H15" s="171">
        <v>0</v>
      </c>
      <c r="I15" s="171">
        <v>0</v>
      </c>
      <c r="J15" s="171">
        <v>1011.08</v>
      </c>
      <c r="K15" s="171" t="s">
        <v>274</v>
      </c>
      <c r="L15" s="171">
        <v>53.63</v>
      </c>
      <c r="M15" s="171">
        <v>1486324800</v>
      </c>
      <c r="N15" s="171">
        <v>3.02</v>
      </c>
      <c r="O15" s="171">
        <v>351</v>
      </c>
      <c r="P15" s="171">
        <v>4.2300000000000004</v>
      </c>
      <c r="Q15"/>
      <c r="R15"/>
    </row>
    <row r="16" spans="1:18" x14ac:dyDescent="0.25">
      <c r="A16" s="171">
        <v>56.59</v>
      </c>
      <c r="B16" s="171">
        <v>0.36</v>
      </c>
      <c r="C16" s="171">
        <v>23.92</v>
      </c>
      <c r="D16" s="8">
        <v>42771.583333333336</v>
      </c>
      <c r="E16" s="171">
        <v>0.28000000000000003</v>
      </c>
      <c r="F16" s="171" t="s">
        <v>273</v>
      </c>
      <c r="G16" s="171">
        <v>301.77</v>
      </c>
      <c r="H16" s="171">
        <v>0</v>
      </c>
      <c r="I16" s="171">
        <v>0</v>
      </c>
      <c r="J16" s="171">
        <v>1010.59</v>
      </c>
      <c r="K16" s="171" t="s">
        <v>274</v>
      </c>
      <c r="L16" s="171">
        <v>56.59</v>
      </c>
      <c r="M16" s="171">
        <v>1486328400</v>
      </c>
      <c r="N16" s="171">
        <v>3.03</v>
      </c>
      <c r="O16" s="171">
        <v>4</v>
      </c>
      <c r="P16" s="171">
        <v>4.09</v>
      </c>
      <c r="Q16"/>
      <c r="R16"/>
    </row>
    <row r="17" spans="1:18" x14ac:dyDescent="0.25">
      <c r="A17" s="171">
        <v>57.42</v>
      </c>
      <c r="B17" s="171">
        <v>0.35</v>
      </c>
      <c r="C17" s="171">
        <v>21.63</v>
      </c>
      <c r="D17" s="8">
        <v>42771.625</v>
      </c>
      <c r="E17" s="171">
        <v>0.25</v>
      </c>
      <c r="F17" s="171" t="s">
        <v>273</v>
      </c>
      <c r="G17" s="171">
        <v>298.2</v>
      </c>
      <c r="H17" s="171">
        <v>0</v>
      </c>
      <c r="I17" s="171">
        <v>0</v>
      </c>
      <c r="J17" s="171">
        <v>1010.14</v>
      </c>
      <c r="K17" s="171" t="s">
        <v>274</v>
      </c>
      <c r="L17" s="171">
        <v>57.42</v>
      </c>
      <c r="M17" s="171">
        <v>1486332000</v>
      </c>
      <c r="N17" s="171">
        <v>3.09</v>
      </c>
      <c r="O17" s="171">
        <v>24</v>
      </c>
      <c r="P17" s="171">
        <v>3.75</v>
      </c>
      <c r="Q17"/>
      <c r="R17"/>
    </row>
    <row r="18" spans="1:18" x14ac:dyDescent="0.25">
      <c r="A18" s="171">
        <v>55.43</v>
      </c>
      <c r="B18" s="171">
        <v>0.35</v>
      </c>
      <c r="C18" s="171">
        <v>19.79</v>
      </c>
      <c r="D18" s="8">
        <v>42771.666666666664</v>
      </c>
      <c r="E18" s="171">
        <v>0.25</v>
      </c>
      <c r="F18" s="171" t="s">
        <v>273</v>
      </c>
      <c r="G18" s="171">
        <v>294.39999999999998</v>
      </c>
      <c r="H18" s="171">
        <v>0</v>
      </c>
      <c r="I18" s="171">
        <v>0</v>
      </c>
      <c r="J18" s="171">
        <v>1009.84</v>
      </c>
      <c r="K18" s="171" t="s">
        <v>274</v>
      </c>
      <c r="L18" s="171">
        <v>55.43</v>
      </c>
      <c r="M18" s="171">
        <v>1486335600</v>
      </c>
      <c r="N18" s="171">
        <v>5.55</v>
      </c>
      <c r="O18" s="171">
        <v>52</v>
      </c>
      <c r="P18" s="171">
        <v>2.62</v>
      </c>
      <c r="Q18"/>
      <c r="R18"/>
    </row>
    <row r="19" spans="1:18" x14ac:dyDescent="0.25">
      <c r="A19" s="171">
        <v>54.64</v>
      </c>
      <c r="B19" s="171">
        <v>0.22</v>
      </c>
      <c r="C19" s="171">
        <v>19.23</v>
      </c>
      <c r="D19" s="8">
        <v>42771.708333333336</v>
      </c>
      <c r="E19" s="171">
        <v>0.25</v>
      </c>
      <c r="F19" s="171" t="s">
        <v>739</v>
      </c>
      <c r="G19" s="171">
        <v>291.26</v>
      </c>
      <c r="H19" s="171">
        <v>0</v>
      </c>
      <c r="I19" s="171">
        <v>0</v>
      </c>
      <c r="J19" s="171">
        <v>1009.83</v>
      </c>
      <c r="K19" s="171" t="s">
        <v>740</v>
      </c>
      <c r="L19" s="171">
        <v>54.64</v>
      </c>
      <c r="M19" s="171">
        <v>1486339200</v>
      </c>
      <c r="N19" s="171">
        <v>6.01</v>
      </c>
      <c r="O19" s="171">
        <v>73</v>
      </c>
      <c r="P19" s="171">
        <v>2.14</v>
      </c>
      <c r="Q19"/>
      <c r="R19"/>
    </row>
    <row r="20" spans="1:18" x14ac:dyDescent="0.25">
      <c r="A20" s="171">
        <v>49.49</v>
      </c>
      <c r="B20" s="171">
        <v>0.2</v>
      </c>
      <c r="C20" s="171">
        <v>16.8</v>
      </c>
      <c r="D20" s="8">
        <v>42771.75</v>
      </c>
      <c r="E20" s="171">
        <v>0.27</v>
      </c>
      <c r="F20" s="171" t="s">
        <v>741</v>
      </c>
      <c r="G20" s="171">
        <v>289.14999999999998</v>
      </c>
      <c r="H20" s="171">
        <v>0</v>
      </c>
      <c r="I20" s="171">
        <v>0</v>
      </c>
      <c r="J20" s="171">
        <v>1010.08</v>
      </c>
      <c r="K20" s="171" t="s">
        <v>740</v>
      </c>
      <c r="L20" s="171">
        <v>49.49</v>
      </c>
      <c r="M20" s="171">
        <v>1486342800</v>
      </c>
      <c r="N20" s="171">
        <v>6.84</v>
      </c>
      <c r="O20" s="171">
        <v>133</v>
      </c>
      <c r="P20" s="171">
        <v>1.1299999999999999</v>
      </c>
      <c r="Q20"/>
      <c r="R20"/>
    </row>
    <row r="21" spans="1:18" x14ac:dyDescent="0.25">
      <c r="A21" s="171">
        <v>46.3</v>
      </c>
      <c r="B21" s="171">
        <v>0.21</v>
      </c>
      <c r="C21" s="171">
        <v>19.54</v>
      </c>
      <c r="D21" s="8">
        <v>42771.791666666664</v>
      </c>
      <c r="E21" s="171">
        <v>0.34</v>
      </c>
      <c r="F21" s="171" t="s">
        <v>741</v>
      </c>
      <c r="G21" s="171">
        <v>287.72000000000003</v>
      </c>
      <c r="H21" s="171">
        <v>0</v>
      </c>
      <c r="I21" s="171">
        <v>0</v>
      </c>
      <c r="J21" s="171">
        <v>1010.86</v>
      </c>
      <c r="K21" s="171" t="s">
        <v>740</v>
      </c>
      <c r="L21" s="171">
        <v>46.3</v>
      </c>
      <c r="M21" s="171">
        <v>1486346400</v>
      </c>
      <c r="N21" s="171">
        <v>7.31</v>
      </c>
      <c r="O21" s="171">
        <v>187</v>
      </c>
      <c r="P21" s="171">
        <v>1.48</v>
      </c>
      <c r="Q21"/>
      <c r="R21"/>
    </row>
    <row r="22" spans="1:18" x14ac:dyDescent="0.25">
      <c r="A22" s="171">
        <v>43.57</v>
      </c>
      <c r="B22" s="171">
        <v>0.22</v>
      </c>
      <c r="C22" s="171">
        <v>19.05</v>
      </c>
      <c r="D22" s="8">
        <v>42771.833333333336</v>
      </c>
      <c r="E22" s="171">
        <v>0.37</v>
      </c>
      <c r="F22" s="171" t="s">
        <v>741</v>
      </c>
      <c r="G22" s="171">
        <v>286.79000000000002</v>
      </c>
      <c r="H22" s="171">
        <v>0</v>
      </c>
      <c r="I22" s="171">
        <v>0</v>
      </c>
      <c r="J22" s="171">
        <v>1011.46</v>
      </c>
      <c r="K22" s="171" t="s">
        <v>740</v>
      </c>
      <c r="L22" s="171">
        <v>43.57</v>
      </c>
      <c r="M22" s="171">
        <v>1486350000</v>
      </c>
      <c r="N22" s="171">
        <v>6.41</v>
      </c>
      <c r="O22" s="171">
        <v>208</v>
      </c>
      <c r="P22" s="171">
        <v>2.02</v>
      </c>
      <c r="Q22"/>
      <c r="R22"/>
    </row>
    <row r="23" spans="1:18" x14ac:dyDescent="0.25">
      <c r="A23" s="171">
        <v>41.67</v>
      </c>
      <c r="B23" s="171">
        <v>0.37</v>
      </c>
      <c r="C23" s="171">
        <v>19.61</v>
      </c>
      <c r="D23" s="8">
        <v>42771.875</v>
      </c>
      <c r="E23" s="171">
        <v>0.41</v>
      </c>
      <c r="F23" s="171" t="s">
        <v>272</v>
      </c>
      <c r="G23" s="171">
        <v>286.44</v>
      </c>
      <c r="H23" s="171">
        <v>0</v>
      </c>
      <c r="I23" s="171">
        <v>0</v>
      </c>
      <c r="J23" s="171">
        <v>1011.5</v>
      </c>
      <c r="K23" s="171" t="s">
        <v>274</v>
      </c>
      <c r="L23" s="171">
        <v>41.67</v>
      </c>
      <c r="M23" s="171">
        <v>1486353600</v>
      </c>
      <c r="N23" s="171">
        <v>5.63</v>
      </c>
      <c r="O23" s="171">
        <v>208</v>
      </c>
      <c r="P23" s="171">
        <v>2.78</v>
      </c>
      <c r="Q23"/>
      <c r="R23"/>
    </row>
    <row r="24" spans="1:18" x14ac:dyDescent="0.25">
      <c r="A24" s="171">
        <v>37.380000000000003</v>
      </c>
      <c r="B24" s="171">
        <v>0.5</v>
      </c>
      <c r="C24" s="171">
        <v>19.38</v>
      </c>
      <c r="D24" s="8">
        <v>42771.916666666664</v>
      </c>
      <c r="E24" s="171">
        <v>0.44</v>
      </c>
      <c r="F24" s="171" t="s">
        <v>272</v>
      </c>
      <c r="G24" s="171">
        <v>286.60000000000002</v>
      </c>
      <c r="H24" s="171">
        <v>0</v>
      </c>
      <c r="I24" s="171">
        <v>0</v>
      </c>
      <c r="J24" s="171">
        <v>1011.21</v>
      </c>
      <c r="K24" s="171" t="s">
        <v>274</v>
      </c>
      <c r="L24" s="171">
        <v>39.369999999999997</v>
      </c>
      <c r="M24" s="171">
        <v>1486357200</v>
      </c>
      <c r="N24" s="171">
        <v>5.69</v>
      </c>
      <c r="O24" s="171">
        <v>207</v>
      </c>
      <c r="P24" s="171">
        <v>3.24</v>
      </c>
      <c r="Q24"/>
      <c r="R24"/>
    </row>
    <row r="25" spans="1:18" x14ac:dyDescent="0.25">
      <c r="A25" s="171">
        <v>36.020000000000003</v>
      </c>
      <c r="B25" s="171">
        <v>0.65</v>
      </c>
      <c r="C25" s="171">
        <v>19.920000000000002</v>
      </c>
      <c r="D25" s="8">
        <v>42771.958333333336</v>
      </c>
      <c r="E25" s="171">
        <v>0.47</v>
      </c>
      <c r="F25" s="171" t="s">
        <v>272</v>
      </c>
      <c r="G25" s="171">
        <v>286.93</v>
      </c>
      <c r="H25" s="171">
        <v>0</v>
      </c>
      <c r="I25" s="171">
        <v>0</v>
      </c>
      <c r="J25" s="171">
        <v>1010.83</v>
      </c>
      <c r="K25" s="171" t="s">
        <v>317</v>
      </c>
      <c r="L25" s="171">
        <v>38.369999999999997</v>
      </c>
      <c r="M25" s="171">
        <v>1486360800</v>
      </c>
      <c r="N25" s="171">
        <v>6.06</v>
      </c>
      <c r="O25" s="171">
        <v>199</v>
      </c>
      <c r="P25" s="171">
        <v>3.44</v>
      </c>
      <c r="Q25"/>
      <c r="R25"/>
    </row>
    <row r="26" spans="1:18" x14ac:dyDescent="0.25">
      <c r="A26" s="171">
        <v>34.840000000000003</v>
      </c>
      <c r="B26" s="171">
        <v>0.76</v>
      </c>
      <c r="C26" s="171">
        <v>18.53</v>
      </c>
      <c r="D26" s="8">
        <v>42772</v>
      </c>
      <c r="E26" s="171">
        <v>0.45</v>
      </c>
      <c r="F26" s="171" t="s">
        <v>272</v>
      </c>
      <c r="G26" s="171">
        <v>287.48</v>
      </c>
      <c r="H26" s="171">
        <v>0</v>
      </c>
      <c r="I26" s="171">
        <v>0</v>
      </c>
      <c r="J26" s="171">
        <v>1010.43</v>
      </c>
      <c r="K26" s="171" t="s">
        <v>317</v>
      </c>
      <c r="L26" s="171">
        <v>37.74</v>
      </c>
      <c r="M26" s="171">
        <v>1486364400</v>
      </c>
      <c r="N26" s="171">
        <v>5.84</v>
      </c>
      <c r="O26" s="171">
        <v>204</v>
      </c>
      <c r="P26" s="171">
        <v>3.86</v>
      </c>
      <c r="Q26"/>
      <c r="R26"/>
    </row>
    <row r="27" spans="1:18" x14ac:dyDescent="0.25">
      <c r="A27" s="171">
        <v>38.61</v>
      </c>
      <c r="B27" s="171">
        <v>0.8</v>
      </c>
      <c r="C27" s="171">
        <v>20.66</v>
      </c>
      <c r="D27" s="8">
        <v>42772.041666666664</v>
      </c>
      <c r="E27" s="171">
        <v>0.48</v>
      </c>
      <c r="F27" s="171" t="s">
        <v>272</v>
      </c>
      <c r="G27" s="171">
        <v>288.02</v>
      </c>
      <c r="H27" s="171">
        <v>0</v>
      </c>
      <c r="I27" s="171">
        <v>0</v>
      </c>
      <c r="J27" s="171">
        <v>1010.04</v>
      </c>
      <c r="K27" s="171" t="s">
        <v>317</v>
      </c>
      <c r="L27" s="171">
        <v>38.61</v>
      </c>
      <c r="M27" s="171">
        <v>1486368000</v>
      </c>
      <c r="N27" s="171">
        <v>5.66</v>
      </c>
      <c r="O27" s="171">
        <v>224</v>
      </c>
      <c r="P27" s="171">
        <v>2.5099999999999998</v>
      </c>
      <c r="Q27"/>
      <c r="R27"/>
    </row>
    <row r="28" spans="1:18" x14ac:dyDescent="0.25">
      <c r="A28" s="171">
        <v>38.14</v>
      </c>
      <c r="B28" s="171">
        <v>0.84</v>
      </c>
      <c r="C28" s="171">
        <v>20.55</v>
      </c>
      <c r="D28" s="8">
        <v>42772.083333333336</v>
      </c>
      <c r="E28" s="171">
        <v>0.49</v>
      </c>
      <c r="F28" s="171" t="s">
        <v>272</v>
      </c>
      <c r="G28" s="171">
        <v>288.57</v>
      </c>
      <c r="H28" s="171">
        <v>0</v>
      </c>
      <c r="I28" s="171">
        <v>0</v>
      </c>
      <c r="J28" s="171">
        <v>1009.65</v>
      </c>
      <c r="K28" s="171" t="s">
        <v>317</v>
      </c>
      <c r="L28" s="171">
        <v>38.14</v>
      </c>
      <c r="M28" s="171">
        <v>1486371600</v>
      </c>
      <c r="N28" s="171">
        <v>3.91</v>
      </c>
      <c r="O28" s="171">
        <v>225</v>
      </c>
      <c r="P28" s="171">
        <v>2.46</v>
      </c>
      <c r="Q28"/>
      <c r="R28"/>
    </row>
    <row r="29" spans="1:18" x14ac:dyDescent="0.25">
      <c r="A29" s="171">
        <v>34.270000000000003</v>
      </c>
      <c r="B29" s="171">
        <v>0.86</v>
      </c>
      <c r="C29" s="171">
        <v>19.760000000000002</v>
      </c>
      <c r="D29" s="8">
        <v>42772.125</v>
      </c>
      <c r="E29" s="171">
        <v>0.49</v>
      </c>
      <c r="F29" s="171" t="s">
        <v>272</v>
      </c>
      <c r="G29" s="171">
        <v>288.83</v>
      </c>
      <c r="H29" s="171">
        <v>0</v>
      </c>
      <c r="I29" s="171">
        <v>0</v>
      </c>
      <c r="J29" s="171">
        <v>1009.51</v>
      </c>
      <c r="K29" s="171" t="s">
        <v>317</v>
      </c>
      <c r="L29" s="171">
        <v>37.28</v>
      </c>
      <c r="M29" s="171">
        <v>1486375200</v>
      </c>
      <c r="N29" s="171">
        <v>6.46</v>
      </c>
      <c r="O29" s="171">
        <v>215</v>
      </c>
      <c r="P29" s="171">
        <v>3.91</v>
      </c>
      <c r="Q29"/>
      <c r="R29"/>
    </row>
    <row r="30" spans="1:18" x14ac:dyDescent="0.25">
      <c r="A30" s="152"/>
      <c r="B30" s="152"/>
      <c r="C30" s="152"/>
      <c r="D30" s="8"/>
      <c r="E30" s="152"/>
      <c r="F30" s="152"/>
      <c r="G30" s="152"/>
      <c r="H30" s="152"/>
      <c r="I30" s="152"/>
      <c r="J30" s="152"/>
      <c r="K30" s="152"/>
      <c r="L30" s="152"/>
      <c r="M30" s="152"/>
      <c r="N30" s="152"/>
      <c r="O30" s="152"/>
      <c r="P30" s="152"/>
    </row>
    <row r="31" spans="1:18" x14ac:dyDescent="0.25">
      <c r="A31" s="153" t="s">
        <v>190</v>
      </c>
    </row>
    <row r="33" spans="1:1" x14ac:dyDescent="0.25">
      <c r="A33" s="153" t="s">
        <v>179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Q37"/>
  <sheetViews>
    <sheetView workbookViewId="0">
      <selection activeCell="I16" sqref="I16"/>
    </sheetView>
  </sheetViews>
  <sheetFormatPr defaultRowHeight="15" x14ac:dyDescent="0.25"/>
  <cols>
    <col min="1" max="1" width="32.140625" customWidth="1"/>
    <col min="3" max="3" width="24" customWidth="1"/>
    <col min="4" max="4" width="19.140625" style="64" customWidth="1"/>
    <col min="10" max="10" width="24.28515625" style="152" bestFit="1" customWidth="1"/>
    <col min="11" max="11" width="15.28515625" style="152" hidden="1" customWidth="1"/>
    <col min="12" max="12" width="13.5703125" style="152" hidden="1" customWidth="1"/>
    <col min="13" max="13" width="9" style="152" bestFit="1" customWidth="1"/>
    <col min="14" max="17" width="9.140625" style="152"/>
  </cols>
  <sheetData>
    <row r="1" spans="1:16" ht="45.75" x14ac:dyDescent="0.3">
      <c r="A1" s="11" t="s">
        <v>25</v>
      </c>
      <c r="C1" s="131" t="s">
        <v>99</v>
      </c>
      <c r="D1" s="132" t="s">
        <v>100</v>
      </c>
      <c r="J1" s="162" t="s">
        <v>101</v>
      </c>
      <c r="K1" s="162" t="s">
        <v>66</v>
      </c>
      <c r="L1" s="162" t="s">
        <v>67</v>
      </c>
      <c r="O1" s="163" t="s">
        <v>102</v>
      </c>
    </row>
    <row r="2" spans="1:16" ht="15.75" thickBot="1" x14ac:dyDescent="0.3">
      <c r="A2" s="12">
        <v>42771</v>
      </c>
      <c r="B2" s="4"/>
      <c r="C2" s="133">
        <v>50</v>
      </c>
      <c r="D2" s="134">
        <v>25</v>
      </c>
      <c r="F2" t="s">
        <v>113</v>
      </c>
      <c r="J2" s="162"/>
      <c r="K2" s="162" t="s">
        <v>66</v>
      </c>
      <c r="L2" s="162" t="s">
        <v>67</v>
      </c>
    </row>
    <row r="3" spans="1:16" x14ac:dyDescent="0.25">
      <c r="C3" s="64"/>
      <c r="F3" t="s">
        <v>52</v>
      </c>
      <c r="J3" s="164" t="s">
        <v>68</v>
      </c>
      <c r="K3" s="165">
        <v>2.7052</v>
      </c>
      <c r="L3" s="165">
        <v>2.7349999999999999</v>
      </c>
      <c r="M3" s="152">
        <f t="shared" ref="M3:M14" si="0">AVERAGE(K3:L3)</f>
        <v>2.7201</v>
      </c>
      <c r="O3" s="152" t="s">
        <v>103</v>
      </c>
      <c r="P3" s="152">
        <f>AVERAGE(1.0714,1.1016)</f>
        <v>1.0865</v>
      </c>
    </row>
    <row r="4" spans="1:16" ht="45" x14ac:dyDescent="0.25">
      <c r="C4" s="131" t="s">
        <v>99</v>
      </c>
      <c r="D4" s="132" t="s">
        <v>100</v>
      </c>
      <c r="F4" t="s">
        <v>53</v>
      </c>
      <c r="J4" s="164" t="s">
        <v>69</v>
      </c>
      <c r="K4" s="165">
        <v>3.0830000000000002</v>
      </c>
      <c r="L4" s="165">
        <v>3.097</v>
      </c>
      <c r="M4" s="152">
        <f t="shared" si="0"/>
        <v>3.09</v>
      </c>
    </row>
    <row r="5" spans="1:16" x14ac:dyDescent="0.25">
      <c r="C5" s="64">
        <v>30</v>
      </c>
      <c r="D5" s="64">
        <v>9</v>
      </c>
      <c r="J5" s="164" t="s">
        <v>70</v>
      </c>
      <c r="K5" s="165">
        <v>3.3136000000000001</v>
      </c>
      <c r="L5" s="165">
        <v>3.3256999999999999</v>
      </c>
      <c r="M5" s="152">
        <f t="shared" si="0"/>
        <v>3.3196500000000002</v>
      </c>
    </row>
    <row r="6" spans="1:16" x14ac:dyDescent="0.25">
      <c r="C6" s="64"/>
      <c r="F6" t="s">
        <v>114</v>
      </c>
      <c r="J6" s="164" t="s">
        <v>71</v>
      </c>
      <c r="K6" s="165">
        <v>4.2778999999999998</v>
      </c>
      <c r="L6" s="165">
        <v>4.2961</v>
      </c>
      <c r="M6" s="152">
        <f t="shared" si="0"/>
        <v>4.2869999999999999</v>
      </c>
    </row>
    <row r="7" spans="1:16" x14ac:dyDescent="0.25">
      <c r="C7" s="64"/>
      <c r="F7" t="s">
        <v>115</v>
      </c>
      <c r="J7" s="164" t="s">
        <v>72</v>
      </c>
      <c r="K7" s="165">
        <v>4.7865000000000002</v>
      </c>
      <c r="L7" s="165">
        <v>4.8048000000000002</v>
      </c>
      <c r="M7" s="152">
        <f t="shared" si="0"/>
        <v>4.7956500000000002</v>
      </c>
    </row>
    <row r="8" spans="1:16" x14ac:dyDescent="0.25">
      <c r="C8" s="64"/>
      <c r="F8" t="s">
        <v>116</v>
      </c>
      <c r="J8" s="164" t="s">
        <v>73</v>
      </c>
      <c r="K8" s="165">
        <v>5.3155000000000001</v>
      </c>
      <c r="L8" s="165">
        <v>5.3277000000000001</v>
      </c>
      <c r="M8" s="152">
        <f t="shared" si="0"/>
        <v>5.3216000000000001</v>
      </c>
    </row>
    <row r="9" spans="1:16" x14ac:dyDescent="0.25">
      <c r="C9" s="64"/>
      <c r="J9" s="164" t="s">
        <v>74</v>
      </c>
      <c r="K9" s="165">
        <v>5.8117000000000001</v>
      </c>
      <c r="L9" s="165">
        <v>5.8300999999999998</v>
      </c>
      <c r="M9" s="152">
        <f t="shared" si="0"/>
        <v>5.8209</v>
      </c>
    </row>
    <row r="10" spans="1:16" x14ac:dyDescent="0.25">
      <c r="C10" s="64"/>
      <c r="J10" s="164" t="s">
        <v>75</v>
      </c>
      <c r="K10" s="165">
        <v>5.8783000000000003</v>
      </c>
      <c r="L10" s="165">
        <v>5.8903999999999996</v>
      </c>
      <c r="M10" s="152">
        <f t="shared" si="0"/>
        <v>5.8843499999999995</v>
      </c>
    </row>
    <row r="11" spans="1:16" x14ac:dyDescent="0.25">
      <c r="C11" s="64"/>
      <c r="J11" s="164" t="s">
        <v>76</v>
      </c>
      <c r="K11" s="165">
        <v>6.3068</v>
      </c>
      <c r="L11" s="165">
        <v>6.3308999999999997</v>
      </c>
      <c r="M11" s="152">
        <f t="shared" si="0"/>
        <v>6.3188499999999994</v>
      </c>
    </row>
    <row r="12" spans="1:16" x14ac:dyDescent="0.25">
      <c r="C12" s="64"/>
      <c r="J12" s="164" t="s">
        <v>77</v>
      </c>
      <c r="K12" s="165">
        <v>7.8349000000000002</v>
      </c>
      <c r="L12" s="165">
        <v>7.8468999999999998</v>
      </c>
      <c r="M12" s="152">
        <f t="shared" si="0"/>
        <v>7.8408999999999995</v>
      </c>
    </row>
    <row r="13" spans="1:16" x14ac:dyDescent="0.25">
      <c r="C13" s="64"/>
      <c r="J13" s="164" t="s">
        <v>78</v>
      </c>
      <c r="K13" s="165">
        <v>10.373799999999999</v>
      </c>
      <c r="L13" s="165">
        <v>10.38</v>
      </c>
      <c r="M13" s="152">
        <f t="shared" si="0"/>
        <v>10.376899999999999</v>
      </c>
    </row>
    <row r="14" spans="1:16" x14ac:dyDescent="0.25">
      <c r="C14" s="64"/>
      <c r="J14" s="164" t="s">
        <v>79</v>
      </c>
      <c r="K14" s="165">
        <v>10.8954</v>
      </c>
      <c r="L14" s="165">
        <v>10.913500000000001</v>
      </c>
      <c r="M14" s="152">
        <f t="shared" si="0"/>
        <v>10.904450000000001</v>
      </c>
    </row>
    <row r="15" spans="1:16" x14ac:dyDescent="0.25">
      <c r="C15" s="64"/>
      <c r="J15" s="164"/>
      <c r="K15" s="165"/>
      <c r="L15" s="165"/>
    </row>
    <row r="16" spans="1:16" x14ac:dyDescent="0.25">
      <c r="C16" s="64"/>
      <c r="J16" s="164"/>
      <c r="K16" s="165"/>
      <c r="L16" s="165"/>
    </row>
    <row r="17" spans="3:13" x14ac:dyDescent="0.25">
      <c r="C17" s="149" t="s">
        <v>191</v>
      </c>
      <c r="J17" s="164"/>
      <c r="K17" s="165"/>
      <c r="L17" s="165"/>
    </row>
    <row r="18" spans="3:13" x14ac:dyDescent="0.25">
      <c r="C18" t="s">
        <v>883</v>
      </c>
      <c r="J18" s="164" t="s">
        <v>85</v>
      </c>
      <c r="K18" s="165"/>
      <c r="L18" s="165"/>
      <c r="M18" s="152" t="str">
        <f>"""C:\Program Files (x86)\AstroGrep\AstroGrep.exe"""</f>
        <v>"C:\Program Files (x86)\AstroGrep\AstroGrep.exe"</v>
      </c>
    </row>
    <row r="19" spans="3:13" x14ac:dyDescent="0.25">
      <c r="C19" t="s">
        <v>884</v>
      </c>
      <c r="J19" s="164" t="s">
        <v>86</v>
      </c>
      <c r="K19" s="165"/>
      <c r="L19" s="165"/>
      <c r="M19" s="152" t="s">
        <v>112</v>
      </c>
    </row>
    <row r="20" spans="3:13" x14ac:dyDescent="0.25">
      <c r="C20" t="s">
        <v>885</v>
      </c>
      <c r="J20" s="152" t="s">
        <v>87</v>
      </c>
      <c r="M20" s="152" t="s">
        <v>218</v>
      </c>
    </row>
    <row r="21" spans="3:13" x14ac:dyDescent="0.25">
      <c r="C21" t="s">
        <v>886</v>
      </c>
      <c r="J21" s="152" t="s">
        <v>90</v>
      </c>
      <c r="K21" s="152" t="s">
        <v>91</v>
      </c>
      <c r="M21" s="152" t="s">
        <v>178</v>
      </c>
    </row>
    <row r="22" spans="3:13" x14ac:dyDescent="0.25">
      <c r="C22" t="s">
        <v>887</v>
      </c>
      <c r="J22" s="152" t="s">
        <v>92</v>
      </c>
      <c r="K22" s="152" t="s">
        <v>93</v>
      </c>
      <c r="M22" s="152" t="s">
        <v>111</v>
      </c>
    </row>
    <row r="23" spans="3:13" x14ac:dyDescent="0.25">
      <c r="C23" t="s">
        <v>888</v>
      </c>
      <c r="J23" s="166" t="s">
        <v>95</v>
      </c>
      <c r="M23" s="152" t="str">
        <f>"-07"</f>
        <v>-07</v>
      </c>
    </row>
    <row r="24" spans="3:13" x14ac:dyDescent="0.25">
      <c r="C24" t="s">
        <v>889</v>
      </c>
      <c r="J24" s="152" t="s">
        <v>108</v>
      </c>
      <c r="M24" s="152" t="s">
        <v>110</v>
      </c>
    </row>
    <row r="25" spans="3:13" x14ac:dyDescent="0.25">
      <c r="C25" t="s">
        <v>890</v>
      </c>
      <c r="J25" s="152" t="s">
        <v>150</v>
      </c>
      <c r="M25" s="152" t="b">
        <v>1</v>
      </c>
    </row>
    <row r="26" spans="3:13" x14ac:dyDescent="0.25">
      <c r="C26" t="s">
        <v>891</v>
      </c>
      <c r="J26" s="152" t="s">
        <v>151</v>
      </c>
      <c r="M26" s="152" t="str">
        <f>"C:\Users\stu\Documents\GitHub\eaglep3-reporting\EC\"&amp;TEXT(A2,"yyyy-mm-dd")&amp;"-refined-times.txt"</f>
        <v>C:\Users\stu\Documents\GitHub\eaglep3-reporting\EC\2017-02-05-refined-times.txt</v>
      </c>
    </row>
    <row r="27" spans="3:13" x14ac:dyDescent="0.25">
      <c r="C27" t="s">
        <v>892</v>
      </c>
      <c r="J27" s="152" t="s">
        <v>180</v>
      </c>
      <c r="M27" s="152" t="str">
        <f>"C:\Users\stu\Documents\GitHub\eaglep3-reporting\EC\"&amp;TEXT(A2,"YYYY-MM-DD")&amp;"-Enforcements.txt"</f>
        <v>C:\Users\stu\Documents\GitHub\eaglep3-reporting\EC\2017-02-05-Enforcements.txt</v>
      </c>
    </row>
    <row r="28" spans="3:13" x14ac:dyDescent="0.25">
      <c r="C28" t="s">
        <v>893</v>
      </c>
      <c r="J28" s="152" t="s">
        <v>181</v>
      </c>
      <c r="M28" s="152" t="str">
        <f>"C:\Users\stu\Documents\GitHub\eaglep3-reporting\EC\"&amp;TEXT(A2,"YYYY-MM-DD")&amp;"-Runs-refined.txt"</f>
        <v>C:\Users\stu\Documents\GitHub\eaglep3-reporting\EC\2017-02-05-Runs-refined.txt</v>
      </c>
    </row>
    <row r="29" spans="3:13" x14ac:dyDescent="0.25">
      <c r="C29" t="s">
        <v>894</v>
      </c>
      <c r="J29" s="152" t="s">
        <v>182</v>
      </c>
      <c r="M29" s="152" t="str">
        <f>"C:\Users\stu\Documents\GitHub\eaglep3-reporting\EC\"&amp;TEXT(A2,"YYYY-MM-DD")&amp;"-Trips.txt"</f>
        <v>C:\Users\stu\Documents\GitHub\eaglep3-reporting\EC\2017-02-05-Trips.txt</v>
      </c>
    </row>
    <row r="30" spans="3:13" x14ac:dyDescent="0.25">
      <c r="C30" t="s">
        <v>895</v>
      </c>
      <c r="J30" s="152" t="s">
        <v>183</v>
      </c>
      <c r="M30" s="152" t="str">
        <f>"C:\Users\stu\Documents\GitHub\eaglep3-reporting\EC\"&amp;TEXT(A2,"YYYY-MM-DD")&amp;"-Weather.txt"</f>
        <v>C:\Users\stu\Documents\GitHub\eaglep3-reporting\EC\2017-02-05-Weather.txt</v>
      </c>
    </row>
    <row r="31" spans="3:13" x14ac:dyDescent="0.25">
      <c r="C31" t="s">
        <v>896</v>
      </c>
      <c r="J31" s="152" t="s">
        <v>216</v>
      </c>
      <c r="M31" s="152" t="s">
        <v>217</v>
      </c>
    </row>
    <row r="32" spans="3:13" x14ac:dyDescent="0.25">
      <c r="C32" t="s">
        <v>897</v>
      </c>
    </row>
    <row r="33" spans="3:3" x14ac:dyDescent="0.25">
      <c r="C33" t="s">
        <v>898</v>
      </c>
    </row>
    <row r="34" spans="3:3" x14ac:dyDescent="0.25">
      <c r="C34" t="s">
        <v>899</v>
      </c>
    </row>
    <row r="35" spans="3:3" x14ac:dyDescent="0.25">
      <c r="C35" t="s">
        <v>900</v>
      </c>
    </row>
    <row r="36" spans="3:3" x14ac:dyDescent="0.25">
      <c r="C36" t="s">
        <v>901</v>
      </c>
    </row>
    <row r="37" spans="3:3" x14ac:dyDescent="0.25">
      <c r="C37" t="s">
        <v>902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2]!Mail_workbook_Outlook">
                <anchor moveWithCells="1" sizeWithCells="1">
                  <from>
                    <xdr:col>0</xdr:col>
                    <xdr:colOff>295275</xdr:colOff>
                    <xdr:row>5</xdr:row>
                    <xdr:rowOff>47625</xdr:rowOff>
                  </from>
                  <to>
                    <xdr:col>0</xdr:col>
                    <xdr:colOff>1628775</xdr:colOff>
                    <xdr:row>8</xdr:row>
                    <xdr:rowOff>66675</xdr:rowOff>
                  </to>
                </anchor>
              </controlPr>
            </control>
          </mc:Choice>
        </mc:AlternateContent>
        <mc:AlternateContent xmlns:mc="http://schemas.openxmlformats.org/markup-compatibility/2006">
          <mc:Choice Requires="x14">
            <control shapeId="6146" r:id="rId5" name="Button 2">
              <controlPr defaultSize="0" print="0" autoFill="0" autoPict="0" macro="[2]!ImportRawText">
                <anchor moveWithCells="1" sizeWithCells="1">
                  <from>
                    <xdr:col>0</xdr:col>
                    <xdr:colOff>304800</xdr:colOff>
                    <xdr:row>9</xdr:row>
                    <xdr:rowOff>85725</xdr:rowOff>
                  </from>
                  <to>
                    <xdr:col>0</xdr:col>
                    <xdr:colOff>1552575</xdr:colOff>
                    <xdr:row>12</xdr:row>
                    <xdr:rowOff>38100</xdr:rowOff>
                  </to>
                </anchor>
              </controlPr>
            </control>
          </mc:Choice>
        </mc:AlternateContent>
        <mc:AlternateContent xmlns:mc="http://schemas.openxmlformats.org/markup-compatibility/2006">
          <mc:Choice Requires="x14">
            <control shapeId="6147" r:id="rId6" name="Button 3">
              <controlPr defaultSize="0" print="0" autoFill="0" autoPict="0" macro="[2]!SetTodaysDate">
                <anchor moveWithCells="1" sizeWithCells="1">
                  <from>
                    <xdr:col>0</xdr:col>
                    <xdr:colOff>295275</xdr:colOff>
                    <xdr:row>12</xdr:row>
                    <xdr:rowOff>142875</xdr:rowOff>
                  </from>
                  <to>
                    <xdr:col>0</xdr:col>
                    <xdr:colOff>1543050</xdr:colOff>
                    <xdr:row>15</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5"/>
  <sheetViews>
    <sheetView workbookViewId="0"/>
  </sheetViews>
  <sheetFormatPr defaultRowHeight="15" x14ac:dyDescent="0.25"/>
  <cols>
    <col min="1" max="1" width="32.85546875" style="102" bestFit="1" customWidth="1"/>
    <col min="2" max="7" width="9.140625" style="102"/>
    <col min="8" max="8" width="17.7109375" style="102" bestFit="1" customWidth="1"/>
    <col min="9" max="9" width="9.140625" style="104"/>
    <col min="10" max="16384" width="9.140625" style="102"/>
  </cols>
  <sheetData>
    <row r="1" spans="1:11" x14ac:dyDescent="0.25">
      <c r="A1" s="101" t="s">
        <v>121</v>
      </c>
      <c r="B1" s="101" t="s">
        <v>122</v>
      </c>
      <c r="C1" s="102" t="s">
        <v>123</v>
      </c>
      <c r="H1" t="s">
        <v>117</v>
      </c>
      <c r="I1" s="103" t="s">
        <v>119</v>
      </c>
      <c r="J1"/>
    </row>
    <row r="2" spans="1:11" x14ac:dyDescent="0.25">
      <c r="A2" s="102" t="s">
        <v>124</v>
      </c>
      <c r="B2" s="102" t="s">
        <v>125</v>
      </c>
      <c r="C2" s="102" t="s">
        <v>126</v>
      </c>
      <c r="H2" t="s">
        <v>118</v>
      </c>
      <c r="I2" s="95" t="s">
        <v>120</v>
      </c>
      <c r="J2"/>
    </row>
    <row r="3" spans="1:11" x14ac:dyDescent="0.25">
      <c r="A3" s="102" t="s">
        <v>127</v>
      </c>
      <c r="B3" s="102" t="s">
        <v>128</v>
      </c>
      <c r="C3" s="102" t="s">
        <v>129</v>
      </c>
      <c r="H3" t="s">
        <v>143</v>
      </c>
      <c r="I3" s="95">
        <v>1</v>
      </c>
      <c r="J3"/>
      <c r="K3" s="63"/>
    </row>
    <row r="4" spans="1:11" x14ac:dyDescent="0.25">
      <c r="A4" s="102" t="s">
        <v>130</v>
      </c>
      <c r="C4" s="102" t="s">
        <v>131</v>
      </c>
      <c r="H4" t="s">
        <v>144</v>
      </c>
      <c r="I4" s="95">
        <v>2</v>
      </c>
      <c r="J4"/>
      <c r="K4" s="63"/>
    </row>
    <row r="5" spans="1:11" x14ac:dyDescent="0.25">
      <c r="A5" s="102" t="s">
        <v>132</v>
      </c>
      <c r="C5" s="102" t="s">
        <v>133</v>
      </c>
      <c r="H5" t="s">
        <v>145</v>
      </c>
      <c r="I5" s="95">
        <v>23</v>
      </c>
      <c r="J5"/>
      <c r="K5" s="63"/>
    </row>
    <row r="6" spans="1:11" x14ac:dyDescent="0.25">
      <c r="A6" s="102" t="s">
        <v>134</v>
      </c>
      <c r="C6" s="102" t="s">
        <v>135</v>
      </c>
      <c r="H6" s="105" t="s">
        <v>146</v>
      </c>
      <c r="I6" s="106" t="s">
        <v>125</v>
      </c>
    </row>
    <row r="7" spans="1:11" x14ac:dyDescent="0.25">
      <c r="A7" s="102" t="s">
        <v>136</v>
      </c>
      <c r="C7" s="102" t="s">
        <v>137</v>
      </c>
    </row>
    <row r="8" spans="1:11" x14ac:dyDescent="0.25">
      <c r="C8" s="102" t="s">
        <v>138</v>
      </c>
    </row>
    <row r="9" spans="1:11" x14ac:dyDescent="0.25">
      <c r="C9" s="105" t="s">
        <v>171</v>
      </c>
    </row>
    <row r="10" spans="1:11" x14ac:dyDescent="0.25">
      <c r="C10" s="102" t="s">
        <v>139</v>
      </c>
    </row>
    <row r="11" spans="1:11" x14ac:dyDescent="0.25">
      <c r="C11" s="102" t="s">
        <v>140</v>
      </c>
    </row>
    <row r="12" spans="1:11" x14ac:dyDescent="0.25">
      <c r="C12" s="102" t="s">
        <v>141</v>
      </c>
    </row>
    <row r="13" spans="1:11" x14ac:dyDescent="0.25">
      <c r="C13" s="102" t="s">
        <v>142</v>
      </c>
    </row>
    <row r="14" spans="1:11" x14ac:dyDescent="0.25">
      <c r="C14" s="105" t="s">
        <v>172</v>
      </c>
    </row>
    <row r="15" spans="1:11" x14ac:dyDescent="0.25">
      <c r="C15" s="105" t="s">
        <v>194</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81"/>
  <sheetViews>
    <sheetView workbookViewId="0"/>
  </sheetViews>
  <sheetFormatPr defaultRowHeight="15" x14ac:dyDescent="0.25"/>
  <cols>
    <col min="2" max="2" width="22.28515625" bestFit="1" customWidth="1"/>
    <col min="3" max="3" width="9.7109375" customWidth="1"/>
  </cols>
  <sheetData>
    <row r="1" spans="1:3" x14ac:dyDescent="0.25">
      <c r="A1" t="s">
        <v>424</v>
      </c>
      <c r="B1" t="str">
        <f t="shared" ref="B1:B30" si="0">MID(A1,6,23)</f>
        <v>2017/02/02 13:23:38.347</v>
      </c>
      <c r="C1" t="e">
        <f>ABS(B1-#REF!)</f>
        <v>#REF!</v>
      </c>
    </row>
    <row r="2" spans="1:3" x14ac:dyDescent="0.25">
      <c r="A2" t="s">
        <v>425</v>
      </c>
      <c r="B2" s="20" t="str">
        <f t="shared" si="0"/>
        <v>2017/02/02 13:23:38.509</v>
      </c>
      <c r="C2">
        <f>ABS(B2-B1)</f>
        <v>1.8749997252598405E-6</v>
      </c>
    </row>
    <row r="3" spans="1:3" x14ac:dyDescent="0.25">
      <c r="A3" t="s">
        <v>426</v>
      </c>
      <c r="B3" s="20" t="str">
        <f t="shared" si="0"/>
        <v>2017/02/02 14:04:28.693</v>
      </c>
      <c r="C3" s="20">
        <f t="shared" ref="C3:C30" si="1">ABS(B3-B2)</f>
        <v>2.8358611110888887E-2</v>
      </c>
    </row>
    <row r="4" spans="1:3" x14ac:dyDescent="0.25">
      <c r="A4" t="s">
        <v>427</v>
      </c>
      <c r="B4" s="20" t="str">
        <f t="shared" si="0"/>
        <v>2017/02/02 14:04:28.994</v>
      </c>
      <c r="C4" s="20">
        <f t="shared" si="1"/>
        <v>3.483793989289552E-6</v>
      </c>
    </row>
    <row r="5" spans="1:3" x14ac:dyDescent="0.25">
      <c r="A5" t="s">
        <v>428</v>
      </c>
      <c r="B5" s="20" t="str">
        <f t="shared" si="0"/>
        <v>2017/02/02 14:04:29.154</v>
      </c>
      <c r="C5" s="20">
        <f t="shared" si="1"/>
        <v>1.851854904089123E-6</v>
      </c>
    </row>
    <row r="6" spans="1:3" x14ac:dyDescent="0.25">
      <c r="A6" t="s">
        <v>429</v>
      </c>
      <c r="B6" s="20" t="str">
        <f t="shared" si="0"/>
        <v>2017/02/02 14:21:42.185</v>
      </c>
      <c r="C6" s="20">
        <f t="shared" si="1"/>
        <v>1.1956377311435062E-2</v>
      </c>
    </row>
    <row r="7" spans="1:3" x14ac:dyDescent="0.25">
      <c r="A7" t="s">
        <v>430</v>
      </c>
      <c r="B7" s="20" t="str">
        <f t="shared" si="0"/>
        <v>2017/02/02 14:21:42.222</v>
      </c>
      <c r="C7" s="20">
        <f t="shared" si="1"/>
        <v>4.282410372979939E-7</v>
      </c>
    </row>
    <row r="8" spans="1:3" x14ac:dyDescent="0.25">
      <c r="A8" t="s">
        <v>431</v>
      </c>
      <c r="B8" s="20" t="str">
        <f t="shared" si="0"/>
        <v>2017/02/02 14:21:42.756</v>
      </c>
      <c r="C8" s="20">
        <f t="shared" si="1"/>
        <v>6.180554919410497E-6</v>
      </c>
    </row>
    <row r="9" spans="1:3" x14ac:dyDescent="0.25">
      <c r="A9" t="s">
        <v>432</v>
      </c>
      <c r="B9" s="20" t="str">
        <f t="shared" si="0"/>
        <v>2017/02/02 14:48:20.986</v>
      </c>
      <c r="C9" s="20">
        <f t="shared" si="1"/>
        <v>1.8498032412026078E-2</v>
      </c>
    </row>
    <row r="10" spans="1:3" x14ac:dyDescent="0.25">
      <c r="A10" t="s">
        <v>433</v>
      </c>
      <c r="B10" s="20" t="str">
        <f t="shared" si="0"/>
        <v>2017/02/02 14:48:21.182</v>
      </c>
      <c r="C10" s="20">
        <f t="shared" si="1"/>
        <v>2.2685198928229511E-6</v>
      </c>
    </row>
    <row r="11" spans="1:3" x14ac:dyDescent="0.25">
      <c r="A11" t="s">
        <v>434</v>
      </c>
      <c r="B11" s="20" t="str">
        <f t="shared" si="0"/>
        <v>2017/02/02 14:48:21.752</v>
      </c>
      <c r="C11" s="20">
        <f t="shared" si="1"/>
        <v>6.597219908144325E-6</v>
      </c>
    </row>
    <row r="12" spans="1:3" x14ac:dyDescent="0.25">
      <c r="A12" t="s">
        <v>435</v>
      </c>
      <c r="B12" s="20" t="str">
        <f t="shared" si="0"/>
        <v>2017/02/02 15:26:15.951</v>
      </c>
      <c r="C12" s="20">
        <f t="shared" si="1"/>
        <v>2.6321747682231944E-2</v>
      </c>
    </row>
    <row r="13" spans="1:3" x14ac:dyDescent="0.25">
      <c r="A13" t="s">
        <v>436</v>
      </c>
      <c r="B13" s="20" t="str">
        <f t="shared" si="0"/>
        <v>2017/02/02 15:26:15.964</v>
      </c>
      <c r="C13" s="20">
        <f t="shared" si="1"/>
        <v>1.5046680346131325E-7</v>
      </c>
    </row>
    <row r="14" spans="1:3" x14ac:dyDescent="0.25">
      <c r="A14" t="s">
        <v>437</v>
      </c>
      <c r="B14" s="20" t="str">
        <f t="shared" si="0"/>
        <v>2017/02/02 15:26:16.086</v>
      </c>
      <c r="C14" s="20">
        <f t="shared" si="1"/>
        <v>1.4120378182269633E-6</v>
      </c>
    </row>
    <row r="15" spans="1:3" x14ac:dyDescent="0.25">
      <c r="A15" t="s">
        <v>438</v>
      </c>
      <c r="B15" s="20" t="str">
        <f t="shared" si="0"/>
        <v>2017/02/02 15:36:15.778</v>
      </c>
      <c r="C15" s="20">
        <f t="shared" si="1"/>
        <v>6.9408796261996031E-3</v>
      </c>
    </row>
    <row r="16" spans="1:3" x14ac:dyDescent="0.25">
      <c r="A16" t="s">
        <v>439</v>
      </c>
      <c r="B16" s="20" t="str">
        <f t="shared" si="0"/>
        <v>2017/02/02 15:36:16.920</v>
      </c>
      <c r="C16" s="20">
        <f t="shared" si="1"/>
        <v>1.3217591913416982E-5</v>
      </c>
    </row>
    <row r="17" spans="1:3" x14ac:dyDescent="0.25">
      <c r="A17" t="s">
        <v>440</v>
      </c>
      <c r="B17" s="20" t="str">
        <f t="shared" si="0"/>
        <v>2017/02/02 15:36:17.400</v>
      </c>
      <c r="C17" s="20">
        <f t="shared" si="1"/>
        <v>5.5555574363097548E-6</v>
      </c>
    </row>
    <row r="18" spans="1:3" x14ac:dyDescent="0.25">
      <c r="A18" t="s">
        <v>441</v>
      </c>
      <c r="B18" s="20" t="str">
        <f t="shared" si="0"/>
        <v>2017/02/02 16:51:30.559</v>
      </c>
      <c r="C18" s="20">
        <f t="shared" si="1"/>
        <v>5.223563657636987E-2</v>
      </c>
    </row>
    <row r="19" spans="1:3" x14ac:dyDescent="0.25">
      <c r="A19" t="s">
        <v>442</v>
      </c>
      <c r="B19" s="20" t="str">
        <f t="shared" si="0"/>
        <v>2017/02/02 16:51:30.912</v>
      </c>
      <c r="C19" s="20">
        <f t="shared" si="1"/>
        <v>4.0856466512195766E-6</v>
      </c>
    </row>
    <row r="20" spans="1:3" x14ac:dyDescent="0.25">
      <c r="A20" t="s">
        <v>443</v>
      </c>
      <c r="B20" s="20" t="str">
        <f t="shared" si="0"/>
        <v>2017/02/02 16:51:31.380</v>
      </c>
      <c r="C20" s="20">
        <f t="shared" si="1"/>
        <v>5.4166666814126074E-6</v>
      </c>
    </row>
    <row r="21" spans="1:3" x14ac:dyDescent="0.25">
      <c r="A21" t="s">
        <v>444</v>
      </c>
      <c r="B21" s="20" t="str">
        <f t="shared" si="0"/>
        <v>2017/02/02 16:52:05.919</v>
      </c>
      <c r="C21" s="20">
        <f t="shared" si="1"/>
        <v>3.9975694380700588E-4</v>
      </c>
    </row>
    <row r="22" spans="1:3" x14ac:dyDescent="0.25">
      <c r="A22" t="s">
        <v>445</v>
      </c>
      <c r="B22" s="20" t="str">
        <f t="shared" si="0"/>
        <v>2017/02/02 16:52:06.371</v>
      </c>
      <c r="C22" s="20">
        <f t="shared" si="1"/>
        <v>5.2314790082164109E-6</v>
      </c>
    </row>
    <row r="23" spans="1:3" x14ac:dyDescent="0.25">
      <c r="A23" t="s">
        <v>446</v>
      </c>
      <c r="B23" s="20" t="str">
        <f t="shared" si="0"/>
        <v>2017/02/02 16:52:08.554</v>
      </c>
      <c r="C23" s="20">
        <f t="shared" si="1"/>
        <v>2.5266206648666412E-5</v>
      </c>
    </row>
    <row r="24" spans="1:3" x14ac:dyDescent="0.25">
      <c r="A24" t="s">
        <v>447</v>
      </c>
      <c r="B24" s="20" t="str">
        <f t="shared" si="0"/>
        <v>2017/02/02 16:55:07.476</v>
      </c>
      <c r="C24" s="20">
        <f t="shared" si="1"/>
        <v>2.0708564770757221E-3</v>
      </c>
    </row>
    <row r="25" spans="1:3" x14ac:dyDescent="0.25">
      <c r="A25" t="s">
        <v>448</v>
      </c>
      <c r="B25" s="20" t="str">
        <f t="shared" si="0"/>
        <v>2017/02/02 16:55:07.641</v>
      </c>
      <c r="C25" s="20">
        <f t="shared" si="1"/>
        <v>1.909727870952338E-6</v>
      </c>
    </row>
    <row r="26" spans="1:3" x14ac:dyDescent="0.25">
      <c r="A26" t="s">
        <v>449</v>
      </c>
      <c r="B26" s="20" t="str">
        <f t="shared" si="0"/>
        <v>2017/02/02 17:23:18.412</v>
      </c>
      <c r="C26" s="20">
        <f t="shared" si="1"/>
        <v>1.9569108793803025E-2</v>
      </c>
    </row>
    <row r="27" spans="1:3" x14ac:dyDescent="0.25">
      <c r="A27" t="s">
        <v>450</v>
      </c>
      <c r="B27" s="20" t="str">
        <f t="shared" si="0"/>
        <v>2017/02/02 17:47:02.206</v>
      </c>
      <c r="C27" s="20">
        <f t="shared" si="1"/>
        <v>1.6479097219416872E-2</v>
      </c>
    </row>
    <row r="28" spans="1:3" x14ac:dyDescent="0.25">
      <c r="A28" t="s">
        <v>451</v>
      </c>
      <c r="B28" s="20" t="str">
        <f t="shared" si="0"/>
        <v>2017/02/02 17:51:41.353</v>
      </c>
      <c r="C28" s="20">
        <f t="shared" si="1"/>
        <v>3.2308680602000095E-3</v>
      </c>
    </row>
    <row r="29" spans="1:3" x14ac:dyDescent="0.25">
      <c r="A29" t="s">
        <v>452</v>
      </c>
      <c r="B29" s="20" t="str">
        <f t="shared" si="0"/>
        <v>2017/02/02 17:52:57.736</v>
      </c>
      <c r="C29" s="20">
        <f t="shared" si="1"/>
        <v>8.8406250142725185E-4</v>
      </c>
    </row>
    <row r="30" spans="1:3" x14ac:dyDescent="0.25">
      <c r="A30" t="s">
        <v>453</v>
      </c>
      <c r="B30" s="20" t="str">
        <f t="shared" si="0"/>
        <v>2017/02/02 17:52:57.779</v>
      </c>
      <c r="C30" s="20">
        <f t="shared" si="1"/>
        <v>4.9768277676776052E-7</v>
      </c>
    </row>
    <row r="31" spans="1:3" x14ac:dyDescent="0.25">
      <c r="A31" t="s">
        <v>454</v>
      </c>
      <c r="B31" s="20" t="str">
        <f t="shared" ref="B31:B32" si="2">MID(A31,6,23)</f>
        <v>2017/02/02 18:17:02.566</v>
      </c>
      <c r="C31" s="20">
        <f t="shared" ref="C31:C32" si="3">ABS(B31-B30)</f>
        <v>1.6722071755793877E-2</v>
      </c>
    </row>
    <row r="32" spans="1:3" x14ac:dyDescent="0.25">
      <c r="A32" t="s">
        <v>455</v>
      </c>
      <c r="B32" s="20" t="str">
        <f t="shared" si="2"/>
        <v>2017/02/02 18:17:03.367</v>
      </c>
      <c r="C32" s="20">
        <f t="shared" si="3"/>
        <v>9.2708360170945525E-6</v>
      </c>
    </row>
    <row r="33" spans="1:3" x14ac:dyDescent="0.25">
      <c r="A33" t="s">
        <v>456</v>
      </c>
      <c r="B33" s="20" t="str">
        <f t="shared" ref="B33:B49" si="4">MID(A33,6,23)</f>
        <v>2017/02/02 18:36:23.340</v>
      </c>
      <c r="C33" s="20">
        <f t="shared" ref="C33:C49" si="5">ABS(B33-B32)</f>
        <v>1.3425613426079508E-2</v>
      </c>
    </row>
    <row r="34" spans="1:3" x14ac:dyDescent="0.25">
      <c r="A34" t="s">
        <v>457</v>
      </c>
      <c r="B34" s="20" t="str">
        <f t="shared" si="4"/>
        <v>2017/02/02 18:36:23.507</v>
      </c>
      <c r="C34" s="20">
        <f t="shared" si="5"/>
        <v>1.9328726921230555E-6</v>
      </c>
    </row>
    <row r="35" spans="1:3" x14ac:dyDescent="0.25">
      <c r="A35" t="s">
        <v>458</v>
      </c>
      <c r="B35" s="20" t="str">
        <f t="shared" si="4"/>
        <v>2017/02/02 18:36:23.897</v>
      </c>
      <c r="C35" s="20">
        <f t="shared" si="5"/>
        <v>4.5138876885175705E-6</v>
      </c>
    </row>
    <row r="36" spans="1:3" x14ac:dyDescent="0.25">
      <c r="A36" t="s">
        <v>459</v>
      </c>
      <c r="B36" s="20" t="str">
        <f t="shared" si="4"/>
        <v>2017/02/02 19:53:50.567</v>
      </c>
      <c r="C36" s="20">
        <f t="shared" si="5"/>
        <v>5.3780902773723938E-2</v>
      </c>
    </row>
    <row r="37" spans="1:3" x14ac:dyDescent="0.25">
      <c r="A37" t="s">
        <v>460</v>
      </c>
      <c r="B37" s="20" t="str">
        <f t="shared" si="4"/>
        <v>2017/02/02 19:53:51.381</v>
      </c>
      <c r="C37" s="20">
        <f t="shared" si="5"/>
        <v>9.4212955445982516E-6</v>
      </c>
    </row>
    <row r="38" spans="1:3" x14ac:dyDescent="0.25">
      <c r="A38" t="s">
        <v>461</v>
      </c>
      <c r="B38" s="20" t="str">
        <f t="shared" si="4"/>
        <v>2017/02/02 19:54:47.379</v>
      </c>
      <c r="C38" s="20">
        <f t="shared" si="5"/>
        <v>6.4812500204425305E-4</v>
      </c>
    </row>
    <row r="39" spans="1:3" x14ac:dyDescent="0.25">
      <c r="A39" t="s">
        <v>462</v>
      </c>
      <c r="B39" s="20" t="str">
        <f t="shared" si="4"/>
        <v>2017/02/02 20:35:40.453</v>
      </c>
      <c r="C39" s="20">
        <f t="shared" si="5"/>
        <v>2.8392060186888557E-2</v>
      </c>
    </row>
    <row r="40" spans="1:3" x14ac:dyDescent="0.25">
      <c r="A40" t="s">
        <v>463</v>
      </c>
      <c r="B40" s="20" t="str">
        <f t="shared" si="4"/>
        <v>2017/02/02 22:43:32.781</v>
      </c>
      <c r="C40" s="20">
        <f t="shared" si="5"/>
        <v>8.8800092591554858E-2</v>
      </c>
    </row>
    <row r="41" spans="1:3" x14ac:dyDescent="0.25">
      <c r="A41" t="s">
        <v>464</v>
      </c>
      <c r="B41" s="20" t="str">
        <f t="shared" si="4"/>
        <v>2017/02/02 22:43:34.398</v>
      </c>
      <c r="C41" s="20">
        <f t="shared" si="5"/>
        <v>1.8715276382863522E-5</v>
      </c>
    </row>
    <row r="42" spans="1:3" x14ac:dyDescent="0.25">
      <c r="A42" t="s">
        <v>465</v>
      </c>
      <c r="B42" s="20" t="str">
        <f t="shared" si="4"/>
        <v>2017/02/03 00:27:13.281</v>
      </c>
      <c r="C42" s="20">
        <f t="shared" si="5"/>
        <v>7.1977812505792826E-2</v>
      </c>
    </row>
    <row r="43" spans="1:3" x14ac:dyDescent="0.25">
      <c r="A43" t="s">
        <v>466</v>
      </c>
      <c r="B43" s="20" t="str">
        <f t="shared" si="4"/>
        <v>2017/02/03 00:27:13.461</v>
      </c>
      <c r="C43" s="20">
        <f t="shared" si="5"/>
        <v>2.0833322196267545E-6</v>
      </c>
    </row>
    <row r="44" spans="1:3" x14ac:dyDescent="0.25">
      <c r="A44" t="s">
        <v>467</v>
      </c>
      <c r="B44" s="20" t="str">
        <f t="shared" si="4"/>
        <v>2017/02/03 00:27:14.083</v>
      </c>
      <c r="C44" s="20">
        <f t="shared" si="5"/>
        <v>7.1990725700743496E-6</v>
      </c>
    </row>
    <row r="45" spans="1:3" x14ac:dyDescent="0.25">
      <c r="A45" t="s">
        <v>468</v>
      </c>
      <c r="B45" s="20" t="str">
        <f t="shared" si="4"/>
        <v>2017/02/03 01:27:26.085</v>
      </c>
      <c r="C45" s="20">
        <f t="shared" si="5"/>
        <v>4.1805578701314516E-2</v>
      </c>
    </row>
    <row r="46" spans="1:3" x14ac:dyDescent="0.25">
      <c r="A46" t="s">
        <v>469</v>
      </c>
      <c r="B46" s="20" t="str">
        <f t="shared" si="4"/>
        <v>2017/02/03 01:27:26.460</v>
      </c>
      <c r="C46" s="20">
        <f t="shared" si="5"/>
        <v>4.3402760638855398E-6</v>
      </c>
    </row>
    <row r="47" spans="1:3" x14ac:dyDescent="0.25">
      <c r="A47" t="s">
        <v>470</v>
      </c>
      <c r="B47" s="20" t="str">
        <f t="shared" si="4"/>
        <v>2017/02/03 01:27:27.274</v>
      </c>
      <c r="C47" s="20">
        <f t="shared" si="5"/>
        <v>9.4213028205558658E-6</v>
      </c>
    </row>
    <row r="48" spans="1:3" x14ac:dyDescent="0.25">
      <c r="A48" t="s">
        <v>471</v>
      </c>
      <c r="B48" s="20" t="str">
        <f t="shared" si="4"/>
        <v>2017/02/03 01:36:14.411</v>
      </c>
      <c r="C48" s="20">
        <f t="shared" si="5"/>
        <v>6.1011226789560169E-3</v>
      </c>
    </row>
    <row r="49" spans="1:3" x14ac:dyDescent="0.25">
      <c r="A49" t="s">
        <v>472</v>
      </c>
      <c r="B49" s="20" t="str">
        <f t="shared" si="4"/>
        <v>2017/02/03 01:36:14.993</v>
      </c>
      <c r="C49" s="20">
        <f t="shared" si="5"/>
        <v>6.7361106630414724E-6</v>
      </c>
    </row>
    <row r="50" spans="1:3" x14ac:dyDescent="0.25">
      <c r="A50" t="s">
        <v>473</v>
      </c>
      <c r="B50" s="20" t="str">
        <f t="shared" ref="B50:B54" si="6">MID(A50,6,23)</f>
        <v>2017/02/03 01:36:15.019</v>
      </c>
      <c r="C50" s="20">
        <f t="shared" ref="C50:C54" si="7">ABS(B50-B49)</f>
        <v>3.0092633096501231E-7</v>
      </c>
    </row>
    <row r="51" spans="1:3" x14ac:dyDescent="0.25">
      <c r="A51" t="s">
        <v>474</v>
      </c>
      <c r="B51" s="20" t="str">
        <f t="shared" si="6"/>
        <v>2017/02/03 02:28:20.686</v>
      </c>
      <c r="C51" s="20">
        <f t="shared" si="7"/>
        <v>3.6176701389194932E-2</v>
      </c>
    </row>
    <row r="52" spans="1:3" x14ac:dyDescent="0.25">
      <c r="A52" t="s">
        <v>475</v>
      </c>
      <c r="B52" s="20" t="str">
        <f t="shared" si="6"/>
        <v>2017/02/03 02:28:21.331</v>
      </c>
      <c r="C52" s="20">
        <f t="shared" si="7"/>
        <v>7.4652780313044786E-6</v>
      </c>
    </row>
    <row r="53" spans="1:3" x14ac:dyDescent="0.25">
      <c r="A53" t="s">
        <v>476</v>
      </c>
      <c r="B53" s="20" t="str">
        <f t="shared" si="6"/>
        <v>2017/02/03 02:28:21.373</v>
      </c>
      <c r="C53" s="20">
        <f t="shared" si="7"/>
        <v>4.8611400416120887E-7</v>
      </c>
    </row>
    <row r="54" spans="1:3" x14ac:dyDescent="0.25">
      <c r="A54" t="s">
        <v>477</v>
      </c>
      <c r="B54" s="20" t="str">
        <f t="shared" si="6"/>
        <v>2017/02/03 02:35:37.922</v>
      </c>
      <c r="C54" s="20">
        <f t="shared" si="7"/>
        <v>5.0526504637673497E-3</v>
      </c>
    </row>
    <row r="55" spans="1:3" x14ac:dyDescent="0.25">
      <c r="A55" t="s">
        <v>478</v>
      </c>
      <c r="B55" s="20" t="str">
        <f t="shared" ref="B55:B74" si="8">MID(A55,6,23)</f>
        <v>2017/02/03 02:35:37.943</v>
      </c>
      <c r="C55" s="20">
        <f t="shared" ref="C55:C74" si="9">ABS(B55-B54)</f>
        <v>2.4305336410179734E-7</v>
      </c>
    </row>
    <row r="56" spans="1:3" x14ac:dyDescent="0.25">
      <c r="A56" t="s">
        <v>479</v>
      </c>
      <c r="B56" s="20" t="str">
        <f t="shared" si="8"/>
        <v>2017/02/03 03:08:06.796</v>
      </c>
      <c r="C56" s="20">
        <f t="shared" si="9"/>
        <v>2.2556168980372604E-2</v>
      </c>
    </row>
    <row r="57" spans="1:3" x14ac:dyDescent="0.25">
      <c r="A57" t="s">
        <v>480</v>
      </c>
      <c r="B57" s="20" t="str">
        <f t="shared" si="8"/>
        <v>2017/02/03 03:08:06.975</v>
      </c>
      <c r="C57" s="20">
        <f t="shared" si="9"/>
        <v>2.0717634470202029E-6</v>
      </c>
    </row>
    <row r="58" spans="1:3" x14ac:dyDescent="0.25">
      <c r="A58" t="s">
        <v>481</v>
      </c>
      <c r="B58" s="20" t="str">
        <f t="shared" si="8"/>
        <v>2017/02/03 03:08:07.140</v>
      </c>
      <c r="C58" s="20">
        <f t="shared" si="9"/>
        <v>1.9097205949947238E-6</v>
      </c>
    </row>
    <row r="59" spans="1:3" x14ac:dyDescent="0.25">
      <c r="A59" t="s">
        <v>482</v>
      </c>
      <c r="B59" s="20" t="str">
        <f t="shared" si="8"/>
        <v>2017/02/03 03:36:46.408</v>
      </c>
      <c r="C59" s="20">
        <f t="shared" si="9"/>
        <v>1.9898935184755828E-2</v>
      </c>
    </row>
    <row r="60" spans="1:3" x14ac:dyDescent="0.25">
      <c r="A60" t="s">
        <v>483</v>
      </c>
      <c r="B60" s="20" t="str">
        <f t="shared" si="8"/>
        <v>2017/02/03 03:36:46.999</v>
      </c>
      <c r="C60" s="20">
        <f t="shared" si="9"/>
        <v>6.8402805482037365E-6</v>
      </c>
    </row>
    <row r="61" spans="1:3" x14ac:dyDescent="0.25">
      <c r="A61" t="s">
        <v>484</v>
      </c>
      <c r="B61" s="20" t="str">
        <f t="shared" si="8"/>
        <v>2017/02/03 03:36:47.034</v>
      </c>
      <c r="C61" s="20">
        <f t="shared" si="9"/>
        <v>4.0508894016966224E-7</v>
      </c>
    </row>
    <row r="62" spans="1:3" x14ac:dyDescent="0.25">
      <c r="A62" t="s">
        <v>485</v>
      </c>
      <c r="B62" s="20" t="str">
        <f t="shared" si="8"/>
        <v>2017/02/03 04:55:49.662</v>
      </c>
      <c r="C62" s="20">
        <f t="shared" si="9"/>
        <v>5.4891527775907889E-2</v>
      </c>
    </row>
    <row r="63" spans="1:3" x14ac:dyDescent="0.25">
      <c r="A63" t="s">
        <v>486</v>
      </c>
      <c r="B63" s="20" t="str">
        <f t="shared" si="8"/>
        <v>2017/02/03 04:55:50.376</v>
      </c>
      <c r="C63" s="20">
        <f t="shared" si="9"/>
        <v>8.2638944149948657E-6</v>
      </c>
    </row>
    <row r="64" spans="1:3" x14ac:dyDescent="0.25">
      <c r="A64" t="s">
        <v>487</v>
      </c>
      <c r="B64" s="20" t="str">
        <f t="shared" si="8"/>
        <v>2017/02/03 05:03:14.671</v>
      </c>
      <c r="C64" s="20">
        <f t="shared" si="9"/>
        <v>5.1423032346065156E-3</v>
      </c>
    </row>
    <row r="65" spans="1:3" x14ac:dyDescent="0.25">
      <c r="A65" t="s">
        <v>488</v>
      </c>
      <c r="B65" s="20" t="str">
        <f t="shared" si="8"/>
        <v>2017/02/03 05:03:16.315</v>
      </c>
      <c r="C65" s="20">
        <f t="shared" si="9"/>
        <v>1.90277787623927E-5</v>
      </c>
    </row>
    <row r="66" spans="1:3" x14ac:dyDescent="0.25">
      <c r="A66" t="s">
        <v>489</v>
      </c>
      <c r="B66" s="20" t="str">
        <f t="shared" si="8"/>
        <v>2017/02/03 05:03:16.362</v>
      </c>
      <c r="C66" s="20">
        <f t="shared" si="9"/>
        <v>5.4398697102442384E-7</v>
      </c>
    </row>
    <row r="67" spans="1:3" x14ac:dyDescent="0.25">
      <c r="A67" t="s">
        <v>490</v>
      </c>
      <c r="B67" s="20" t="str">
        <f t="shared" si="8"/>
        <v>2017/02/03 06:51:53.709</v>
      </c>
      <c r="C67" s="20">
        <f t="shared" si="9"/>
        <v>7.5432256940985098E-2</v>
      </c>
    </row>
    <row r="68" spans="1:3" x14ac:dyDescent="0.25">
      <c r="A68" t="s">
        <v>491</v>
      </c>
      <c r="B68" s="20" t="str">
        <f t="shared" si="8"/>
        <v>2017/02/03 07:03:32.365</v>
      </c>
      <c r="C68" s="20">
        <f t="shared" si="9"/>
        <v>8.0862962931860238E-3</v>
      </c>
    </row>
    <row r="69" spans="1:3" x14ac:dyDescent="0.25">
      <c r="A69" t="s">
        <v>492</v>
      </c>
      <c r="B69" s="20" t="str">
        <f t="shared" si="8"/>
        <v>2017/02/03 07:03:32.827</v>
      </c>
      <c r="C69" s="20">
        <f t="shared" si="9"/>
        <v>5.3472249419428408E-6</v>
      </c>
    </row>
    <row r="70" spans="1:3" x14ac:dyDescent="0.25">
      <c r="A70" t="s">
        <v>493</v>
      </c>
      <c r="B70" s="20" t="str">
        <f t="shared" si="8"/>
        <v>2017/02/03 08:03:54.498</v>
      </c>
      <c r="C70" s="20">
        <f t="shared" si="9"/>
        <v>4.1917488430044614E-2</v>
      </c>
    </row>
    <row r="71" spans="1:3" x14ac:dyDescent="0.25">
      <c r="A71" t="s">
        <v>494</v>
      </c>
      <c r="B71" s="20" t="str">
        <f t="shared" si="8"/>
        <v>2017/02/03 08:03:54.854</v>
      </c>
      <c r="C71" s="20">
        <f t="shared" si="9"/>
        <v>4.1203675209544599E-6</v>
      </c>
    </row>
    <row r="72" spans="1:3" x14ac:dyDescent="0.25">
      <c r="A72" t="s">
        <v>495</v>
      </c>
      <c r="B72" s="20" t="str">
        <f t="shared" si="8"/>
        <v>2017/02/03 08:04:07.975</v>
      </c>
      <c r="C72" s="20">
        <f t="shared" si="9"/>
        <v>1.5186342352535576E-4</v>
      </c>
    </row>
    <row r="73" spans="1:3" x14ac:dyDescent="0.25">
      <c r="A73" t="s">
        <v>496</v>
      </c>
      <c r="B73" s="20" t="str">
        <f t="shared" si="8"/>
        <v>2017/02/03 08:04:08.013</v>
      </c>
      <c r="C73" s="20">
        <f t="shared" si="9"/>
        <v>4.3981708586215973E-7</v>
      </c>
    </row>
    <row r="74" spans="1:3" x14ac:dyDescent="0.25">
      <c r="A74" t="s">
        <v>497</v>
      </c>
      <c r="B74" s="20" t="str">
        <f t="shared" si="8"/>
        <v>2017/02/03 08:04:08.394</v>
      </c>
      <c r="C74" s="20">
        <f t="shared" si="9"/>
        <v>4.4097250793129206E-6</v>
      </c>
    </row>
    <row r="75" spans="1:3" x14ac:dyDescent="0.25">
      <c r="B75" s="20"/>
      <c r="C75" s="20"/>
    </row>
    <row r="76" spans="1:3" x14ac:dyDescent="0.25">
      <c r="B76" s="20"/>
      <c r="C76" s="20"/>
    </row>
    <row r="77" spans="1:3" x14ac:dyDescent="0.25">
      <c r="B77" s="20"/>
      <c r="C77" s="20"/>
    </row>
    <row r="78" spans="1:3" x14ac:dyDescent="0.25">
      <c r="B78" s="20"/>
      <c r="C78" s="20"/>
    </row>
    <row r="79" spans="1:3" x14ac:dyDescent="0.25">
      <c r="B79" s="20"/>
      <c r="C79" s="20"/>
    </row>
    <row r="80" spans="1:3" x14ac:dyDescent="0.25">
      <c r="B80" s="20"/>
      <c r="C80" s="20"/>
    </row>
    <row r="81" spans="2:3" x14ac:dyDescent="0.25">
      <c r="B81" s="20"/>
      <c r="C81" s="20"/>
    </row>
    <row r="82" spans="2:3" x14ac:dyDescent="0.25">
      <c r="B82" s="20"/>
      <c r="C82" s="20"/>
    </row>
    <row r="83" spans="2:3" x14ac:dyDescent="0.25">
      <c r="B83" s="20"/>
      <c r="C83" s="20"/>
    </row>
    <row r="84" spans="2:3" x14ac:dyDescent="0.25">
      <c r="B84" s="20"/>
      <c r="C84" s="20"/>
    </row>
    <row r="85" spans="2:3" x14ac:dyDescent="0.25">
      <c r="B85" s="20"/>
      <c r="C85" s="20"/>
    </row>
    <row r="86" spans="2:3" x14ac:dyDescent="0.25">
      <c r="B86" s="20"/>
      <c r="C86" s="20"/>
    </row>
    <row r="87" spans="2:3" x14ac:dyDescent="0.25">
      <c r="B87" s="20"/>
      <c r="C87" s="20"/>
    </row>
    <row r="88" spans="2:3" x14ac:dyDescent="0.25">
      <c r="B88" s="20"/>
      <c r="C88" s="20"/>
    </row>
    <row r="89" spans="2:3" x14ac:dyDescent="0.25">
      <c r="B89" s="20"/>
      <c r="C89" s="20"/>
    </row>
    <row r="90" spans="2:3" x14ac:dyDescent="0.25">
      <c r="B90" s="20"/>
      <c r="C90" s="20"/>
    </row>
    <row r="91" spans="2:3" x14ac:dyDescent="0.25">
      <c r="B91" s="20"/>
      <c r="C91" s="20"/>
    </row>
    <row r="92" spans="2:3" x14ac:dyDescent="0.25">
      <c r="B92" s="20"/>
      <c r="C92" s="20"/>
    </row>
    <row r="93" spans="2:3" x14ac:dyDescent="0.25">
      <c r="B93" s="20"/>
      <c r="C93" s="20"/>
    </row>
    <row r="94" spans="2:3" x14ac:dyDescent="0.25">
      <c r="B94" s="20"/>
      <c r="C94" s="20"/>
    </row>
    <row r="95" spans="2:3" x14ac:dyDescent="0.25">
      <c r="B95" s="20"/>
      <c r="C95" s="20"/>
    </row>
    <row r="96" spans="2:3" x14ac:dyDescent="0.25">
      <c r="B96" s="20"/>
      <c r="C96" s="20"/>
    </row>
    <row r="97" spans="2:3" x14ac:dyDescent="0.25">
      <c r="B97" s="20"/>
      <c r="C97" s="20"/>
    </row>
    <row r="98" spans="2:3" x14ac:dyDescent="0.25">
      <c r="B98" s="20"/>
      <c r="C98" s="20"/>
    </row>
    <row r="99" spans="2:3" x14ac:dyDescent="0.25">
      <c r="B99" s="20"/>
      <c r="C99" s="20"/>
    </row>
    <row r="100" spans="2:3" x14ac:dyDescent="0.25">
      <c r="B100" s="20"/>
      <c r="C100" s="20"/>
    </row>
    <row r="101" spans="2:3" x14ac:dyDescent="0.25">
      <c r="B101" s="20"/>
      <c r="C101" s="20"/>
    </row>
    <row r="102" spans="2:3" x14ac:dyDescent="0.25">
      <c r="B102" s="20"/>
      <c r="C102" s="20"/>
    </row>
    <row r="103" spans="2:3" x14ac:dyDescent="0.25">
      <c r="B103" s="20"/>
      <c r="C103" s="20"/>
    </row>
    <row r="104" spans="2:3" x14ac:dyDescent="0.25">
      <c r="B104" s="20"/>
      <c r="C104" s="20"/>
    </row>
    <row r="105" spans="2:3" x14ac:dyDescent="0.25">
      <c r="B105" s="20"/>
      <c r="C105" s="20"/>
    </row>
    <row r="106" spans="2:3" x14ac:dyDescent="0.25">
      <c r="B106" s="20"/>
      <c r="C106" s="20"/>
    </row>
    <row r="107" spans="2:3" x14ac:dyDescent="0.25">
      <c r="B107" s="20"/>
      <c r="C107" s="20"/>
    </row>
    <row r="108" spans="2:3" x14ac:dyDescent="0.25">
      <c r="B108" s="20"/>
      <c r="C108" s="20"/>
    </row>
    <row r="109" spans="2:3" x14ac:dyDescent="0.25">
      <c r="B109" s="20"/>
      <c r="C109" s="20"/>
    </row>
    <row r="110" spans="2:3" x14ac:dyDescent="0.25">
      <c r="B110" s="20"/>
      <c r="C110" s="20"/>
    </row>
    <row r="111" spans="2:3" x14ac:dyDescent="0.25">
      <c r="B111" s="20"/>
      <c r="C111" s="20"/>
    </row>
    <row r="112" spans="2:3" x14ac:dyDescent="0.25">
      <c r="B112" s="20"/>
      <c r="C112" s="20"/>
    </row>
    <row r="113" spans="2:3" x14ac:dyDescent="0.25">
      <c r="B113" s="20"/>
      <c r="C113" s="20"/>
    </row>
    <row r="114" spans="2:3" x14ac:dyDescent="0.25">
      <c r="B114" s="20"/>
      <c r="C114" s="20"/>
    </row>
    <row r="115" spans="2:3" x14ac:dyDescent="0.25">
      <c r="B115" s="20"/>
      <c r="C115" s="20"/>
    </row>
    <row r="116" spans="2:3" x14ac:dyDescent="0.25">
      <c r="B116" s="20"/>
      <c r="C116" s="20"/>
    </row>
    <row r="117" spans="2:3" x14ac:dyDescent="0.25">
      <c r="B117" s="20"/>
      <c r="C117" s="20"/>
    </row>
    <row r="118" spans="2:3" x14ac:dyDescent="0.25">
      <c r="B118" s="20"/>
      <c r="C118" s="20"/>
    </row>
    <row r="119" spans="2:3" x14ac:dyDescent="0.25">
      <c r="B119" s="20"/>
      <c r="C119" s="20"/>
    </row>
    <row r="120" spans="2:3" x14ac:dyDescent="0.25">
      <c r="B120" s="20"/>
      <c r="C120" s="20"/>
    </row>
    <row r="121" spans="2:3" x14ac:dyDescent="0.25">
      <c r="B121" s="20"/>
      <c r="C121" s="20"/>
    </row>
    <row r="122" spans="2:3" x14ac:dyDescent="0.25">
      <c r="B122" s="20"/>
      <c r="C122" s="20"/>
    </row>
    <row r="123" spans="2:3" x14ac:dyDescent="0.25">
      <c r="B123" s="20"/>
      <c r="C123" s="20"/>
    </row>
    <row r="124" spans="2:3" x14ac:dyDescent="0.25">
      <c r="B124" s="20"/>
      <c r="C124" s="20"/>
    </row>
    <row r="125" spans="2:3" x14ac:dyDescent="0.25">
      <c r="B125" s="20"/>
      <c r="C125" s="20"/>
    </row>
    <row r="126" spans="2:3" x14ac:dyDescent="0.25">
      <c r="B126" s="20"/>
      <c r="C126" s="20"/>
    </row>
    <row r="127" spans="2:3" x14ac:dyDescent="0.25">
      <c r="B127" s="20"/>
      <c r="C127" s="20"/>
    </row>
    <row r="128" spans="2:3" x14ac:dyDescent="0.25">
      <c r="B128" s="20"/>
      <c r="C128" s="20"/>
    </row>
    <row r="129" spans="2:3" x14ac:dyDescent="0.25">
      <c r="B129" s="20"/>
      <c r="C129" s="20"/>
    </row>
    <row r="130" spans="2:3" x14ac:dyDescent="0.25">
      <c r="B130" s="20"/>
      <c r="C130" s="20"/>
    </row>
    <row r="131" spans="2:3" x14ac:dyDescent="0.25">
      <c r="B131" s="20"/>
      <c r="C131" s="20"/>
    </row>
    <row r="132" spans="2:3" x14ac:dyDescent="0.25">
      <c r="B132" s="20"/>
      <c r="C132" s="20"/>
    </row>
    <row r="133" spans="2:3" x14ac:dyDescent="0.25">
      <c r="B133" s="20"/>
      <c r="C133" s="20"/>
    </row>
    <row r="134" spans="2:3" x14ac:dyDescent="0.25">
      <c r="B134" s="20"/>
      <c r="C134" s="20"/>
    </row>
    <row r="135" spans="2:3" x14ac:dyDescent="0.25">
      <c r="B135" s="20"/>
      <c r="C135" s="20"/>
    </row>
    <row r="136" spans="2:3" x14ac:dyDescent="0.25">
      <c r="B136" s="20"/>
      <c r="C136" s="20"/>
    </row>
    <row r="137" spans="2:3" x14ac:dyDescent="0.25">
      <c r="B137" s="20"/>
      <c r="C137" s="20"/>
    </row>
    <row r="138" spans="2:3" x14ac:dyDescent="0.25">
      <c r="B138" s="20"/>
      <c r="C138" s="20"/>
    </row>
    <row r="139" spans="2:3" x14ac:dyDescent="0.25">
      <c r="B139" s="20"/>
      <c r="C139" s="20"/>
    </row>
    <row r="140" spans="2:3" x14ac:dyDescent="0.25">
      <c r="B140" s="20"/>
      <c r="C140" s="20"/>
    </row>
    <row r="141" spans="2:3" x14ac:dyDescent="0.25">
      <c r="B141" s="20"/>
      <c r="C141" s="20"/>
    </row>
    <row r="142" spans="2:3" x14ac:dyDescent="0.25">
      <c r="B142" s="20"/>
      <c r="C142" s="20"/>
    </row>
    <row r="143" spans="2:3" x14ac:dyDescent="0.25">
      <c r="B143" s="20"/>
      <c r="C143" s="20"/>
    </row>
    <row r="144" spans="2:3" x14ac:dyDescent="0.25">
      <c r="B144" s="20"/>
      <c r="C144" s="20"/>
    </row>
    <row r="145" spans="2:3" x14ac:dyDescent="0.25">
      <c r="B145" s="20"/>
      <c r="C145" s="20"/>
    </row>
    <row r="146" spans="2:3" x14ac:dyDescent="0.25">
      <c r="B146" s="20"/>
      <c r="C146" s="20"/>
    </row>
    <row r="147" spans="2:3" x14ac:dyDescent="0.25">
      <c r="B147" s="20"/>
      <c r="C147" s="20"/>
    </row>
    <row r="148" spans="2:3" x14ac:dyDescent="0.25">
      <c r="B148" s="20"/>
      <c r="C148" s="20"/>
    </row>
    <row r="149" spans="2:3" x14ac:dyDescent="0.25">
      <c r="B149" s="20"/>
      <c r="C149" s="20"/>
    </row>
    <row r="150" spans="2:3" x14ac:dyDescent="0.25">
      <c r="B150" s="20"/>
      <c r="C150" s="20"/>
    </row>
    <row r="151" spans="2:3" x14ac:dyDescent="0.25">
      <c r="B151" s="20"/>
      <c r="C151" s="20"/>
    </row>
    <row r="152" spans="2:3" x14ac:dyDescent="0.25">
      <c r="B152" s="20"/>
      <c r="C152" s="20"/>
    </row>
    <row r="153" spans="2:3" x14ac:dyDescent="0.25">
      <c r="B153" s="20"/>
      <c r="C153" s="20"/>
    </row>
    <row r="154" spans="2:3" x14ac:dyDescent="0.25">
      <c r="B154" s="20"/>
      <c r="C154" s="20"/>
    </row>
    <row r="155" spans="2:3" x14ac:dyDescent="0.25">
      <c r="B155" s="20"/>
      <c r="C155" s="20"/>
    </row>
    <row r="156" spans="2:3" x14ac:dyDescent="0.25">
      <c r="B156" s="20"/>
      <c r="C156" s="20"/>
    </row>
    <row r="157" spans="2:3" x14ac:dyDescent="0.25">
      <c r="B157" s="20"/>
      <c r="C157" s="20"/>
    </row>
    <row r="158" spans="2:3" x14ac:dyDescent="0.25">
      <c r="B158" s="20"/>
      <c r="C158" s="20"/>
    </row>
    <row r="159" spans="2:3" x14ac:dyDescent="0.25">
      <c r="B159" s="20"/>
      <c r="C159" s="20"/>
    </row>
    <row r="160" spans="2:3" x14ac:dyDescent="0.25">
      <c r="B160" s="20"/>
      <c r="C160" s="20"/>
    </row>
    <row r="161" spans="2:3" x14ac:dyDescent="0.25">
      <c r="B161" s="20"/>
      <c r="C161" s="20"/>
    </row>
    <row r="162" spans="2:3" x14ac:dyDescent="0.25">
      <c r="B162" s="20"/>
      <c r="C162" s="20"/>
    </row>
    <row r="163" spans="2:3" x14ac:dyDescent="0.25">
      <c r="B163" s="20"/>
      <c r="C163" s="20"/>
    </row>
    <row r="164" spans="2:3" x14ac:dyDescent="0.25">
      <c r="B164" s="20"/>
      <c r="C164" s="20"/>
    </row>
    <row r="165" spans="2:3" x14ac:dyDescent="0.25">
      <c r="B165" s="20"/>
      <c r="C165" s="20"/>
    </row>
    <row r="166" spans="2:3" x14ac:dyDescent="0.25">
      <c r="B166" s="20"/>
      <c r="C166" s="20"/>
    </row>
    <row r="167" spans="2:3" x14ac:dyDescent="0.25">
      <c r="B167" s="20"/>
      <c r="C167" s="20"/>
    </row>
    <row r="168" spans="2:3" x14ac:dyDescent="0.25">
      <c r="B168" s="20"/>
      <c r="C168" s="20"/>
    </row>
    <row r="169" spans="2:3" x14ac:dyDescent="0.25">
      <c r="B169" s="20"/>
      <c r="C169" s="20"/>
    </row>
    <row r="170" spans="2:3" x14ac:dyDescent="0.25">
      <c r="B170" s="20"/>
      <c r="C170" s="20"/>
    </row>
    <row r="171" spans="2:3" x14ac:dyDescent="0.25">
      <c r="B171" s="20"/>
      <c r="C171" s="20"/>
    </row>
    <row r="172" spans="2:3" x14ac:dyDescent="0.25">
      <c r="B172" s="20"/>
      <c r="C172" s="20"/>
    </row>
    <row r="173" spans="2:3" x14ac:dyDescent="0.25">
      <c r="B173" s="20"/>
      <c r="C173" s="20"/>
    </row>
    <row r="174" spans="2:3" x14ac:dyDescent="0.25">
      <c r="B174" s="20"/>
      <c r="C174" s="20"/>
    </row>
    <row r="175" spans="2:3" x14ac:dyDescent="0.25">
      <c r="B175" s="20"/>
      <c r="C175" s="20"/>
    </row>
    <row r="176" spans="2:3" x14ac:dyDescent="0.25">
      <c r="B176" s="20"/>
      <c r="C176" s="20"/>
    </row>
    <row r="177" spans="2:3" x14ac:dyDescent="0.25">
      <c r="B177" s="20"/>
      <c r="C177" s="20"/>
    </row>
    <row r="178" spans="2:3" x14ac:dyDescent="0.25">
      <c r="B178" s="20"/>
      <c r="C178" s="20"/>
    </row>
    <row r="179" spans="2:3" x14ac:dyDescent="0.25">
      <c r="B179" s="20"/>
      <c r="C179" s="20"/>
    </row>
    <row r="180" spans="2:3" x14ac:dyDescent="0.25">
      <c r="B180" s="20"/>
      <c r="C180" s="20"/>
    </row>
    <row r="181" spans="2:3" x14ac:dyDescent="0.25">
      <c r="B181" s="20"/>
      <c r="C181" s="20"/>
    </row>
    <row r="182" spans="2:3" x14ac:dyDescent="0.25">
      <c r="B182" s="20"/>
      <c r="C182" s="20"/>
    </row>
    <row r="183" spans="2:3" x14ac:dyDescent="0.25">
      <c r="B183" s="20"/>
      <c r="C183" s="20"/>
    </row>
    <row r="184" spans="2:3" x14ac:dyDescent="0.25">
      <c r="B184" s="20"/>
      <c r="C184" s="20"/>
    </row>
    <row r="185" spans="2:3" x14ac:dyDescent="0.25">
      <c r="B185" s="20"/>
      <c r="C185" s="20"/>
    </row>
    <row r="186" spans="2:3" x14ac:dyDescent="0.25">
      <c r="B186" s="20"/>
      <c r="C186" s="20"/>
    </row>
    <row r="187" spans="2:3" x14ac:dyDescent="0.25">
      <c r="B187" s="20"/>
      <c r="C187" s="20"/>
    </row>
    <row r="188" spans="2:3" x14ac:dyDescent="0.25">
      <c r="B188" s="20"/>
      <c r="C188" s="20"/>
    </row>
    <row r="189" spans="2:3" x14ac:dyDescent="0.25">
      <c r="B189" s="20"/>
      <c r="C189" s="20"/>
    </row>
    <row r="190" spans="2:3" x14ac:dyDescent="0.25">
      <c r="B190" s="20"/>
      <c r="C190" s="20"/>
    </row>
    <row r="191" spans="2:3" x14ac:dyDescent="0.25">
      <c r="B191" s="20"/>
      <c r="C191" s="20"/>
    </row>
    <row r="192" spans="2:3" x14ac:dyDescent="0.25">
      <c r="B192" s="20"/>
      <c r="C192" s="20"/>
    </row>
    <row r="193" spans="2:3" x14ac:dyDescent="0.25">
      <c r="B193" s="20"/>
      <c r="C193" s="20"/>
    </row>
    <row r="194" spans="2:3" x14ac:dyDescent="0.25">
      <c r="B194" s="20"/>
      <c r="C194" s="20"/>
    </row>
    <row r="195" spans="2:3" x14ac:dyDescent="0.25">
      <c r="B195" s="20"/>
      <c r="C195" s="20"/>
    </row>
    <row r="196" spans="2:3" x14ac:dyDescent="0.25">
      <c r="B196" s="20"/>
      <c r="C196" s="20"/>
    </row>
    <row r="197" spans="2:3" x14ac:dyDescent="0.25">
      <c r="B197" s="20"/>
      <c r="C197" s="20"/>
    </row>
    <row r="198" spans="2:3" x14ac:dyDescent="0.25">
      <c r="B198" s="20"/>
      <c r="C198" s="20"/>
    </row>
    <row r="199" spans="2:3" x14ac:dyDescent="0.25">
      <c r="B199" s="20"/>
      <c r="C199" s="20"/>
    </row>
    <row r="200" spans="2:3" x14ac:dyDescent="0.25">
      <c r="B200" s="20"/>
      <c r="C200" s="20"/>
    </row>
    <row r="201" spans="2:3" x14ac:dyDescent="0.25">
      <c r="B201" s="20"/>
      <c r="C201" s="20"/>
    </row>
    <row r="202" spans="2:3" x14ac:dyDescent="0.25">
      <c r="B202" s="20"/>
      <c r="C202" s="20"/>
    </row>
    <row r="203" spans="2:3" x14ac:dyDescent="0.25">
      <c r="B203" s="20"/>
      <c r="C203" s="20"/>
    </row>
    <row r="204" spans="2:3" x14ac:dyDescent="0.25">
      <c r="B204" s="20"/>
      <c r="C204" s="20"/>
    </row>
    <row r="205" spans="2:3" x14ac:dyDescent="0.25">
      <c r="B205" s="20"/>
      <c r="C205" s="20"/>
    </row>
    <row r="206" spans="2:3" x14ac:dyDescent="0.25">
      <c r="B206" s="20"/>
      <c r="C206" s="20"/>
    </row>
    <row r="207" spans="2:3" x14ac:dyDescent="0.25">
      <c r="B207" s="20"/>
      <c r="C207" s="20"/>
    </row>
    <row r="208" spans="2:3" x14ac:dyDescent="0.25">
      <c r="B208" s="20"/>
      <c r="C208" s="20"/>
    </row>
    <row r="209" spans="2:3" x14ac:dyDescent="0.25">
      <c r="B209" s="20"/>
      <c r="C209" s="20"/>
    </row>
    <row r="210" spans="2:3" x14ac:dyDescent="0.25">
      <c r="B210" s="20"/>
      <c r="C210" s="20"/>
    </row>
    <row r="211" spans="2:3" x14ac:dyDescent="0.25">
      <c r="B211" s="20"/>
      <c r="C211" s="20"/>
    </row>
    <row r="212" spans="2:3" x14ac:dyDescent="0.25">
      <c r="B212" s="20"/>
      <c r="C212" s="20"/>
    </row>
    <row r="213" spans="2:3" x14ac:dyDescent="0.25">
      <c r="B213" s="20"/>
      <c r="C213" s="20"/>
    </row>
    <row r="214" spans="2:3" x14ac:dyDescent="0.25">
      <c r="B214" s="20"/>
      <c r="C214" s="20"/>
    </row>
    <row r="215" spans="2:3" x14ac:dyDescent="0.25">
      <c r="B215" s="20"/>
      <c r="C215" s="20"/>
    </row>
    <row r="216" spans="2:3" x14ac:dyDescent="0.25">
      <c r="B216" s="20"/>
      <c r="C216" s="20"/>
    </row>
    <row r="217" spans="2:3" x14ac:dyDescent="0.25">
      <c r="B217" s="20"/>
      <c r="C217" s="20"/>
    </row>
    <row r="218" spans="2:3" x14ac:dyDescent="0.25">
      <c r="B218" s="20"/>
      <c r="C218" s="20"/>
    </row>
    <row r="219" spans="2:3" x14ac:dyDescent="0.25">
      <c r="B219" s="20"/>
      <c r="C219" s="20"/>
    </row>
    <row r="220" spans="2:3" x14ac:dyDescent="0.25">
      <c r="B220" s="20"/>
      <c r="C220" s="20"/>
    </row>
    <row r="221" spans="2:3" x14ac:dyDescent="0.25">
      <c r="B221" s="20"/>
      <c r="C221" s="20"/>
    </row>
    <row r="222" spans="2:3" x14ac:dyDescent="0.25">
      <c r="B222" s="20"/>
      <c r="C222" s="20"/>
    </row>
    <row r="223" spans="2:3" x14ac:dyDescent="0.25">
      <c r="B223" s="20"/>
      <c r="C223" s="20"/>
    </row>
    <row r="224" spans="2:3" x14ac:dyDescent="0.25">
      <c r="B224" s="20"/>
      <c r="C224" s="20"/>
    </row>
    <row r="225" spans="2:3" x14ac:dyDescent="0.25">
      <c r="B225" s="20"/>
      <c r="C225" s="20"/>
    </row>
    <row r="226" spans="2:3" x14ac:dyDescent="0.25">
      <c r="B226" s="20"/>
      <c r="C226" s="20"/>
    </row>
    <row r="227" spans="2:3" x14ac:dyDescent="0.25">
      <c r="B227" s="20"/>
      <c r="C227" s="20"/>
    </row>
    <row r="228" spans="2:3" x14ac:dyDescent="0.25">
      <c r="B228" s="20"/>
      <c r="C228" s="20"/>
    </row>
    <row r="229" spans="2:3" x14ac:dyDescent="0.25">
      <c r="B229" s="20"/>
      <c r="C229" s="20"/>
    </row>
    <row r="230" spans="2:3" x14ac:dyDescent="0.25">
      <c r="B230" s="20"/>
      <c r="C230" s="20"/>
    </row>
    <row r="231" spans="2:3" x14ac:dyDescent="0.25">
      <c r="B231" s="20"/>
      <c r="C231" s="20"/>
    </row>
    <row r="232" spans="2:3" x14ac:dyDescent="0.25">
      <c r="B232" s="20"/>
      <c r="C232" s="20"/>
    </row>
    <row r="233" spans="2:3" x14ac:dyDescent="0.25">
      <c r="B233" s="20"/>
      <c r="C233" s="20"/>
    </row>
    <row r="234" spans="2:3" x14ac:dyDescent="0.25">
      <c r="B234" s="20"/>
      <c r="C234" s="20"/>
    </row>
    <row r="235" spans="2:3" x14ac:dyDescent="0.25">
      <c r="B235" s="20"/>
      <c r="C235" s="20"/>
    </row>
    <row r="236" spans="2:3" x14ac:dyDescent="0.25">
      <c r="B236" s="20"/>
      <c r="C236" s="20"/>
    </row>
    <row r="237" spans="2:3" x14ac:dyDescent="0.25">
      <c r="B237" s="20"/>
      <c r="C237" s="20"/>
    </row>
    <row r="238" spans="2:3" x14ac:dyDescent="0.25">
      <c r="B238" s="20"/>
      <c r="C238" s="20"/>
    </row>
    <row r="239" spans="2:3" x14ac:dyDescent="0.25">
      <c r="B239" s="20"/>
      <c r="C239" s="20"/>
    </row>
    <row r="240" spans="2:3" x14ac:dyDescent="0.25">
      <c r="B240" s="20"/>
      <c r="C240" s="20"/>
    </row>
    <row r="241" spans="2:3" x14ac:dyDescent="0.25">
      <c r="B241" s="20"/>
      <c r="C241" s="20"/>
    </row>
    <row r="242" spans="2:3" x14ac:dyDescent="0.25">
      <c r="B242" s="20"/>
      <c r="C242" s="20"/>
    </row>
    <row r="243" spans="2:3" x14ac:dyDescent="0.25">
      <c r="B243" s="20"/>
      <c r="C243" s="20"/>
    </row>
    <row r="244" spans="2:3" x14ac:dyDescent="0.25">
      <c r="B244" s="20"/>
      <c r="C244" s="20"/>
    </row>
    <row r="245" spans="2:3" x14ac:dyDescent="0.25">
      <c r="B245" s="20"/>
      <c r="C245" s="20"/>
    </row>
    <row r="246" spans="2:3" x14ac:dyDescent="0.25">
      <c r="B246" s="20"/>
      <c r="C246" s="20"/>
    </row>
    <row r="247" spans="2:3" x14ac:dyDescent="0.25">
      <c r="B247" s="20"/>
      <c r="C247" s="20"/>
    </row>
    <row r="248" spans="2:3" x14ac:dyDescent="0.25">
      <c r="B248" s="20"/>
      <c r="C248" s="20"/>
    </row>
    <row r="249" spans="2:3" x14ac:dyDescent="0.25">
      <c r="B249" s="20"/>
      <c r="C249" s="20"/>
    </row>
    <row r="250" spans="2:3" x14ac:dyDescent="0.25">
      <c r="B250" s="20"/>
      <c r="C250" s="20"/>
    </row>
    <row r="251" spans="2:3" x14ac:dyDescent="0.25">
      <c r="B251" s="20"/>
      <c r="C251" s="20"/>
    </row>
    <row r="252" spans="2:3" x14ac:dyDescent="0.25">
      <c r="B252" s="20"/>
      <c r="C252" s="20"/>
    </row>
    <row r="253" spans="2:3" x14ac:dyDescent="0.25">
      <c r="B253" s="20"/>
      <c r="C253" s="20"/>
    </row>
    <row r="254" spans="2:3" x14ac:dyDescent="0.25">
      <c r="B254" s="20"/>
      <c r="C254" s="20"/>
    </row>
    <row r="255" spans="2:3" x14ac:dyDescent="0.25">
      <c r="B255" s="20"/>
      <c r="C255" s="20"/>
    </row>
    <row r="256" spans="2:3" x14ac:dyDescent="0.25">
      <c r="B256" s="20"/>
      <c r="C256" s="20"/>
    </row>
    <row r="257" spans="2:3" x14ac:dyDescent="0.25">
      <c r="B257" s="20"/>
      <c r="C257" s="20"/>
    </row>
    <row r="258" spans="2:3" x14ac:dyDescent="0.25">
      <c r="B258" s="20"/>
      <c r="C258" s="20"/>
    </row>
    <row r="259" spans="2:3" x14ac:dyDescent="0.25">
      <c r="B259" s="20"/>
      <c r="C259" s="20"/>
    </row>
    <row r="260" spans="2:3" x14ac:dyDescent="0.25">
      <c r="B260" s="20"/>
      <c r="C260" s="20"/>
    </row>
    <row r="261" spans="2:3" x14ac:dyDescent="0.25">
      <c r="B261" s="20"/>
      <c r="C261" s="20"/>
    </row>
    <row r="262" spans="2:3" x14ac:dyDescent="0.25">
      <c r="B262" s="20"/>
      <c r="C262" s="20"/>
    </row>
    <row r="263" spans="2:3" x14ac:dyDescent="0.25">
      <c r="B263" s="20"/>
      <c r="C263" s="20"/>
    </row>
    <row r="264" spans="2:3" x14ac:dyDescent="0.25">
      <c r="B264" s="20"/>
      <c r="C264" s="20"/>
    </row>
    <row r="265" spans="2:3" x14ac:dyDescent="0.25">
      <c r="B265" s="20"/>
      <c r="C265" s="20"/>
    </row>
    <row r="266" spans="2:3" x14ac:dyDescent="0.25">
      <c r="B266" s="20"/>
      <c r="C266" s="20"/>
    </row>
    <row r="267" spans="2:3" x14ac:dyDescent="0.25">
      <c r="B267" s="20"/>
      <c r="C267" s="20"/>
    </row>
    <row r="268" spans="2:3" x14ac:dyDescent="0.25">
      <c r="B268" s="20"/>
      <c r="C268" s="20"/>
    </row>
    <row r="269" spans="2:3" x14ac:dyDescent="0.25">
      <c r="B269" s="20"/>
      <c r="C269" s="20"/>
    </row>
    <row r="270" spans="2:3" x14ac:dyDescent="0.25">
      <c r="B270" s="20"/>
      <c r="C270" s="20"/>
    </row>
    <row r="271" spans="2:3" x14ac:dyDescent="0.25">
      <c r="B271" s="20"/>
      <c r="C271" s="20"/>
    </row>
    <row r="272" spans="2:3" x14ac:dyDescent="0.25">
      <c r="B272" s="20"/>
      <c r="C272" s="20"/>
    </row>
    <row r="273" spans="2:3" x14ac:dyDescent="0.25">
      <c r="B273" s="20"/>
      <c r="C273" s="20"/>
    </row>
    <row r="274" spans="2:3" x14ac:dyDescent="0.25">
      <c r="B274" s="20"/>
      <c r="C274" s="20"/>
    </row>
    <row r="275" spans="2:3" x14ac:dyDescent="0.25">
      <c r="B275" s="20"/>
      <c r="C275" s="20"/>
    </row>
    <row r="276" spans="2:3" x14ac:dyDescent="0.25">
      <c r="B276" s="20"/>
      <c r="C276" s="20"/>
    </row>
    <row r="277" spans="2:3" x14ac:dyDescent="0.25">
      <c r="B277" s="20"/>
      <c r="C277" s="20"/>
    </row>
    <row r="278" spans="2:3" x14ac:dyDescent="0.25">
      <c r="B278" s="20"/>
      <c r="C278" s="20"/>
    </row>
    <row r="279" spans="2:3" x14ac:dyDescent="0.25">
      <c r="B279" s="20"/>
      <c r="C279" s="20"/>
    </row>
    <row r="280" spans="2:3" x14ac:dyDescent="0.25">
      <c r="B280" s="20"/>
      <c r="C280" s="20"/>
    </row>
    <row r="281" spans="2:3" x14ac:dyDescent="0.25">
      <c r="B281" s="20"/>
      <c r="C281" s="20"/>
    </row>
  </sheetData>
  <sortState ref="A1:A281">
    <sortCondition ref="A1:A281"/>
  </sortState>
  <conditionalFormatting sqref="C1:C1048576">
    <cfRule type="cellIs" dxfId="0" priority="1" operator="greaterThan">
      <formula>0.000115740740740741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21</vt:i4>
      </vt:variant>
    </vt:vector>
  </HeadingPairs>
  <TitlesOfParts>
    <vt:vector size="29" baseType="lpstr">
      <vt:lpstr>Train Runs</vt:lpstr>
      <vt:lpstr>Enforcements</vt:lpstr>
      <vt:lpstr>Missing Trips</vt:lpstr>
      <vt:lpstr>Trips&amp;Operators</vt:lpstr>
      <vt:lpstr>Weather</vt:lpstr>
      <vt:lpstr>Variables</vt:lpstr>
      <vt:lpstr>Redmine List Values</vt:lpstr>
      <vt:lpstr>Slice Disagreement Check</vt:lpstr>
      <vt:lpstr>astrogrep_path</vt:lpstr>
      <vt:lpstr>'Train Runs'!Denver_Train_Runs_04122016</vt:lpstr>
      <vt:lpstr>dls3logs</vt:lpstr>
      <vt:lpstr>enforcements_txt</vt:lpstr>
      <vt:lpstr>outputrefinedruntimes</vt:lpstr>
      <vt:lpstr>redmine_api</vt:lpstr>
      <vt:lpstr>redmine_assignee</vt:lpstr>
      <vt:lpstr>redmine_op_impact</vt:lpstr>
      <vt:lpstr>redmine_priority</vt:lpstr>
      <vt:lpstr>redmine_status</vt:lpstr>
      <vt:lpstr>redmine_url</vt:lpstr>
      <vt:lpstr>RefinedRTDCRunTimesOutputFile</vt:lpstr>
      <vt:lpstr>refinertdcruntimes</vt:lpstr>
      <vt:lpstr>runsrefined_txt</vt:lpstr>
      <vt:lpstr>s3_bucket</vt:lpstr>
      <vt:lpstr>search_path</vt:lpstr>
      <vt:lpstr>search_regexp</vt:lpstr>
      <vt:lpstr>trips_txt</vt:lpstr>
      <vt:lpstr>utc_offset</vt:lpstr>
      <vt:lpstr>walkandungz</vt:lpstr>
      <vt:lpstr>weather_txt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2017-02-07T19:35:06Z</dcterms:modified>
</cp:coreProperties>
</file>